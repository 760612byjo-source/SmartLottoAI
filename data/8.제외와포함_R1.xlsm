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885" windowWidth="12045" windowHeight="4560" tabRatio="799" activeTab="1"/>
  </bookViews>
  <sheets>
    <sheet name="확률계산" sheetId="97" r:id="rId1"/>
    <sheet name="번호정리" sheetId="104" r:id="rId2"/>
    <sheet name="결과분석1" sheetId="26" r:id="rId3"/>
    <sheet name="번호추출" sheetId="61" r:id="rId4"/>
    <sheet name="중복수 결과" sheetId="98" r:id="rId5"/>
    <sheet name="집계중복수" sheetId="105" r:id="rId6"/>
    <sheet name="Sheet1" sheetId="106" r:id="rId7"/>
    <sheet name="번호추출 (2)" sheetId="107" r:id="rId8"/>
    <sheet name="번호추출 (3)" sheetId="108" r:id="rId9"/>
  </sheets>
  <definedNames>
    <definedName name="_1열" localSheetId="2">#REF!</definedName>
    <definedName name="_1열" localSheetId="1">#REF!</definedName>
    <definedName name="_1열" localSheetId="3">#REF!</definedName>
    <definedName name="_1열" localSheetId="7">#REF!</definedName>
    <definedName name="_1열" localSheetId="8">#REF!</definedName>
    <definedName name="_1열" localSheetId="0">#REF!</definedName>
    <definedName name="_1열">#REF!</definedName>
    <definedName name="_2열" localSheetId="2">#REF!</definedName>
    <definedName name="_2열" localSheetId="1">#REF!</definedName>
    <definedName name="_2열" localSheetId="3">#REF!</definedName>
    <definedName name="_2열" localSheetId="7">#REF!</definedName>
    <definedName name="_2열" localSheetId="8">#REF!</definedName>
    <definedName name="_2열" localSheetId="0">#REF!</definedName>
    <definedName name="_2열">#REF!</definedName>
    <definedName name="_3열" localSheetId="2">#REF!</definedName>
    <definedName name="_3열" localSheetId="1">#REF!</definedName>
    <definedName name="_3열" localSheetId="3">#REF!</definedName>
    <definedName name="_3열" localSheetId="7">#REF!</definedName>
    <definedName name="_3열" localSheetId="8">#REF!</definedName>
    <definedName name="_3열" localSheetId="0">#REF!</definedName>
    <definedName name="_3열">#REF!</definedName>
    <definedName name="_4열" localSheetId="2">#REF!</definedName>
    <definedName name="_4열" localSheetId="1">#REF!</definedName>
    <definedName name="_4열" localSheetId="3">#REF!</definedName>
    <definedName name="_4열" localSheetId="7">#REF!</definedName>
    <definedName name="_4열" localSheetId="8">#REF!</definedName>
    <definedName name="_4열" localSheetId="0">#REF!</definedName>
    <definedName name="_4열">#REF!</definedName>
    <definedName name="_5열" localSheetId="2">#REF!</definedName>
    <definedName name="_5열" localSheetId="1">#REF!</definedName>
    <definedName name="_5열" localSheetId="3">#REF!</definedName>
    <definedName name="_5열" localSheetId="7">#REF!</definedName>
    <definedName name="_5열" localSheetId="8">#REF!</definedName>
    <definedName name="_5열" localSheetId="0">#REF!</definedName>
    <definedName name="_5열">#REF!</definedName>
    <definedName name="_6열" localSheetId="2">#REF!</definedName>
    <definedName name="_6열" localSheetId="1">#REF!</definedName>
    <definedName name="_6열" localSheetId="3">#REF!</definedName>
    <definedName name="_6열" localSheetId="7">#REF!</definedName>
    <definedName name="_6열" localSheetId="8">#REF!</definedName>
    <definedName name="_6열" localSheetId="0">#REF!</definedName>
    <definedName name="_6열">#REF!</definedName>
    <definedName name="_xlnm._FilterDatabase" localSheetId="4" hidden="1">'중복수 결과'!$I$2:$AE$167</definedName>
    <definedName name="_xlnm._FilterDatabase" localSheetId="5" hidden="1">집계중복수!$U$6:$U$51</definedName>
    <definedName name="dfsf" localSheetId="1">#REF!</definedName>
    <definedName name="dfsf" localSheetId="3">#REF!</definedName>
    <definedName name="dfsf" localSheetId="7">#REF!</definedName>
    <definedName name="dfsf" localSheetId="8">#REF!</definedName>
    <definedName name="dfsf" localSheetId="0">#REF!</definedName>
    <definedName name="dfsf">#REF!</definedName>
    <definedName name="wh" localSheetId="1">#REF!</definedName>
    <definedName name="wh" localSheetId="3">#REF!</definedName>
    <definedName name="wh" localSheetId="7">#REF!</definedName>
    <definedName name="wh" localSheetId="8">#REF!</definedName>
    <definedName name="wh" localSheetId="0">#REF!</definedName>
    <definedName name="wh">#REF!</definedName>
    <definedName name="당첨" localSheetId="2">#REF!</definedName>
    <definedName name="당첨" localSheetId="1">#REF!</definedName>
    <definedName name="당첨" localSheetId="3">#REF!</definedName>
    <definedName name="당첨" localSheetId="7">#REF!</definedName>
    <definedName name="당첨" localSheetId="8">#REF!</definedName>
    <definedName name="당첨" localSheetId="0">#REF!</definedName>
    <definedName name="당첨">#REF!</definedName>
    <definedName name="당첨번호" localSheetId="2">#REF!</definedName>
    <definedName name="당첨번호" localSheetId="1">#REF!</definedName>
    <definedName name="당첨번호" localSheetId="3">#REF!</definedName>
    <definedName name="당첨번호" localSheetId="7">#REF!</definedName>
    <definedName name="당첨번호" localSheetId="8">#REF!</definedName>
    <definedName name="당첨번호" localSheetId="0">#REF!</definedName>
    <definedName name="당첨번호">#REF!</definedName>
    <definedName name="보너스" localSheetId="2">#REF!</definedName>
    <definedName name="보너스" localSheetId="1">#REF!</definedName>
    <definedName name="보너스" localSheetId="3">#REF!</definedName>
    <definedName name="보너스" localSheetId="7">#REF!</definedName>
    <definedName name="보너스" localSheetId="8">#REF!</definedName>
    <definedName name="보너스" localSheetId="0">#REF!</definedName>
    <definedName name="보너스">#REF!</definedName>
    <definedName name="삼그룹" localSheetId="2">#REF!</definedName>
    <definedName name="삼그룹" localSheetId="1">#REF!</definedName>
    <definedName name="삼그룹" localSheetId="3">#REF!</definedName>
    <definedName name="삼그룹" localSheetId="7">#REF!</definedName>
    <definedName name="삼그룹" localSheetId="8">#REF!</definedName>
    <definedName name="삼그룹" localSheetId="0">#REF!</definedName>
    <definedName name="삼그룹">#REF!</definedName>
    <definedName name="전체출현번호" localSheetId="2">#REF!</definedName>
    <definedName name="전체출현번호" localSheetId="1">#REF!</definedName>
    <definedName name="전체출현번호" localSheetId="3">#REF!</definedName>
    <definedName name="전체출현번호" localSheetId="7">#REF!</definedName>
    <definedName name="전체출현번호" localSheetId="8">#REF!</definedName>
    <definedName name="전체출현번호" localSheetId="0">#REF!</definedName>
    <definedName name="전체출현번호">#REF!</definedName>
    <definedName name="최근10회" localSheetId="2">#REF!</definedName>
    <definedName name="최근10회" localSheetId="1">#REF!</definedName>
    <definedName name="최근10회" localSheetId="3">#REF!</definedName>
    <definedName name="최근10회" localSheetId="7">#REF!</definedName>
    <definedName name="최근10회" localSheetId="8">#REF!</definedName>
    <definedName name="최근10회" localSheetId="0">#REF!</definedName>
    <definedName name="최근10회">#REF!</definedName>
    <definedName name="최근5회" localSheetId="2">#REF!</definedName>
    <definedName name="최근5회" localSheetId="1">#REF!</definedName>
    <definedName name="최근5회" localSheetId="3">#REF!</definedName>
    <definedName name="최근5회" localSheetId="7">#REF!</definedName>
    <definedName name="최근5회" localSheetId="8">#REF!</definedName>
    <definedName name="최근5회" localSheetId="0">#REF!</definedName>
    <definedName name="최근5회">#REF!</definedName>
    <definedName name="포함수필터" localSheetId="1">#REF!</definedName>
    <definedName name="포함수필터" localSheetId="3">#REF!</definedName>
    <definedName name="포함수필터" localSheetId="7">#REF!</definedName>
    <definedName name="포함수필터" localSheetId="8">#REF!</definedName>
    <definedName name="포함수필터" localSheetId="0">#REF!</definedName>
    <definedName name="포함수필터">#REF!</definedName>
    <definedName name="합계" localSheetId="2">#REF!</definedName>
    <definedName name="합계" localSheetId="1">#REF!</definedName>
    <definedName name="합계" localSheetId="3">#REF!</definedName>
    <definedName name="합계" localSheetId="7">#REF!</definedName>
    <definedName name="합계" localSheetId="8">#REF!</definedName>
    <definedName name="합계" localSheetId="0">#REF!</definedName>
    <definedName name="합계">#REF!</definedName>
    <definedName name="홀짝수" localSheetId="2">#REF!</definedName>
    <definedName name="홀짝수" localSheetId="1">#REF!</definedName>
    <definedName name="홀짝수" localSheetId="3">#REF!</definedName>
    <definedName name="홀짝수" localSheetId="7">#REF!</definedName>
    <definedName name="홀짝수" localSheetId="8">#REF!</definedName>
    <definedName name="홀짝수" localSheetId="0">#REF!</definedName>
    <definedName name="홀짝수">#REF!</definedName>
    <definedName name="회차" localSheetId="2">#REF!</definedName>
    <definedName name="회차" localSheetId="1">#REF!</definedName>
    <definedName name="회차" localSheetId="3">#REF!</definedName>
    <definedName name="회차" localSheetId="7">#REF!</definedName>
    <definedName name="회차" localSheetId="8">#REF!</definedName>
    <definedName name="회차" localSheetId="0">#REF!</definedName>
    <definedName name="회차">#REF!</definedName>
  </definedNames>
  <calcPr calcId="145621"/>
</workbook>
</file>

<file path=xl/calcChain.xml><?xml version="1.0" encoding="utf-8"?>
<calcChain xmlns="http://schemas.openxmlformats.org/spreadsheetml/2006/main">
  <c r="G258" i="104" l="1"/>
  <c r="H254" i="104"/>
  <c r="M160" i="105"/>
  <c r="AZ45" i="107"/>
  <c r="BA45" i="107"/>
  <c r="BB45" i="107"/>
  <c r="BC45" i="107"/>
  <c r="BD45" i="107"/>
  <c r="BE45" i="107"/>
  <c r="BF45" i="107"/>
  <c r="BG45" i="107"/>
  <c r="BH45" i="107"/>
  <c r="BI45" i="107"/>
  <c r="BJ45" i="107"/>
  <c r="AY45" i="108"/>
  <c r="AZ45" i="108"/>
  <c r="BA45" i="108"/>
  <c r="BB45" i="108"/>
  <c r="BC45" i="108"/>
  <c r="BD45" i="108"/>
  <c r="BE45" i="108"/>
  <c r="BF45" i="108"/>
  <c r="BG45" i="108"/>
  <c r="BH45" i="108"/>
  <c r="BI45" i="108"/>
  <c r="J254" i="104" l="1"/>
  <c r="AD62" i="61"/>
  <c r="AD44" i="61"/>
  <c r="AD55" i="61"/>
  <c r="H253" i="104"/>
  <c r="M159" i="105"/>
  <c r="AZ44" i="107"/>
  <c r="BA44" i="107"/>
  <c r="BB44" i="107"/>
  <c r="BC44" i="107"/>
  <c r="BD44" i="107"/>
  <c r="BE44" i="107"/>
  <c r="BF44" i="107"/>
  <c r="BG44" i="107"/>
  <c r="BH44" i="107"/>
  <c r="BI44" i="107"/>
  <c r="BJ44" i="107"/>
  <c r="AY44" i="108"/>
  <c r="AZ44" i="108"/>
  <c r="BA44" i="108"/>
  <c r="BB44" i="108"/>
  <c r="BC44" i="108"/>
  <c r="BD44" i="108"/>
  <c r="BE44" i="108"/>
  <c r="BF44" i="108"/>
  <c r="BG44" i="108"/>
  <c r="BH44" i="108"/>
  <c r="BI44" i="108"/>
  <c r="K254" i="104" l="1"/>
  <c r="J253" i="104"/>
  <c r="H252" i="104"/>
  <c r="M158" i="105"/>
  <c r="BO32" i="107"/>
  <c r="AZ43" i="107"/>
  <c r="BA43" i="107"/>
  <c r="BB43" i="107"/>
  <c r="BC43" i="107"/>
  <c r="BD43" i="107"/>
  <c r="BE43" i="107"/>
  <c r="BF43" i="107"/>
  <c r="BG43" i="107"/>
  <c r="BH43" i="107"/>
  <c r="BI43" i="107"/>
  <c r="BJ43" i="107"/>
  <c r="AY43" i="108"/>
  <c r="AZ43" i="108"/>
  <c r="BA43" i="108"/>
  <c r="BB43" i="108"/>
  <c r="BC43" i="108"/>
  <c r="BD43" i="108"/>
  <c r="BE43" i="108"/>
  <c r="BF43" i="108"/>
  <c r="BG43" i="108"/>
  <c r="BH43" i="108"/>
  <c r="BI43" i="108"/>
  <c r="L254" i="104" l="1"/>
  <c r="K253" i="104"/>
  <c r="J252" i="104"/>
  <c r="L253" i="104"/>
  <c r="K252" i="104"/>
  <c r="H251" i="104"/>
  <c r="M157" i="105"/>
  <c r="AZ42" i="107"/>
  <c r="BA42" i="107"/>
  <c r="BB42" i="107"/>
  <c r="BC42" i="107"/>
  <c r="BD42" i="107"/>
  <c r="BE42" i="107"/>
  <c r="BF42" i="107"/>
  <c r="BG42" i="107"/>
  <c r="BH42" i="107"/>
  <c r="BI42" i="107"/>
  <c r="BJ42" i="107"/>
  <c r="BO32" i="108"/>
  <c r="AY42" i="108"/>
  <c r="BO7" i="108"/>
  <c r="BP32" i="108"/>
  <c r="AZ42" i="108"/>
  <c r="BA42" i="108"/>
  <c r="BB42" i="108"/>
  <c r="BC42" i="108"/>
  <c r="BD42" i="108"/>
  <c r="BE42" i="108"/>
  <c r="BF42" i="108"/>
  <c r="BG42" i="108"/>
  <c r="BH42" i="108"/>
  <c r="BI42" i="108"/>
  <c r="M254" i="104" l="1"/>
  <c r="M253" i="104"/>
  <c r="N253" i="104" s="1"/>
  <c r="L252" i="104"/>
  <c r="M252" i="104"/>
  <c r="J251" i="104"/>
  <c r="K251" i="104" s="1"/>
  <c r="H250" i="104"/>
  <c r="M156" i="105"/>
  <c r="AZ41" i="107"/>
  <c r="BA41" i="107"/>
  <c r="BB41" i="107"/>
  <c r="BC41" i="107"/>
  <c r="BD41" i="107"/>
  <c r="BE41" i="107"/>
  <c r="BF41" i="107"/>
  <c r="BG41" i="107"/>
  <c r="BH41" i="107"/>
  <c r="BI41" i="107"/>
  <c r="BJ41" i="107"/>
  <c r="AY41" i="108"/>
  <c r="AZ41" i="108"/>
  <c r="BA41" i="108"/>
  <c r="BB41" i="108"/>
  <c r="BC41" i="108"/>
  <c r="BD41" i="108"/>
  <c r="BE41" i="108"/>
  <c r="BF41" i="108"/>
  <c r="BG41" i="108"/>
  <c r="BH41" i="108"/>
  <c r="BI41" i="108"/>
  <c r="N254" i="104" l="1"/>
  <c r="O253" i="104"/>
  <c r="N252" i="104"/>
  <c r="O252" i="104" s="1"/>
  <c r="J250" i="104"/>
  <c r="K250" i="104" s="1"/>
  <c r="L251" i="104"/>
  <c r="P254" i="104" l="1"/>
  <c r="O254" i="104"/>
  <c r="P253" i="104"/>
  <c r="Q253" i="104" s="1"/>
  <c r="P252" i="104"/>
  <c r="Q252" i="104" s="1"/>
  <c r="M251" i="104"/>
  <c r="L250" i="104"/>
  <c r="M250" i="104" s="1"/>
  <c r="H249" i="104"/>
  <c r="M155" i="105"/>
  <c r="AZ40" i="107"/>
  <c r="BA40" i="107"/>
  <c r="BB40" i="107"/>
  <c r="BC40" i="107"/>
  <c r="BD40" i="107"/>
  <c r="BE40" i="107"/>
  <c r="BF40" i="107"/>
  <c r="BG40" i="107"/>
  <c r="BH40" i="107"/>
  <c r="BI40" i="107"/>
  <c r="BJ40" i="107"/>
  <c r="AY40" i="108"/>
  <c r="AZ40" i="108"/>
  <c r="BA40" i="108"/>
  <c r="BB40" i="108"/>
  <c r="BC40" i="108"/>
  <c r="BD40" i="108"/>
  <c r="BE40" i="108"/>
  <c r="BF40" i="108"/>
  <c r="BG40" i="108"/>
  <c r="BH40" i="108"/>
  <c r="BI40" i="108"/>
  <c r="Q254" i="104" l="1"/>
  <c r="R252" i="104"/>
  <c r="S252" i="104"/>
  <c r="R253" i="104"/>
  <c r="N250" i="104"/>
  <c r="N251" i="104"/>
  <c r="J249" i="104"/>
  <c r="H248" i="104"/>
  <c r="M154" i="105"/>
  <c r="AZ39" i="107"/>
  <c r="BA39" i="107"/>
  <c r="BB39" i="107"/>
  <c r="BC39" i="107"/>
  <c r="BD39" i="107"/>
  <c r="BE39" i="107"/>
  <c r="BF39" i="107"/>
  <c r="BG39" i="107"/>
  <c r="BH39" i="107"/>
  <c r="BI39" i="107"/>
  <c r="BJ39" i="107"/>
  <c r="AY32" i="108"/>
  <c r="AZ32" i="108"/>
  <c r="BA32" i="108"/>
  <c r="BB32" i="108"/>
  <c r="BC32" i="108"/>
  <c r="BD32" i="108"/>
  <c r="BE32" i="108"/>
  <c r="BF32" i="108"/>
  <c r="BG32" i="108"/>
  <c r="BH32" i="108"/>
  <c r="BI32" i="108"/>
  <c r="AY33" i="108"/>
  <c r="AZ33" i="108"/>
  <c r="BA33" i="108"/>
  <c r="BB33" i="108"/>
  <c r="BC33" i="108"/>
  <c r="BD33" i="108"/>
  <c r="BE33" i="108"/>
  <c r="BF33" i="108"/>
  <c r="BG33" i="108"/>
  <c r="BH33" i="108"/>
  <c r="BI33" i="108"/>
  <c r="AY34" i="108"/>
  <c r="AZ34" i="108"/>
  <c r="BA34" i="108"/>
  <c r="BB34" i="108"/>
  <c r="BC34" i="108"/>
  <c r="BD34" i="108"/>
  <c r="BE34" i="108"/>
  <c r="BF34" i="108"/>
  <c r="BG34" i="108"/>
  <c r="BH34" i="108"/>
  <c r="BI34" i="108"/>
  <c r="AY35" i="108"/>
  <c r="AZ35" i="108"/>
  <c r="BA35" i="108"/>
  <c r="BB35" i="108"/>
  <c r="BC35" i="108"/>
  <c r="BD35" i="108"/>
  <c r="BE35" i="108"/>
  <c r="BF35" i="108"/>
  <c r="BG35" i="108"/>
  <c r="BH35" i="108"/>
  <c r="BI35" i="108"/>
  <c r="AY36" i="108"/>
  <c r="AZ36" i="108"/>
  <c r="BA36" i="108"/>
  <c r="BB36" i="108"/>
  <c r="BC36" i="108"/>
  <c r="BD36" i="108"/>
  <c r="BE36" i="108"/>
  <c r="BF36" i="108"/>
  <c r="BG36" i="108"/>
  <c r="BH36" i="108"/>
  <c r="BI36" i="108"/>
  <c r="AY37" i="108"/>
  <c r="AZ37" i="108"/>
  <c r="BA37" i="108"/>
  <c r="BB37" i="108"/>
  <c r="BC37" i="108"/>
  <c r="BD37" i="108"/>
  <c r="BE37" i="108"/>
  <c r="BF37" i="108"/>
  <c r="BG37" i="108"/>
  <c r="BH37" i="108"/>
  <c r="BI37" i="108"/>
  <c r="AY38" i="108"/>
  <c r="AZ38" i="108"/>
  <c r="BA38" i="108"/>
  <c r="BB38" i="108"/>
  <c r="BC38" i="108"/>
  <c r="BD38" i="108"/>
  <c r="BE38" i="108"/>
  <c r="BF38" i="108"/>
  <c r="BG38" i="108"/>
  <c r="BH38" i="108"/>
  <c r="BI38" i="108"/>
  <c r="AY39" i="108"/>
  <c r="AZ39" i="108"/>
  <c r="BA39" i="108"/>
  <c r="BB39" i="108"/>
  <c r="BC39" i="108"/>
  <c r="BD39" i="108"/>
  <c r="BE39" i="108"/>
  <c r="BF39" i="108"/>
  <c r="BG39" i="108"/>
  <c r="BH39" i="108"/>
  <c r="BI39" i="108"/>
  <c r="R254" i="104" l="1"/>
  <c r="S253" i="104"/>
  <c r="T252" i="104"/>
  <c r="O251" i="104"/>
  <c r="P251" i="104" s="1"/>
  <c r="O250" i="104"/>
  <c r="K249" i="104"/>
  <c r="J248" i="104"/>
  <c r="K248" i="104"/>
  <c r="H247" i="104"/>
  <c r="M153" i="105"/>
  <c r="AZ38" i="107"/>
  <c r="BA38" i="107"/>
  <c r="BB38" i="107"/>
  <c r="BC38" i="107"/>
  <c r="BD38" i="107"/>
  <c r="BE38" i="107"/>
  <c r="BF38" i="107"/>
  <c r="BG38" i="107"/>
  <c r="BH38" i="107"/>
  <c r="BI38" i="107"/>
  <c r="BJ38" i="107"/>
  <c r="S254" i="104" l="1"/>
  <c r="T253" i="104"/>
  <c r="U252" i="104"/>
  <c r="Q251" i="104"/>
  <c r="P250" i="104"/>
  <c r="L249" i="104"/>
  <c r="L248" i="104"/>
  <c r="M248" i="104" s="1"/>
  <c r="J247" i="104"/>
  <c r="H246" i="104"/>
  <c r="J246" i="104" s="1"/>
  <c r="M152" i="105"/>
  <c r="AZ37" i="107"/>
  <c r="BA37" i="107"/>
  <c r="BB37" i="107"/>
  <c r="BC37" i="107"/>
  <c r="BD37" i="107"/>
  <c r="BE37" i="107"/>
  <c r="BF37" i="107"/>
  <c r="BG37" i="107"/>
  <c r="BH37" i="107"/>
  <c r="BI37" i="107"/>
  <c r="BJ37" i="107"/>
  <c r="T254" i="104" l="1"/>
  <c r="V252" i="104"/>
  <c r="W252" i="104" s="1"/>
  <c r="X252" i="104" s="1"/>
  <c r="U253" i="104"/>
  <c r="Q250" i="104"/>
  <c r="R250" i="104" s="1"/>
  <c r="R251" i="104"/>
  <c r="M249" i="104"/>
  <c r="N249" i="104" s="1"/>
  <c r="N248" i="104"/>
  <c r="K247" i="104"/>
  <c r="L247" i="104" s="1"/>
  <c r="K246" i="104"/>
  <c r="H245" i="104"/>
  <c r="J245" i="104" s="1"/>
  <c r="M151" i="105"/>
  <c r="AZ36" i="107"/>
  <c r="BA36" i="107"/>
  <c r="BB36" i="107"/>
  <c r="BC36" i="107"/>
  <c r="BD36" i="107"/>
  <c r="BE36" i="107"/>
  <c r="BF36" i="107"/>
  <c r="BG36" i="107"/>
  <c r="BH36" i="107"/>
  <c r="BI36" i="107"/>
  <c r="BJ36" i="107"/>
  <c r="U254" i="104" l="1"/>
  <c r="Y252" i="104"/>
  <c r="V253" i="104"/>
  <c r="S250" i="104"/>
  <c r="S251" i="104"/>
  <c r="O248" i="104"/>
  <c r="O249" i="104"/>
  <c r="M247" i="104"/>
  <c r="N247" i="104"/>
  <c r="L246" i="104"/>
  <c r="M246" i="104" s="1"/>
  <c r="K245" i="104"/>
  <c r="L245" i="104" s="1"/>
  <c r="H244" i="104"/>
  <c r="J244" i="104" s="1"/>
  <c r="M150" i="105"/>
  <c r="AZ35" i="107"/>
  <c r="BA35" i="107"/>
  <c r="BB35" i="107"/>
  <c r="BC35" i="107"/>
  <c r="BD35" i="107"/>
  <c r="BE35" i="107"/>
  <c r="BF35" i="107"/>
  <c r="BG35" i="107"/>
  <c r="BH35" i="107"/>
  <c r="BI35" i="107"/>
  <c r="BJ35" i="107"/>
  <c r="H243" i="104"/>
  <c r="J243" i="104" s="1"/>
  <c r="M149" i="105"/>
  <c r="AZ34" i="107"/>
  <c r="BA34" i="107"/>
  <c r="BB34" i="107"/>
  <c r="BC34" i="107"/>
  <c r="BD34" i="107"/>
  <c r="BE34" i="107"/>
  <c r="BF34" i="107"/>
  <c r="BG34" i="107"/>
  <c r="BH34" i="107"/>
  <c r="BI34" i="107"/>
  <c r="BJ34" i="107"/>
  <c r="V254" i="104" l="1"/>
  <c r="Z252" i="104"/>
  <c r="AA252" i="104" s="1"/>
  <c r="W253" i="104"/>
  <c r="T251" i="104"/>
  <c r="T250" i="104"/>
  <c r="P249" i="104"/>
  <c r="P248" i="104"/>
  <c r="O247" i="104"/>
  <c r="N246" i="104"/>
  <c r="K243" i="104"/>
  <c r="L243" i="104" s="1"/>
  <c r="M245" i="104"/>
  <c r="K244" i="104"/>
  <c r="AZ33" i="107"/>
  <c r="BP7" i="107"/>
  <c r="H242" i="104"/>
  <c r="M148" i="105"/>
  <c r="BA33" i="107"/>
  <c r="BB33" i="107"/>
  <c r="BC33" i="107"/>
  <c r="BD33" i="107"/>
  <c r="BE33" i="107"/>
  <c r="BF33" i="107"/>
  <c r="BG33" i="107"/>
  <c r="BH33" i="107"/>
  <c r="BI33" i="107"/>
  <c r="BJ33" i="107"/>
  <c r="W254" i="104" l="1"/>
  <c r="X253" i="104"/>
  <c r="AB252" i="104"/>
  <c r="U250" i="104"/>
  <c r="U251" i="104"/>
  <c r="Q249" i="104"/>
  <c r="Q248" i="104"/>
  <c r="O246" i="104"/>
  <c r="P246" i="104" s="1"/>
  <c r="P247" i="104"/>
  <c r="N245" i="104"/>
  <c r="O245" i="104" s="1"/>
  <c r="M243" i="104"/>
  <c r="N243" i="104" s="1"/>
  <c r="L244" i="104"/>
  <c r="J242" i="104"/>
  <c r="H241" i="104"/>
  <c r="J241" i="104" s="1"/>
  <c r="M147" i="105"/>
  <c r="AZ32" i="107"/>
  <c r="BA32" i="107"/>
  <c r="BB32" i="107"/>
  <c r="BC32" i="107"/>
  <c r="BD32" i="107"/>
  <c r="BE32" i="107"/>
  <c r="BF32" i="107"/>
  <c r="BG32" i="107"/>
  <c r="BH32" i="107"/>
  <c r="BI32" i="107"/>
  <c r="BJ32" i="107"/>
  <c r="AY31" i="108"/>
  <c r="AZ31" i="108"/>
  <c r="BA31" i="108"/>
  <c r="BB31" i="108"/>
  <c r="BC31" i="108"/>
  <c r="BD31" i="108"/>
  <c r="BE31" i="108"/>
  <c r="BF31" i="108"/>
  <c r="BG31" i="108"/>
  <c r="BH31" i="108"/>
  <c r="BI31" i="108"/>
  <c r="AB6" i="108"/>
  <c r="X254" i="104" l="1"/>
  <c r="AC252" i="104"/>
  <c r="Y253" i="104"/>
  <c r="V251" i="104"/>
  <c r="V250" i="104"/>
  <c r="R248" i="104"/>
  <c r="R249" i="104"/>
  <c r="Q247" i="104"/>
  <c r="R247" i="104" s="1"/>
  <c r="Q246" i="104"/>
  <c r="P245" i="104"/>
  <c r="O243" i="104"/>
  <c r="P243" i="104" s="1"/>
  <c r="M244" i="104"/>
  <c r="K242" i="104"/>
  <c r="K241" i="104"/>
  <c r="H240" i="104"/>
  <c r="M146" i="105"/>
  <c r="BO33" i="108"/>
  <c r="BO34" i="108"/>
  <c r="BO35" i="108"/>
  <c r="BO36" i="108"/>
  <c r="BO37" i="108"/>
  <c r="AZ30" i="108"/>
  <c r="AY23" i="108"/>
  <c r="AZ23" i="108"/>
  <c r="BA23" i="108"/>
  <c r="BB23" i="108"/>
  <c r="BC23" i="108"/>
  <c r="BD23" i="108"/>
  <c r="BE23" i="108"/>
  <c r="BF23" i="108"/>
  <c r="BG23" i="108"/>
  <c r="BH23" i="108"/>
  <c r="BI23" i="108"/>
  <c r="AY24" i="108"/>
  <c r="AZ24" i="108"/>
  <c r="BA24" i="108"/>
  <c r="BB24" i="108"/>
  <c r="BC24" i="108"/>
  <c r="BD24" i="108"/>
  <c r="BE24" i="108"/>
  <c r="BF24" i="108"/>
  <c r="BG24" i="108"/>
  <c r="BH24" i="108"/>
  <c r="BI24" i="108"/>
  <c r="AY25" i="108"/>
  <c r="AZ25" i="108"/>
  <c r="BA25" i="108"/>
  <c r="BB25" i="108"/>
  <c r="BC25" i="108"/>
  <c r="BD25" i="108"/>
  <c r="BE25" i="108"/>
  <c r="BF25" i="108"/>
  <c r="BG25" i="108"/>
  <c r="BH25" i="108"/>
  <c r="BI25" i="108"/>
  <c r="AY26" i="108"/>
  <c r="AZ26" i="108"/>
  <c r="BA26" i="108"/>
  <c r="BB26" i="108"/>
  <c r="BC26" i="108"/>
  <c r="BD26" i="108"/>
  <c r="BE26" i="108"/>
  <c r="BF26" i="108"/>
  <c r="BG26" i="108"/>
  <c r="BH26" i="108"/>
  <c r="BI26" i="108"/>
  <c r="AY27" i="108"/>
  <c r="AZ27" i="108"/>
  <c r="BA27" i="108"/>
  <c r="BB27" i="108"/>
  <c r="BC27" i="108"/>
  <c r="BD27" i="108"/>
  <c r="BE27" i="108"/>
  <c r="BF27" i="108"/>
  <c r="BG27" i="108"/>
  <c r="BH27" i="108"/>
  <c r="BI27" i="108"/>
  <c r="AY28" i="108"/>
  <c r="AZ28" i="108"/>
  <c r="BA28" i="108"/>
  <c r="BB28" i="108"/>
  <c r="BC28" i="108"/>
  <c r="BD28" i="108"/>
  <c r="BE28" i="108"/>
  <c r="BF28" i="108"/>
  <c r="BG28" i="108"/>
  <c r="BH28" i="108"/>
  <c r="BI28" i="108"/>
  <c r="AY29" i="108"/>
  <c r="AZ29" i="108"/>
  <c r="BA29" i="108"/>
  <c r="BB29" i="108"/>
  <c r="BC29" i="108"/>
  <c r="BD29" i="108"/>
  <c r="BE29" i="108"/>
  <c r="BF29" i="108"/>
  <c r="BG29" i="108"/>
  <c r="BH29" i="108"/>
  <c r="BI29" i="108"/>
  <c r="AY30" i="108"/>
  <c r="BA30" i="108"/>
  <c r="BB30" i="108"/>
  <c r="BC30" i="108"/>
  <c r="BD30" i="108"/>
  <c r="BE30" i="108"/>
  <c r="BF30" i="108"/>
  <c r="BG30" i="108"/>
  <c r="BH30" i="108"/>
  <c r="BI30" i="108"/>
  <c r="AZ31" i="107"/>
  <c r="BA31" i="107"/>
  <c r="BB31" i="107"/>
  <c r="BC31" i="107"/>
  <c r="BD31" i="107"/>
  <c r="BE31" i="107"/>
  <c r="BF31" i="107"/>
  <c r="BG31" i="107"/>
  <c r="BH31" i="107"/>
  <c r="BI31" i="107"/>
  <c r="BJ31" i="107"/>
  <c r="Y254" i="104" l="1"/>
  <c r="Z253" i="104"/>
  <c r="AA253" i="104" s="1"/>
  <c r="AD252" i="104"/>
  <c r="W251" i="104"/>
  <c r="W250" i="104"/>
  <c r="S248" i="104"/>
  <c r="S249" i="104"/>
  <c r="S247" i="104"/>
  <c r="R246" i="104"/>
  <c r="Q245" i="104"/>
  <c r="N244" i="104"/>
  <c r="O244" i="104" s="1"/>
  <c r="Q243" i="104"/>
  <c r="L241" i="104"/>
  <c r="L242" i="104"/>
  <c r="J240" i="104"/>
  <c r="BO38" i="108"/>
  <c r="BP37" i="108" s="1"/>
  <c r="BO35" i="107"/>
  <c r="H239" i="104"/>
  <c r="M145" i="105"/>
  <c r="AZ30" i="107"/>
  <c r="BA30" i="107"/>
  <c r="BB30" i="107"/>
  <c r="BC30" i="107"/>
  <c r="BD30" i="107"/>
  <c r="BE30" i="107"/>
  <c r="BF30" i="107"/>
  <c r="BG30" i="107"/>
  <c r="BH30" i="107"/>
  <c r="BI30" i="107"/>
  <c r="BJ30" i="107"/>
  <c r="AC6" i="108"/>
  <c r="AB7" i="108"/>
  <c r="AC7" i="108"/>
  <c r="Z254" i="104" l="1"/>
  <c r="AB253" i="104"/>
  <c r="AE252" i="104"/>
  <c r="X251" i="104"/>
  <c r="X250" i="104"/>
  <c r="Y250" i="104" s="1"/>
  <c r="Z250" i="104" s="1"/>
  <c r="T248" i="104"/>
  <c r="T249" i="104"/>
  <c r="T247" i="104"/>
  <c r="S246" i="104"/>
  <c r="T246" i="104" s="1"/>
  <c r="R245" i="104"/>
  <c r="R243" i="104"/>
  <c r="P244" i="104"/>
  <c r="M241" i="104"/>
  <c r="M242" i="104"/>
  <c r="J239" i="104"/>
  <c r="K239" i="104" s="1"/>
  <c r="K240" i="104"/>
  <c r="L240" i="104" s="1"/>
  <c r="BP33" i="108"/>
  <c r="BP34" i="108"/>
  <c r="BP35" i="108"/>
  <c r="BP38" i="108" s="1"/>
  <c r="BP36" i="108"/>
  <c r="H238" i="104"/>
  <c r="M144" i="105"/>
  <c r="AZ29" i="107"/>
  <c r="BA29" i="107"/>
  <c r="BB29" i="107"/>
  <c r="BC29" i="107"/>
  <c r="BD29" i="107"/>
  <c r="BE29" i="107"/>
  <c r="BF29" i="107"/>
  <c r="BG29" i="107"/>
  <c r="BH29" i="107"/>
  <c r="BI29" i="107"/>
  <c r="BJ29" i="107"/>
  <c r="AA254" i="104" l="1"/>
  <c r="AC253" i="104"/>
  <c r="AF252" i="104"/>
  <c r="Y251" i="104"/>
  <c r="U249" i="104"/>
  <c r="V249" i="104" s="1"/>
  <c r="W249" i="104" s="1"/>
  <c r="X249" i="104" s="1"/>
  <c r="Y249" i="104" s="1"/>
  <c r="U248" i="104"/>
  <c r="U247" i="104"/>
  <c r="U246" i="104"/>
  <c r="S243" i="104"/>
  <c r="T243" i="104" s="1"/>
  <c r="S245" i="104"/>
  <c r="T245" i="104" s="1"/>
  <c r="Q244" i="104"/>
  <c r="R244" i="104" s="1"/>
  <c r="N241" i="104"/>
  <c r="N242" i="104"/>
  <c r="O242" i="104" s="1"/>
  <c r="M240" i="104"/>
  <c r="L239" i="104"/>
  <c r="J238" i="104"/>
  <c r="H237" i="104"/>
  <c r="J237" i="104" s="1"/>
  <c r="M143" i="105"/>
  <c r="AZ28" i="107"/>
  <c r="BA28" i="107"/>
  <c r="BB28" i="107"/>
  <c r="BC28" i="107"/>
  <c r="BD28" i="107"/>
  <c r="BE28" i="107"/>
  <c r="BF28" i="107"/>
  <c r="BG28" i="107"/>
  <c r="BH28" i="107"/>
  <c r="BI28" i="107"/>
  <c r="BJ28" i="107"/>
  <c r="AB254" i="104" l="1"/>
  <c r="AD253" i="104"/>
  <c r="AG252" i="104"/>
  <c r="Z251" i="104"/>
  <c r="AA250" i="104"/>
  <c r="V248" i="104"/>
  <c r="Z249" i="104"/>
  <c r="AA249" i="104" s="1"/>
  <c r="V247" i="104"/>
  <c r="V246" i="104"/>
  <c r="U243" i="104"/>
  <c r="U245" i="104"/>
  <c r="S244" i="104"/>
  <c r="O241" i="104"/>
  <c r="P242" i="104"/>
  <c r="N240" i="104"/>
  <c r="O240" i="104" s="1"/>
  <c r="M239" i="104"/>
  <c r="K238" i="104"/>
  <c r="K237" i="104"/>
  <c r="H236" i="104"/>
  <c r="M142" i="105"/>
  <c r="AZ27" i="107"/>
  <c r="BA27" i="107"/>
  <c r="BB27" i="107"/>
  <c r="BC27" i="107"/>
  <c r="BD27" i="107"/>
  <c r="BE27" i="107"/>
  <c r="BF27" i="107"/>
  <c r="BG27" i="107"/>
  <c r="BH27" i="107"/>
  <c r="BI27" i="107"/>
  <c r="BJ27" i="107"/>
  <c r="AC254" i="104" l="1"/>
  <c r="AE253" i="104"/>
  <c r="AH252" i="104"/>
  <c r="AA251" i="104"/>
  <c r="AB250" i="104"/>
  <c r="AB249" i="104"/>
  <c r="W248" i="104"/>
  <c r="W247" i="104"/>
  <c r="W246" i="104"/>
  <c r="X246" i="104" s="1"/>
  <c r="V245" i="104"/>
  <c r="V243" i="104"/>
  <c r="W243" i="104" s="1"/>
  <c r="T244" i="104"/>
  <c r="Q242" i="104"/>
  <c r="P241" i="104"/>
  <c r="P240" i="104"/>
  <c r="N239" i="104"/>
  <c r="O239" i="104" s="1"/>
  <c r="L238" i="104"/>
  <c r="L237" i="104"/>
  <c r="J236" i="104"/>
  <c r="K236" i="104" s="1"/>
  <c r="H235" i="104"/>
  <c r="M141" i="105"/>
  <c r="AZ26" i="107"/>
  <c r="BA26" i="107"/>
  <c r="BB26" i="107"/>
  <c r="BC26" i="107"/>
  <c r="BD26" i="107"/>
  <c r="BE26" i="107"/>
  <c r="BF26" i="107"/>
  <c r="BG26" i="107"/>
  <c r="BH26" i="107"/>
  <c r="BI26" i="107"/>
  <c r="BJ26" i="107"/>
  <c r="AD254" i="104" l="1"/>
  <c r="AF253" i="104"/>
  <c r="AI252" i="104"/>
  <c r="AB251" i="104"/>
  <c r="AC251" i="104" s="1"/>
  <c r="AC250" i="104"/>
  <c r="AD250" i="104" s="1"/>
  <c r="AC249" i="104"/>
  <c r="X248" i="104"/>
  <c r="X247" i="104"/>
  <c r="Y246" i="104"/>
  <c r="X243" i="104"/>
  <c r="Y243" i="104" s="1"/>
  <c r="Z243" i="104" s="1"/>
  <c r="W245" i="104"/>
  <c r="U244" i="104"/>
  <c r="R242" i="104"/>
  <c r="Q241" i="104"/>
  <c r="Q240" i="104"/>
  <c r="R240" i="104" s="1"/>
  <c r="M238" i="104"/>
  <c r="N238" i="104" s="1"/>
  <c r="P239" i="104"/>
  <c r="M237" i="104"/>
  <c r="L236" i="104"/>
  <c r="J235" i="104"/>
  <c r="H234" i="104"/>
  <c r="J234" i="104" s="1"/>
  <c r="M140" i="105"/>
  <c r="AZ25" i="107"/>
  <c r="BA25" i="107"/>
  <c r="BB25" i="107"/>
  <c r="BC25" i="107"/>
  <c r="BD25" i="107"/>
  <c r="BE25" i="107"/>
  <c r="BF25" i="107"/>
  <c r="BG25" i="107"/>
  <c r="BH25" i="107"/>
  <c r="BI25" i="107"/>
  <c r="BJ25" i="107"/>
  <c r="AE254" i="104" l="1"/>
  <c r="AG253" i="104"/>
  <c r="AJ252" i="104"/>
  <c r="AK252" i="104" s="1"/>
  <c r="AE250" i="104"/>
  <c r="AD251" i="104"/>
  <c r="Y248" i="104"/>
  <c r="AD249" i="104"/>
  <c r="Y247" i="104"/>
  <c r="Z246" i="104"/>
  <c r="X245" i="104"/>
  <c r="V244" i="104"/>
  <c r="AA243" i="104"/>
  <c r="R241" i="104"/>
  <c r="S242" i="104"/>
  <c r="Q239" i="104"/>
  <c r="R239" i="104" s="1"/>
  <c r="S239" i="104" s="1"/>
  <c r="T239" i="104" s="1"/>
  <c r="O238" i="104"/>
  <c r="N237" i="104"/>
  <c r="O237" i="104" s="1"/>
  <c r="M236" i="104"/>
  <c r="K235" i="104"/>
  <c r="K234" i="104"/>
  <c r="BO36" i="107"/>
  <c r="AF254" i="104" l="1"/>
  <c r="AH253" i="104"/>
  <c r="AF250" i="104"/>
  <c r="AE251" i="104"/>
  <c r="Z248" i="104"/>
  <c r="Z247" i="104"/>
  <c r="AA246" i="104"/>
  <c r="Y245" i="104"/>
  <c r="AB243" i="104"/>
  <c r="W244" i="104"/>
  <c r="X244" i="104" s="1"/>
  <c r="Y244" i="104" s="1"/>
  <c r="S241" i="104"/>
  <c r="T242" i="104"/>
  <c r="S240" i="104"/>
  <c r="P238" i="104"/>
  <c r="Q238" i="104" s="1"/>
  <c r="U239" i="104"/>
  <c r="P237" i="104"/>
  <c r="N236" i="104"/>
  <c r="L234" i="104"/>
  <c r="M234" i="104" s="1"/>
  <c r="L235" i="104"/>
  <c r="AD72" i="61"/>
  <c r="H233" i="104"/>
  <c r="M139" i="105"/>
  <c r="AZ24" i="107"/>
  <c r="BA24" i="107"/>
  <c r="BB24" i="107"/>
  <c r="BC24" i="107"/>
  <c r="BD24" i="107"/>
  <c r="BE24" i="107"/>
  <c r="BF24" i="107"/>
  <c r="BG24" i="107"/>
  <c r="BH24" i="107"/>
  <c r="BI24" i="107"/>
  <c r="BJ24" i="107"/>
  <c r="AG254" i="104" l="1"/>
  <c r="AI253" i="104"/>
  <c r="AL252" i="104"/>
  <c r="AF251" i="104"/>
  <c r="AG250" i="104"/>
  <c r="AA248" i="104"/>
  <c r="AA247" i="104"/>
  <c r="Z245" i="104"/>
  <c r="AC243" i="104"/>
  <c r="Z244" i="104"/>
  <c r="R238" i="104"/>
  <c r="S238" i="104" s="1"/>
  <c r="U242" i="104"/>
  <c r="T241" i="104"/>
  <c r="T240" i="104"/>
  <c r="V239" i="104"/>
  <c r="O236" i="104"/>
  <c r="P236" i="104" s="1"/>
  <c r="Q237" i="104"/>
  <c r="R237" i="104" s="1"/>
  <c r="N234" i="104"/>
  <c r="O234" i="104" s="1"/>
  <c r="P234" i="104" s="1"/>
  <c r="M235" i="104"/>
  <c r="J233" i="104"/>
  <c r="H232" i="104"/>
  <c r="M138" i="105"/>
  <c r="AZ23" i="107"/>
  <c r="BA23" i="107"/>
  <c r="BB23" i="107"/>
  <c r="BC23" i="107"/>
  <c r="BD23" i="107"/>
  <c r="BE23" i="107"/>
  <c r="BF23" i="107"/>
  <c r="BG23" i="107"/>
  <c r="BH23" i="107"/>
  <c r="BI23" i="107"/>
  <c r="BJ23" i="107"/>
  <c r="AH254" i="104" l="1"/>
  <c r="AJ253" i="104"/>
  <c r="AM252" i="104"/>
  <c r="AH250" i="104"/>
  <c r="AG251" i="104"/>
  <c r="AB248" i="104"/>
  <c r="AC248" i="104" s="1"/>
  <c r="AD248" i="104" s="1"/>
  <c r="AE248" i="104" s="1"/>
  <c r="AB247" i="104"/>
  <c r="AB246" i="104"/>
  <c r="AA245" i="104"/>
  <c r="AA244" i="104"/>
  <c r="AB244" i="104" s="1"/>
  <c r="AD243" i="104"/>
  <c r="V242" i="104"/>
  <c r="U241" i="104"/>
  <c r="U240" i="104"/>
  <c r="W239" i="104"/>
  <c r="S237" i="104"/>
  <c r="N235" i="104"/>
  <c r="Q236" i="104"/>
  <c r="Q234" i="104"/>
  <c r="K233" i="104"/>
  <c r="J232" i="104"/>
  <c r="K232" i="104" s="1"/>
  <c r="BO37" i="107"/>
  <c r="BO34" i="107"/>
  <c r="BO33" i="107"/>
  <c r="AI254" i="104" l="1"/>
  <c r="AK253" i="104"/>
  <c r="AN252" i="104"/>
  <c r="AI250" i="104"/>
  <c r="AH251" i="104"/>
  <c r="AF248" i="104"/>
  <c r="AG248" i="104" s="1"/>
  <c r="AH248" i="104" s="1"/>
  <c r="AI248" i="104" s="1"/>
  <c r="AC247" i="104"/>
  <c r="AC246" i="104"/>
  <c r="AB245" i="104"/>
  <c r="AC244" i="104"/>
  <c r="AE243" i="104"/>
  <c r="V241" i="104"/>
  <c r="W242" i="104"/>
  <c r="V240" i="104"/>
  <c r="X239" i="104"/>
  <c r="T237" i="104"/>
  <c r="U237" i="104" s="1"/>
  <c r="O235" i="104"/>
  <c r="R236" i="104"/>
  <c r="S236" i="104" s="1"/>
  <c r="L233" i="104"/>
  <c r="M233" i="104" s="1"/>
  <c r="L232" i="104"/>
  <c r="AC50" i="108"/>
  <c r="AB50" i="108"/>
  <c r="AC49" i="108"/>
  <c r="AB49" i="108"/>
  <c r="AC48" i="108"/>
  <c r="AB48" i="108"/>
  <c r="AC47" i="108"/>
  <c r="AB47" i="108"/>
  <c r="AC46" i="108"/>
  <c r="AB46" i="108"/>
  <c r="AC45" i="108"/>
  <c r="AB45" i="108"/>
  <c r="AC44" i="108"/>
  <c r="AB44" i="108"/>
  <c r="AC43" i="108"/>
  <c r="AB43" i="108"/>
  <c r="AC42" i="108"/>
  <c r="AB42" i="108"/>
  <c r="AC41" i="108"/>
  <c r="AB41" i="108"/>
  <c r="AC40" i="108"/>
  <c r="AB40" i="108"/>
  <c r="AC39" i="108"/>
  <c r="AB39" i="108"/>
  <c r="AC38" i="108"/>
  <c r="AB38" i="108"/>
  <c r="AC37" i="108"/>
  <c r="AB37" i="108"/>
  <c r="AC36" i="108"/>
  <c r="AB36" i="108"/>
  <c r="AC35" i="108"/>
  <c r="AB35" i="108"/>
  <c r="AC34" i="108"/>
  <c r="AB34" i="108"/>
  <c r="AC33" i="108"/>
  <c r="AB33" i="108"/>
  <c r="AC32" i="108"/>
  <c r="AB32" i="108"/>
  <c r="AC31" i="108"/>
  <c r="AB31" i="108"/>
  <c r="AC30" i="108"/>
  <c r="AB30" i="108"/>
  <c r="AC29" i="108"/>
  <c r="AB29" i="108"/>
  <c r="AC28" i="108"/>
  <c r="AB28" i="108"/>
  <c r="AC27" i="108"/>
  <c r="AB27" i="108"/>
  <c r="AC26" i="108"/>
  <c r="AB26" i="108"/>
  <c r="AC25" i="108"/>
  <c r="AB25" i="108"/>
  <c r="AC24" i="108"/>
  <c r="AB24" i="108"/>
  <c r="AC23" i="108"/>
  <c r="AB23" i="108"/>
  <c r="AC22" i="108"/>
  <c r="AB22" i="108"/>
  <c r="AC21" i="108"/>
  <c r="AB21" i="108"/>
  <c r="AC20" i="108"/>
  <c r="AB20" i="108"/>
  <c r="AC19" i="108"/>
  <c r="AB19" i="108"/>
  <c r="AC18" i="108"/>
  <c r="AB18" i="108"/>
  <c r="AC17" i="108"/>
  <c r="AB17" i="108"/>
  <c r="AC16" i="108"/>
  <c r="AB16" i="108"/>
  <c r="AC15" i="108"/>
  <c r="AB15" i="108"/>
  <c r="AC14" i="108"/>
  <c r="AB14" i="108"/>
  <c r="AC13" i="108"/>
  <c r="AB13" i="108"/>
  <c r="AC12" i="108"/>
  <c r="AB12" i="108"/>
  <c r="AC11" i="108"/>
  <c r="AB11" i="108"/>
  <c r="AC10" i="108"/>
  <c r="AB10" i="108"/>
  <c r="AC9" i="108"/>
  <c r="AB9" i="108"/>
  <c r="AC8" i="108"/>
  <c r="AB8" i="108"/>
  <c r="BI4" i="108"/>
  <c r="CE21" i="108" s="1"/>
  <c r="BH4" i="108"/>
  <c r="BG4" i="108"/>
  <c r="BF4" i="108"/>
  <c r="BE4" i="108"/>
  <c r="BO21" i="108" s="1"/>
  <c r="BD4" i="108"/>
  <c r="BC4" i="108"/>
  <c r="CE11" i="108" s="1"/>
  <c r="BB4" i="108"/>
  <c r="BA4" i="108"/>
  <c r="BW11" i="108" s="1"/>
  <c r="AZ4" i="108"/>
  <c r="AY4" i="108"/>
  <c r="BO11" i="108" s="1"/>
  <c r="BI3" i="108"/>
  <c r="BH3" i="108"/>
  <c r="CA21" i="108" s="1"/>
  <c r="BG3" i="108"/>
  <c r="BF3" i="108"/>
  <c r="BS21" i="108" s="1"/>
  <c r="BE3" i="108"/>
  <c r="BD3" i="108"/>
  <c r="CI12" i="108" s="1"/>
  <c r="BC3" i="108"/>
  <c r="BB3" i="108"/>
  <c r="CA13" i="108" s="1"/>
  <c r="BA3" i="108"/>
  <c r="AZ3" i="108"/>
  <c r="BS12" i="108" s="1"/>
  <c r="AY3" i="108"/>
  <c r="AJ254" i="104" l="1"/>
  <c r="AO252" i="104"/>
  <c r="AL253" i="104"/>
  <c r="AI251" i="104"/>
  <c r="AJ250" i="104"/>
  <c r="AD247" i="104"/>
  <c r="AD246" i="104"/>
  <c r="AC245" i="104"/>
  <c r="AD244" i="104"/>
  <c r="AF243" i="104"/>
  <c r="X242" i="104"/>
  <c r="W241" i="104"/>
  <c r="W240" i="104"/>
  <c r="Y239" i="104"/>
  <c r="T238" i="104"/>
  <c r="T236" i="104"/>
  <c r="P235" i="104"/>
  <c r="Q235" i="104" s="1"/>
  <c r="N233" i="104"/>
  <c r="M232" i="104"/>
  <c r="CE9" i="108"/>
  <c r="BW10" i="108"/>
  <c r="BO19" i="108"/>
  <c r="CE19" i="108"/>
  <c r="BO10" i="108"/>
  <c r="CE10" i="108"/>
  <c r="BW19" i="108"/>
  <c r="CA7" i="108"/>
  <c r="BO9" i="108"/>
  <c r="BW7" i="108"/>
  <c r="BS9" i="108"/>
  <c r="CA9" i="108"/>
  <c r="CI9" i="108"/>
  <c r="BS13" i="108"/>
  <c r="CI13" i="108"/>
  <c r="BO8" i="108"/>
  <c r="BW8" i="108"/>
  <c r="CE8" i="108"/>
  <c r="BS10" i="108"/>
  <c r="CA10" i="108"/>
  <c r="CI10" i="108"/>
  <c r="BO12" i="108"/>
  <c r="BW12" i="108"/>
  <c r="CE12" i="108"/>
  <c r="BO18" i="108"/>
  <c r="BW18" i="108"/>
  <c r="CE18" i="108"/>
  <c r="BS20" i="108"/>
  <c r="CA20" i="108"/>
  <c r="BO22" i="108"/>
  <c r="BW22" i="108"/>
  <c r="CE22" i="108"/>
  <c r="BO23" i="108"/>
  <c r="BW23" i="108"/>
  <c r="CE23" i="108"/>
  <c r="BO13" i="108"/>
  <c r="BW13" i="108"/>
  <c r="CE13" i="108"/>
  <c r="CE17" i="108"/>
  <c r="BS7" i="108"/>
  <c r="CI7" i="108"/>
  <c r="BW9" i="108"/>
  <c r="BS11" i="108"/>
  <c r="CA11" i="108"/>
  <c r="CI11" i="108"/>
  <c r="BO17" i="108"/>
  <c r="BW17" i="108"/>
  <c r="BS19" i="108"/>
  <c r="CA19" i="108"/>
  <c r="BW21" i="108"/>
  <c r="BS8" i="108"/>
  <c r="CA8" i="108"/>
  <c r="CI8" i="108"/>
  <c r="CA12" i="108"/>
  <c r="BS18" i="108"/>
  <c r="CA18" i="108"/>
  <c r="BO20" i="108"/>
  <c r="BW20" i="108"/>
  <c r="CE20" i="108"/>
  <c r="BS22" i="108"/>
  <c r="CA22" i="108"/>
  <c r="BS23" i="108"/>
  <c r="CA23" i="108"/>
  <c r="CE7" i="108"/>
  <c r="BS17" i="108"/>
  <c r="CA17" i="108"/>
  <c r="H231" i="104"/>
  <c r="M137" i="105"/>
  <c r="AZ22" i="107"/>
  <c r="BA22" i="107"/>
  <c r="BB22" i="107"/>
  <c r="BC22" i="107"/>
  <c r="BD22" i="107"/>
  <c r="BE22" i="107"/>
  <c r="BF22" i="107"/>
  <c r="BG22" i="107"/>
  <c r="BH22" i="107"/>
  <c r="BI22" i="107"/>
  <c r="BJ22" i="107"/>
  <c r="AK254" i="104" l="1"/>
  <c r="AM253" i="104"/>
  <c r="AP252" i="104"/>
  <c r="AJ251" i="104"/>
  <c r="AE249" i="104"/>
  <c r="AE247" i="104"/>
  <c r="AF247" i="104" s="1"/>
  <c r="AE246" i="104"/>
  <c r="AD245" i="104"/>
  <c r="AE244" i="104"/>
  <c r="AG243" i="104"/>
  <c r="X241" i="104"/>
  <c r="Y242" i="104"/>
  <c r="X240" i="104"/>
  <c r="Z239" i="104"/>
  <c r="U238" i="104"/>
  <c r="V237" i="104"/>
  <c r="U236" i="104"/>
  <c r="R235" i="104"/>
  <c r="S235" i="104" s="1"/>
  <c r="T235" i="104" s="1"/>
  <c r="R234" i="104"/>
  <c r="O233" i="104"/>
  <c r="P233" i="104" s="1"/>
  <c r="J231" i="104"/>
  <c r="K231" i="104" s="1"/>
  <c r="L231" i="104" s="1"/>
  <c r="N232" i="104"/>
  <c r="O232" i="104" s="1"/>
  <c r="CA24" i="108"/>
  <c r="CB21" i="108" s="1"/>
  <c r="BO24" i="108"/>
  <c r="BP23" i="108" s="1"/>
  <c r="BW14" i="108"/>
  <c r="BX7" i="108" s="1"/>
  <c r="BS24" i="108"/>
  <c r="BT21" i="108" s="1"/>
  <c r="CB19" i="108"/>
  <c r="CI14" i="108"/>
  <c r="CJ12" i="108" s="1"/>
  <c r="BO14" i="108"/>
  <c r="BP7" i="108" s="1"/>
  <c r="CE14" i="108"/>
  <c r="CF13" i="108" s="1"/>
  <c r="BS14" i="108"/>
  <c r="BT12" i="108" s="1"/>
  <c r="BW24" i="108"/>
  <c r="BX19" i="108" s="1"/>
  <c r="CE24" i="108"/>
  <c r="CF22" i="108" s="1"/>
  <c r="CA14" i="108"/>
  <c r="CB11" i="108" s="1"/>
  <c r="AC7" i="107"/>
  <c r="AC6" i="107"/>
  <c r="AD53" i="61"/>
  <c r="AL254" i="104" l="1"/>
  <c r="AQ252" i="104"/>
  <c r="BT19" i="108"/>
  <c r="AK251" i="104"/>
  <c r="CB20" i="108"/>
  <c r="AK250" i="104"/>
  <c r="AF249" i="104"/>
  <c r="AG247" i="104"/>
  <c r="AF246" i="104"/>
  <c r="AE245" i="104"/>
  <c r="AH243" i="104"/>
  <c r="AF244" i="104"/>
  <c r="AG244" i="104" s="1"/>
  <c r="Y241" i="104"/>
  <c r="Z241" i="104" s="1"/>
  <c r="Z242" i="104"/>
  <c r="BP18" i="108"/>
  <c r="BP20" i="108"/>
  <c r="BT10" i="108"/>
  <c r="Y240" i="104"/>
  <c r="BP22" i="108"/>
  <c r="BP8" i="108"/>
  <c r="BX12" i="108"/>
  <c r="AA239" i="104"/>
  <c r="V238" i="104"/>
  <c r="W237" i="104"/>
  <c r="V236" i="104"/>
  <c r="U235" i="104"/>
  <c r="S234" i="104"/>
  <c r="Q233" i="104"/>
  <c r="R233" i="104" s="1"/>
  <c r="P232" i="104"/>
  <c r="CF12" i="108"/>
  <c r="BT8" i="108"/>
  <c r="BT9" i="108"/>
  <c r="BT20" i="108"/>
  <c r="CJ9" i="108"/>
  <c r="BT18" i="108"/>
  <c r="CB18" i="108"/>
  <c r="CJ13" i="108"/>
  <c r="BT11" i="108"/>
  <c r="CB23" i="108"/>
  <c r="BP13" i="108"/>
  <c r="BT22" i="108"/>
  <c r="BX8" i="108"/>
  <c r="BX13" i="108"/>
  <c r="CB22" i="108"/>
  <c r="CF23" i="108"/>
  <c r="CF7" i="108"/>
  <c r="CF20" i="108"/>
  <c r="CB17" i="108"/>
  <c r="CB24" i="108" s="1"/>
  <c r="CF18" i="108"/>
  <c r="CF17" i="108"/>
  <c r="CB9" i="108"/>
  <c r="BT7" i="108"/>
  <c r="CJ10" i="108"/>
  <c r="BT17" i="108"/>
  <c r="BT13" i="108"/>
  <c r="BP21" i="108"/>
  <c r="BP19" i="108"/>
  <c r="BX20" i="108"/>
  <c r="BX22" i="108"/>
  <c r="BP9" i="108"/>
  <c r="BP11" i="108"/>
  <c r="BP10" i="108"/>
  <c r="CJ8" i="108"/>
  <c r="CF8" i="108"/>
  <c r="BX23" i="108"/>
  <c r="BP17" i="108"/>
  <c r="BT23" i="108"/>
  <c r="CB7" i="108"/>
  <c r="CB13" i="108"/>
  <c r="CB10" i="108"/>
  <c r="CJ7" i="108"/>
  <c r="BP12" i="108"/>
  <c r="BX21" i="108"/>
  <c r="CF19" i="108"/>
  <c r="CF21" i="108"/>
  <c r="BX17" i="108"/>
  <c r="CB8" i="108"/>
  <c r="CF10" i="108"/>
  <c r="CF9" i="108"/>
  <c r="CF11" i="108"/>
  <c r="CJ11" i="108"/>
  <c r="BX11" i="108"/>
  <c r="BX10" i="108"/>
  <c r="BX18" i="108"/>
  <c r="BX9" i="108"/>
  <c r="CB12" i="108"/>
  <c r="M231" i="104"/>
  <c r="AY3" i="107"/>
  <c r="AZ3" i="107"/>
  <c r="BA3" i="107"/>
  <c r="BB3" i="107"/>
  <c r="BC3" i="107"/>
  <c r="BD3" i="107"/>
  <c r="BE3" i="107"/>
  <c r="BF3" i="107"/>
  <c r="BG3" i="107"/>
  <c r="BH3" i="107"/>
  <c r="BI3" i="107"/>
  <c r="AY4" i="107"/>
  <c r="AZ4" i="107"/>
  <c r="BA4" i="107"/>
  <c r="BB4" i="107"/>
  <c r="BC4" i="107"/>
  <c r="BD4" i="107"/>
  <c r="BE4" i="107"/>
  <c r="BF4" i="107"/>
  <c r="BG4" i="107"/>
  <c r="BH4" i="107"/>
  <c r="BI4" i="107"/>
  <c r="AZ5" i="107"/>
  <c r="BA5" i="107"/>
  <c r="BB5" i="107"/>
  <c r="BC5" i="107"/>
  <c r="BD5" i="107"/>
  <c r="BE5" i="107"/>
  <c r="BF5" i="107"/>
  <c r="BG5" i="107"/>
  <c r="BH5" i="107"/>
  <c r="BI5" i="107"/>
  <c r="BJ5" i="107"/>
  <c r="AZ6" i="107"/>
  <c r="BA6" i="107"/>
  <c r="BB6" i="107"/>
  <c r="BC6" i="107"/>
  <c r="BD6" i="107"/>
  <c r="BE6" i="107"/>
  <c r="BF6" i="107"/>
  <c r="BG6" i="107"/>
  <c r="BH6" i="107"/>
  <c r="BI6" i="107"/>
  <c r="BJ6" i="107"/>
  <c r="AZ7" i="107"/>
  <c r="BA7" i="107"/>
  <c r="BB7" i="107"/>
  <c r="BC7" i="107"/>
  <c r="BD7" i="107"/>
  <c r="BE7" i="107"/>
  <c r="BF7" i="107"/>
  <c r="BG7" i="107"/>
  <c r="BH7" i="107"/>
  <c r="BI7" i="107"/>
  <c r="BJ7" i="107"/>
  <c r="AZ8" i="107"/>
  <c r="BA8" i="107"/>
  <c r="BB8" i="107"/>
  <c r="BC8" i="107"/>
  <c r="BD8" i="107"/>
  <c r="BE8" i="107"/>
  <c r="BF8" i="107"/>
  <c r="BG8" i="107"/>
  <c r="BH8" i="107"/>
  <c r="BI8" i="107"/>
  <c r="BJ8" i="107"/>
  <c r="AZ9" i="107"/>
  <c r="BA9" i="107"/>
  <c r="BB9" i="107"/>
  <c r="BC9" i="107"/>
  <c r="BD9" i="107"/>
  <c r="BE9" i="107"/>
  <c r="BF9" i="107"/>
  <c r="BG9" i="107"/>
  <c r="BH9" i="107"/>
  <c r="BI9" i="107"/>
  <c r="BJ9" i="107"/>
  <c r="AZ10" i="107"/>
  <c r="BA10" i="107"/>
  <c r="BB10" i="107"/>
  <c r="BC10" i="107"/>
  <c r="BD10" i="107"/>
  <c r="BE10" i="107"/>
  <c r="BF10" i="107"/>
  <c r="BG10" i="107"/>
  <c r="BH10" i="107"/>
  <c r="BI10" i="107"/>
  <c r="BJ10" i="107"/>
  <c r="AZ11" i="107"/>
  <c r="BA11" i="107"/>
  <c r="BB11" i="107"/>
  <c r="BC11" i="107"/>
  <c r="BD11" i="107"/>
  <c r="BE11" i="107"/>
  <c r="BF11" i="107"/>
  <c r="BG11" i="107"/>
  <c r="BH11" i="107"/>
  <c r="BI11" i="107"/>
  <c r="BJ11" i="107"/>
  <c r="AZ12" i="107"/>
  <c r="BA12" i="107"/>
  <c r="BB12" i="107"/>
  <c r="BC12" i="107"/>
  <c r="BD12" i="107"/>
  <c r="BE12" i="107"/>
  <c r="BF12" i="107"/>
  <c r="BG12" i="107"/>
  <c r="BH12" i="107"/>
  <c r="BI12" i="107"/>
  <c r="BJ12" i="107"/>
  <c r="AZ13" i="107"/>
  <c r="BA13" i="107"/>
  <c r="BB13" i="107"/>
  <c r="BC13" i="107"/>
  <c r="BD13" i="107"/>
  <c r="BE13" i="107"/>
  <c r="BF13" i="107"/>
  <c r="BG13" i="107"/>
  <c r="BH13" i="107"/>
  <c r="BI13" i="107"/>
  <c r="BJ13" i="107"/>
  <c r="AZ14" i="107"/>
  <c r="BA14" i="107"/>
  <c r="BB14" i="107"/>
  <c r="BC14" i="107"/>
  <c r="BD14" i="107"/>
  <c r="BE14" i="107"/>
  <c r="BF14" i="107"/>
  <c r="BG14" i="107"/>
  <c r="BH14" i="107"/>
  <c r="BI14" i="107"/>
  <c r="BJ14" i="107"/>
  <c r="AZ15" i="107"/>
  <c r="BA15" i="107"/>
  <c r="BB15" i="107"/>
  <c r="BC15" i="107"/>
  <c r="BD15" i="107"/>
  <c r="BE15" i="107"/>
  <c r="BF15" i="107"/>
  <c r="BG15" i="107"/>
  <c r="BH15" i="107"/>
  <c r="BI15" i="107"/>
  <c r="BJ15" i="107"/>
  <c r="AZ16" i="107"/>
  <c r="BA16" i="107"/>
  <c r="BB16" i="107"/>
  <c r="BC16" i="107"/>
  <c r="BD16" i="107"/>
  <c r="BE16" i="107"/>
  <c r="BF16" i="107"/>
  <c r="BG16" i="107"/>
  <c r="BH16" i="107"/>
  <c r="BI16" i="107"/>
  <c r="BJ16" i="107"/>
  <c r="AZ17" i="107"/>
  <c r="BA17" i="107"/>
  <c r="BB17" i="107"/>
  <c r="BC17" i="107"/>
  <c r="BD17" i="107"/>
  <c r="BE17" i="107"/>
  <c r="BF17" i="107"/>
  <c r="BG17" i="107"/>
  <c r="BH17" i="107"/>
  <c r="BI17" i="107"/>
  <c r="BJ17" i="107"/>
  <c r="AZ18" i="107"/>
  <c r="BA18" i="107"/>
  <c r="BB18" i="107"/>
  <c r="BC18" i="107"/>
  <c r="BD18" i="107"/>
  <c r="BE18" i="107"/>
  <c r="BF18" i="107"/>
  <c r="BG18" i="107"/>
  <c r="BH18" i="107"/>
  <c r="BI18" i="107"/>
  <c r="BJ18" i="107"/>
  <c r="AZ19" i="107"/>
  <c r="BA19" i="107"/>
  <c r="BB19" i="107"/>
  <c r="BC19" i="107"/>
  <c r="BD19" i="107"/>
  <c r="BE19" i="107"/>
  <c r="BF19" i="107"/>
  <c r="BG19" i="107"/>
  <c r="BH19" i="107"/>
  <c r="BI19" i="107"/>
  <c r="BJ19" i="107"/>
  <c r="AZ20" i="107"/>
  <c r="BA20" i="107"/>
  <c r="BB20" i="107"/>
  <c r="BC20" i="107"/>
  <c r="BD20" i="107"/>
  <c r="BE20" i="107"/>
  <c r="BF20" i="107"/>
  <c r="BG20" i="107"/>
  <c r="BH20" i="107"/>
  <c r="BI20" i="107"/>
  <c r="BJ20" i="107"/>
  <c r="BJ21" i="107"/>
  <c r="BI21" i="107"/>
  <c r="BH21" i="107"/>
  <c r="BG21" i="107"/>
  <c r="BF21" i="107"/>
  <c r="BE21" i="107"/>
  <c r="BD21" i="107"/>
  <c r="BC21" i="107"/>
  <c r="BB21" i="107"/>
  <c r="BA21" i="107"/>
  <c r="AZ21" i="107"/>
  <c r="H230" i="104"/>
  <c r="M136" i="105"/>
  <c r="AM254" i="104" l="1"/>
  <c r="AN254" i="104" s="1"/>
  <c r="AR252" i="104"/>
  <c r="AN253" i="104"/>
  <c r="AL251" i="104"/>
  <c r="AL250" i="104"/>
  <c r="AG249" i="104"/>
  <c r="AH247" i="104"/>
  <c r="AG246" i="104"/>
  <c r="AF245" i="104"/>
  <c r="AH244" i="104"/>
  <c r="AI243" i="104"/>
  <c r="AA241" i="104"/>
  <c r="AA242" i="104"/>
  <c r="Z240" i="104"/>
  <c r="CF14" i="108"/>
  <c r="AB239" i="104"/>
  <c r="W238" i="104"/>
  <c r="X237" i="104"/>
  <c r="Y237" i="104" s="1"/>
  <c r="W236" i="104"/>
  <c r="V235" i="104"/>
  <c r="T234" i="104"/>
  <c r="S233" i="104"/>
  <c r="Q232" i="104"/>
  <c r="BX21" i="107"/>
  <c r="CF11" i="107"/>
  <c r="BP11" i="107"/>
  <c r="BT20" i="107"/>
  <c r="CB10" i="107"/>
  <c r="CF23" i="107"/>
  <c r="BP23" i="107"/>
  <c r="BX13" i="107"/>
  <c r="CB22" i="107"/>
  <c r="CJ13" i="107"/>
  <c r="BT12" i="107"/>
  <c r="BP14" i="108"/>
  <c r="BX14" i="108"/>
  <c r="BP24" i="108"/>
  <c r="BX24" i="108"/>
  <c r="BT24" i="108"/>
  <c r="CF24" i="108"/>
  <c r="CJ14" i="108"/>
  <c r="CB14" i="108"/>
  <c r="BT14" i="108"/>
  <c r="N231" i="104"/>
  <c r="BP8" i="107"/>
  <c r="BP12" i="107"/>
  <c r="BT9" i="107"/>
  <c r="BT13" i="107"/>
  <c r="BX10" i="107"/>
  <c r="CB7" i="107"/>
  <c r="CB11" i="107"/>
  <c r="CF8" i="107"/>
  <c r="CF12" i="107"/>
  <c r="CJ10" i="107"/>
  <c r="CJ7" i="107"/>
  <c r="BP20" i="107"/>
  <c r="BT17" i="107"/>
  <c r="BT21" i="107"/>
  <c r="BX18" i="107"/>
  <c r="BX22" i="107"/>
  <c r="CB19" i="107"/>
  <c r="CB23" i="107"/>
  <c r="CF20" i="107"/>
  <c r="BP9" i="107"/>
  <c r="BP13" i="107"/>
  <c r="BT10" i="107"/>
  <c r="BX7" i="107"/>
  <c r="BX11" i="107"/>
  <c r="CB8" i="107"/>
  <c r="CB12" i="107"/>
  <c r="CF9" i="107"/>
  <c r="CF13" i="107"/>
  <c r="CJ11" i="107"/>
  <c r="BP17" i="107"/>
  <c r="BP21" i="107"/>
  <c r="BT18" i="107"/>
  <c r="BT22" i="107"/>
  <c r="BX19" i="107"/>
  <c r="BX23" i="107"/>
  <c r="CB20" i="107"/>
  <c r="CF17" i="107"/>
  <c r="CF21" i="107"/>
  <c r="BP10" i="107"/>
  <c r="BT7" i="107"/>
  <c r="BT11" i="107"/>
  <c r="BX8" i="107"/>
  <c r="BX12" i="107"/>
  <c r="CB9" i="107"/>
  <c r="CB13" i="107"/>
  <c r="CF10" i="107"/>
  <c r="CJ8" i="107"/>
  <c r="CJ12" i="107"/>
  <c r="BP18" i="107"/>
  <c r="BP22" i="107"/>
  <c r="BT19" i="107"/>
  <c r="BT23" i="107"/>
  <c r="BX20" i="107"/>
  <c r="CB17" i="107"/>
  <c r="CB21" i="107"/>
  <c r="CF18" i="107"/>
  <c r="CF22" i="107"/>
  <c r="BT8" i="107"/>
  <c r="BX9" i="107"/>
  <c r="CF7" i="107"/>
  <c r="CJ9" i="107"/>
  <c r="BP19" i="107"/>
  <c r="BX17" i="107"/>
  <c r="CB18" i="107"/>
  <c r="CF19" i="107"/>
  <c r="BP14" i="107"/>
  <c r="BQ8" i="107" s="1"/>
  <c r="J230" i="104"/>
  <c r="AO254" i="104" l="1"/>
  <c r="AS252" i="104"/>
  <c r="AO253" i="104"/>
  <c r="AM251" i="104"/>
  <c r="AM250" i="104"/>
  <c r="AH249" i="104"/>
  <c r="AI247" i="104"/>
  <c r="AH246" i="104"/>
  <c r="AG245" i="104"/>
  <c r="BT14" i="107"/>
  <c r="BU10" i="107" s="1"/>
  <c r="AI244" i="104"/>
  <c r="BX24" i="107"/>
  <c r="BY20" i="107" s="1"/>
  <c r="AJ243" i="104"/>
  <c r="AB242" i="104"/>
  <c r="AC242" i="104" s="1"/>
  <c r="AB241" i="104"/>
  <c r="AA240" i="104"/>
  <c r="AB240" i="104" s="1"/>
  <c r="AC239" i="104"/>
  <c r="X238" i="104"/>
  <c r="X236" i="104"/>
  <c r="U234" i="104"/>
  <c r="W235" i="104"/>
  <c r="CF14" i="107"/>
  <c r="CG12" i="107" s="1"/>
  <c r="T233" i="104"/>
  <c r="R232" i="104"/>
  <c r="S232" i="104" s="1"/>
  <c r="CJ14" i="107"/>
  <c r="CK10" i="107" s="1"/>
  <c r="BQ9" i="107"/>
  <c r="BQ7" i="107"/>
  <c r="K230" i="104"/>
  <c r="O231" i="104"/>
  <c r="P231" i="104" s="1"/>
  <c r="BX14" i="107"/>
  <c r="BY10" i="107" s="1"/>
  <c r="CB24" i="107"/>
  <c r="CC21" i="107" s="1"/>
  <c r="BP24" i="107"/>
  <c r="CB14" i="107"/>
  <c r="CC10" i="107" s="1"/>
  <c r="CF24" i="107"/>
  <c r="BT24" i="107"/>
  <c r="BU23" i="107" s="1"/>
  <c r="BQ11" i="107"/>
  <c r="BQ13" i="107"/>
  <c r="BQ12" i="107"/>
  <c r="BQ10" i="107"/>
  <c r="H229" i="104"/>
  <c r="M135" i="105"/>
  <c r="AB6" i="107"/>
  <c r="AP254" i="104" l="1"/>
  <c r="AP253" i="104"/>
  <c r="AT252" i="104"/>
  <c r="CC22" i="107"/>
  <c r="AN251" i="104"/>
  <c r="AN250" i="104"/>
  <c r="BY17" i="107"/>
  <c r="AI249" i="104"/>
  <c r="BU8" i="107"/>
  <c r="BU12" i="107"/>
  <c r="BY19" i="107"/>
  <c r="AJ247" i="104"/>
  <c r="BU9" i="107"/>
  <c r="BU11" i="107"/>
  <c r="BU13" i="107"/>
  <c r="BY12" i="107"/>
  <c r="BU7" i="107"/>
  <c r="AI246" i="104"/>
  <c r="BY23" i="107"/>
  <c r="AH245" i="104"/>
  <c r="CK7" i="107"/>
  <c r="BY22" i="107"/>
  <c r="BY21" i="107"/>
  <c r="BY18" i="107"/>
  <c r="AK243" i="104"/>
  <c r="AJ244" i="104"/>
  <c r="CG11" i="107"/>
  <c r="AC241" i="104"/>
  <c r="AD242" i="104"/>
  <c r="AC240" i="104"/>
  <c r="AD239" i="104"/>
  <c r="CK11" i="107"/>
  <c r="CK8" i="107"/>
  <c r="Y238" i="104"/>
  <c r="CG7" i="107"/>
  <c r="CK9" i="107"/>
  <c r="Z237" i="104"/>
  <c r="CG9" i="107"/>
  <c r="CG8" i="107"/>
  <c r="Y236" i="104"/>
  <c r="BY11" i="107"/>
  <c r="CG13" i="107"/>
  <c r="CC8" i="107"/>
  <c r="CG10" i="107"/>
  <c r="CK13" i="107"/>
  <c r="V234" i="104"/>
  <c r="X235" i="104"/>
  <c r="CC18" i="107"/>
  <c r="CC20" i="107"/>
  <c r="Q231" i="104"/>
  <c r="R231" i="104" s="1"/>
  <c r="BY13" i="107"/>
  <c r="CC13" i="107"/>
  <c r="BU17" i="107"/>
  <c r="U233" i="104"/>
  <c r="CC11" i="107"/>
  <c r="CK12" i="107"/>
  <c r="T232" i="104"/>
  <c r="U232" i="104" s="1"/>
  <c r="CC23" i="107"/>
  <c r="CC17" i="107"/>
  <c r="BU21" i="107"/>
  <c r="BU20" i="107"/>
  <c r="BY9" i="107"/>
  <c r="BY8" i="107"/>
  <c r="CC7" i="107"/>
  <c r="CC19" i="107"/>
  <c r="BU19" i="107"/>
  <c r="L230" i="104"/>
  <c r="M230" i="104" s="1"/>
  <c r="BQ14" i="107"/>
  <c r="CG23" i="107"/>
  <c r="CG19" i="107"/>
  <c r="CG18" i="107"/>
  <c r="CG17" i="107"/>
  <c r="CG20" i="107"/>
  <c r="CG21" i="107"/>
  <c r="CG22" i="107"/>
  <c r="BQ18" i="107"/>
  <c r="BQ19" i="107"/>
  <c r="BQ20" i="107"/>
  <c r="BQ17" i="107"/>
  <c r="BQ21" i="107"/>
  <c r="BQ22" i="107"/>
  <c r="BQ23" i="107"/>
  <c r="BU18" i="107"/>
  <c r="BY7" i="107"/>
  <c r="CC9" i="107"/>
  <c r="CC12" i="107"/>
  <c r="BU22" i="107"/>
  <c r="J229" i="104"/>
  <c r="H228" i="104"/>
  <c r="J228" i="104" s="1"/>
  <c r="M134" i="105"/>
  <c r="AQ254" i="104" l="1"/>
  <c r="AQ253" i="104"/>
  <c r="BU14" i="107"/>
  <c r="AU252" i="104"/>
  <c r="AO251" i="104"/>
  <c r="AO250" i="104"/>
  <c r="AJ249" i="104"/>
  <c r="AJ248" i="104"/>
  <c r="AK247" i="104"/>
  <c r="AJ246" i="104"/>
  <c r="BY24" i="107"/>
  <c r="AI245" i="104"/>
  <c r="CK14" i="107"/>
  <c r="AK244" i="104"/>
  <c r="AL243" i="104"/>
  <c r="AE242" i="104"/>
  <c r="AF242" i="104" s="1"/>
  <c r="AG242" i="104" s="1"/>
  <c r="AD241" i="104"/>
  <c r="AD240" i="104"/>
  <c r="AE239" i="104"/>
  <c r="Z238" i="104"/>
  <c r="AA237" i="104"/>
  <c r="CG14" i="107"/>
  <c r="Z236" i="104"/>
  <c r="CC14" i="107"/>
  <c r="Y235" i="104"/>
  <c r="W234" i="104"/>
  <c r="V233" i="104"/>
  <c r="BY14" i="107"/>
  <c r="V232" i="104"/>
  <c r="W232" i="104" s="1"/>
  <c r="CC24" i="107"/>
  <c r="BQ24" i="107"/>
  <c r="BU24" i="107"/>
  <c r="S231" i="104"/>
  <c r="T231" i="104" s="1"/>
  <c r="N230" i="104"/>
  <c r="O230" i="104" s="1"/>
  <c r="CG24" i="107"/>
  <c r="K229" i="104"/>
  <c r="K228" i="104"/>
  <c r="H227" i="104"/>
  <c r="M133" i="105"/>
  <c r="AR254" i="104" l="1"/>
  <c r="AR253" i="104"/>
  <c r="AV252" i="104"/>
  <c r="AP250" i="104"/>
  <c r="AP251" i="104"/>
  <c r="AK249" i="104"/>
  <c r="AK248" i="104"/>
  <c r="AL247" i="104"/>
  <c r="AK246" i="104"/>
  <c r="AJ245" i="104"/>
  <c r="AM243" i="104"/>
  <c r="AL244" i="104"/>
  <c r="AE241" i="104"/>
  <c r="AH242" i="104"/>
  <c r="AF239" i="104"/>
  <c r="AB237" i="104"/>
  <c r="AA238" i="104"/>
  <c r="AA236" i="104"/>
  <c r="X234" i="104"/>
  <c r="Z235" i="104"/>
  <c r="AA235" i="104" s="1"/>
  <c r="U231" i="104"/>
  <c r="V231" i="104" s="1"/>
  <c r="X232" i="104"/>
  <c r="P230" i="104"/>
  <c r="L228" i="104"/>
  <c r="L229" i="104"/>
  <c r="J227" i="104"/>
  <c r="H226" i="104"/>
  <c r="J226" i="104" s="1"/>
  <c r="M132" i="105"/>
  <c r="AS254" i="104" l="1"/>
  <c r="AS253" i="104"/>
  <c r="AW252" i="104"/>
  <c r="AQ251" i="104"/>
  <c r="AQ250" i="104"/>
  <c r="AL248" i="104"/>
  <c r="AL249" i="104"/>
  <c r="AM247" i="104"/>
  <c r="AL246" i="104"/>
  <c r="AK245" i="104"/>
  <c r="AL245" i="104" s="1"/>
  <c r="AM245" i="104" s="1"/>
  <c r="AN245" i="104" s="1"/>
  <c r="AN243" i="104"/>
  <c r="AM244" i="104"/>
  <c r="AF241" i="104"/>
  <c r="AI242" i="104"/>
  <c r="AE240" i="104"/>
  <c r="AG239" i="104"/>
  <c r="AB238" i="104"/>
  <c r="AC237" i="104"/>
  <c r="AB236" i="104"/>
  <c r="Y234" i="104"/>
  <c r="AB235" i="104"/>
  <c r="W233" i="104"/>
  <c r="Y232" i="104"/>
  <c r="Q230" i="104"/>
  <c r="W231" i="104"/>
  <c r="M228" i="104"/>
  <c r="M229" i="104"/>
  <c r="K227" i="104"/>
  <c r="K226" i="104"/>
  <c r="L226" i="104" s="1"/>
  <c r="AT254" i="104" l="1"/>
  <c r="AT253" i="104"/>
  <c r="AX252" i="104"/>
  <c r="AR250" i="104"/>
  <c r="AM248" i="104"/>
  <c r="AM249" i="104"/>
  <c r="AM246" i="104"/>
  <c r="AO245" i="104"/>
  <c r="AO243" i="104"/>
  <c r="AN244" i="104"/>
  <c r="AJ242" i="104"/>
  <c r="AG241" i="104"/>
  <c r="AH241" i="104" s="1"/>
  <c r="AF240" i="104"/>
  <c r="AH239" i="104"/>
  <c r="AD237" i="104"/>
  <c r="AC238" i="104"/>
  <c r="AC236" i="104"/>
  <c r="AC235" i="104"/>
  <c r="Z234" i="104"/>
  <c r="X233" i="104"/>
  <c r="Y233" i="104" s="1"/>
  <c r="Z232" i="104"/>
  <c r="R230" i="104"/>
  <c r="X231" i="104"/>
  <c r="N228" i="104"/>
  <c r="N229" i="104"/>
  <c r="L227" i="104"/>
  <c r="M226" i="104"/>
  <c r="BO38" i="107"/>
  <c r="BP35" i="107" s="1"/>
  <c r="AD78" i="61"/>
  <c r="AD77" i="61"/>
  <c r="AD76" i="61"/>
  <c r="AD75" i="61"/>
  <c r="AD74" i="61"/>
  <c r="AD73" i="61"/>
  <c r="H225" i="104"/>
  <c r="M131" i="105"/>
  <c r="AU254" i="104" l="1"/>
  <c r="AU253" i="104"/>
  <c r="AY252" i="104"/>
  <c r="AR251" i="104"/>
  <c r="AS250" i="104"/>
  <c r="AN248" i="104"/>
  <c r="AN249" i="104"/>
  <c r="AN247" i="104"/>
  <c r="AN246" i="104"/>
  <c r="AP245" i="104"/>
  <c r="AO244" i="104"/>
  <c r="AP243" i="104"/>
  <c r="AI241" i="104"/>
  <c r="AK242" i="104"/>
  <c r="AG240" i="104"/>
  <c r="AI239" i="104"/>
  <c r="AE237" i="104"/>
  <c r="AD238" i="104"/>
  <c r="AD236" i="104"/>
  <c r="AD235" i="104"/>
  <c r="AA234" i="104"/>
  <c r="Z233" i="104"/>
  <c r="AA232" i="104"/>
  <c r="AB232" i="104" s="1"/>
  <c r="S230" i="104"/>
  <c r="T230" i="104" s="1"/>
  <c r="Y231" i="104"/>
  <c r="O228" i="104"/>
  <c r="O229" i="104"/>
  <c r="P229" i="104" s="1"/>
  <c r="N226" i="104"/>
  <c r="M227" i="104"/>
  <c r="BP36" i="107"/>
  <c r="BP32" i="107"/>
  <c r="BP37" i="107"/>
  <c r="BP34" i="107"/>
  <c r="BP33" i="107"/>
  <c r="J225" i="104"/>
  <c r="K225" i="104" s="1"/>
  <c r="H224" i="104"/>
  <c r="J224" i="104" s="1"/>
  <c r="M130" i="105"/>
  <c r="AV254" i="104" l="1"/>
  <c r="AV253" i="104"/>
  <c r="AZ252" i="104"/>
  <c r="AT250" i="104"/>
  <c r="AS251" i="104"/>
  <c r="AO249" i="104"/>
  <c r="AO248" i="104"/>
  <c r="AO247" i="104"/>
  <c r="AO246" i="104"/>
  <c r="AQ245" i="104"/>
  <c r="AP244" i="104"/>
  <c r="AQ243" i="104"/>
  <c r="AL242" i="104"/>
  <c r="AJ241" i="104"/>
  <c r="AH240" i="104"/>
  <c r="AJ239" i="104"/>
  <c r="AF237" i="104"/>
  <c r="AE238" i="104"/>
  <c r="AE236" i="104"/>
  <c r="AB234" i="104"/>
  <c r="AE235" i="104"/>
  <c r="AC232" i="104"/>
  <c r="U230" i="104"/>
  <c r="Z231" i="104"/>
  <c r="AA231" i="104" s="1"/>
  <c r="P228" i="104"/>
  <c r="Q229" i="104"/>
  <c r="BP38" i="107"/>
  <c r="N227" i="104"/>
  <c r="O226" i="104"/>
  <c r="L225" i="104"/>
  <c r="K224" i="104"/>
  <c r="H223" i="104"/>
  <c r="M129" i="105"/>
  <c r="AW254" i="104" l="1"/>
  <c r="AW253" i="104"/>
  <c r="BA252" i="104"/>
  <c r="AT251" i="104"/>
  <c r="AU250" i="104"/>
  <c r="AP248" i="104"/>
  <c r="AP249" i="104"/>
  <c r="AP247" i="104"/>
  <c r="AP246" i="104"/>
  <c r="AR245" i="104"/>
  <c r="AQ244" i="104"/>
  <c r="AR243" i="104"/>
  <c r="AK241" i="104"/>
  <c r="AM242" i="104"/>
  <c r="AI240" i="104"/>
  <c r="AK239" i="104"/>
  <c r="AF238" i="104"/>
  <c r="AG237" i="104"/>
  <c r="AF236" i="104"/>
  <c r="AF235" i="104"/>
  <c r="AC234" i="104"/>
  <c r="AA233" i="104"/>
  <c r="AD232" i="104"/>
  <c r="V230" i="104"/>
  <c r="R229" i="104"/>
  <c r="Q228" i="104"/>
  <c r="P226" i="104"/>
  <c r="Q226" i="104" s="1"/>
  <c r="R226" i="104" s="1"/>
  <c r="O227" i="104"/>
  <c r="P227" i="104" s="1"/>
  <c r="M225" i="104"/>
  <c r="L224" i="104"/>
  <c r="J223" i="104"/>
  <c r="AG5" i="98"/>
  <c r="H222" i="104"/>
  <c r="M128" i="105"/>
  <c r="AX254" i="104" l="1"/>
  <c r="BB252" i="104"/>
  <c r="AX253" i="104"/>
  <c r="AV250" i="104"/>
  <c r="AU251" i="104"/>
  <c r="AQ249" i="104"/>
  <c r="AQ248" i="104"/>
  <c r="AQ247" i="104"/>
  <c r="AQ246" i="104"/>
  <c r="AS245" i="104"/>
  <c r="AS243" i="104"/>
  <c r="AR244" i="104"/>
  <c r="AN242" i="104"/>
  <c r="AO242" i="104" s="1"/>
  <c r="AL241" i="104"/>
  <c r="AJ240" i="104"/>
  <c r="AL239" i="104"/>
  <c r="AH237" i="104"/>
  <c r="AI237" i="104" s="1"/>
  <c r="AG238" i="104"/>
  <c r="AG236" i="104"/>
  <c r="AH236" i="104" s="1"/>
  <c r="AD234" i="104"/>
  <c r="AG235" i="104"/>
  <c r="AB233" i="104"/>
  <c r="AE232" i="104"/>
  <c r="W230" i="104"/>
  <c r="AB231" i="104"/>
  <c r="S229" i="104"/>
  <c r="R228" i="104"/>
  <c r="Q227" i="104"/>
  <c r="R227" i="104" s="1"/>
  <c r="S227" i="104" s="1"/>
  <c r="T227" i="104" s="1"/>
  <c r="N225" i="104"/>
  <c r="O225" i="104" s="1"/>
  <c r="P225" i="104" s="1"/>
  <c r="S226" i="104"/>
  <c r="M224" i="104"/>
  <c r="K223" i="104"/>
  <c r="L223" i="104" s="1"/>
  <c r="M223" i="104" s="1"/>
  <c r="J222" i="104"/>
  <c r="K222" i="104" s="1"/>
  <c r="H221" i="104"/>
  <c r="M127" i="105"/>
  <c r="AY254" i="104" l="1"/>
  <c r="AY253" i="104"/>
  <c r="BC252" i="104"/>
  <c r="AV251" i="104"/>
  <c r="AW250" i="104"/>
  <c r="AR249" i="104"/>
  <c r="AR248" i="104"/>
  <c r="AR247" i="104"/>
  <c r="AR246" i="104"/>
  <c r="AT245" i="104"/>
  <c r="AT243" i="104"/>
  <c r="AS244" i="104"/>
  <c r="AT244" i="104" s="1"/>
  <c r="AM241" i="104"/>
  <c r="AP242" i="104"/>
  <c r="AK240" i="104"/>
  <c r="AM239" i="104"/>
  <c r="AH238" i="104"/>
  <c r="AI236" i="104"/>
  <c r="AE234" i="104"/>
  <c r="AH235" i="104"/>
  <c r="AC233" i="104"/>
  <c r="AF232" i="104"/>
  <c r="AC231" i="104"/>
  <c r="X230" i="104"/>
  <c r="T229" i="104"/>
  <c r="S228" i="104"/>
  <c r="T226" i="104"/>
  <c r="U226" i="104" s="1"/>
  <c r="V226" i="104" s="1"/>
  <c r="Q225" i="104"/>
  <c r="N223" i="104"/>
  <c r="O223" i="104" s="1"/>
  <c r="N224" i="104"/>
  <c r="L222" i="104"/>
  <c r="J221" i="104"/>
  <c r="H220" i="104"/>
  <c r="M126" i="105"/>
  <c r="BA254" i="104" l="1"/>
  <c r="AZ254" i="104"/>
  <c r="BD252" i="104"/>
  <c r="AZ253" i="104"/>
  <c r="AX250" i="104"/>
  <c r="AW251" i="104"/>
  <c r="AS249" i="104"/>
  <c r="AS248" i="104"/>
  <c r="AS247" i="104"/>
  <c r="AS246" i="104"/>
  <c r="AU245" i="104"/>
  <c r="AU244" i="104"/>
  <c r="AV244" i="104" s="1"/>
  <c r="AU243" i="104"/>
  <c r="AQ242" i="104"/>
  <c r="AN241" i="104"/>
  <c r="AL240" i="104"/>
  <c r="AM240" i="104" s="1"/>
  <c r="AN239" i="104"/>
  <c r="AI238" i="104"/>
  <c r="AJ237" i="104"/>
  <c r="AJ236" i="104"/>
  <c r="AF234" i="104"/>
  <c r="AI235" i="104"/>
  <c r="AD233" i="104"/>
  <c r="AG232" i="104"/>
  <c r="Y230" i="104"/>
  <c r="AD231" i="104"/>
  <c r="T228" i="104"/>
  <c r="U229" i="104"/>
  <c r="U227" i="104"/>
  <c r="W226" i="104"/>
  <c r="R225" i="104"/>
  <c r="S225" i="104" s="1"/>
  <c r="T225" i="104" s="1"/>
  <c r="U225" i="104" s="1"/>
  <c r="O224" i="104"/>
  <c r="P224" i="104" s="1"/>
  <c r="Q224" i="104" s="1"/>
  <c r="P223" i="104"/>
  <c r="Q223" i="104" s="1"/>
  <c r="M222" i="104"/>
  <c r="J220" i="104"/>
  <c r="K220" i="104" s="1"/>
  <c r="L220" i="104" s="1"/>
  <c r="K221" i="104"/>
  <c r="W4" i="98"/>
  <c r="H219" i="104"/>
  <c r="K5" i="98"/>
  <c r="M125" i="105"/>
  <c r="BB254" i="104" l="1"/>
  <c r="BC254" i="104"/>
  <c r="BE252" i="104"/>
  <c r="BA253" i="104"/>
  <c r="AX251" i="104"/>
  <c r="AY250" i="104"/>
  <c r="AT249" i="104"/>
  <c r="AT248" i="104"/>
  <c r="AT247" i="104"/>
  <c r="AT246" i="104"/>
  <c r="AV245" i="104"/>
  <c r="AW244" i="104"/>
  <c r="AV243" i="104"/>
  <c r="AR242" i="104"/>
  <c r="AO241" i="104"/>
  <c r="AN240" i="104"/>
  <c r="AO239" i="104"/>
  <c r="AK237" i="104"/>
  <c r="AL237" i="104" s="1"/>
  <c r="AM237" i="104" s="1"/>
  <c r="AJ238" i="104"/>
  <c r="AK236" i="104"/>
  <c r="AL236" i="104" s="1"/>
  <c r="AJ235" i="104"/>
  <c r="AK235" i="104" s="1"/>
  <c r="AG234" i="104"/>
  <c r="AE233" i="104"/>
  <c r="AH232" i="104"/>
  <c r="Z230" i="104"/>
  <c r="AE231" i="104"/>
  <c r="U228" i="104"/>
  <c r="V229" i="104"/>
  <c r="V227" i="104"/>
  <c r="W227" i="104" s="1"/>
  <c r="X227" i="104" s="1"/>
  <c r="X226" i="104"/>
  <c r="R224" i="104"/>
  <c r="R223" i="104"/>
  <c r="S223" i="104" s="1"/>
  <c r="N222" i="104"/>
  <c r="L221" i="104"/>
  <c r="M221" i="104" s="1"/>
  <c r="N221" i="104" s="1"/>
  <c r="M220" i="104"/>
  <c r="J219" i="104"/>
  <c r="H218" i="104"/>
  <c r="M124" i="105"/>
  <c r="BD254" i="104" l="1"/>
  <c r="BF252" i="104"/>
  <c r="BB253" i="104"/>
  <c r="AY251" i="104"/>
  <c r="AZ250" i="104"/>
  <c r="AU248" i="104"/>
  <c r="AU249" i="104"/>
  <c r="AU247" i="104"/>
  <c r="AU246" i="104"/>
  <c r="AW245" i="104"/>
  <c r="AW243" i="104"/>
  <c r="AX244" i="104"/>
  <c r="AY244" i="104" s="1"/>
  <c r="AS242" i="104"/>
  <c r="AP241" i="104"/>
  <c r="AO240" i="104"/>
  <c r="AP239" i="104"/>
  <c r="AK238" i="104"/>
  <c r="AM236" i="104"/>
  <c r="AH234" i="104"/>
  <c r="AF233" i="104"/>
  <c r="AI232" i="104"/>
  <c r="AF231" i="104"/>
  <c r="AA230" i="104"/>
  <c r="V228" i="104"/>
  <c r="W229" i="104"/>
  <c r="Y227" i="104"/>
  <c r="Y226" i="104"/>
  <c r="V225" i="104"/>
  <c r="S224" i="104"/>
  <c r="O222" i="104"/>
  <c r="P222" i="104" s="1"/>
  <c r="T223" i="104"/>
  <c r="O221" i="104"/>
  <c r="P221" i="104" s="1"/>
  <c r="N220" i="104"/>
  <c r="O220" i="104" s="1"/>
  <c r="J218" i="104"/>
  <c r="K218" i="104" s="1"/>
  <c r="K219" i="104"/>
  <c r="H217" i="104"/>
  <c r="J217" i="104" s="1"/>
  <c r="Y32" i="105"/>
  <c r="M123" i="105"/>
  <c r="BE254" i="104" l="1"/>
  <c r="BG252" i="104"/>
  <c r="BC253" i="104"/>
  <c r="AZ251" i="104"/>
  <c r="BA250" i="104"/>
  <c r="AV249" i="104"/>
  <c r="AV248" i="104"/>
  <c r="AV247" i="104"/>
  <c r="AV246" i="104"/>
  <c r="AX245" i="104"/>
  <c r="AZ244" i="104"/>
  <c r="AX243" i="104"/>
  <c r="AQ241" i="104"/>
  <c r="AT242" i="104"/>
  <c r="AP240" i="104"/>
  <c r="AQ239" i="104"/>
  <c r="AL238" i="104"/>
  <c r="AN236" i="104"/>
  <c r="AL235" i="104"/>
  <c r="AI234" i="104"/>
  <c r="AG233" i="104"/>
  <c r="AJ232" i="104"/>
  <c r="AG231" i="104"/>
  <c r="AH231" i="104" s="1"/>
  <c r="AB230" i="104"/>
  <c r="W228" i="104"/>
  <c r="X229" i="104"/>
  <c r="Z227" i="104"/>
  <c r="Z226" i="104"/>
  <c r="W225" i="104"/>
  <c r="X225" i="104" s="1"/>
  <c r="Y225" i="104" s="1"/>
  <c r="T224" i="104"/>
  <c r="Q222" i="104"/>
  <c r="Q221" i="104"/>
  <c r="L219" i="104"/>
  <c r="M219" i="104" s="1"/>
  <c r="P220" i="104"/>
  <c r="L218" i="104"/>
  <c r="K217" i="104"/>
  <c r="H216" i="104"/>
  <c r="M122" i="105"/>
  <c r="BF254" i="104" l="1"/>
  <c r="BG254" i="104"/>
  <c r="BH254" i="104" s="1"/>
  <c r="BI254" i="104" s="1"/>
  <c r="BH252" i="104"/>
  <c r="BD253" i="104"/>
  <c r="BA251" i="104"/>
  <c r="BB250" i="104"/>
  <c r="AW249" i="104"/>
  <c r="AW248" i="104"/>
  <c r="AW247" i="104"/>
  <c r="AW246" i="104"/>
  <c r="AY245" i="104"/>
  <c r="AY243" i="104"/>
  <c r="BA244" i="104"/>
  <c r="BB244" i="104" s="1"/>
  <c r="AR241" i="104"/>
  <c r="AU242" i="104"/>
  <c r="AR239" i="104"/>
  <c r="AM238" i="104"/>
  <c r="AN237" i="104"/>
  <c r="AO236" i="104"/>
  <c r="AM235" i="104"/>
  <c r="AJ234" i="104"/>
  <c r="AH233" i="104"/>
  <c r="AK232" i="104"/>
  <c r="AC230" i="104"/>
  <c r="Y229" i="104"/>
  <c r="Z229" i="104" s="1"/>
  <c r="X228" i="104"/>
  <c r="AA227" i="104"/>
  <c r="AB227" i="104" s="1"/>
  <c r="AA226" i="104"/>
  <c r="Z225" i="104"/>
  <c r="U224" i="104"/>
  <c r="R222" i="104"/>
  <c r="U223" i="104"/>
  <c r="R221" i="104"/>
  <c r="Q220" i="104"/>
  <c r="N219" i="104"/>
  <c r="M218" i="104"/>
  <c r="N218" i="104" s="1"/>
  <c r="L217" i="104"/>
  <c r="J216" i="104"/>
  <c r="H215" i="104"/>
  <c r="K7" i="98"/>
  <c r="W5" i="98"/>
  <c r="M121" i="105"/>
  <c r="BJ254" i="104" l="1"/>
  <c r="BI252" i="104"/>
  <c r="BE253" i="104"/>
  <c r="BC250" i="104"/>
  <c r="BB251" i="104"/>
  <c r="AX249" i="104"/>
  <c r="AX248" i="104"/>
  <c r="AX247" i="104"/>
  <c r="AX246" i="104"/>
  <c r="AZ245" i="104"/>
  <c r="AZ243" i="104"/>
  <c r="BC244" i="104"/>
  <c r="BD244" i="104" s="1"/>
  <c r="BE244" i="104" s="1"/>
  <c r="AS241" i="104"/>
  <c r="AV242" i="104"/>
  <c r="AQ240" i="104"/>
  <c r="AS239" i="104"/>
  <c r="AT239" i="104" s="1"/>
  <c r="AO237" i="104"/>
  <c r="AN238" i="104"/>
  <c r="AP236" i="104"/>
  <c r="AK234" i="104"/>
  <c r="AL234" i="104" s="1"/>
  <c r="AN235" i="104"/>
  <c r="AI233" i="104"/>
  <c r="AD230" i="104"/>
  <c r="AI231" i="104"/>
  <c r="AA229" i="104"/>
  <c r="Y228" i="104"/>
  <c r="AB226" i="104"/>
  <c r="AA225" i="104"/>
  <c r="V224" i="104"/>
  <c r="S222" i="104"/>
  <c r="V223" i="104"/>
  <c r="S221" i="104"/>
  <c r="T221" i="104" s="1"/>
  <c r="O219" i="104"/>
  <c r="P219" i="104" s="1"/>
  <c r="R220" i="104"/>
  <c r="S220" i="104" s="1"/>
  <c r="M217" i="104"/>
  <c r="N217" i="104" s="1"/>
  <c r="O218" i="104"/>
  <c r="P218" i="104" s="1"/>
  <c r="K216" i="104"/>
  <c r="J215" i="104"/>
  <c r="H214" i="104"/>
  <c r="M120" i="105"/>
  <c r="AC8" i="107"/>
  <c r="AC10" i="107"/>
  <c r="BK254" i="104" l="1"/>
  <c r="BL254" i="104" s="1"/>
  <c r="BM254" i="104" s="1"/>
  <c r="BN254" i="104" s="1"/>
  <c r="BO254" i="104"/>
  <c r="BP254" i="104" s="1"/>
  <c r="BQ254" i="104" s="1"/>
  <c r="BF253" i="104"/>
  <c r="BJ252" i="104"/>
  <c r="BC251" i="104"/>
  <c r="BD250" i="104"/>
  <c r="AY248" i="104"/>
  <c r="AY249" i="104"/>
  <c r="AY247" i="104"/>
  <c r="AY246" i="104"/>
  <c r="AZ246" i="104" s="1"/>
  <c r="BF244" i="104"/>
  <c r="BA243" i="104"/>
  <c r="AT241" i="104"/>
  <c r="AW242" i="104"/>
  <c r="AR240" i="104"/>
  <c r="AO238" i="104"/>
  <c r="AP237" i="104"/>
  <c r="AQ236" i="104"/>
  <c r="AO235" i="104"/>
  <c r="AM234" i="104"/>
  <c r="AJ233" i="104"/>
  <c r="AJ231" i="104"/>
  <c r="AE230" i="104"/>
  <c r="AF230" i="104" s="1"/>
  <c r="Z228" i="104"/>
  <c r="AB229" i="104"/>
  <c r="AC226" i="104"/>
  <c r="AB225" i="104"/>
  <c r="W224" i="104"/>
  <c r="T222" i="104"/>
  <c r="W223" i="104"/>
  <c r="U221" i="104"/>
  <c r="V221" i="104" s="1"/>
  <c r="T220" i="104"/>
  <c r="Q219" i="104"/>
  <c r="O217" i="104"/>
  <c r="Q218" i="104"/>
  <c r="L216" i="104"/>
  <c r="K215" i="104"/>
  <c r="J214" i="104"/>
  <c r="H213" i="104"/>
  <c r="M119" i="105"/>
  <c r="BR254" i="104" l="1"/>
  <c r="BS254" i="104" s="1"/>
  <c r="BT254" i="104" s="1"/>
  <c r="BK252" i="104"/>
  <c r="BG253" i="104"/>
  <c r="BD251" i="104"/>
  <c r="BE250" i="104"/>
  <c r="AZ248" i="104"/>
  <c r="AZ249" i="104"/>
  <c r="AZ247" i="104"/>
  <c r="BA246" i="104"/>
  <c r="BB243" i="104"/>
  <c r="BG244" i="104"/>
  <c r="BH244" i="104" s="1"/>
  <c r="BI244" i="104" s="1"/>
  <c r="BJ244" i="104" s="1"/>
  <c r="BK244" i="104" s="1"/>
  <c r="BL244" i="104" s="1"/>
  <c r="BM244" i="104" s="1"/>
  <c r="AU241" i="104"/>
  <c r="AX242" i="104"/>
  <c r="AS240" i="104"/>
  <c r="AU239" i="104"/>
  <c r="AP238" i="104"/>
  <c r="AQ237" i="104"/>
  <c r="AR236" i="104"/>
  <c r="AN234" i="104"/>
  <c r="AP235" i="104"/>
  <c r="AK233" i="104"/>
  <c r="AL232" i="104"/>
  <c r="AG230" i="104"/>
  <c r="AK231" i="104"/>
  <c r="AA228" i="104"/>
  <c r="AC229" i="104"/>
  <c r="AD226" i="104"/>
  <c r="AC225" i="104"/>
  <c r="X224" i="104"/>
  <c r="U222" i="104"/>
  <c r="V222" i="104" s="1"/>
  <c r="W222" i="104" s="1"/>
  <c r="X223" i="104"/>
  <c r="W221" i="104"/>
  <c r="X221" i="104" s="1"/>
  <c r="U220" i="104"/>
  <c r="R219" i="104"/>
  <c r="R218" i="104"/>
  <c r="S218" i="104" s="1"/>
  <c r="P217" i="104"/>
  <c r="Q217" i="104" s="1"/>
  <c r="M216" i="104"/>
  <c r="N216" i="104" s="1"/>
  <c r="L215" i="104"/>
  <c r="M215" i="104" s="1"/>
  <c r="J213" i="104"/>
  <c r="K213" i="104" s="1"/>
  <c r="L213" i="104" s="1"/>
  <c r="K214" i="104"/>
  <c r="H212" i="104"/>
  <c r="J212" i="104" s="1"/>
  <c r="M118" i="105"/>
  <c r="BU254" i="104" l="1"/>
  <c r="BH253" i="104"/>
  <c r="BL252" i="104"/>
  <c r="BF250" i="104"/>
  <c r="BE251" i="104"/>
  <c r="BA249" i="104"/>
  <c r="BA248" i="104"/>
  <c r="BA247" i="104"/>
  <c r="BB246" i="104"/>
  <c r="BC243" i="104"/>
  <c r="AY242" i="104"/>
  <c r="AV241" i="104"/>
  <c r="AT240" i="104"/>
  <c r="AV239" i="104"/>
  <c r="AR237" i="104"/>
  <c r="AQ238" i="104"/>
  <c r="AS236" i="104"/>
  <c r="AT236" i="104" s="1"/>
  <c r="AQ235" i="104"/>
  <c r="AO234" i="104"/>
  <c r="AL233" i="104"/>
  <c r="AM232" i="104"/>
  <c r="AN232" i="104" s="1"/>
  <c r="AO232" i="104" s="1"/>
  <c r="AH230" i="104"/>
  <c r="AL231" i="104"/>
  <c r="AD229" i="104"/>
  <c r="AB228" i="104"/>
  <c r="AC227" i="104"/>
  <c r="AE226" i="104"/>
  <c r="AD225" i="104"/>
  <c r="Y224" i="104"/>
  <c r="Y223" i="104"/>
  <c r="Y221" i="104"/>
  <c r="V220" i="104"/>
  <c r="S219" i="104"/>
  <c r="T218" i="104"/>
  <c r="R217" i="104"/>
  <c r="O216" i="104"/>
  <c r="P216" i="104" s="1"/>
  <c r="N215" i="104"/>
  <c r="M213" i="104"/>
  <c r="L214" i="104"/>
  <c r="K212" i="104"/>
  <c r="AC50" i="107"/>
  <c r="AB50" i="107"/>
  <c r="AC49" i="107"/>
  <c r="AB49" i="107"/>
  <c r="AC48" i="107"/>
  <c r="AB48" i="107"/>
  <c r="AC47" i="107"/>
  <c r="AB47" i="107"/>
  <c r="AC46" i="107"/>
  <c r="AB46" i="107"/>
  <c r="AC45" i="107"/>
  <c r="AB45" i="107"/>
  <c r="AC44" i="107"/>
  <c r="AB44" i="107"/>
  <c r="AC43" i="107"/>
  <c r="AB43" i="107"/>
  <c r="AC42" i="107"/>
  <c r="AB42" i="107"/>
  <c r="AC41" i="107"/>
  <c r="AB41" i="107"/>
  <c r="AC40" i="107"/>
  <c r="AB40" i="107"/>
  <c r="AC39" i="107"/>
  <c r="AB39" i="107"/>
  <c r="AC38" i="107"/>
  <c r="AB38" i="107"/>
  <c r="AC37" i="107"/>
  <c r="AB37" i="107"/>
  <c r="AC36" i="107"/>
  <c r="AB36" i="107"/>
  <c r="AC35" i="107"/>
  <c r="AB35" i="107"/>
  <c r="AC34" i="107"/>
  <c r="AB34" i="107"/>
  <c r="AC33" i="107"/>
  <c r="AB33" i="107"/>
  <c r="AC32" i="107"/>
  <c r="AB32" i="107"/>
  <c r="AC31" i="107"/>
  <c r="AB31" i="107"/>
  <c r="AC30" i="107"/>
  <c r="AB30" i="107"/>
  <c r="AC29" i="107"/>
  <c r="AB29" i="107"/>
  <c r="AC28" i="107"/>
  <c r="AB28" i="107"/>
  <c r="AC27" i="107"/>
  <c r="AB27" i="107"/>
  <c r="AC26" i="107"/>
  <c r="AB26" i="107"/>
  <c r="AC25" i="107"/>
  <c r="AB25" i="107"/>
  <c r="AC24" i="107"/>
  <c r="AB24" i="107"/>
  <c r="AC23" i="107"/>
  <c r="AB23" i="107"/>
  <c r="AC22" i="107"/>
  <c r="AB22" i="107"/>
  <c r="AC21" i="107"/>
  <c r="AB21" i="107"/>
  <c r="AC20" i="107"/>
  <c r="AB20" i="107"/>
  <c r="AC19" i="107"/>
  <c r="AB19" i="107"/>
  <c r="AC18" i="107"/>
  <c r="AB18" i="107"/>
  <c r="AC17" i="107"/>
  <c r="AB17" i="107"/>
  <c r="AC16" i="107"/>
  <c r="AB16" i="107"/>
  <c r="AC15" i="107"/>
  <c r="AB15" i="107"/>
  <c r="AC14" i="107"/>
  <c r="AB14" i="107"/>
  <c r="AC13" i="107"/>
  <c r="AB13" i="107"/>
  <c r="AC12" i="107"/>
  <c r="AB12" i="107"/>
  <c r="AC11" i="107"/>
  <c r="AB11" i="107"/>
  <c r="AB10" i="107"/>
  <c r="AC9" i="107"/>
  <c r="AB9" i="107"/>
  <c r="AB8" i="107"/>
  <c r="AB7" i="107"/>
  <c r="H211" i="104"/>
  <c r="M117" i="105"/>
  <c r="BV254" i="104" l="1"/>
  <c r="BM252" i="104"/>
  <c r="BN252" i="104" s="1"/>
  <c r="BO252" i="104" s="1"/>
  <c r="BP252" i="104" s="1"/>
  <c r="BQ252" i="104" s="1"/>
  <c r="BR252" i="104" s="1"/>
  <c r="BS252" i="104" s="1"/>
  <c r="BT252" i="104" s="1"/>
  <c r="BU252" i="104" s="1"/>
  <c r="BI253" i="104"/>
  <c r="BF251" i="104"/>
  <c r="BG250" i="104"/>
  <c r="BB248" i="104"/>
  <c r="BB249" i="104"/>
  <c r="BB247" i="104"/>
  <c r="BC246" i="104"/>
  <c r="BA245" i="104"/>
  <c r="BD243" i="104"/>
  <c r="AW241" i="104"/>
  <c r="AZ242" i="104"/>
  <c r="BA242" i="104" s="1"/>
  <c r="AU240" i="104"/>
  <c r="AW239" i="104"/>
  <c r="AS237" i="104"/>
  <c r="AR238" i="104"/>
  <c r="AS238" i="104" s="1"/>
  <c r="AU236" i="104"/>
  <c r="AP234" i="104"/>
  <c r="AR235" i="104"/>
  <c r="AM233" i="104"/>
  <c r="AP232" i="104"/>
  <c r="AI230" i="104"/>
  <c r="AM231" i="104"/>
  <c r="AE229" i="104"/>
  <c r="AC228" i="104"/>
  <c r="AD227" i="104"/>
  <c r="AE227" i="104" s="1"/>
  <c r="AF226" i="104"/>
  <c r="AE225" i="104"/>
  <c r="Z224" i="104"/>
  <c r="Z223" i="104"/>
  <c r="X222" i="104"/>
  <c r="Z221" i="104"/>
  <c r="W220" i="104"/>
  <c r="T219" i="104"/>
  <c r="U218" i="104"/>
  <c r="S217" i="104"/>
  <c r="Q216" i="104"/>
  <c r="O215" i="104"/>
  <c r="P215" i="104" s="1"/>
  <c r="N213" i="104"/>
  <c r="O213" i="104" s="1"/>
  <c r="M214" i="104"/>
  <c r="L212" i="104"/>
  <c r="J211" i="104"/>
  <c r="H210" i="104"/>
  <c r="M116" i="105"/>
  <c r="BJ253" i="104" l="1"/>
  <c r="BV252" i="104"/>
  <c r="BH250" i="104"/>
  <c r="BG251" i="104"/>
  <c r="BC249" i="104"/>
  <c r="BC248" i="104"/>
  <c r="BC247" i="104"/>
  <c r="BD246" i="104"/>
  <c r="BB245" i="104"/>
  <c r="BE243" i="104"/>
  <c r="AX241" i="104"/>
  <c r="AV240" i="104"/>
  <c r="AX239" i="104"/>
  <c r="AY239" i="104" s="1"/>
  <c r="AZ239" i="104" s="1"/>
  <c r="AT238" i="104"/>
  <c r="AT237" i="104"/>
  <c r="AV236" i="104"/>
  <c r="AQ234" i="104"/>
  <c r="AS235" i="104"/>
  <c r="AN233" i="104"/>
  <c r="AN231" i="104"/>
  <c r="AJ230" i="104"/>
  <c r="AF229" i="104"/>
  <c r="AG229" i="104" s="1"/>
  <c r="AH229" i="104" s="1"/>
  <c r="AD228" i="104"/>
  <c r="AE228" i="104" s="1"/>
  <c r="AF225" i="104"/>
  <c r="AA224" i="104"/>
  <c r="AA223" i="104"/>
  <c r="Y222" i="104"/>
  <c r="AA221" i="104"/>
  <c r="X220" i="104"/>
  <c r="U219" i="104"/>
  <c r="V218" i="104"/>
  <c r="T217" i="104"/>
  <c r="R216" i="104"/>
  <c r="Q215" i="104"/>
  <c r="N214" i="104"/>
  <c r="P213" i="104"/>
  <c r="Q213" i="104" s="1"/>
  <c r="M212" i="104"/>
  <c r="K211" i="104"/>
  <c r="J210" i="104"/>
  <c r="K210" i="104" s="1"/>
  <c r="H209" i="104"/>
  <c r="J209" i="104" s="1"/>
  <c r="M115" i="105"/>
  <c r="I290" i="104" l="1"/>
  <c r="I300" i="104"/>
  <c r="I269" i="104"/>
  <c r="I301" i="104"/>
  <c r="I286" i="104"/>
  <c r="I276" i="104"/>
  <c r="I260" i="104"/>
  <c r="I261" i="104"/>
  <c r="I265" i="104"/>
  <c r="I278" i="104"/>
  <c r="I289" i="104"/>
  <c r="I283" i="104"/>
  <c r="I285" i="104"/>
  <c r="I282" i="104"/>
  <c r="I258" i="104"/>
  <c r="I270" i="104"/>
  <c r="I297" i="104"/>
  <c r="I298" i="104"/>
  <c r="I299" i="104"/>
  <c r="I294" i="104"/>
  <c r="I295" i="104"/>
  <c r="I296" i="104"/>
  <c r="I302" i="104"/>
  <c r="I271" i="104"/>
  <c r="I259" i="104"/>
  <c r="I274" i="104"/>
  <c r="I273" i="104"/>
  <c r="I272" i="104"/>
  <c r="I266" i="104"/>
  <c r="I280" i="104"/>
  <c r="I277" i="104"/>
  <c r="I263" i="104"/>
  <c r="I279" i="104"/>
  <c r="I287" i="104"/>
  <c r="I267" i="104"/>
  <c r="I293" i="104"/>
  <c r="I291" i="104"/>
  <c r="I264" i="104"/>
  <c r="I288" i="104"/>
  <c r="I275" i="104"/>
  <c r="I262" i="104"/>
  <c r="I284" i="104"/>
  <c r="I268" i="104"/>
  <c r="I292" i="104"/>
  <c r="I281" i="104"/>
  <c r="BK253" i="104"/>
  <c r="BI250" i="104"/>
  <c r="BH251" i="104"/>
  <c r="BI251" i="104" s="1"/>
  <c r="BJ251" i="104" s="1"/>
  <c r="BD248" i="104"/>
  <c r="BD249" i="104"/>
  <c r="BD247" i="104"/>
  <c r="BE246" i="104"/>
  <c r="BC245" i="104"/>
  <c r="BD245" i="104" s="1"/>
  <c r="BF243" i="104"/>
  <c r="BG243" i="104" s="1"/>
  <c r="BH243" i="104" s="1"/>
  <c r="BI243" i="104" s="1"/>
  <c r="BJ243" i="104" s="1"/>
  <c r="BK243" i="104" s="1"/>
  <c r="BL243" i="104" s="1"/>
  <c r="BM243" i="104" s="1"/>
  <c r="BN243" i="104" s="1"/>
  <c r="BO243" i="104" s="1"/>
  <c r="AY241" i="104"/>
  <c r="BB242" i="104"/>
  <c r="AW240" i="104"/>
  <c r="BA239" i="104"/>
  <c r="AU237" i="104"/>
  <c r="AU238" i="104"/>
  <c r="AW236" i="104"/>
  <c r="AR234" i="104"/>
  <c r="AT235" i="104"/>
  <c r="AO233" i="104"/>
  <c r="AK230" i="104"/>
  <c r="AO231" i="104"/>
  <c r="AF228" i="104"/>
  <c r="AG228" i="104" s="1"/>
  <c r="AI229" i="104"/>
  <c r="AF227" i="104"/>
  <c r="AG225" i="104"/>
  <c r="AB224" i="104"/>
  <c r="AC224" i="104" s="1"/>
  <c r="AB223" i="104"/>
  <c r="Z222" i="104"/>
  <c r="AB221" i="104"/>
  <c r="Y220" i="104"/>
  <c r="V219" i="104"/>
  <c r="U217" i="104"/>
  <c r="S216" i="104"/>
  <c r="T216" i="104" s="1"/>
  <c r="U216" i="104" s="1"/>
  <c r="R215" i="104"/>
  <c r="S215" i="104" s="1"/>
  <c r="T215" i="104" s="1"/>
  <c r="R213" i="104"/>
  <c r="O214" i="104"/>
  <c r="N212" i="104"/>
  <c r="O212" i="104" s="1"/>
  <c r="L211" i="104"/>
  <c r="M211" i="104" s="1"/>
  <c r="N211" i="104" s="1"/>
  <c r="K209" i="104"/>
  <c r="L210" i="104"/>
  <c r="M210" i="104" s="1"/>
  <c r="H208" i="104"/>
  <c r="J208" i="104" s="1"/>
  <c r="M114" i="105"/>
  <c r="I303" i="104" l="1"/>
  <c r="BL253" i="104"/>
  <c r="BJ250" i="104"/>
  <c r="BE249" i="104"/>
  <c r="BE248" i="104"/>
  <c r="BE247" i="104"/>
  <c r="BE245" i="104"/>
  <c r="BP243" i="104"/>
  <c r="BQ243" i="104" s="1"/>
  <c r="AZ241" i="104"/>
  <c r="BC242" i="104"/>
  <c r="AX240" i="104"/>
  <c r="BB239" i="104"/>
  <c r="AV238" i="104"/>
  <c r="AV237" i="104"/>
  <c r="AX236" i="104"/>
  <c r="AU235" i="104"/>
  <c r="AP233" i="104"/>
  <c r="AQ232" i="104"/>
  <c r="AL230" i="104"/>
  <c r="AP231" i="104"/>
  <c r="AH228" i="104"/>
  <c r="AJ229" i="104"/>
  <c r="AG227" i="104"/>
  <c r="AH225" i="104"/>
  <c r="AD224" i="104"/>
  <c r="AC223" i="104"/>
  <c r="AA222" i="104"/>
  <c r="AC221" i="104"/>
  <c r="Z220" i="104"/>
  <c r="W219" i="104"/>
  <c r="V217" i="104"/>
  <c r="W217" i="104" s="1"/>
  <c r="X217" i="104" s="1"/>
  <c r="W218" i="104"/>
  <c r="P214" i="104"/>
  <c r="S213" i="104"/>
  <c r="T213" i="104" s="1"/>
  <c r="P212" i="104"/>
  <c r="O211" i="104"/>
  <c r="L209" i="104"/>
  <c r="N210" i="104"/>
  <c r="K208" i="104"/>
  <c r="H207" i="104"/>
  <c r="BM253" i="104" l="1"/>
  <c r="BK250" i="104"/>
  <c r="BF249" i="104"/>
  <c r="BF248" i="104"/>
  <c r="BF247" i="104"/>
  <c r="BF246" i="104"/>
  <c r="BF245" i="104"/>
  <c r="BA241" i="104"/>
  <c r="BD242" i="104"/>
  <c r="AY240" i="104"/>
  <c r="BC239" i="104"/>
  <c r="AW237" i="104"/>
  <c r="AW238" i="104"/>
  <c r="AY236" i="104"/>
  <c r="AV235" i="104"/>
  <c r="AS234" i="104"/>
  <c r="AQ233" i="104"/>
  <c r="AR232" i="104"/>
  <c r="AM230" i="104"/>
  <c r="AQ231" i="104"/>
  <c r="AK229" i="104"/>
  <c r="AI228" i="104"/>
  <c r="AH227" i="104"/>
  <c r="AI225" i="104"/>
  <c r="AE224" i="104"/>
  <c r="AB222" i="104"/>
  <c r="AD223" i="104"/>
  <c r="AD221" i="104"/>
  <c r="AA220" i="104"/>
  <c r="X219" i="104"/>
  <c r="Y217" i="104"/>
  <c r="X218" i="104"/>
  <c r="U215" i="104"/>
  <c r="Q214" i="104"/>
  <c r="U213" i="104"/>
  <c r="P211" i="104"/>
  <c r="Q211" i="104" s="1"/>
  <c r="R211" i="104" s="1"/>
  <c r="Q212" i="104"/>
  <c r="O210" i="104"/>
  <c r="M209" i="104"/>
  <c r="L208" i="104"/>
  <c r="J207" i="104"/>
  <c r="K207" i="104" s="1"/>
  <c r="M113" i="105"/>
  <c r="BN253" i="104" l="1"/>
  <c r="BK251" i="104"/>
  <c r="BL250" i="104"/>
  <c r="BG248" i="104"/>
  <c r="BH248" i="104" s="1"/>
  <c r="BI248" i="104" s="1"/>
  <c r="BJ248" i="104" s="1"/>
  <c r="BK248" i="104" s="1"/>
  <c r="BL248" i="104" s="1"/>
  <c r="BM248" i="104" s="1"/>
  <c r="BN248" i="104" s="1"/>
  <c r="BO248" i="104" s="1"/>
  <c r="BG249" i="104"/>
  <c r="BG247" i="104"/>
  <c r="BG246" i="104"/>
  <c r="BH246" i="104" s="1"/>
  <c r="BN244" i="104"/>
  <c r="BB241" i="104"/>
  <c r="BE242" i="104"/>
  <c r="AZ240" i="104"/>
  <c r="BD239" i="104"/>
  <c r="AX238" i="104"/>
  <c r="AX237" i="104"/>
  <c r="AZ236" i="104"/>
  <c r="AW235" i="104"/>
  <c r="AT234" i="104"/>
  <c r="AR233" i="104"/>
  <c r="AS232" i="104"/>
  <c r="AN230" i="104"/>
  <c r="AR231" i="104"/>
  <c r="AJ228" i="104"/>
  <c r="AL229" i="104"/>
  <c r="AI227" i="104"/>
  <c r="AG226" i="104"/>
  <c r="AJ225" i="104"/>
  <c r="AF224" i="104"/>
  <c r="AE223" i="104"/>
  <c r="AC222" i="104"/>
  <c r="AE221" i="104"/>
  <c r="AB220" i="104"/>
  <c r="Y219" i="104"/>
  <c r="Z217" i="104"/>
  <c r="Y218" i="104"/>
  <c r="V216" i="104"/>
  <c r="W216" i="104" s="1"/>
  <c r="V215" i="104"/>
  <c r="V213" i="104"/>
  <c r="R214" i="104"/>
  <c r="S214" i="104" s="1"/>
  <c r="R212" i="104"/>
  <c r="S211" i="104"/>
  <c r="N209" i="104"/>
  <c r="P210" i="104"/>
  <c r="Q210" i="104" s="1"/>
  <c r="L207" i="104"/>
  <c r="M207" i="104" s="1"/>
  <c r="N207" i="104" s="1"/>
  <c r="M208" i="104"/>
  <c r="H206" i="104"/>
  <c r="M112" i="105"/>
  <c r="BO253" i="104" l="1"/>
  <c r="BP253" i="104" s="1"/>
  <c r="BM250" i="104"/>
  <c r="BN250" i="104" s="1"/>
  <c r="BL251" i="104"/>
  <c r="BM251" i="104" s="1"/>
  <c r="BN251" i="104" s="1"/>
  <c r="BO251" i="104" s="1"/>
  <c r="BP248" i="104"/>
  <c r="BH249" i="104"/>
  <c r="BI249" i="104" s="1"/>
  <c r="BJ249" i="104" s="1"/>
  <c r="BK249" i="104" s="1"/>
  <c r="BL249" i="104" s="1"/>
  <c r="BM249" i="104" s="1"/>
  <c r="BN249" i="104" s="1"/>
  <c r="BO249" i="104" s="1"/>
  <c r="BP249" i="104" s="1"/>
  <c r="BH247" i="104"/>
  <c r="BG245" i="104"/>
  <c r="BO244" i="104"/>
  <c r="BP244" i="104" s="1"/>
  <c r="BC241" i="104"/>
  <c r="BF242" i="104"/>
  <c r="BA240" i="104"/>
  <c r="BE239" i="104"/>
  <c r="AY238" i="104"/>
  <c r="AY237" i="104"/>
  <c r="AX235" i="104"/>
  <c r="AU234" i="104"/>
  <c r="AS233" i="104"/>
  <c r="AT232" i="104"/>
  <c r="AO230" i="104"/>
  <c r="AS231" i="104"/>
  <c r="AT231" i="104" s="1"/>
  <c r="AU231" i="104" s="1"/>
  <c r="AK228" i="104"/>
  <c r="AM229" i="104"/>
  <c r="AN229" i="104" s="1"/>
  <c r="AJ227" i="104"/>
  <c r="AH226" i="104"/>
  <c r="AK225" i="104"/>
  <c r="AD222" i="104"/>
  <c r="AF223" i="104"/>
  <c r="AF221" i="104"/>
  <c r="AC220" i="104"/>
  <c r="Z219" i="104"/>
  <c r="AA217" i="104"/>
  <c r="Z218" i="104"/>
  <c r="AA218" i="104" s="1"/>
  <c r="W215" i="104"/>
  <c r="W213" i="104"/>
  <c r="T214" i="104"/>
  <c r="U214" i="104" s="1"/>
  <c r="T211" i="104"/>
  <c r="U211" i="104" s="1"/>
  <c r="S212" i="104"/>
  <c r="R210" i="104"/>
  <c r="O209" i="104"/>
  <c r="N208" i="104"/>
  <c r="O207" i="104"/>
  <c r="P207" i="104" s="1"/>
  <c r="Q207" i="104" s="1"/>
  <c r="J206" i="104"/>
  <c r="K206" i="104" s="1"/>
  <c r="AO38" i="105"/>
  <c r="AO37" i="105"/>
  <c r="AO36" i="105"/>
  <c r="AO35" i="105"/>
  <c r="AO34" i="105"/>
  <c r="AO33" i="105"/>
  <c r="AO32" i="105"/>
  <c r="AK38" i="105"/>
  <c r="AK37" i="105"/>
  <c r="AK36" i="105"/>
  <c r="AK35" i="105"/>
  <c r="AK34" i="105"/>
  <c r="AK33" i="105"/>
  <c r="AK32" i="105"/>
  <c r="AG38" i="105"/>
  <c r="AG37" i="105"/>
  <c r="AG36" i="105"/>
  <c r="AG35" i="105"/>
  <c r="AG34" i="105"/>
  <c r="AG33" i="105"/>
  <c r="AG32" i="105"/>
  <c r="AC38" i="105"/>
  <c r="AC37" i="105"/>
  <c r="AC36" i="105"/>
  <c r="AC35" i="105"/>
  <c r="AC34" i="105"/>
  <c r="AC33" i="105"/>
  <c r="AC32" i="105"/>
  <c r="Y38" i="105"/>
  <c r="Y37" i="105"/>
  <c r="Y36" i="105"/>
  <c r="Y35" i="105"/>
  <c r="Y34" i="105"/>
  <c r="Y33" i="105"/>
  <c r="U7" i="105"/>
  <c r="H205" i="104"/>
  <c r="J205" i="104" s="1"/>
  <c r="AJ151" i="61"/>
  <c r="M111" i="105"/>
  <c r="BQ253" i="104" l="1"/>
  <c r="BR253" i="104" s="1"/>
  <c r="BP251" i="104"/>
  <c r="BO250" i="104"/>
  <c r="BP250" i="104" s="1"/>
  <c r="BQ250" i="104" s="1"/>
  <c r="BR250" i="104" s="1"/>
  <c r="BS250" i="104" s="1"/>
  <c r="BT250" i="104" s="1"/>
  <c r="BU250" i="104" s="1"/>
  <c r="BV250" i="104" s="1"/>
  <c r="BQ249" i="104"/>
  <c r="BR249" i="104" s="1"/>
  <c r="BQ248" i="104"/>
  <c r="BI247" i="104"/>
  <c r="BI246" i="104"/>
  <c r="BH245" i="104"/>
  <c r="BI245" i="104" s="1"/>
  <c r="BQ244" i="104"/>
  <c r="BR244" i="104" s="1"/>
  <c r="BR243" i="104"/>
  <c r="BG242" i="104"/>
  <c r="BH242" i="104" s="1"/>
  <c r="BI242" i="104" s="1"/>
  <c r="BJ242" i="104" s="1"/>
  <c r="BD241" i="104"/>
  <c r="BB240" i="104"/>
  <c r="AZ238" i="104"/>
  <c r="AZ237" i="104"/>
  <c r="BA236" i="104"/>
  <c r="AV234" i="104"/>
  <c r="AY235" i="104"/>
  <c r="AT233" i="104"/>
  <c r="AU232" i="104"/>
  <c r="AV231" i="104"/>
  <c r="AP230" i="104"/>
  <c r="AO229" i="104"/>
  <c r="AL228" i="104"/>
  <c r="AK227" i="104"/>
  <c r="AI226" i="104"/>
  <c r="AL225" i="104"/>
  <c r="AG223" i="104"/>
  <c r="AE222" i="104"/>
  <c r="AG221" i="104"/>
  <c r="AD220" i="104"/>
  <c r="AA219" i="104"/>
  <c r="AB217" i="104"/>
  <c r="X216" i="104"/>
  <c r="X215" i="104"/>
  <c r="V214" i="104"/>
  <c r="X213" i="104"/>
  <c r="V211" i="104"/>
  <c r="T212" i="104"/>
  <c r="S210" i="104"/>
  <c r="T210" i="104" s="1"/>
  <c r="P209" i="104"/>
  <c r="O208" i="104"/>
  <c r="R207" i="104"/>
  <c r="L206" i="104"/>
  <c r="K205" i="104"/>
  <c r="K10" i="98"/>
  <c r="H204" i="104"/>
  <c r="M110" i="105"/>
  <c r="BS253" i="104" l="1"/>
  <c r="K275" i="104"/>
  <c r="K300" i="104"/>
  <c r="K295" i="104"/>
  <c r="K261" i="104"/>
  <c r="K277" i="104"/>
  <c r="K291" i="104"/>
  <c r="K301" i="104"/>
  <c r="K302" i="104"/>
  <c r="K260" i="104"/>
  <c r="K267" i="104"/>
  <c r="K263" i="104"/>
  <c r="K279" i="104"/>
  <c r="K288" i="104"/>
  <c r="K268" i="104"/>
  <c r="K265" i="104"/>
  <c r="K289" i="104"/>
  <c r="K278" i="104"/>
  <c r="K292" i="104"/>
  <c r="K286" i="104"/>
  <c r="K298" i="104"/>
  <c r="K271" i="104"/>
  <c r="K281" i="104"/>
  <c r="K283" i="104"/>
  <c r="K297" i="104"/>
  <c r="K296" i="104"/>
  <c r="K273" i="104"/>
  <c r="K266" i="104"/>
  <c r="K284" i="104"/>
  <c r="K272" i="104"/>
  <c r="K259" i="104"/>
  <c r="K262" i="104"/>
  <c r="K294" i="104"/>
  <c r="K287" i="104"/>
  <c r="K285" i="104"/>
  <c r="K280" i="104"/>
  <c r="K258" i="104"/>
  <c r="K293" i="104"/>
  <c r="K269" i="104"/>
  <c r="K299" i="104"/>
  <c r="K276" i="104"/>
  <c r="K270" i="104"/>
  <c r="K274" i="104"/>
  <c r="K264" i="104"/>
  <c r="K282" i="104"/>
  <c r="K290" i="104"/>
  <c r="BQ251" i="104"/>
  <c r="BR251" i="104" s="1"/>
  <c r="BS251" i="104" s="1"/>
  <c r="BS249" i="104"/>
  <c r="BT249" i="104" s="1"/>
  <c r="BU249" i="104" s="1"/>
  <c r="BV249" i="104" s="1"/>
  <c r="BR248" i="104"/>
  <c r="BJ247" i="104"/>
  <c r="BJ246" i="104"/>
  <c r="BS243" i="104"/>
  <c r="BT243" i="104" s="1"/>
  <c r="BS244" i="104"/>
  <c r="BT244" i="104" s="1"/>
  <c r="BU244" i="104" s="1"/>
  <c r="BV244" i="104" s="1"/>
  <c r="BE241" i="104"/>
  <c r="BC240" i="104"/>
  <c r="BA238" i="104"/>
  <c r="BA237" i="104"/>
  <c r="BB236" i="104"/>
  <c r="AZ235" i="104"/>
  <c r="AW234" i="104"/>
  <c r="AU233" i="104"/>
  <c r="AV232" i="104"/>
  <c r="AQ230" i="104"/>
  <c r="AM228" i="104"/>
  <c r="AP229" i="104"/>
  <c r="AL227" i="104"/>
  <c r="AJ226" i="104"/>
  <c r="AM225" i="104"/>
  <c r="AG224" i="104"/>
  <c r="AH223" i="104"/>
  <c r="AF222" i="104"/>
  <c r="AH221" i="104"/>
  <c r="AE220" i="104"/>
  <c r="AB219" i="104"/>
  <c r="AC217" i="104"/>
  <c r="AB218" i="104"/>
  <c r="Y216" i="104"/>
  <c r="Y215" i="104"/>
  <c r="W214" i="104"/>
  <c r="Y213" i="104"/>
  <c r="U212" i="104"/>
  <c r="Q209" i="104"/>
  <c r="U210" i="104"/>
  <c r="V210" i="104" s="1"/>
  <c r="P208" i="104"/>
  <c r="M206" i="104"/>
  <c r="L205" i="104"/>
  <c r="J204" i="104"/>
  <c r="H203" i="104"/>
  <c r="M109" i="105"/>
  <c r="BT253" i="104" l="1"/>
  <c r="BU253" i="104" s="1"/>
  <c r="BV253" i="104" s="1"/>
  <c r="BT251" i="104"/>
  <c r="BU251" i="104" s="1"/>
  <c r="BV251" i="104" s="1"/>
  <c r="K303" i="104"/>
  <c r="L282" i="104"/>
  <c r="L258" i="104"/>
  <c r="L269" i="104"/>
  <c r="L302" i="104"/>
  <c r="L281" i="104"/>
  <c r="L262" i="104"/>
  <c r="L291" i="104"/>
  <c r="L296" i="104"/>
  <c r="L298" i="104"/>
  <c r="L260" i="104"/>
  <c r="L285" i="104"/>
  <c r="L294" i="104"/>
  <c r="L286" i="104"/>
  <c r="L290" i="104"/>
  <c r="L293" i="104"/>
  <c r="L273" i="104"/>
  <c r="L300" i="104"/>
  <c r="L301" i="104"/>
  <c r="L292" i="104"/>
  <c r="L299" i="104"/>
  <c r="L289" i="104"/>
  <c r="L268" i="104"/>
  <c r="L276" i="104"/>
  <c r="L263" i="104"/>
  <c r="L279" i="104"/>
  <c r="L261" i="104"/>
  <c r="L283" i="104"/>
  <c r="L287" i="104"/>
  <c r="L267" i="104"/>
  <c r="L277" i="104"/>
  <c r="L274" i="104"/>
  <c r="L280" i="104"/>
  <c r="L266" i="104"/>
  <c r="L272" i="104"/>
  <c r="L265" i="104"/>
  <c r="L270" i="104"/>
  <c r="L297" i="104"/>
  <c r="L264" i="104"/>
  <c r="L288" i="104"/>
  <c r="L259" i="104"/>
  <c r="L278" i="104"/>
  <c r="L271" i="104"/>
  <c r="L275" i="104"/>
  <c r="L295" i="104"/>
  <c r="L284" i="104"/>
  <c r="BS248" i="104"/>
  <c r="BT248" i="104"/>
  <c r="BU248" i="104" s="1"/>
  <c r="BK247" i="104"/>
  <c r="BL247" i="104" s="1"/>
  <c r="BM247" i="104" s="1"/>
  <c r="BN247" i="104" s="1"/>
  <c r="BO247" i="104" s="1"/>
  <c r="BP247" i="104" s="1"/>
  <c r="BQ247" i="104" s="1"/>
  <c r="BR247" i="104" s="1"/>
  <c r="BK246" i="104"/>
  <c r="Q300" i="104"/>
  <c r="Q289" i="104"/>
  <c r="Q259" i="104"/>
  <c r="Q263" i="104"/>
  <c r="Q270" i="104"/>
  <c r="Q299" i="104"/>
  <c r="Q291" i="104"/>
  <c r="Q267" i="104"/>
  <c r="Q286" i="104"/>
  <c r="Q260" i="104"/>
  <c r="Q269" i="104"/>
  <c r="Q264" i="104"/>
  <c r="Q278" i="104"/>
  <c r="Q262" i="104"/>
  <c r="Q279" i="104"/>
  <c r="Q292" i="104"/>
  <c r="Q301" i="104"/>
  <c r="Q285" i="104"/>
  <c r="Q281" i="104"/>
  <c r="Q272" i="104"/>
  <c r="Q298" i="104"/>
  <c r="Q284" i="104"/>
  <c r="Q265" i="104"/>
  <c r="Q276" i="104"/>
  <c r="Q275" i="104"/>
  <c r="Q293" i="104"/>
  <c r="Q271" i="104"/>
  <c r="Q295" i="104"/>
  <c r="Q258" i="104"/>
  <c r="Q273" i="104"/>
  <c r="Q297" i="104"/>
  <c r="Q283" i="104"/>
  <c r="Q294" i="104"/>
  <c r="Q274" i="104"/>
  <c r="Q287" i="104"/>
  <c r="Q266" i="104"/>
  <c r="Q261" i="104"/>
  <c r="Q290" i="104"/>
  <c r="Q280" i="104"/>
  <c r="Q296" i="104"/>
  <c r="Q268" i="104"/>
  <c r="Q277" i="104"/>
  <c r="Q302" i="104"/>
  <c r="Q288" i="104"/>
  <c r="Q282" i="104"/>
  <c r="BU243" i="104"/>
  <c r="BV243" i="104" s="1"/>
  <c r="R300" i="104" s="1"/>
  <c r="BJ245" i="104"/>
  <c r="R292" i="104"/>
  <c r="BF241" i="104"/>
  <c r="BD240" i="104"/>
  <c r="BF239" i="104"/>
  <c r="BB238" i="104"/>
  <c r="BB237" i="104"/>
  <c r="BC236" i="104"/>
  <c r="BA235" i="104"/>
  <c r="AX234" i="104"/>
  <c r="AV233" i="104"/>
  <c r="AW232" i="104"/>
  <c r="AR230" i="104"/>
  <c r="AQ229" i="104"/>
  <c r="AN228" i="104"/>
  <c r="AM227" i="104"/>
  <c r="AK226" i="104"/>
  <c r="AN225" i="104"/>
  <c r="AH224" i="104"/>
  <c r="AI224" i="104" s="1"/>
  <c r="AG222" i="104"/>
  <c r="AI223" i="104"/>
  <c r="AI221" i="104"/>
  <c r="AF220" i="104"/>
  <c r="AC219" i="104"/>
  <c r="AC218" i="104"/>
  <c r="AD217" i="104"/>
  <c r="Z216" i="104"/>
  <c r="AA216" i="104" s="1"/>
  <c r="Z215" i="104"/>
  <c r="Z213" i="104"/>
  <c r="X214" i="104"/>
  <c r="V212" i="104"/>
  <c r="R209" i="104"/>
  <c r="Q208" i="104"/>
  <c r="S207" i="104"/>
  <c r="M205" i="104"/>
  <c r="N205" i="104" s="1"/>
  <c r="N206" i="104"/>
  <c r="K204" i="104"/>
  <c r="L204" i="104" s="1"/>
  <c r="M204" i="104" s="1"/>
  <c r="J203" i="104"/>
  <c r="K203" i="104" s="1"/>
  <c r="H202" i="104"/>
  <c r="M108" i="105"/>
  <c r="R281" i="104" l="1"/>
  <c r="R263" i="104"/>
  <c r="R267" i="104"/>
  <c r="R284" i="104"/>
  <c r="R288" i="104"/>
  <c r="H260" i="104"/>
  <c r="H302" i="104"/>
  <c r="H293" i="104"/>
  <c r="H298" i="104"/>
  <c r="H266" i="104"/>
  <c r="H285" i="104"/>
  <c r="H287" i="104"/>
  <c r="H277" i="104"/>
  <c r="H300" i="104"/>
  <c r="H294" i="104"/>
  <c r="H270" i="104"/>
  <c r="H259" i="104"/>
  <c r="H261" i="104"/>
  <c r="H262" i="104"/>
  <c r="H275" i="104"/>
  <c r="H286" i="104"/>
  <c r="H288" i="104"/>
  <c r="H269" i="104"/>
  <c r="H271" i="104"/>
  <c r="H278" i="104"/>
  <c r="H281" i="104"/>
  <c r="H276" i="104"/>
  <c r="H265" i="104"/>
  <c r="H267" i="104"/>
  <c r="H274" i="104"/>
  <c r="H297" i="104"/>
  <c r="H290" i="104"/>
  <c r="H273" i="104"/>
  <c r="H292" i="104"/>
  <c r="H282" i="104"/>
  <c r="H296" i="104"/>
  <c r="H264" i="104"/>
  <c r="H272" i="104"/>
  <c r="H283" i="104"/>
  <c r="H279" i="104"/>
  <c r="H258" i="104"/>
  <c r="H280" i="104"/>
  <c r="H291" i="104"/>
  <c r="H268" i="104"/>
  <c r="H289" i="104"/>
  <c r="H301" i="104"/>
  <c r="H263" i="104"/>
  <c r="H295" i="104"/>
  <c r="H284" i="104"/>
  <c r="H299" i="104"/>
  <c r="R293" i="104"/>
  <c r="J265" i="104"/>
  <c r="J266" i="104"/>
  <c r="J277" i="104"/>
  <c r="J301" i="104"/>
  <c r="J286" i="104"/>
  <c r="J289" i="104"/>
  <c r="J272" i="104"/>
  <c r="J291" i="104"/>
  <c r="J273" i="104"/>
  <c r="J268" i="104"/>
  <c r="J294" i="104"/>
  <c r="J261" i="104"/>
  <c r="J260" i="104"/>
  <c r="J278" i="104"/>
  <c r="J287" i="104"/>
  <c r="J290" i="104"/>
  <c r="J284" i="104"/>
  <c r="J282" i="104"/>
  <c r="J270" i="104"/>
  <c r="J264" i="104"/>
  <c r="J295" i="104"/>
  <c r="J299" i="104"/>
  <c r="J285" i="104"/>
  <c r="J283" i="104"/>
  <c r="J276" i="104"/>
  <c r="J300" i="104"/>
  <c r="J262" i="104"/>
  <c r="J279" i="104"/>
  <c r="J298" i="104"/>
  <c r="J269" i="104"/>
  <c r="J280" i="104"/>
  <c r="J296" i="104"/>
  <c r="J274" i="104"/>
  <c r="J288" i="104"/>
  <c r="J281" i="104"/>
  <c r="J292" i="104"/>
  <c r="J275" i="104"/>
  <c r="J302" i="104"/>
  <c r="J263" i="104"/>
  <c r="J267" i="104"/>
  <c r="J271" i="104"/>
  <c r="J258" i="104"/>
  <c r="J297" i="104"/>
  <c r="J293" i="104"/>
  <c r="J259" i="104"/>
  <c r="R280" i="104"/>
  <c r="R259" i="104"/>
  <c r="R264" i="104"/>
  <c r="L303" i="104"/>
  <c r="BV248" i="104"/>
  <c r="R269" i="104"/>
  <c r="R282" i="104"/>
  <c r="R272" i="104"/>
  <c r="R302" i="104"/>
  <c r="R285" i="104"/>
  <c r="R287" i="104"/>
  <c r="R279" i="104"/>
  <c r="R271" i="104"/>
  <c r="R289" i="104"/>
  <c r="R291" i="104"/>
  <c r="R298" i="104"/>
  <c r="R258" i="104"/>
  <c r="R297" i="104"/>
  <c r="R268" i="104"/>
  <c r="R283" i="104"/>
  <c r="R276" i="104"/>
  <c r="R262" i="104"/>
  <c r="R260" i="104"/>
  <c r="R290" i="104"/>
  <c r="R301" i="104"/>
  <c r="R261" i="104"/>
  <c r="R296" i="104"/>
  <c r="R273" i="104"/>
  <c r="R270" i="104"/>
  <c r="R265" i="104"/>
  <c r="R295" i="104"/>
  <c r="R286" i="104"/>
  <c r="R277" i="104"/>
  <c r="R274" i="104"/>
  <c r="R294" i="104"/>
  <c r="R266" i="104"/>
  <c r="R278" i="104"/>
  <c r="R275" i="104"/>
  <c r="R299" i="104"/>
  <c r="BL246" i="104"/>
  <c r="Q303" i="104"/>
  <c r="BK245" i="104"/>
  <c r="BL245" i="104" s="1"/>
  <c r="BG241" i="104"/>
  <c r="BH241" i="104" s="1"/>
  <c r="BI241" i="104" s="1"/>
  <c r="BJ241" i="104" s="1"/>
  <c r="BK241" i="104" s="1"/>
  <c r="BL241" i="104" s="1"/>
  <c r="BM241" i="104" s="1"/>
  <c r="BN241" i="104" s="1"/>
  <c r="BO241" i="104" s="1"/>
  <c r="BP241" i="104" s="1"/>
  <c r="BQ241" i="104" s="1"/>
  <c r="BE240" i="104"/>
  <c r="BG239" i="104"/>
  <c r="BH239" i="104" s="1"/>
  <c r="BC238" i="104"/>
  <c r="BC237" i="104"/>
  <c r="BD236" i="104"/>
  <c r="AY234" i="104"/>
  <c r="BB235" i="104"/>
  <c r="AW233" i="104"/>
  <c r="AX232" i="104"/>
  <c r="AS230" i="104"/>
  <c r="AW231" i="104"/>
  <c r="AO228" i="104"/>
  <c r="AR229" i="104"/>
  <c r="AN227" i="104"/>
  <c r="AL226" i="104"/>
  <c r="AO225" i="104"/>
  <c r="AJ224" i="104"/>
  <c r="AH222" i="104"/>
  <c r="AJ223" i="104"/>
  <c r="AJ221" i="104"/>
  <c r="AG220" i="104"/>
  <c r="AH220" i="104" s="1"/>
  <c r="AD219" i="104"/>
  <c r="AE217" i="104"/>
  <c r="AF217" i="104" s="1"/>
  <c r="AD218" i="104"/>
  <c r="AB216" i="104"/>
  <c r="AA215" i="104"/>
  <c r="AA213" i="104"/>
  <c r="AB213" i="104" s="1"/>
  <c r="Y214" i="104"/>
  <c r="W212" i="104"/>
  <c r="S209" i="104"/>
  <c r="W210" i="104"/>
  <c r="R208" i="104"/>
  <c r="T207" i="104"/>
  <c r="O206" i="104"/>
  <c r="O205" i="104"/>
  <c r="N204" i="104"/>
  <c r="O204" i="104" s="1"/>
  <c r="L203" i="104"/>
  <c r="J202" i="104"/>
  <c r="AD54" i="61"/>
  <c r="H303" i="104" l="1"/>
  <c r="J303" i="104"/>
  <c r="R303" i="104"/>
  <c r="M265" i="104"/>
  <c r="M277" i="104"/>
  <c r="M282" i="104"/>
  <c r="M260" i="104"/>
  <c r="M266" i="104"/>
  <c r="M291" i="104"/>
  <c r="M274" i="104"/>
  <c r="M270" i="104"/>
  <c r="M275" i="104"/>
  <c r="M264" i="104"/>
  <c r="M292" i="104"/>
  <c r="M302" i="104"/>
  <c r="M293" i="104"/>
  <c r="M294" i="104"/>
  <c r="M259" i="104"/>
  <c r="M299" i="104"/>
  <c r="M263" i="104"/>
  <c r="M261" i="104"/>
  <c r="M280" i="104"/>
  <c r="M298" i="104"/>
  <c r="M276" i="104"/>
  <c r="M300" i="104"/>
  <c r="M301" i="104"/>
  <c r="M258" i="104"/>
  <c r="M281" i="104"/>
  <c r="M287" i="104"/>
  <c r="M295" i="104"/>
  <c r="M283" i="104"/>
  <c r="M296" i="104"/>
  <c r="M268" i="104"/>
  <c r="M279" i="104"/>
  <c r="M278" i="104"/>
  <c r="M286" i="104"/>
  <c r="M285" i="104"/>
  <c r="M262" i="104"/>
  <c r="M267" i="104"/>
  <c r="M297" i="104"/>
  <c r="M289" i="104"/>
  <c r="M272" i="104"/>
  <c r="M269" i="104"/>
  <c r="M290" i="104"/>
  <c r="M273" i="104"/>
  <c r="M288" i="104"/>
  <c r="M284" i="104"/>
  <c r="M271" i="104"/>
  <c r="BM246" i="104"/>
  <c r="BN246" i="104" s="1"/>
  <c r="BO246" i="104" s="1"/>
  <c r="BP246" i="104" s="1"/>
  <c r="BQ246" i="104" s="1"/>
  <c r="BR246" i="104" s="1"/>
  <c r="BS246" i="104" s="1"/>
  <c r="BT246" i="104" s="1"/>
  <c r="BU246" i="104" s="1"/>
  <c r="BV246" i="104" s="1"/>
  <c r="BM245" i="104"/>
  <c r="BN245" i="104" s="1"/>
  <c r="BR241" i="104"/>
  <c r="BS241" i="104" s="1"/>
  <c r="BT241" i="104" s="1"/>
  <c r="BU241" i="104" s="1"/>
  <c r="BV241" i="104" s="1"/>
  <c r="BK242" i="104"/>
  <c r="BF240" i="104"/>
  <c r="BD238" i="104"/>
  <c r="BD237" i="104"/>
  <c r="BE236" i="104"/>
  <c r="AZ234" i="104"/>
  <c r="BC235" i="104"/>
  <c r="AX233" i="104"/>
  <c r="AY232" i="104"/>
  <c r="AT230" i="104"/>
  <c r="AX231" i="104"/>
  <c r="AY231" i="104" s="1"/>
  <c r="AZ231" i="104" s="1"/>
  <c r="BA231" i="104" s="1"/>
  <c r="BB231" i="104" s="1"/>
  <c r="BC231" i="104" s="1"/>
  <c r="BD231" i="104" s="1"/>
  <c r="BE231" i="104" s="1"/>
  <c r="AP228" i="104"/>
  <c r="AS229" i="104"/>
  <c r="AO227" i="104"/>
  <c r="AM226" i="104"/>
  <c r="AP225" i="104"/>
  <c r="AK224" i="104"/>
  <c r="AK223" i="104"/>
  <c r="AI222" i="104"/>
  <c r="AK221" i="104"/>
  <c r="AE219" i="104"/>
  <c r="AE218" i="104"/>
  <c r="AF218" i="104" s="1"/>
  <c r="AG217" i="104"/>
  <c r="AC216" i="104"/>
  <c r="AB215" i="104"/>
  <c r="Z214" i="104"/>
  <c r="AC213" i="104"/>
  <c r="X212" i="104"/>
  <c r="W211" i="104"/>
  <c r="T209" i="104"/>
  <c r="X210" i="104"/>
  <c r="S208" i="104"/>
  <c r="U207" i="104"/>
  <c r="P206" i="104"/>
  <c r="P205" i="104"/>
  <c r="P204" i="104"/>
  <c r="M203" i="104"/>
  <c r="N203" i="104" s="1"/>
  <c r="K202" i="104"/>
  <c r="H201" i="104"/>
  <c r="M107" i="105"/>
  <c r="M303" i="104" l="1"/>
  <c r="O271" i="104"/>
  <c r="O295" i="104"/>
  <c r="O274" i="104"/>
  <c r="O280" i="104"/>
  <c r="O291" i="104"/>
  <c r="O272" i="104"/>
  <c r="O301" i="104"/>
  <c r="O269" i="104"/>
  <c r="O285" i="104"/>
  <c r="O276" i="104"/>
  <c r="O288" i="104"/>
  <c r="O260" i="104"/>
  <c r="O292" i="104"/>
  <c r="O287" i="104"/>
  <c r="O281" i="104"/>
  <c r="O293" i="104"/>
  <c r="O266" i="104"/>
  <c r="O264" i="104"/>
  <c r="O265" i="104"/>
  <c r="O273" i="104"/>
  <c r="O296" i="104"/>
  <c r="O262" i="104"/>
  <c r="O258" i="104"/>
  <c r="O302" i="104"/>
  <c r="O298" i="104"/>
  <c r="O284" i="104"/>
  <c r="O259" i="104"/>
  <c r="O277" i="104"/>
  <c r="O268" i="104"/>
  <c r="O270" i="104"/>
  <c r="O289" i="104"/>
  <c r="O275" i="104"/>
  <c r="O300" i="104"/>
  <c r="O286" i="104"/>
  <c r="O279" i="104"/>
  <c r="O278" i="104"/>
  <c r="O297" i="104"/>
  <c r="O294" i="104"/>
  <c r="O299" i="104"/>
  <c r="O290" i="104"/>
  <c r="O261" i="104"/>
  <c r="O282" i="104"/>
  <c r="O283" i="104"/>
  <c r="O267" i="104"/>
  <c r="O263" i="104"/>
  <c r="BS247" i="104"/>
  <c r="BO245" i="104"/>
  <c r="BP245" i="104" s="1"/>
  <c r="T281" i="104"/>
  <c r="T279" i="104"/>
  <c r="T293" i="104"/>
  <c r="T267" i="104"/>
  <c r="T286" i="104"/>
  <c r="T280" i="104"/>
  <c r="T300" i="104"/>
  <c r="T302" i="104"/>
  <c r="T273" i="104"/>
  <c r="T295" i="104"/>
  <c r="T301" i="104"/>
  <c r="T299" i="104"/>
  <c r="T272" i="104"/>
  <c r="T275" i="104"/>
  <c r="T283" i="104"/>
  <c r="T278" i="104"/>
  <c r="T297" i="104"/>
  <c r="T258" i="104"/>
  <c r="T274" i="104"/>
  <c r="T268" i="104"/>
  <c r="T287" i="104"/>
  <c r="T264" i="104"/>
  <c r="T260" i="104"/>
  <c r="T290" i="104"/>
  <c r="T276" i="104"/>
  <c r="T270" i="104"/>
  <c r="T285" i="104"/>
  <c r="T259" i="104"/>
  <c r="T266" i="104"/>
  <c r="T294" i="104"/>
  <c r="T289" i="104"/>
  <c r="T261" i="104"/>
  <c r="T269" i="104"/>
  <c r="T298" i="104"/>
  <c r="T277" i="104"/>
  <c r="T265" i="104"/>
  <c r="T292" i="104"/>
  <c r="T288" i="104"/>
  <c r="T296" i="104"/>
  <c r="T263" i="104"/>
  <c r="T271" i="104"/>
  <c r="T291" i="104"/>
  <c r="T284" i="104"/>
  <c r="T262" i="104"/>
  <c r="T282" i="104"/>
  <c r="BL242" i="104"/>
  <c r="BG240" i="104"/>
  <c r="BH240" i="104" s="1"/>
  <c r="BI239" i="104"/>
  <c r="BE237" i="104"/>
  <c r="BE238" i="104"/>
  <c r="BF236" i="104"/>
  <c r="BD235" i="104"/>
  <c r="BE235" i="104" s="1"/>
  <c r="BA234" i="104"/>
  <c r="AY233" i="104"/>
  <c r="AZ232" i="104"/>
  <c r="AU230" i="104"/>
  <c r="AQ228" i="104"/>
  <c r="AP227" i="104"/>
  <c r="AN226" i="104"/>
  <c r="AQ225" i="104"/>
  <c r="AL223" i="104"/>
  <c r="AJ222" i="104"/>
  <c r="AL221" i="104"/>
  <c r="AI220" i="104"/>
  <c r="AF219" i="104"/>
  <c r="AH217" i="104"/>
  <c r="AG218" i="104"/>
  <c r="AC215" i="104"/>
  <c r="AD213" i="104"/>
  <c r="AA214" i="104"/>
  <c r="Y212" i="104"/>
  <c r="Z212" i="104" s="1"/>
  <c r="AA212" i="104" s="1"/>
  <c r="X211" i="104"/>
  <c r="U209" i="104"/>
  <c r="Y210" i="104"/>
  <c r="Z210" i="104" s="1"/>
  <c r="T208" i="104"/>
  <c r="V207" i="104"/>
  <c r="Q206" i="104"/>
  <c r="R206" i="104" s="1"/>
  <c r="S206" i="104" s="1"/>
  <c r="Q205" i="104"/>
  <c r="O203" i="104"/>
  <c r="J201" i="104"/>
  <c r="K201" i="104" s="1"/>
  <c r="L202" i="104"/>
  <c r="H200" i="104"/>
  <c r="M106" i="105"/>
  <c r="O303" i="104" l="1"/>
  <c r="BT247" i="104"/>
  <c r="BU247" i="104"/>
  <c r="BV247" i="104" s="1"/>
  <c r="BQ245" i="104"/>
  <c r="T303" i="104"/>
  <c r="BM242" i="104"/>
  <c r="BN242" i="104" s="1"/>
  <c r="BO242" i="104" s="1"/>
  <c r="BJ239" i="104"/>
  <c r="BF238" i="104"/>
  <c r="BF237" i="104"/>
  <c r="BG236" i="104"/>
  <c r="BB234" i="104"/>
  <c r="AZ233" i="104"/>
  <c r="BA232" i="104"/>
  <c r="AV230" i="104"/>
  <c r="AW230" i="104" s="1"/>
  <c r="AR228" i="104"/>
  <c r="AQ227" i="104"/>
  <c r="AO226" i="104"/>
  <c r="AR225" i="104"/>
  <c r="AL224" i="104"/>
  <c r="AM223" i="104"/>
  <c r="AK222" i="104"/>
  <c r="AM221" i="104"/>
  <c r="AJ220" i="104"/>
  <c r="AG219" i="104"/>
  <c r="AH218" i="104"/>
  <c r="AI217" i="104"/>
  <c r="AD216" i="104"/>
  <c r="AD215" i="104"/>
  <c r="AB214" i="104"/>
  <c r="AE213" i="104"/>
  <c r="AB212" i="104"/>
  <c r="Y211" i="104"/>
  <c r="V209" i="104"/>
  <c r="AA210" i="104"/>
  <c r="U208" i="104"/>
  <c r="W207" i="104"/>
  <c r="T206" i="104"/>
  <c r="R205" i="104"/>
  <c r="P203" i="104"/>
  <c r="Q203" i="104" s="1"/>
  <c r="Q204" i="104"/>
  <c r="L201" i="104"/>
  <c r="M202" i="104"/>
  <c r="J200" i="104"/>
  <c r="H199" i="104"/>
  <c r="J199" i="104" s="1"/>
  <c r="M105" i="105"/>
  <c r="N299" i="104" l="1"/>
  <c r="N280" i="104"/>
  <c r="N269" i="104"/>
  <c r="N301" i="104"/>
  <c r="N294" i="104"/>
  <c r="N260" i="104"/>
  <c r="N293" i="104"/>
  <c r="N295" i="104"/>
  <c r="N278" i="104"/>
  <c r="N265" i="104"/>
  <c r="N270" i="104"/>
  <c r="N281" i="104"/>
  <c r="N289" i="104"/>
  <c r="N262" i="104"/>
  <c r="N292" i="104"/>
  <c r="N279" i="104"/>
  <c r="N283" i="104"/>
  <c r="N277" i="104"/>
  <c r="N268" i="104"/>
  <c r="N266" i="104"/>
  <c r="N258" i="104"/>
  <c r="N290" i="104"/>
  <c r="N273" i="104"/>
  <c r="N296" i="104"/>
  <c r="N272" i="104"/>
  <c r="N297" i="104"/>
  <c r="N261" i="104"/>
  <c r="N302" i="104"/>
  <c r="N288" i="104"/>
  <c r="N291" i="104"/>
  <c r="N276" i="104"/>
  <c r="N263" i="104"/>
  <c r="N267" i="104"/>
  <c r="N275" i="104"/>
  <c r="N274" i="104"/>
  <c r="N282" i="104"/>
  <c r="N287" i="104"/>
  <c r="N285" i="104"/>
  <c r="N286" i="104"/>
  <c r="N298" i="104"/>
  <c r="N271" i="104"/>
  <c r="N259" i="104"/>
  <c r="N284" i="104"/>
  <c r="N300" i="104"/>
  <c r="N264" i="104"/>
  <c r="BR245" i="104"/>
  <c r="BS245" i="104" s="1"/>
  <c r="BT245" i="104" s="1"/>
  <c r="BP242" i="104"/>
  <c r="BQ242" i="104" s="1"/>
  <c r="BR242" i="104" s="1"/>
  <c r="BS242" i="104" s="1"/>
  <c r="BT242" i="104" s="1"/>
  <c r="BU242" i="104" s="1"/>
  <c r="BV242" i="104" s="1"/>
  <c r="BI240" i="104"/>
  <c r="BK239" i="104"/>
  <c r="BG237" i="104"/>
  <c r="BG238" i="104"/>
  <c r="BH236" i="104"/>
  <c r="BC234" i="104"/>
  <c r="BF235" i="104"/>
  <c r="BA233" i="104"/>
  <c r="BB232" i="104"/>
  <c r="AX230" i="104"/>
  <c r="AS228" i="104"/>
  <c r="AT229" i="104"/>
  <c r="AR227" i="104"/>
  <c r="AP226" i="104"/>
  <c r="AS225" i="104"/>
  <c r="AM224" i="104"/>
  <c r="AN223" i="104"/>
  <c r="AL222" i="104"/>
  <c r="AN221" i="104"/>
  <c r="AK220" i="104"/>
  <c r="AH219" i="104"/>
  <c r="AJ217" i="104"/>
  <c r="AI218" i="104"/>
  <c r="AE216" i="104"/>
  <c r="AF216" i="104" s="1"/>
  <c r="AE215" i="104"/>
  <c r="AF213" i="104"/>
  <c r="AC214" i="104"/>
  <c r="AC212" i="104"/>
  <c r="Z211" i="104"/>
  <c r="W209" i="104"/>
  <c r="AB210" i="104"/>
  <c r="V208" i="104"/>
  <c r="X207" i="104"/>
  <c r="U206" i="104"/>
  <c r="S205" i="104"/>
  <c r="T205" i="104" s="1"/>
  <c r="U205" i="104" s="1"/>
  <c r="R203" i="104"/>
  <c r="S203" i="104" s="1"/>
  <c r="R204" i="104"/>
  <c r="N202" i="104"/>
  <c r="M201" i="104"/>
  <c r="K200" i="104"/>
  <c r="K199" i="104"/>
  <c r="H198" i="104"/>
  <c r="M104" i="105"/>
  <c r="N303" i="104" l="1"/>
  <c r="BU245" i="104"/>
  <c r="BV245" i="104" s="1"/>
  <c r="S301" i="104"/>
  <c r="S261" i="104"/>
  <c r="S302" i="104"/>
  <c r="S291" i="104"/>
  <c r="S268" i="104"/>
  <c r="S293" i="104"/>
  <c r="S272" i="104"/>
  <c r="S275" i="104"/>
  <c r="S262" i="104"/>
  <c r="S265" i="104"/>
  <c r="S297" i="104"/>
  <c r="S264" i="104"/>
  <c r="S266" i="104"/>
  <c r="S294" i="104"/>
  <c r="S283" i="104"/>
  <c r="S296" i="104"/>
  <c r="S286" i="104"/>
  <c r="S284" i="104"/>
  <c r="S258" i="104"/>
  <c r="S263" i="104"/>
  <c r="S277" i="104"/>
  <c r="S288" i="104"/>
  <c r="S259" i="104"/>
  <c r="S281" i="104"/>
  <c r="S292" i="104"/>
  <c r="S260" i="104"/>
  <c r="S299" i="104"/>
  <c r="S267" i="104"/>
  <c r="S278" i="104"/>
  <c r="S285" i="104"/>
  <c r="S280" i="104"/>
  <c r="S274" i="104"/>
  <c r="S269" i="104"/>
  <c r="S287" i="104"/>
  <c r="S300" i="104"/>
  <c r="S298" i="104"/>
  <c r="S282" i="104"/>
  <c r="S290" i="104"/>
  <c r="S289" i="104"/>
  <c r="S279" i="104"/>
  <c r="S276" i="104"/>
  <c r="S271" i="104"/>
  <c r="S270" i="104"/>
  <c r="S295" i="104"/>
  <c r="S273" i="104"/>
  <c r="BJ240" i="104"/>
  <c r="BK240" i="104" s="1"/>
  <c r="BL239" i="104"/>
  <c r="BM239" i="104" s="1"/>
  <c r="BH237" i="104"/>
  <c r="BI236" i="104"/>
  <c r="BG235" i="104"/>
  <c r="BH235" i="104" s="1"/>
  <c r="BI235" i="104" s="1"/>
  <c r="BJ235" i="104" s="1"/>
  <c r="BK235" i="104" s="1"/>
  <c r="BL235" i="104" s="1"/>
  <c r="BM235" i="104" s="1"/>
  <c r="BN235" i="104" s="1"/>
  <c r="BO235" i="104" s="1"/>
  <c r="BD234" i="104"/>
  <c r="BB233" i="104"/>
  <c r="BC232" i="104"/>
  <c r="AY230" i="104"/>
  <c r="AU229" i="104"/>
  <c r="AT228" i="104"/>
  <c r="AS227" i="104"/>
  <c r="AQ226" i="104"/>
  <c r="AT225" i="104"/>
  <c r="AN224" i="104"/>
  <c r="AO223" i="104"/>
  <c r="AM222" i="104"/>
  <c r="AO221" i="104"/>
  <c r="AL220" i="104"/>
  <c r="AI219" i="104"/>
  <c r="AJ219" i="104" s="1"/>
  <c r="AK217" i="104"/>
  <c r="AJ218" i="104"/>
  <c r="AG216" i="104"/>
  <c r="AF215" i="104"/>
  <c r="AD214" i="104"/>
  <c r="AG213" i="104"/>
  <c r="AD212" i="104"/>
  <c r="AA211" i="104"/>
  <c r="AB211" i="104" s="1"/>
  <c r="X209" i="104"/>
  <c r="AC210" i="104"/>
  <c r="W208" i="104"/>
  <c r="Y207" i="104"/>
  <c r="V206" i="104"/>
  <c r="V205" i="104"/>
  <c r="S204" i="104"/>
  <c r="O202" i="104"/>
  <c r="N201" i="104"/>
  <c r="O201" i="104" s="1"/>
  <c r="L200" i="104"/>
  <c r="L199" i="104"/>
  <c r="J198" i="104"/>
  <c r="H197" i="104"/>
  <c r="J197" i="104" s="1"/>
  <c r="M103" i="105"/>
  <c r="P291" i="104" l="1"/>
  <c r="P275" i="104"/>
  <c r="P259" i="104"/>
  <c r="P302" i="104"/>
  <c r="P286" i="104"/>
  <c r="P270" i="104"/>
  <c r="P296" i="104"/>
  <c r="P301" i="104"/>
  <c r="P285" i="104"/>
  <c r="P292" i="104"/>
  <c r="P281" i="104"/>
  <c r="P280" i="104"/>
  <c r="P283" i="104"/>
  <c r="P272" i="104"/>
  <c r="P278" i="104"/>
  <c r="P293" i="104"/>
  <c r="P277" i="104"/>
  <c r="P287" i="104"/>
  <c r="P271" i="104"/>
  <c r="P284" i="104"/>
  <c r="P298" i="104"/>
  <c r="P282" i="104"/>
  <c r="P266" i="104"/>
  <c r="P288" i="104"/>
  <c r="P295" i="104"/>
  <c r="P279" i="104"/>
  <c r="P263" i="104"/>
  <c r="P260" i="104"/>
  <c r="P290" i="104"/>
  <c r="P274" i="104"/>
  <c r="P258" i="104"/>
  <c r="P264" i="104"/>
  <c r="P289" i="104"/>
  <c r="P273" i="104"/>
  <c r="P300" i="104"/>
  <c r="P269" i="104"/>
  <c r="P297" i="104"/>
  <c r="P265" i="104"/>
  <c r="P299" i="104"/>
  <c r="P267" i="104"/>
  <c r="P294" i="104"/>
  <c r="P262" i="104"/>
  <c r="P276" i="104"/>
  <c r="P261" i="104"/>
  <c r="P268" i="104"/>
  <c r="BI237" i="104"/>
  <c r="BH238" i="104"/>
  <c r="BJ236" i="104"/>
  <c r="BK236" i="104" s="1"/>
  <c r="BL236" i="104" s="1"/>
  <c r="BM236" i="104" s="1"/>
  <c r="BN236" i="104" s="1"/>
  <c r="BO236" i="104" s="1"/>
  <c r="BP236" i="104" s="1"/>
  <c r="BP235" i="104"/>
  <c r="BQ235" i="104" s="1"/>
  <c r="BE234" i="104"/>
  <c r="BC233" i="104"/>
  <c r="BD232" i="104"/>
  <c r="AZ230" i="104"/>
  <c r="AU228" i="104"/>
  <c r="AV229" i="104"/>
  <c r="AT227" i="104"/>
  <c r="AR226" i="104"/>
  <c r="AU225" i="104"/>
  <c r="AO224" i="104"/>
  <c r="AP223" i="104"/>
  <c r="AN222" i="104"/>
  <c r="AP221" i="104"/>
  <c r="AM220" i="104"/>
  <c r="AK219" i="104"/>
  <c r="AK218" i="104"/>
  <c r="AG215" i="104"/>
  <c r="AH213" i="104"/>
  <c r="AE214" i="104"/>
  <c r="AF214" i="104" s="1"/>
  <c r="AE212" i="104"/>
  <c r="Y209" i="104"/>
  <c r="AD210" i="104"/>
  <c r="X208" i="104"/>
  <c r="Y208" i="104" s="1"/>
  <c r="Z207" i="104"/>
  <c r="W206" i="104"/>
  <c r="W205" i="104"/>
  <c r="X205" i="104" s="1"/>
  <c r="T204" i="104"/>
  <c r="T203" i="104"/>
  <c r="P202" i="104"/>
  <c r="P201" i="104"/>
  <c r="Q201" i="104" s="1"/>
  <c r="R201" i="104" s="1"/>
  <c r="S201" i="104" s="1"/>
  <c r="M200" i="104"/>
  <c r="N200" i="104" s="1"/>
  <c r="M199" i="104"/>
  <c r="K198" i="104"/>
  <c r="K197" i="104"/>
  <c r="H196" i="104"/>
  <c r="M102" i="105"/>
  <c r="P303" i="104" l="1"/>
  <c r="BL240" i="104"/>
  <c r="BN239" i="104"/>
  <c r="BO239" i="104" s="1"/>
  <c r="BI238" i="104"/>
  <c r="BJ238" i="104" s="1"/>
  <c r="BK238" i="104" s="1"/>
  <c r="BL238" i="104" s="1"/>
  <c r="BM238" i="104" s="1"/>
  <c r="BN238" i="104" s="1"/>
  <c r="BO238" i="104" s="1"/>
  <c r="BP238" i="104" s="1"/>
  <c r="BQ238" i="104" s="1"/>
  <c r="BR238" i="104" s="1"/>
  <c r="BS238" i="104" s="1"/>
  <c r="BJ237" i="104"/>
  <c r="BQ236" i="104"/>
  <c r="BR236" i="104" s="1"/>
  <c r="BS236" i="104" s="1"/>
  <c r="BT236" i="104" s="1"/>
  <c r="BU236" i="104" s="1"/>
  <c r="BF234" i="104"/>
  <c r="BD233" i="104"/>
  <c r="BE232" i="104"/>
  <c r="BA230" i="104"/>
  <c r="AV228" i="104"/>
  <c r="AW229" i="104"/>
  <c r="AU227" i="104"/>
  <c r="AS226" i="104"/>
  <c r="AV225" i="104"/>
  <c r="AP224" i="104"/>
  <c r="AQ223" i="104"/>
  <c r="AO222" i="104"/>
  <c r="AQ221" i="104"/>
  <c r="AN220" i="104"/>
  <c r="AL219" i="104"/>
  <c r="AL218" i="104"/>
  <c r="AL217" i="104"/>
  <c r="AH216" i="104"/>
  <c r="AH215" i="104"/>
  <c r="AG214" i="104"/>
  <c r="AI213" i="104"/>
  <c r="AF212" i="104"/>
  <c r="AC211" i="104"/>
  <c r="Z209" i="104"/>
  <c r="AE210" i="104"/>
  <c r="Z208" i="104"/>
  <c r="AA208" i="104" s="1"/>
  <c r="AB208" i="104" s="1"/>
  <c r="AA207" i="104"/>
  <c r="X206" i="104"/>
  <c r="Y205" i="104"/>
  <c r="Z205" i="104" s="1"/>
  <c r="U204" i="104"/>
  <c r="O200" i="104"/>
  <c r="P200" i="104" s="1"/>
  <c r="U203" i="104"/>
  <c r="T201" i="104"/>
  <c r="Q202" i="104"/>
  <c r="N199" i="104"/>
  <c r="L198" i="104"/>
  <c r="L197" i="104"/>
  <c r="J196" i="104"/>
  <c r="K196" i="104" s="1"/>
  <c r="L196" i="104" s="1"/>
  <c r="H195" i="104"/>
  <c r="J195" i="104" s="1"/>
  <c r="AJ161" i="61"/>
  <c r="AJ160" i="61"/>
  <c r="AJ159" i="61"/>
  <c r="AJ158" i="61"/>
  <c r="AJ157" i="61"/>
  <c r="AJ156" i="61"/>
  <c r="AJ155" i="61"/>
  <c r="AJ154" i="61"/>
  <c r="AJ153" i="61"/>
  <c r="AJ152" i="61"/>
  <c r="M101" i="105"/>
  <c r="BM240" i="104" l="1"/>
  <c r="BN240" i="104" s="1"/>
  <c r="BP239" i="104"/>
  <c r="BQ239" i="104" s="1"/>
  <c r="BT238" i="104"/>
  <c r="BU238" i="104" s="1"/>
  <c r="BK237" i="104"/>
  <c r="BL237" i="104" s="1"/>
  <c r="BM237" i="104" s="1"/>
  <c r="BN237" i="104" s="1"/>
  <c r="BO237" i="104" s="1"/>
  <c r="BP237" i="104" s="1"/>
  <c r="BQ237" i="104" s="1"/>
  <c r="BR237" i="104" s="1"/>
  <c r="BS237" i="104" s="1"/>
  <c r="BT237" i="104" s="1"/>
  <c r="BU237" i="104" s="1"/>
  <c r="BV237" i="104" s="1"/>
  <c r="BV236" i="104"/>
  <c r="BG234" i="104"/>
  <c r="BH234" i="104" s="1"/>
  <c r="BI234" i="104" s="1"/>
  <c r="BJ234" i="104" s="1"/>
  <c r="BK234" i="104" s="1"/>
  <c r="BL234" i="104" s="1"/>
  <c r="BM234" i="104" s="1"/>
  <c r="BN234" i="104" s="1"/>
  <c r="BO234" i="104" s="1"/>
  <c r="BP234" i="104" s="1"/>
  <c r="BQ234" i="104" s="1"/>
  <c r="BR234" i="104" s="1"/>
  <c r="BE233" i="104"/>
  <c r="BF232" i="104"/>
  <c r="BB230" i="104"/>
  <c r="AX229" i="104"/>
  <c r="AW228" i="104"/>
  <c r="AV227" i="104"/>
  <c r="AT226" i="104"/>
  <c r="AW225" i="104"/>
  <c r="AQ224" i="104"/>
  <c r="AR223" i="104"/>
  <c r="AS223" i="104" s="1"/>
  <c r="AP222" i="104"/>
  <c r="AR221" i="104"/>
  <c r="AO220" i="104"/>
  <c r="AM219" i="104"/>
  <c r="AM218" i="104"/>
  <c r="AN218" i="104" s="1"/>
  <c r="AM217" i="104"/>
  <c r="AN217" i="104" s="1"/>
  <c r="AI216" i="104"/>
  <c r="AJ216" i="104" s="1"/>
  <c r="AK216" i="104" s="1"/>
  <c r="AI215" i="104"/>
  <c r="AH214" i="104"/>
  <c r="AJ213" i="104"/>
  <c r="AG212" i="104"/>
  <c r="AD211" i="104"/>
  <c r="AF210" i="104"/>
  <c r="AA209" i="104"/>
  <c r="AC208" i="104"/>
  <c r="AB207" i="104"/>
  <c r="Y206" i="104"/>
  <c r="AA205" i="104"/>
  <c r="AB205" i="104" s="1"/>
  <c r="AC205" i="104" s="1"/>
  <c r="AD205" i="104" s="1"/>
  <c r="AE205" i="104" s="1"/>
  <c r="AF205" i="104" s="1"/>
  <c r="AG205" i="104" s="1"/>
  <c r="V204" i="104"/>
  <c r="V203" i="104"/>
  <c r="Q200" i="104"/>
  <c r="R200" i="104" s="1"/>
  <c r="R202" i="104"/>
  <c r="O199" i="104"/>
  <c r="M197" i="104"/>
  <c r="M198" i="104"/>
  <c r="M196" i="104"/>
  <c r="N196" i="104" s="1"/>
  <c r="K195" i="104"/>
  <c r="AD63" i="61"/>
  <c r="AJ162" i="61"/>
  <c r="AK158" i="61" s="1"/>
  <c r="H194" i="104"/>
  <c r="AD68" i="61"/>
  <c r="AD67" i="61"/>
  <c r="AD66" i="61"/>
  <c r="AD65" i="61"/>
  <c r="AD64" i="61"/>
  <c r="AD57" i="61"/>
  <c r="AD56" i="61"/>
  <c r="AD50" i="61"/>
  <c r="AD49" i="61"/>
  <c r="AD48" i="61"/>
  <c r="AD47" i="61"/>
  <c r="AD46" i="61"/>
  <c r="AD45" i="61"/>
  <c r="M100" i="105"/>
  <c r="BO240" i="104" l="1"/>
  <c r="BR239" i="104"/>
  <c r="BS239" i="104" s="1"/>
  <c r="BT239" i="104" s="1"/>
  <c r="X299" i="104"/>
  <c r="X260" i="104"/>
  <c r="X258" i="104"/>
  <c r="X264" i="104"/>
  <c r="X278" i="104"/>
  <c r="X296" i="104"/>
  <c r="X266" i="104"/>
  <c r="X300" i="104"/>
  <c r="X262" i="104"/>
  <c r="X261" i="104"/>
  <c r="X270" i="104"/>
  <c r="X280" i="104"/>
  <c r="X285" i="104"/>
  <c r="X263" i="104"/>
  <c r="X281" i="104"/>
  <c r="X268" i="104"/>
  <c r="X273" i="104"/>
  <c r="X288" i="104"/>
  <c r="X292" i="104"/>
  <c r="X276" i="104"/>
  <c r="X283" i="104"/>
  <c r="X289" i="104"/>
  <c r="X282" i="104"/>
  <c r="X293" i="104"/>
  <c r="X287" i="104"/>
  <c r="X294" i="104"/>
  <c r="X295" i="104"/>
  <c r="X302" i="104"/>
  <c r="X267" i="104"/>
  <c r="X290" i="104"/>
  <c r="X275" i="104"/>
  <c r="X259" i="104"/>
  <c r="X284" i="104"/>
  <c r="X272" i="104"/>
  <c r="X274" i="104"/>
  <c r="X301" i="104"/>
  <c r="X279" i="104"/>
  <c r="X265" i="104"/>
  <c r="X297" i="104"/>
  <c r="X277" i="104"/>
  <c r="X291" i="104"/>
  <c r="X271" i="104"/>
  <c r="X286" i="104"/>
  <c r="X269" i="104"/>
  <c r="X298" i="104"/>
  <c r="Y274" i="104"/>
  <c r="Y260" i="104"/>
  <c r="Y263" i="104"/>
  <c r="Y270" i="104"/>
  <c r="Y282" i="104"/>
  <c r="Y265" i="104"/>
  <c r="Y290" i="104"/>
  <c r="Y292" i="104"/>
  <c r="Y276" i="104"/>
  <c r="Y279" i="104"/>
  <c r="Y301" i="104"/>
  <c r="Y275" i="104"/>
  <c r="Y267" i="104"/>
  <c r="Y278" i="104"/>
  <c r="Y293" i="104"/>
  <c r="Y298" i="104"/>
  <c r="Y277" i="104"/>
  <c r="Y283" i="104"/>
  <c r="Y299" i="104"/>
  <c r="Y291" i="104"/>
  <c r="Y294" i="104"/>
  <c r="Y302" i="104"/>
  <c r="Y271" i="104"/>
  <c r="Y273" i="104"/>
  <c r="Y296" i="104"/>
  <c r="Y297" i="104"/>
  <c r="Y280" i="104"/>
  <c r="Y269" i="104"/>
  <c r="Y300" i="104"/>
  <c r="Y289" i="104"/>
  <c r="Y281" i="104"/>
  <c r="Y295" i="104"/>
  <c r="Y258" i="104"/>
  <c r="Y287" i="104"/>
  <c r="Y264" i="104"/>
  <c r="Y285" i="104"/>
  <c r="Y266" i="104"/>
  <c r="Y268" i="104"/>
  <c r="Y284" i="104"/>
  <c r="Y272" i="104"/>
  <c r="Y286" i="104"/>
  <c r="Y261" i="104"/>
  <c r="Y259" i="104"/>
  <c r="Y288" i="104"/>
  <c r="Y262" i="104"/>
  <c r="BS234" i="104"/>
  <c r="BT234" i="104" s="1"/>
  <c r="BF233" i="104"/>
  <c r="BG233" i="104" s="1"/>
  <c r="BH233" i="104" s="1"/>
  <c r="BI233" i="104" s="1"/>
  <c r="BJ233" i="104" s="1"/>
  <c r="BK233" i="104" s="1"/>
  <c r="BL233" i="104" s="1"/>
  <c r="BM233" i="104" s="1"/>
  <c r="BN233" i="104" s="1"/>
  <c r="BG232" i="104"/>
  <c r="BC230" i="104"/>
  <c r="BF231" i="104"/>
  <c r="AX228" i="104"/>
  <c r="AY229" i="104"/>
  <c r="AW227" i="104"/>
  <c r="AX227" i="104" s="1"/>
  <c r="AY227" i="104" s="1"/>
  <c r="AU226" i="104"/>
  <c r="AV226" i="104" s="1"/>
  <c r="AX225" i="104"/>
  <c r="AR224" i="104"/>
  <c r="AQ222" i="104"/>
  <c r="AT223" i="104"/>
  <c r="AS221" i="104"/>
  <c r="AP220" i="104"/>
  <c r="AN219" i="104"/>
  <c r="AO218" i="104"/>
  <c r="AO217" i="104"/>
  <c r="AJ215" i="104"/>
  <c r="AK213" i="104"/>
  <c r="AI214" i="104"/>
  <c r="AH212" i="104"/>
  <c r="AE211" i="104"/>
  <c r="AG210" i="104"/>
  <c r="AB209" i="104"/>
  <c r="AD208" i="104"/>
  <c r="AC207" i="104"/>
  <c r="Z206" i="104"/>
  <c r="AH205" i="104"/>
  <c r="W204" i="104"/>
  <c r="W203" i="104"/>
  <c r="S202" i="104"/>
  <c r="S200" i="104"/>
  <c r="T200" i="104" s="1"/>
  <c r="P199" i="104"/>
  <c r="N198" i="104"/>
  <c r="O198" i="104" s="1"/>
  <c r="O196" i="104"/>
  <c r="P196" i="104" s="1"/>
  <c r="N197" i="104"/>
  <c r="L195" i="104"/>
  <c r="M195" i="104" s="1"/>
  <c r="J194" i="104"/>
  <c r="AK151" i="61"/>
  <c r="AK155" i="61"/>
  <c r="AK159" i="61"/>
  <c r="AK152" i="61"/>
  <c r="AK156" i="61"/>
  <c r="AK160" i="61"/>
  <c r="AK153" i="61"/>
  <c r="AK157" i="61"/>
  <c r="AK161" i="61"/>
  <c r="AK154" i="61"/>
  <c r="AG4" i="98"/>
  <c r="AG10" i="98"/>
  <c r="AG9" i="98"/>
  <c r="AG8" i="98"/>
  <c r="AG7" i="98"/>
  <c r="AG6" i="98"/>
  <c r="H193" i="104"/>
  <c r="M99" i="105"/>
  <c r="BP240" i="104" l="1"/>
  <c r="BQ240" i="104" s="1"/>
  <c r="BR240" i="104" s="1"/>
  <c r="BS240" i="104" s="1"/>
  <c r="BT240" i="104" s="1"/>
  <c r="BU239" i="104"/>
  <c r="BV239" i="104" s="1"/>
  <c r="V258" i="104" s="1"/>
  <c r="BU234" i="104"/>
  <c r="BV234" i="104" s="1"/>
  <c r="X303" i="104"/>
  <c r="Y303" i="104"/>
  <c r="AA269" i="104"/>
  <c r="BR235" i="104"/>
  <c r="BO233" i="104"/>
  <c r="BP233" i="104" s="1"/>
  <c r="BH232" i="104"/>
  <c r="BD230" i="104"/>
  <c r="BG231" i="104"/>
  <c r="AY228" i="104"/>
  <c r="AZ229" i="104"/>
  <c r="AZ227" i="104"/>
  <c r="AW226" i="104"/>
  <c r="AY225" i="104"/>
  <c r="AS224" i="104"/>
  <c r="AU223" i="104"/>
  <c r="AR222" i="104"/>
  <c r="AT221" i="104"/>
  <c r="AQ220" i="104"/>
  <c r="AO219" i="104"/>
  <c r="AP217" i="104"/>
  <c r="AK215" i="104"/>
  <c r="AL213" i="104"/>
  <c r="AJ214" i="104"/>
  <c r="AI212" i="104"/>
  <c r="AF211" i="104"/>
  <c r="AH210" i="104"/>
  <c r="AC209" i="104"/>
  <c r="AD207" i="104"/>
  <c r="AE207" i="104" s="1"/>
  <c r="AF207" i="104" s="1"/>
  <c r="AA206" i="104"/>
  <c r="X204" i="104"/>
  <c r="X203" i="104"/>
  <c r="T202" i="104"/>
  <c r="U202" i="104" s="1"/>
  <c r="U201" i="104"/>
  <c r="V201" i="104" s="1"/>
  <c r="U200" i="104"/>
  <c r="V200" i="104" s="1"/>
  <c r="Q199" i="104"/>
  <c r="R199" i="104" s="1"/>
  <c r="P198" i="104"/>
  <c r="O197" i="104"/>
  <c r="Q196" i="104"/>
  <c r="N195" i="104"/>
  <c r="O195" i="104" s="1"/>
  <c r="K194" i="104"/>
  <c r="AK162" i="61"/>
  <c r="AG11" i="98"/>
  <c r="AH7" i="98" s="1"/>
  <c r="J193" i="104"/>
  <c r="H192" i="104"/>
  <c r="M98" i="105"/>
  <c r="AA298" i="104" l="1"/>
  <c r="AA272" i="104"/>
  <c r="AA282" i="104"/>
  <c r="AA283" i="104"/>
  <c r="AA295" i="104"/>
  <c r="AA279" i="104"/>
  <c r="AA273" i="104"/>
  <c r="AA299" i="104"/>
  <c r="AA266" i="104"/>
  <c r="AA268" i="104"/>
  <c r="AA293" i="104"/>
  <c r="AA270" i="104"/>
  <c r="AA291" i="104"/>
  <c r="AA260" i="104"/>
  <c r="AA284" i="104"/>
  <c r="AA267" i="104"/>
  <c r="AA264" i="104"/>
  <c r="AA294" i="104"/>
  <c r="AA285" i="104"/>
  <c r="AA265" i="104"/>
  <c r="AA258" i="104"/>
  <c r="AA300" i="104"/>
  <c r="AA280" i="104"/>
  <c r="AA275" i="104"/>
  <c r="AA261" i="104"/>
  <c r="AA263" i="104"/>
  <c r="AA277" i="104"/>
  <c r="AA301" i="104"/>
  <c r="AA276" i="104"/>
  <c r="AA296" i="104"/>
  <c r="AA259" i="104"/>
  <c r="AA297" i="104"/>
  <c r="AA274" i="104"/>
  <c r="AA302" i="104"/>
  <c r="AA288" i="104"/>
  <c r="AA286" i="104"/>
  <c r="AA271" i="104"/>
  <c r="AA262" i="104"/>
  <c r="AA281" i="104"/>
  <c r="AA287" i="104"/>
  <c r="AA278" i="104"/>
  <c r="AA289" i="104"/>
  <c r="AA290" i="104"/>
  <c r="AA292" i="104"/>
  <c r="V287" i="104"/>
  <c r="V294" i="104"/>
  <c r="V268" i="104"/>
  <c r="V262" i="104"/>
  <c r="V272" i="104"/>
  <c r="V297" i="104"/>
  <c r="V289" i="104"/>
  <c r="V273" i="104"/>
  <c r="V280" i="104"/>
  <c r="V292" i="104"/>
  <c r="V277" i="104"/>
  <c r="V276" i="104"/>
  <c r="V261" i="104"/>
  <c r="V260" i="104"/>
  <c r="V298" i="104"/>
  <c r="V259" i="104"/>
  <c r="V286" i="104"/>
  <c r="V302" i="104"/>
  <c r="V296" i="104"/>
  <c r="V301" i="104"/>
  <c r="V265" i="104"/>
  <c r="V264" i="104"/>
  <c r="V300" i="104"/>
  <c r="V293" i="104"/>
  <c r="V284" i="104"/>
  <c r="V274" i="104"/>
  <c r="V270" i="104"/>
  <c r="V291" i="104"/>
  <c r="V278" i="104"/>
  <c r="V299" i="104"/>
  <c r="V283" i="104"/>
  <c r="V275" i="104"/>
  <c r="V295" i="104"/>
  <c r="V281" i="104"/>
  <c r="V269" i="104"/>
  <c r="V266" i="104"/>
  <c r="V282" i="104"/>
  <c r="V290" i="104"/>
  <c r="V285" i="104"/>
  <c r="V279" i="104"/>
  <c r="V288" i="104"/>
  <c r="V263" i="104"/>
  <c r="V271" i="104"/>
  <c r="V267" i="104"/>
  <c r="BU240" i="104"/>
  <c r="BV240" i="104" s="1"/>
  <c r="BS235" i="104"/>
  <c r="BT235" i="104" s="1"/>
  <c r="BU235" i="104" s="1"/>
  <c r="BQ233" i="104"/>
  <c r="BR233" i="104" s="1"/>
  <c r="BI232" i="104"/>
  <c r="BJ232" i="104" s="1"/>
  <c r="BK232" i="104" s="1"/>
  <c r="BL232" i="104" s="1"/>
  <c r="BM232" i="104" s="1"/>
  <c r="BN232" i="104" s="1"/>
  <c r="BO232" i="104" s="1"/>
  <c r="BP232" i="104" s="1"/>
  <c r="BQ232" i="104" s="1"/>
  <c r="BR232" i="104" s="1"/>
  <c r="BS232" i="104" s="1"/>
  <c r="BT232" i="104" s="1"/>
  <c r="BH231" i="104"/>
  <c r="BE230" i="104"/>
  <c r="AZ228" i="104"/>
  <c r="BA229" i="104"/>
  <c r="BA227" i="104"/>
  <c r="AX226" i="104"/>
  <c r="AZ225" i="104"/>
  <c r="AT224" i="104"/>
  <c r="AS222" i="104"/>
  <c r="AV223" i="104"/>
  <c r="AU221" i="104"/>
  <c r="AR220" i="104"/>
  <c r="AP219" i="104"/>
  <c r="AQ217" i="104"/>
  <c r="AL216" i="104"/>
  <c r="AL215" i="104"/>
  <c r="AM213" i="104"/>
  <c r="AN213" i="104" s="1"/>
  <c r="AO213" i="104" s="1"/>
  <c r="AK214" i="104"/>
  <c r="AJ212" i="104"/>
  <c r="AG211" i="104"/>
  <c r="AD209" i="104"/>
  <c r="AI210" i="104"/>
  <c r="AG207" i="104"/>
  <c r="AB206" i="104"/>
  <c r="Y204" i="104"/>
  <c r="Y203" i="104"/>
  <c r="V202" i="104"/>
  <c r="W200" i="104"/>
  <c r="S199" i="104"/>
  <c r="Q198" i="104"/>
  <c r="P197" i="104"/>
  <c r="R196" i="104"/>
  <c r="AH10" i="98"/>
  <c r="AH5" i="98"/>
  <c r="K193" i="104"/>
  <c r="L193" i="104" s="1"/>
  <c r="P195" i="104"/>
  <c r="L194" i="104"/>
  <c r="M194" i="104" s="1"/>
  <c r="AH8" i="98"/>
  <c r="AH6" i="98"/>
  <c r="AH4" i="98"/>
  <c r="AH9" i="98"/>
  <c r="J192" i="104"/>
  <c r="H191" i="104"/>
  <c r="M97" i="105"/>
  <c r="AA303" i="104" l="1"/>
  <c r="U290" i="104"/>
  <c r="U268" i="104"/>
  <c r="U302" i="104"/>
  <c r="U264" i="104"/>
  <c r="U265" i="104"/>
  <c r="U292" i="104"/>
  <c r="U273" i="104"/>
  <c r="U281" i="104"/>
  <c r="U274" i="104"/>
  <c r="U260" i="104"/>
  <c r="U276" i="104"/>
  <c r="U272" i="104"/>
  <c r="U300" i="104"/>
  <c r="U269" i="104"/>
  <c r="U296" i="104"/>
  <c r="U284" i="104"/>
  <c r="U270" i="104"/>
  <c r="U288" i="104"/>
  <c r="U289" i="104"/>
  <c r="U280" i="104"/>
  <c r="U258" i="104"/>
  <c r="U301" i="104"/>
  <c r="U286" i="104"/>
  <c r="U261" i="104"/>
  <c r="U277" i="104"/>
  <c r="U291" i="104"/>
  <c r="U298" i="104"/>
  <c r="U262" i="104"/>
  <c r="U294" i="104"/>
  <c r="U279" i="104"/>
  <c r="U267" i="104"/>
  <c r="U278" i="104"/>
  <c r="U263" i="104"/>
  <c r="U282" i="104"/>
  <c r="U275" i="104"/>
  <c r="U285" i="104"/>
  <c r="U271" i="104"/>
  <c r="U295" i="104"/>
  <c r="U266" i="104"/>
  <c r="U297" i="104"/>
  <c r="U293" i="104"/>
  <c r="U287" i="104"/>
  <c r="U283" i="104"/>
  <c r="U259" i="104"/>
  <c r="U299" i="104"/>
  <c r="V303" i="104"/>
  <c r="BV238" i="104"/>
  <c r="W258" i="104" s="1"/>
  <c r="BV235" i="104"/>
  <c r="BU232" i="104"/>
  <c r="BF230" i="104"/>
  <c r="BI231" i="104"/>
  <c r="BB229" i="104"/>
  <c r="BA228" i="104"/>
  <c r="BB227" i="104"/>
  <c r="AY226" i="104"/>
  <c r="BA225" i="104"/>
  <c r="AU224" i="104"/>
  <c r="AW223" i="104"/>
  <c r="AT222" i="104"/>
  <c r="AV221" i="104"/>
  <c r="AW221" i="104" s="1"/>
  <c r="AS220" i="104"/>
  <c r="AQ219" i="104"/>
  <c r="AP218" i="104"/>
  <c r="AM216" i="104"/>
  <c r="AM215" i="104"/>
  <c r="AP213" i="104"/>
  <c r="AL214" i="104"/>
  <c r="AK212" i="104"/>
  <c r="AL212" i="104" s="1"/>
  <c r="AH211" i="104"/>
  <c r="AE209" i="104"/>
  <c r="AJ210" i="104"/>
  <c r="AE208" i="104"/>
  <c r="AH207" i="104"/>
  <c r="AC206" i="104"/>
  <c r="Z204" i="104"/>
  <c r="AA204" i="104" s="1"/>
  <c r="Z203" i="104"/>
  <c r="W202" i="104"/>
  <c r="W201" i="104"/>
  <c r="AI10" i="98"/>
  <c r="X200" i="104"/>
  <c r="T199" i="104"/>
  <c r="U199" i="104" s="1"/>
  <c r="AH11" i="98"/>
  <c r="R198" i="104"/>
  <c r="Q197" i="104"/>
  <c r="R197" i="104" s="1"/>
  <c r="S196" i="104"/>
  <c r="T196" i="104" s="1"/>
  <c r="Q195" i="104"/>
  <c r="R195" i="104" s="1"/>
  <c r="M193" i="104"/>
  <c r="N193" i="104" s="1"/>
  <c r="N194" i="104"/>
  <c r="AI4" i="98"/>
  <c r="AI8" i="98"/>
  <c r="AI7" i="98"/>
  <c r="AI6" i="98"/>
  <c r="AI5" i="98"/>
  <c r="AI9" i="98"/>
  <c r="K192" i="104"/>
  <c r="J191" i="104"/>
  <c r="K191" i="104" s="1"/>
  <c r="H190" i="104"/>
  <c r="M96" i="105"/>
  <c r="U303" i="104" l="1"/>
  <c r="W295" i="104"/>
  <c r="W284" i="104"/>
  <c r="W266" i="104"/>
  <c r="W280" i="104"/>
  <c r="W264" i="104"/>
  <c r="W270" i="104"/>
  <c r="W282" i="104"/>
  <c r="W293" i="104"/>
  <c r="W301" i="104"/>
  <c r="W285" i="104"/>
  <c r="W279" i="104"/>
  <c r="W263" i="104"/>
  <c r="W283" i="104"/>
  <c r="W286" i="104"/>
  <c r="W298" i="104"/>
  <c r="W281" i="104"/>
  <c r="W302" i="104"/>
  <c r="W300" i="104"/>
  <c r="W276" i="104"/>
  <c r="W260" i="104"/>
  <c r="W259" i="104"/>
  <c r="W292" i="104"/>
  <c r="W289" i="104"/>
  <c r="W271" i="104"/>
  <c r="W287" i="104"/>
  <c r="W274" i="104"/>
  <c r="W272" i="104"/>
  <c r="W261" i="104"/>
  <c r="W268" i="104"/>
  <c r="W290" i="104"/>
  <c r="W277" i="104"/>
  <c r="W275" i="104"/>
  <c r="W294" i="104"/>
  <c r="W267" i="104"/>
  <c r="W291" i="104"/>
  <c r="W269" i="104"/>
  <c r="W299" i="104"/>
  <c r="W297" i="104"/>
  <c r="W288" i="104"/>
  <c r="W265" i="104"/>
  <c r="W262" i="104"/>
  <c r="W273" i="104"/>
  <c r="W278" i="104"/>
  <c r="W296" i="104"/>
  <c r="Z260" i="104"/>
  <c r="Z280" i="104"/>
  <c r="Z259" i="104"/>
  <c r="Z302" i="104"/>
  <c r="Z286" i="104"/>
  <c r="Z290" i="104"/>
  <c r="Z273" i="104"/>
  <c r="Z281" i="104"/>
  <c r="Z272" i="104"/>
  <c r="Z288" i="104"/>
  <c r="Z297" i="104"/>
  <c r="Z266" i="104"/>
  <c r="Z301" i="104"/>
  <c r="Z296" i="104"/>
  <c r="Z258" i="104"/>
  <c r="Z294" i="104"/>
  <c r="Z274" i="104"/>
  <c r="Z299" i="104"/>
  <c r="Z276" i="104"/>
  <c r="Z282" i="104"/>
  <c r="Z261" i="104"/>
  <c r="Z289" i="104"/>
  <c r="Z279" i="104"/>
  <c r="Z262" i="104"/>
  <c r="Z285" i="104"/>
  <c r="Z278" i="104"/>
  <c r="Z292" i="104"/>
  <c r="Z295" i="104"/>
  <c r="Z264" i="104"/>
  <c r="Z284" i="104"/>
  <c r="Z269" i="104"/>
  <c r="Z291" i="104"/>
  <c r="Z267" i="104"/>
  <c r="Z298" i="104"/>
  <c r="Z283" i="104"/>
  <c r="Z275" i="104"/>
  <c r="Z270" i="104"/>
  <c r="Z268" i="104"/>
  <c r="Z293" i="104"/>
  <c r="Z263" i="104"/>
  <c r="Z271" i="104"/>
  <c r="Z277" i="104"/>
  <c r="Z300" i="104"/>
  <c r="Z265" i="104"/>
  <c r="Z287" i="104"/>
  <c r="BV232" i="104"/>
  <c r="BG230" i="104"/>
  <c r="BJ231" i="104"/>
  <c r="BK231" i="104" s="1"/>
  <c r="BL231" i="104" s="1"/>
  <c r="BM231" i="104" s="1"/>
  <c r="BB228" i="104"/>
  <c r="BC229" i="104"/>
  <c r="BC227" i="104"/>
  <c r="AZ226" i="104"/>
  <c r="BB225" i="104"/>
  <c r="AV224" i="104"/>
  <c r="AU222" i="104"/>
  <c r="AX223" i="104"/>
  <c r="AT220" i="104"/>
  <c r="AR219" i="104"/>
  <c r="AQ218" i="104"/>
  <c r="AR218" i="104" s="1"/>
  <c r="AR217" i="104"/>
  <c r="AN216" i="104"/>
  <c r="AN215" i="104"/>
  <c r="AM214" i="104"/>
  <c r="AQ213" i="104"/>
  <c r="AI211" i="104"/>
  <c r="AF209" i="104"/>
  <c r="AK210" i="104"/>
  <c r="AF208" i="104"/>
  <c r="AI207" i="104"/>
  <c r="AD206" i="104"/>
  <c r="AB204" i="104"/>
  <c r="AA203" i="104"/>
  <c r="X202" i="104"/>
  <c r="X201" i="104"/>
  <c r="Y200" i="104"/>
  <c r="S198" i="104"/>
  <c r="S197" i="104"/>
  <c r="U196" i="104"/>
  <c r="V196" i="104" s="1"/>
  <c r="W196" i="104" s="1"/>
  <c r="O194" i="104"/>
  <c r="S195" i="104"/>
  <c r="O193" i="104"/>
  <c r="L192" i="104"/>
  <c r="M192" i="104" s="1"/>
  <c r="L191" i="104"/>
  <c r="J190" i="104"/>
  <c r="K190" i="104" s="1"/>
  <c r="BD16" i="61"/>
  <c r="H189" i="104"/>
  <c r="J189" i="104" s="1"/>
  <c r="M95" i="105"/>
  <c r="W303" i="104" l="1"/>
  <c r="Z303" i="104"/>
  <c r="AC295" i="104"/>
  <c r="AC286" i="104"/>
  <c r="AC261" i="104"/>
  <c r="AC299" i="104"/>
  <c r="AC298" i="104"/>
  <c r="AC289" i="104"/>
  <c r="AC266" i="104"/>
  <c r="AC270" i="104"/>
  <c r="AC269" i="104"/>
  <c r="AC283" i="104"/>
  <c r="AC294" i="104"/>
  <c r="AC273" i="104"/>
  <c r="AC260" i="104"/>
  <c r="AC290" i="104"/>
  <c r="AC302" i="104"/>
  <c r="AC291" i="104"/>
  <c r="AC296" i="104"/>
  <c r="AC301" i="104"/>
  <c r="AC284" i="104"/>
  <c r="AC277" i="104"/>
  <c r="AC297" i="104"/>
  <c r="AC274" i="104"/>
  <c r="AC262" i="104"/>
  <c r="AC300" i="104"/>
  <c r="AC276" i="104"/>
  <c r="AC282" i="104"/>
  <c r="AC264" i="104"/>
  <c r="AC265" i="104"/>
  <c r="AC285" i="104"/>
  <c r="AC272" i="104"/>
  <c r="AC278" i="104"/>
  <c r="AC288" i="104"/>
  <c r="AC271" i="104"/>
  <c r="AC293" i="104"/>
  <c r="AC292" i="104"/>
  <c r="AC258" i="104"/>
  <c r="AC287" i="104"/>
  <c r="AC268" i="104"/>
  <c r="AC275" i="104"/>
  <c r="AC281" i="104"/>
  <c r="AC259" i="104"/>
  <c r="AC280" i="104"/>
  <c r="AC263" i="104"/>
  <c r="AC279" i="104"/>
  <c r="AC267" i="104"/>
  <c r="BH230" i="104"/>
  <c r="BC228" i="104"/>
  <c r="BD229" i="104"/>
  <c r="BC225" i="104"/>
  <c r="AW224" i="104"/>
  <c r="AY223" i="104"/>
  <c r="AV222" i="104"/>
  <c r="AX221" i="104"/>
  <c r="AU220" i="104"/>
  <c r="AS219" i="104"/>
  <c r="AS218" i="104"/>
  <c r="AS217" i="104"/>
  <c r="AO216" i="104"/>
  <c r="AO215" i="104"/>
  <c r="AN214" i="104"/>
  <c r="AR213" i="104"/>
  <c r="AM212" i="104"/>
  <c r="AJ211" i="104"/>
  <c r="AG209" i="104"/>
  <c r="AL210" i="104"/>
  <c r="AG208" i="104"/>
  <c r="AE206" i="104"/>
  <c r="AC204" i="104"/>
  <c r="AB203" i="104"/>
  <c r="Y202" i="104"/>
  <c r="Y201" i="104"/>
  <c r="Z201" i="104" s="1"/>
  <c r="Z200" i="104"/>
  <c r="V199" i="104"/>
  <c r="T198" i="104"/>
  <c r="T197" i="104"/>
  <c r="T195" i="104"/>
  <c r="U195" i="104" s="1"/>
  <c r="P194" i="104"/>
  <c r="N192" i="104"/>
  <c r="O192" i="104" s="1"/>
  <c r="P193" i="104"/>
  <c r="Q193" i="104" s="1"/>
  <c r="M191" i="104"/>
  <c r="N191" i="104" s="1"/>
  <c r="K189" i="104"/>
  <c r="L189" i="104" s="1"/>
  <c r="L190" i="104"/>
  <c r="H188" i="104"/>
  <c r="J188" i="104" s="1"/>
  <c r="M94" i="105"/>
  <c r="AC303" i="104" l="1"/>
  <c r="BI230" i="104"/>
  <c r="BN231" i="104"/>
  <c r="BO231" i="104" s="1"/>
  <c r="BP231" i="104" s="1"/>
  <c r="BQ231" i="104" s="1"/>
  <c r="BR231" i="104" s="1"/>
  <c r="BS231" i="104" s="1"/>
  <c r="BT231" i="104" s="1"/>
  <c r="BU231" i="104" s="1"/>
  <c r="BE229" i="104"/>
  <c r="BD228" i="104"/>
  <c r="BA226" i="104"/>
  <c r="BD225" i="104"/>
  <c r="AX224" i="104"/>
  <c r="AW222" i="104"/>
  <c r="AZ223" i="104"/>
  <c r="AY221" i="104"/>
  <c r="AV220" i="104"/>
  <c r="AT219" i="104"/>
  <c r="AT217" i="104"/>
  <c r="AT218" i="104"/>
  <c r="AP216" i="104"/>
  <c r="AP215" i="104"/>
  <c r="AS213" i="104"/>
  <c r="AO214" i="104"/>
  <c r="AN212" i="104"/>
  <c r="AK211" i="104"/>
  <c r="AH209" i="104"/>
  <c r="AM210" i="104"/>
  <c r="AH208" i="104"/>
  <c r="AF206" i="104"/>
  <c r="AD204" i="104"/>
  <c r="AC203" i="104"/>
  <c r="Z202" i="104"/>
  <c r="AA202" i="104" s="1"/>
  <c r="AA201" i="104"/>
  <c r="AA200" i="104"/>
  <c r="W199" i="104"/>
  <c r="U198" i="104"/>
  <c r="U197" i="104"/>
  <c r="R193" i="104"/>
  <c r="X196" i="104"/>
  <c r="Q194" i="104"/>
  <c r="R194" i="104" s="1"/>
  <c r="V195" i="104"/>
  <c r="P192" i="104"/>
  <c r="M190" i="104"/>
  <c r="N190" i="104" s="1"/>
  <c r="O191" i="104"/>
  <c r="M189" i="104"/>
  <c r="K188" i="104"/>
  <c r="H187" i="104"/>
  <c r="M93" i="105"/>
  <c r="BJ230" i="104" l="1"/>
  <c r="BK230" i="104" s="1"/>
  <c r="BL230" i="104" s="1"/>
  <c r="BV231" i="104"/>
  <c r="BE228" i="104"/>
  <c r="BF229" i="104"/>
  <c r="BD227" i="104"/>
  <c r="BB226" i="104"/>
  <c r="BE225" i="104"/>
  <c r="AY224" i="104"/>
  <c r="BA223" i="104"/>
  <c r="AX222" i="104"/>
  <c r="AZ221" i="104"/>
  <c r="AW220" i="104"/>
  <c r="AU219" i="104"/>
  <c r="AV219" i="104" s="1"/>
  <c r="AU217" i="104"/>
  <c r="AQ216" i="104"/>
  <c r="AQ215" i="104"/>
  <c r="AT213" i="104"/>
  <c r="AP214" i="104"/>
  <c r="AO212" i="104"/>
  <c r="AL211" i="104"/>
  <c r="AN210" i="104"/>
  <c r="AI209" i="104"/>
  <c r="AI208" i="104"/>
  <c r="AJ207" i="104"/>
  <c r="AG206" i="104"/>
  <c r="AE204" i="104"/>
  <c r="AD203" i="104"/>
  <c r="AB202" i="104"/>
  <c r="AC202" i="104" s="1"/>
  <c r="AD202" i="104" s="1"/>
  <c r="AB201" i="104"/>
  <c r="AB200" i="104"/>
  <c r="X199" i="104"/>
  <c r="V198" i="104"/>
  <c r="V197" i="104"/>
  <c r="Y196" i="104"/>
  <c r="W195" i="104"/>
  <c r="S194" i="104"/>
  <c r="S193" i="104"/>
  <c r="O190" i="104"/>
  <c r="P190" i="104" s="1"/>
  <c r="Q192" i="104"/>
  <c r="P191" i="104"/>
  <c r="N189" i="104"/>
  <c r="L188" i="104"/>
  <c r="J187" i="104"/>
  <c r="H186" i="104"/>
  <c r="M92" i="105"/>
  <c r="BS233" i="104" l="1"/>
  <c r="AD266" i="104"/>
  <c r="AD302" i="104"/>
  <c r="AD275" i="104"/>
  <c r="AD292" i="104"/>
  <c r="AD274" i="104"/>
  <c r="AD301" i="104"/>
  <c r="AD270" i="104"/>
  <c r="AD286" i="104"/>
  <c r="AD285" i="104"/>
  <c r="AD289" i="104"/>
  <c r="AD299" i="104"/>
  <c r="AD293" i="104"/>
  <c r="AD296" i="104"/>
  <c r="AD291" i="104"/>
  <c r="AD273" i="104"/>
  <c r="AD264" i="104"/>
  <c r="AD290" i="104"/>
  <c r="AD272" i="104"/>
  <c r="AD300" i="104"/>
  <c r="AD271" i="104"/>
  <c r="AD278" i="104"/>
  <c r="AD260" i="104"/>
  <c r="AD267" i="104"/>
  <c r="AD282" i="104"/>
  <c r="AD284" i="104"/>
  <c r="AD277" i="104"/>
  <c r="AD283" i="104"/>
  <c r="AD268" i="104"/>
  <c r="AD261" i="104"/>
  <c r="AD262" i="104"/>
  <c r="AD269" i="104"/>
  <c r="AD297" i="104"/>
  <c r="AD263" i="104"/>
  <c r="AD288" i="104"/>
  <c r="AD281" i="104"/>
  <c r="AD287" i="104"/>
  <c r="AD295" i="104"/>
  <c r="AD298" i="104"/>
  <c r="AD294" i="104"/>
  <c r="AD265" i="104"/>
  <c r="AD279" i="104"/>
  <c r="AD276" i="104"/>
  <c r="AD258" i="104"/>
  <c r="AD259" i="104"/>
  <c r="AD280" i="104"/>
  <c r="BM230" i="104"/>
  <c r="BN230" i="104" s="1"/>
  <c r="BO230" i="104" s="1"/>
  <c r="BP230" i="104" s="1"/>
  <c r="BG229" i="104"/>
  <c r="BF228" i="104"/>
  <c r="BE227" i="104"/>
  <c r="BC226" i="104"/>
  <c r="BF225" i="104"/>
  <c r="AZ224" i="104"/>
  <c r="AY222" i="104"/>
  <c r="BB223" i="104"/>
  <c r="BA221" i="104"/>
  <c r="AX220" i="104"/>
  <c r="AW219" i="104"/>
  <c r="AV217" i="104"/>
  <c r="AU218" i="104"/>
  <c r="AR216" i="104"/>
  <c r="AR215" i="104"/>
  <c r="AU213" i="104"/>
  <c r="AQ214" i="104"/>
  <c r="AP212" i="104"/>
  <c r="AM211" i="104"/>
  <c r="AO210" i="104"/>
  <c r="AJ209" i="104"/>
  <c r="AJ208" i="104"/>
  <c r="AK207" i="104"/>
  <c r="AH206" i="104"/>
  <c r="AF204" i="104"/>
  <c r="AE203" i="104"/>
  <c r="AE202" i="104"/>
  <c r="AC201" i="104"/>
  <c r="AC200" i="104"/>
  <c r="Y199" i="104"/>
  <c r="W198" i="104"/>
  <c r="W197" i="104"/>
  <c r="Z196" i="104"/>
  <c r="T194" i="104"/>
  <c r="X195" i="104"/>
  <c r="T193" i="104"/>
  <c r="Q191" i="104"/>
  <c r="R192" i="104"/>
  <c r="Q190" i="104"/>
  <c r="O189" i="104"/>
  <c r="M188" i="104"/>
  <c r="J186" i="104"/>
  <c r="K186" i="104" s="1"/>
  <c r="K187" i="104"/>
  <c r="L187" i="104" s="1"/>
  <c r="H185" i="104"/>
  <c r="J185" i="104" s="1"/>
  <c r="M91" i="105"/>
  <c r="AD303" i="104" l="1"/>
  <c r="BT233" i="104"/>
  <c r="BU233" i="104" s="1"/>
  <c r="BV233" i="104" s="1"/>
  <c r="BQ230" i="104"/>
  <c r="BR230" i="104" s="1"/>
  <c r="BS230" i="104" s="1"/>
  <c r="BT230" i="104" s="1"/>
  <c r="BU230" i="104" s="1"/>
  <c r="BV230" i="104" s="1"/>
  <c r="BH229" i="104"/>
  <c r="BG228" i="104"/>
  <c r="BF227" i="104"/>
  <c r="BD226" i="104"/>
  <c r="BG225" i="104"/>
  <c r="BA224" i="104"/>
  <c r="BC223" i="104"/>
  <c r="AZ222" i="104"/>
  <c r="BB221" i="104"/>
  <c r="AY220" i="104"/>
  <c r="AX219" i="104"/>
  <c r="AW217" i="104"/>
  <c r="AV218" i="104"/>
  <c r="AS216" i="104"/>
  <c r="AS215" i="104"/>
  <c r="AV213" i="104"/>
  <c r="AR214" i="104"/>
  <c r="AQ212" i="104"/>
  <c r="AN211" i="104"/>
  <c r="AP210" i="104"/>
  <c r="AK209" i="104"/>
  <c r="AK208" i="104"/>
  <c r="AL207" i="104"/>
  <c r="AI206" i="104"/>
  <c r="AG204" i="104"/>
  <c r="AF203" i="104"/>
  <c r="AF202" i="104"/>
  <c r="AD201" i="104"/>
  <c r="AD200" i="104"/>
  <c r="Z199" i="104"/>
  <c r="X198" i="104"/>
  <c r="X197" i="104"/>
  <c r="AA196" i="104"/>
  <c r="U194" i="104"/>
  <c r="Y195" i="104"/>
  <c r="U193" i="104"/>
  <c r="S192" i="104"/>
  <c r="T192" i="104" s="1"/>
  <c r="R191" i="104"/>
  <c r="S191" i="104" s="1"/>
  <c r="R190" i="104"/>
  <c r="S190" i="104" s="1"/>
  <c r="N188" i="104"/>
  <c r="O188" i="104" s="1"/>
  <c r="L186" i="104"/>
  <c r="M186" i="104" s="1"/>
  <c r="M187" i="104"/>
  <c r="K185" i="104"/>
  <c r="L185" i="104" s="1"/>
  <c r="H184" i="104"/>
  <c r="M90" i="105"/>
  <c r="AB299" i="104" l="1"/>
  <c r="AB276" i="104"/>
  <c r="AB288" i="104"/>
  <c r="AB258" i="104"/>
  <c r="AB293" i="104"/>
  <c r="AB294" i="104"/>
  <c r="AB283" i="104"/>
  <c r="AB301" i="104"/>
  <c r="AB296" i="104"/>
  <c r="AB279" i="104"/>
  <c r="AB277" i="104"/>
  <c r="AB264" i="104"/>
  <c r="AB275" i="104"/>
  <c r="AB284" i="104"/>
  <c r="AB269" i="104"/>
  <c r="AB295" i="104"/>
  <c r="AB290" i="104"/>
  <c r="AB278" i="104"/>
  <c r="AB265" i="104"/>
  <c r="AB262" i="104"/>
  <c r="AB280" i="104"/>
  <c r="AB273" i="104"/>
  <c r="AB297" i="104"/>
  <c r="AB286" i="104"/>
  <c r="AB267" i="104"/>
  <c r="AB274" i="104"/>
  <c r="AB300" i="104"/>
  <c r="AB289" i="104"/>
  <c r="AB261" i="104"/>
  <c r="AB298" i="104"/>
  <c r="AB287" i="104"/>
  <c r="AB263" i="104"/>
  <c r="AB272" i="104"/>
  <c r="AB259" i="104"/>
  <c r="AB292" i="104"/>
  <c r="AB281" i="104"/>
  <c r="AB266" i="104"/>
  <c r="AB260" i="104"/>
  <c r="AB270" i="104"/>
  <c r="AB268" i="104"/>
  <c r="AB291" i="104"/>
  <c r="AB285" i="104"/>
  <c r="AB282" i="104"/>
  <c r="AB271" i="104"/>
  <c r="AB302" i="104"/>
  <c r="AE265" i="104"/>
  <c r="AE300" i="104"/>
  <c r="AE263" i="104"/>
  <c r="AE259" i="104"/>
  <c r="AE301" i="104"/>
  <c r="AE297" i="104"/>
  <c r="AE292" i="104"/>
  <c r="AE284" i="104"/>
  <c r="AE262" i="104"/>
  <c r="AE258" i="104"/>
  <c r="AE296" i="104"/>
  <c r="AE279" i="104"/>
  <c r="AE288" i="104"/>
  <c r="AE289" i="104"/>
  <c r="AE286" i="104"/>
  <c r="AE278" i="104"/>
  <c r="AE298" i="104"/>
  <c r="AE264" i="104"/>
  <c r="AE270" i="104"/>
  <c r="AE294" i="104"/>
  <c r="AE293" i="104"/>
  <c r="AE277" i="104"/>
  <c r="AE276" i="104"/>
  <c r="AE260" i="104"/>
  <c r="AE280" i="104"/>
  <c r="AE275" i="104"/>
  <c r="AE272" i="104"/>
  <c r="AE290" i="104"/>
  <c r="AE283" i="104"/>
  <c r="AE273" i="104"/>
  <c r="AE299" i="104"/>
  <c r="AE285" i="104"/>
  <c r="AE274" i="104"/>
  <c r="AE295" i="104"/>
  <c r="AE271" i="104"/>
  <c r="AE266" i="104"/>
  <c r="AE287" i="104"/>
  <c r="AE261" i="104"/>
  <c r="AE282" i="104"/>
  <c r="AE302" i="104"/>
  <c r="AE281" i="104"/>
  <c r="AE268" i="104"/>
  <c r="AE291" i="104"/>
  <c r="AE269" i="104"/>
  <c r="AE267" i="104"/>
  <c r="BH228" i="104"/>
  <c r="BI228" i="104" s="1"/>
  <c r="BJ228" i="104" s="1"/>
  <c r="BI229" i="104"/>
  <c r="BG227" i="104"/>
  <c r="BH227" i="104" s="1"/>
  <c r="BI227" i="104" s="1"/>
  <c r="BJ227" i="104" s="1"/>
  <c r="BK227" i="104" s="1"/>
  <c r="BL227" i="104" s="1"/>
  <c r="BE226" i="104"/>
  <c r="BH225" i="104"/>
  <c r="BB224" i="104"/>
  <c r="BA222" i="104"/>
  <c r="BD223" i="104"/>
  <c r="BC221" i="104"/>
  <c r="AZ220" i="104"/>
  <c r="BA220" i="104" s="1"/>
  <c r="AY219" i="104"/>
  <c r="AW218" i="104"/>
  <c r="AX217" i="104"/>
  <c r="AT216" i="104"/>
  <c r="AT215" i="104"/>
  <c r="AS214" i="104"/>
  <c r="AW213" i="104"/>
  <c r="AR212" i="104"/>
  <c r="AO211" i="104"/>
  <c r="AL209" i="104"/>
  <c r="AQ210" i="104"/>
  <c r="AL208" i="104"/>
  <c r="AM207" i="104"/>
  <c r="AJ206" i="104"/>
  <c r="AI205" i="104"/>
  <c r="AH204" i="104"/>
  <c r="AG203" i="104"/>
  <c r="AG202" i="104"/>
  <c r="AE201" i="104"/>
  <c r="AE200" i="104"/>
  <c r="AA199" i="104"/>
  <c r="Y198" i="104"/>
  <c r="Y197" i="104"/>
  <c r="AB196" i="104"/>
  <c r="V194" i="104"/>
  <c r="Z195" i="104"/>
  <c r="V193" i="104"/>
  <c r="U192" i="104"/>
  <c r="T190" i="104"/>
  <c r="U190" i="104" s="1"/>
  <c r="V190" i="104" s="1"/>
  <c r="T191" i="104"/>
  <c r="P188" i="104"/>
  <c r="Q188" i="104" s="1"/>
  <c r="P189" i="104"/>
  <c r="N187" i="104"/>
  <c r="N186" i="104"/>
  <c r="M185" i="104"/>
  <c r="J184" i="104"/>
  <c r="H183" i="104"/>
  <c r="M89" i="105"/>
  <c r="AE303" i="104" l="1"/>
  <c r="BJ229" i="104"/>
  <c r="BK229" i="104" s="1"/>
  <c r="BL229" i="104" s="1"/>
  <c r="BM229" i="104" s="1"/>
  <c r="BN229" i="104" s="1"/>
  <c r="BO229" i="104" s="1"/>
  <c r="BP229" i="104" s="1"/>
  <c r="BQ229" i="104" s="1"/>
  <c r="BR229" i="104" s="1"/>
  <c r="BS229" i="104" s="1"/>
  <c r="BK228" i="104"/>
  <c r="BM227" i="104"/>
  <c r="BN227" i="104" s="1"/>
  <c r="BF226" i="104"/>
  <c r="BI225" i="104"/>
  <c r="BC224" i="104"/>
  <c r="BB222" i="104"/>
  <c r="BE223" i="104"/>
  <c r="BD221" i="104"/>
  <c r="BB220" i="104"/>
  <c r="AZ219" i="104"/>
  <c r="AY217" i="104"/>
  <c r="AX218" i="104"/>
  <c r="AU216" i="104"/>
  <c r="AU215" i="104"/>
  <c r="AT214" i="104"/>
  <c r="AU214" i="104" s="1"/>
  <c r="AX213" i="104"/>
  <c r="AS212" i="104"/>
  <c r="AP211" i="104"/>
  <c r="AR210" i="104"/>
  <c r="AM209" i="104"/>
  <c r="AM208" i="104"/>
  <c r="AN207" i="104"/>
  <c r="AK206" i="104"/>
  <c r="AJ205" i="104"/>
  <c r="AK205" i="104" s="1"/>
  <c r="AL205" i="104" s="1"/>
  <c r="AM205" i="104" s="1"/>
  <c r="AN205" i="104" s="1"/>
  <c r="AI204" i="104"/>
  <c r="AH203" i="104"/>
  <c r="AH202" i="104"/>
  <c r="AF201" i="104"/>
  <c r="AF200" i="104"/>
  <c r="AB199" i="104"/>
  <c r="Z198" i="104"/>
  <c r="Z197" i="104"/>
  <c r="AC196" i="104"/>
  <c r="AA195" i="104"/>
  <c r="W194" i="104"/>
  <c r="W193" i="104"/>
  <c r="V192" i="104"/>
  <c r="U191" i="104"/>
  <c r="W190" i="104"/>
  <c r="X190" i="104" s="1"/>
  <c r="Y190" i="104" s="1"/>
  <c r="Q189" i="104"/>
  <c r="R188" i="104"/>
  <c r="O187" i="104"/>
  <c r="O186" i="104"/>
  <c r="N185" i="104"/>
  <c r="K184" i="104"/>
  <c r="L184" i="104" s="1"/>
  <c r="M184" i="104" s="1"/>
  <c r="J183" i="104"/>
  <c r="K183" i="104" s="1"/>
  <c r="H182" i="104"/>
  <c r="J182" i="104" s="1"/>
  <c r="BL228" i="104" l="1"/>
  <c r="BT229" i="104"/>
  <c r="BU229" i="104" s="1"/>
  <c r="BO227" i="104"/>
  <c r="BG226" i="104"/>
  <c r="BJ225" i="104"/>
  <c r="BK225" i="104" s="1"/>
  <c r="BL225" i="104" s="1"/>
  <c r="BM225" i="104" s="1"/>
  <c r="BN225" i="104" s="1"/>
  <c r="BO225" i="104" s="1"/>
  <c r="BP225" i="104" s="1"/>
  <c r="BQ225" i="104" s="1"/>
  <c r="BR225" i="104" s="1"/>
  <c r="BS225" i="104" s="1"/>
  <c r="BD224" i="104"/>
  <c r="BF223" i="104"/>
  <c r="BC222" i="104"/>
  <c r="BE221" i="104"/>
  <c r="BC220" i="104"/>
  <c r="BA219" i="104"/>
  <c r="AY218" i="104"/>
  <c r="AZ217" i="104"/>
  <c r="AV216" i="104"/>
  <c r="AV215" i="104"/>
  <c r="AW215" i="104" s="1"/>
  <c r="AY213" i="104"/>
  <c r="AV214" i="104"/>
  <c r="AT212" i="104"/>
  <c r="AQ211" i="104"/>
  <c r="AS210" i="104"/>
  <c r="AN209" i="104"/>
  <c r="AN208" i="104"/>
  <c r="AO207" i="104"/>
  <c r="AL206" i="104"/>
  <c r="AO205" i="104"/>
  <c r="AJ204" i="104"/>
  <c r="AI203" i="104"/>
  <c r="AI202" i="104"/>
  <c r="AG201" i="104"/>
  <c r="AG200" i="104"/>
  <c r="AC199" i="104"/>
  <c r="AA198" i="104"/>
  <c r="AA197" i="104"/>
  <c r="AD196" i="104"/>
  <c r="AB195" i="104"/>
  <c r="X194" i="104"/>
  <c r="X193" i="104"/>
  <c r="W192" i="104"/>
  <c r="V191" i="104"/>
  <c r="Z190" i="104"/>
  <c r="AA190" i="104" s="1"/>
  <c r="R189" i="104"/>
  <c r="S189" i="104" s="1"/>
  <c r="S188" i="104"/>
  <c r="T188" i="104" s="1"/>
  <c r="P187" i="104"/>
  <c r="Q187" i="104" s="1"/>
  <c r="P186" i="104"/>
  <c r="O185" i="104"/>
  <c r="N184" i="104"/>
  <c r="L183" i="104"/>
  <c r="K182" i="104"/>
  <c r="H181" i="104"/>
  <c r="J181" i="104" s="1"/>
  <c r="BV229" i="104" l="1"/>
  <c r="BM228" i="104"/>
  <c r="BP227" i="104"/>
  <c r="BQ227" i="104" s="1"/>
  <c r="BR227" i="104" s="1"/>
  <c r="BS227" i="104" s="1"/>
  <c r="BT227" i="104" s="1"/>
  <c r="BT225" i="104"/>
  <c r="BU225" i="104" s="1"/>
  <c r="BV225" i="104" s="1"/>
  <c r="BH226" i="104"/>
  <c r="BE224" i="104"/>
  <c r="BD222" i="104"/>
  <c r="BF221" i="104"/>
  <c r="BB219" i="104"/>
  <c r="BA217" i="104"/>
  <c r="AZ218" i="104"/>
  <c r="AW216" i="104"/>
  <c r="AW214" i="104"/>
  <c r="AX214" i="104" s="1"/>
  <c r="AZ213" i="104"/>
  <c r="AU212" i="104"/>
  <c r="AR211" i="104"/>
  <c r="AT210" i="104"/>
  <c r="AO209" i="104"/>
  <c r="AO208" i="104"/>
  <c r="AP207" i="104"/>
  <c r="AM206" i="104"/>
  <c r="AP205" i="104"/>
  <c r="AK204" i="104"/>
  <c r="AJ203" i="104"/>
  <c r="AK203" i="104" s="1"/>
  <c r="AJ202" i="104"/>
  <c r="AH201" i="104"/>
  <c r="AD199" i="104"/>
  <c r="AB198" i="104"/>
  <c r="AB197" i="104"/>
  <c r="AE196" i="104"/>
  <c r="AC195" i="104"/>
  <c r="Y194" i="104"/>
  <c r="Y193" i="104"/>
  <c r="X192" i="104"/>
  <c r="W191" i="104"/>
  <c r="X191" i="104" s="1"/>
  <c r="T189" i="104"/>
  <c r="U188" i="104"/>
  <c r="R187" i="104"/>
  <c r="Q186" i="104"/>
  <c r="R186" i="104" s="1"/>
  <c r="P185" i="104"/>
  <c r="Q185" i="104" s="1"/>
  <c r="O184" i="104"/>
  <c r="L182" i="104"/>
  <c r="M182" i="104" s="1"/>
  <c r="M183" i="104"/>
  <c r="N183" i="104" s="1"/>
  <c r="K181" i="104"/>
  <c r="L181" i="104" s="1"/>
  <c r="H180" i="104"/>
  <c r="J180" i="104" s="1"/>
  <c r="AF302" i="104" l="1"/>
  <c r="AF278" i="104"/>
  <c r="AF292" i="104"/>
  <c r="AF280" i="104"/>
  <c r="AF299" i="104"/>
  <c r="AF261" i="104"/>
  <c r="AF288" i="104"/>
  <c r="AF264" i="104"/>
  <c r="AF291" i="104"/>
  <c r="AF276" i="104"/>
  <c r="AF286" i="104"/>
  <c r="AF270" i="104"/>
  <c r="AF289" i="104"/>
  <c r="AF277" i="104"/>
  <c r="AF281" i="104"/>
  <c r="AF263" i="104"/>
  <c r="AF266" i="104"/>
  <c r="AF265" i="104"/>
  <c r="AF262" i="104"/>
  <c r="AF282" i="104"/>
  <c r="AF259" i="104"/>
  <c r="AF300" i="104"/>
  <c r="AF260" i="104"/>
  <c r="AF269" i="104"/>
  <c r="AF258" i="104"/>
  <c r="AF284" i="104"/>
  <c r="AF271" i="104"/>
  <c r="AF301" i="104"/>
  <c r="AF274" i="104"/>
  <c r="AF298" i="104"/>
  <c r="AF268" i="104"/>
  <c r="AF279" i="104"/>
  <c r="AF294" i="104"/>
  <c r="AF275" i="104"/>
  <c r="AF273" i="104"/>
  <c r="AF267" i="104"/>
  <c r="AF285" i="104"/>
  <c r="AF272" i="104"/>
  <c r="AF295" i="104"/>
  <c r="AF296" i="104"/>
  <c r="AF297" i="104"/>
  <c r="AF283" i="104"/>
  <c r="AF290" i="104"/>
  <c r="AF293" i="104"/>
  <c r="AF287" i="104"/>
  <c r="BN228" i="104"/>
  <c r="BU227" i="104"/>
  <c r="BV227" i="104" s="1"/>
  <c r="AJ269" i="104"/>
  <c r="AJ275" i="104"/>
  <c r="AJ268" i="104"/>
  <c r="AJ295" i="104"/>
  <c r="AJ302" i="104"/>
  <c r="AJ291" i="104"/>
  <c r="AJ270" i="104"/>
  <c r="AJ260" i="104"/>
  <c r="AJ284" i="104"/>
  <c r="AJ271" i="104"/>
  <c r="AJ290" i="104"/>
  <c r="AJ292" i="104"/>
  <c r="AJ297" i="104"/>
  <c r="AJ259" i="104"/>
  <c r="AJ286" i="104"/>
  <c r="AJ301" i="104"/>
  <c r="AJ287" i="104"/>
  <c r="AJ266" i="104"/>
  <c r="AJ289" i="104"/>
  <c r="AJ267" i="104"/>
  <c r="AJ282" i="104"/>
  <c r="AJ299" i="104"/>
  <c r="AJ300" i="104"/>
  <c r="AJ273" i="104"/>
  <c r="AJ285" i="104"/>
  <c r="AJ274" i="104"/>
  <c r="AJ280" i="104"/>
  <c r="AJ264" i="104"/>
  <c r="AJ265" i="104"/>
  <c r="AJ272" i="104"/>
  <c r="AJ283" i="104"/>
  <c r="AJ277" i="104"/>
  <c r="AJ261" i="104"/>
  <c r="AJ279" i="104"/>
  <c r="AJ296" i="104"/>
  <c r="AJ288" i="104"/>
  <c r="AJ293" i="104"/>
  <c r="AJ258" i="104"/>
  <c r="AJ281" i="104"/>
  <c r="AJ263" i="104"/>
  <c r="AJ278" i="104"/>
  <c r="AJ262" i="104"/>
  <c r="AJ276" i="104"/>
  <c r="AJ294" i="104"/>
  <c r="AJ298" i="104"/>
  <c r="BI226" i="104"/>
  <c r="BJ226" i="104" s="1"/>
  <c r="BF224" i="104"/>
  <c r="BE222" i="104"/>
  <c r="BG223" i="104"/>
  <c r="BG221" i="104"/>
  <c r="BD220" i="104"/>
  <c r="BC219" i="104"/>
  <c r="BA218" i="104"/>
  <c r="BB217" i="104"/>
  <c r="AX216" i="104"/>
  <c r="AX215" i="104"/>
  <c r="AY214" i="104"/>
  <c r="AV212" i="104"/>
  <c r="AS211" i="104"/>
  <c r="AP209" i="104"/>
  <c r="AU210" i="104"/>
  <c r="AP208" i="104"/>
  <c r="AQ207" i="104"/>
  <c r="AN206" i="104"/>
  <c r="AL204" i="104"/>
  <c r="AL203" i="104"/>
  <c r="AK202" i="104"/>
  <c r="AI201" i="104"/>
  <c r="AE199" i="104"/>
  <c r="AC198" i="104"/>
  <c r="AC197" i="104"/>
  <c r="AF196" i="104"/>
  <c r="Z194" i="104"/>
  <c r="AA194" i="104" s="1"/>
  <c r="AD195" i="104"/>
  <c r="Z193" i="104"/>
  <c r="Y192" i="104"/>
  <c r="Y191" i="104"/>
  <c r="U189" i="104"/>
  <c r="V188" i="104"/>
  <c r="W188" i="104" s="1"/>
  <c r="R185" i="104"/>
  <c r="S185" i="104" s="1"/>
  <c r="S187" i="104"/>
  <c r="S186" i="104"/>
  <c r="P184" i="104"/>
  <c r="O183" i="104"/>
  <c r="P183" i="104" s="1"/>
  <c r="N182" i="104"/>
  <c r="M181" i="104"/>
  <c r="K180" i="104"/>
  <c r="H178" i="104"/>
  <c r="H179" i="104"/>
  <c r="AF303" i="104" l="1"/>
  <c r="BO228" i="104"/>
  <c r="AH286" i="104"/>
  <c r="AH302" i="104"/>
  <c r="AH295" i="104"/>
  <c r="AH281" i="104"/>
  <c r="AH266" i="104"/>
  <c r="AH273" i="104"/>
  <c r="AH276" i="104"/>
  <c r="AH265" i="104"/>
  <c r="AH261" i="104"/>
  <c r="AH270" i="104"/>
  <c r="AH277" i="104"/>
  <c r="AH269" i="104"/>
  <c r="AH291" i="104"/>
  <c r="AH297" i="104"/>
  <c r="AH292" i="104"/>
  <c r="AH285" i="104"/>
  <c r="AH258" i="104"/>
  <c r="AH293" i="104"/>
  <c r="AH290" i="104"/>
  <c r="AH271" i="104"/>
  <c r="AH272" i="104"/>
  <c r="AH288" i="104"/>
  <c r="AH301" i="104"/>
  <c r="AH268" i="104"/>
  <c r="AH264" i="104"/>
  <c r="AH260" i="104"/>
  <c r="AH300" i="104"/>
  <c r="AH287" i="104"/>
  <c r="AH294" i="104"/>
  <c r="AH289" i="104"/>
  <c r="AH299" i="104"/>
  <c r="AH296" i="104"/>
  <c r="AH284" i="104"/>
  <c r="AH298" i="104"/>
  <c r="AH263" i="104"/>
  <c r="AH278" i="104"/>
  <c r="AH267" i="104"/>
  <c r="AH280" i="104"/>
  <c r="AH283" i="104"/>
  <c r="AH259" i="104"/>
  <c r="AH274" i="104"/>
  <c r="AH262" i="104"/>
  <c r="AH282" i="104"/>
  <c r="AH279" i="104"/>
  <c r="AH275" i="104"/>
  <c r="BG224" i="104"/>
  <c r="BF222" i="104"/>
  <c r="BH223" i="104"/>
  <c r="BI223" i="104" s="1"/>
  <c r="BH221" i="104"/>
  <c r="BE220" i="104"/>
  <c r="BD219" i="104"/>
  <c r="BB218" i="104"/>
  <c r="BC217" i="104"/>
  <c r="AY216" i="104"/>
  <c r="AY215" i="104"/>
  <c r="AZ214" i="104"/>
  <c r="AW212" i="104"/>
  <c r="AT211" i="104"/>
  <c r="AV210" i="104"/>
  <c r="AW210" i="104" s="1"/>
  <c r="AQ209" i="104"/>
  <c r="AQ208" i="104"/>
  <c r="AR207" i="104"/>
  <c r="AO206" i="104"/>
  <c r="AM204" i="104"/>
  <c r="AM203" i="104"/>
  <c r="AL202" i="104"/>
  <c r="AJ201" i="104"/>
  <c r="AH200" i="104"/>
  <c r="AF199" i="104"/>
  <c r="AD198" i="104"/>
  <c r="AD197" i="104"/>
  <c r="AG196" i="104"/>
  <c r="AE195" i="104"/>
  <c r="AB194" i="104"/>
  <c r="AA193" i="104"/>
  <c r="Z192" i="104"/>
  <c r="AA192" i="104" s="1"/>
  <c r="Z191" i="104"/>
  <c r="V189" i="104"/>
  <c r="T185" i="104"/>
  <c r="U185" i="104" s="1"/>
  <c r="T187" i="104"/>
  <c r="T186" i="104"/>
  <c r="Q184" i="104"/>
  <c r="Q183" i="104"/>
  <c r="O182" i="104"/>
  <c r="N181" i="104"/>
  <c r="O181" i="104" s="1"/>
  <c r="L180" i="104"/>
  <c r="J179" i="104"/>
  <c r="J178" i="104"/>
  <c r="BP228" i="104" l="1"/>
  <c r="BQ228" i="104" s="1"/>
  <c r="BR228" i="104" s="1"/>
  <c r="BS228" i="104" s="1"/>
  <c r="BT228" i="104" s="1"/>
  <c r="AH303" i="104"/>
  <c r="BK226" i="104"/>
  <c r="BH224" i="104"/>
  <c r="BG222" i="104"/>
  <c r="BI221" i="104"/>
  <c r="BF220" i="104"/>
  <c r="BG220" i="104" s="1"/>
  <c r="BE219" i="104"/>
  <c r="BD217" i="104"/>
  <c r="BC218" i="104"/>
  <c r="AZ216" i="104"/>
  <c r="AZ215" i="104"/>
  <c r="BA214" i="104"/>
  <c r="BA213" i="104"/>
  <c r="AX212" i="104"/>
  <c r="AU211" i="104"/>
  <c r="AR209" i="104"/>
  <c r="AX210" i="104"/>
  <c r="AR208" i="104"/>
  <c r="AS207" i="104"/>
  <c r="AP206" i="104"/>
  <c r="AN204" i="104"/>
  <c r="AN203" i="104"/>
  <c r="AM202" i="104"/>
  <c r="AK201" i="104"/>
  <c r="AI200" i="104"/>
  <c r="AG199" i="104"/>
  <c r="AE198" i="104"/>
  <c r="AE197" i="104"/>
  <c r="AH196" i="104"/>
  <c r="AF195" i="104"/>
  <c r="AC194" i="104"/>
  <c r="AB193" i="104"/>
  <c r="AB192" i="104"/>
  <c r="AC192" i="104" s="1"/>
  <c r="AA191" i="104"/>
  <c r="W189" i="104"/>
  <c r="U187" i="104"/>
  <c r="U186" i="104"/>
  <c r="R184" i="104"/>
  <c r="R183" i="104"/>
  <c r="P182" i="104"/>
  <c r="P181" i="104"/>
  <c r="Q181" i="104" s="1"/>
  <c r="M180" i="104"/>
  <c r="K179" i="104"/>
  <c r="L179" i="104" s="1"/>
  <c r="K178" i="104"/>
  <c r="H177" i="104"/>
  <c r="BU228" i="104" l="1"/>
  <c r="BV228" i="104" s="1"/>
  <c r="BL226" i="104"/>
  <c r="BM226" i="104" s="1"/>
  <c r="BN226" i="104" s="1"/>
  <c r="BO226" i="104" s="1"/>
  <c r="BP226" i="104" s="1"/>
  <c r="BQ226" i="104" s="1"/>
  <c r="BR226" i="104" s="1"/>
  <c r="BI224" i="104"/>
  <c r="BH222" i="104"/>
  <c r="BJ223" i="104"/>
  <c r="BJ221" i="104"/>
  <c r="BF219" i="104"/>
  <c r="BD218" i="104"/>
  <c r="BE217" i="104"/>
  <c r="BA216" i="104"/>
  <c r="BA215" i="104"/>
  <c r="BB213" i="104"/>
  <c r="BB214" i="104"/>
  <c r="AY212" i="104"/>
  <c r="AV211" i="104"/>
  <c r="AY210" i="104"/>
  <c r="AS209" i="104"/>
  <c r="AS208" i="104"/>
  <c r="AT207" i="104"/>
  <c r="AQ206" i="104"/>
  <c r="AO203" i="104"/>
  <c r="AN202" i="104"/>
  <c r="AL201" i="104"/>
  <c r="AJ200" i="104"/>
  <c r="AH199" i="104"/>
  <c r="AF198" i="104"/>
  <c r="AF197" i="104"/>
  <c r="AI196" i="104"/>
  <c r="AD194" i="104"/>
  <c r="AE194" i="104" s="1"/>
  <c r="AG195" i="104"/>
  <c r="AC193" i="104"/>
  <c r="AD192" i="104"/>
  <c r="AB191" i="104"/>
  <c r="X189" i="104"/>
  <c r="X188" i="104"/>
  <c r="V187" i="104"/>
  <c r="V186" i="104"/>
  <c r="V185" i="104"/>
  <c r="S183" i="104"/>
  <c r="T183" i="104" s="1"/>
  <c r="S184" i="104"/>
  <c r="Q182" i="104"/>
  <c r="R182" i="104" s="1"/>
  <c r="M179" i="104"/>
  <c r="N179" i="104" s="1"/>
  <c r="N180" i="104"/>
  <c r="O180" i="104" s="1"/>
  <c r="R181" i="104"/>
  <c r="S181" i="104" s="1"/>
  <c r="L178" i="104"/>
  <c r="J177" i="104"/>
  <c r="H176" i="104"/>
  <c r="M83" i="105"/>
  <c r="M84" i="105"/>
  <c r="M85" i="105"/>
  <c r="M86" i="105"/>
  <c r="M87" i="105"/>
  <c r="M88" i="105"/>
  <c r="M82" i="105"/>
  <c r="AG298" i="104" l="1"/>
  <c r="AG268" i="104"/>
  <c r="AG297" i="104"/>
  <c r="AG279" i="104"/>
  <c r="AG261" i="104"/>
  <c r="AG259" i="104"/>
  <c r="AG275" i="104"/>
  <c r="AG288" i="104"/>
  <c r="AG280" i="104"/>
  <c r="AG262" i="104"/>
  <c r="AG267" i="104"/>
  <c r="AG296" i="104"/>
  <c r="AG292" i="104"/>
  <c r="AG289" i="104"/>
  <c r="AG265" i="104"/>
  <c r="AG266" i="104"/>
  <c r="AG282" i="104"/>
  <c r="AG295" i="104"/>
  <c r="AG284" i="104"/>
  <c r="AG277" i="104"/>
  <c r="AG291" i="104"/>
  <c r="AG263" i="104"/>
  <c r="AG260" i="104"/>
  <c r="AG264" i="104"/>
  <c r="AG258" i="104"/>
  <c r="AG290" i="104"/>
  <c r="AG276" i="104"/>
  <c r="AG285" i="104"/>
  <c r="AG302" i="104"/>
  <c r="AG269" i="104"/>
  <c r="AG301" i="104"/>
  <c r="AG278" i="104"/>
  <c r="AG272" i="104"/>
  <c r="AG293" i="104"/>
  <c r="AG299" i="104"/>
  <c r="AG273" i="104"/>
  <c r="AG281" i="104"/>
  <c r="AG274" i="104"/>
  <c r="AG300" i="104"/>
  <c r="AG286" i="104"/>
  <c r="AG294" i="104"/>
  <c r="AG271" i="104"/>
  <c r="AG287" i="104"/>
  <c r="AG283" i="104"/>
  <c r="AG270" i="104"/>
  <c r="BJ224" i="104"/>
  <c r="BK223" i="104"/>
  <c r="BL223" i="104" s="1"/>
  <c r="BI222" i="104"/>
  <c r="BK221" i="104"/>
  <c r="BL221" i="104" s="1"/>
  <c r="BH220" i="104"/>
  <c r="BG219" i="104"/>
  <c r="BF217" i="104"/>
  <c r="BE218" i="104"/>
  <c r="BB216" i="104"/>
  <c r="BB215" i="104"/>
  <c r="BC214" i="104"/>
  <c r="BC213" i="104"/>
  <c r="AZ212" i="104"/>
  <c r="AW211" i="104"/>
  <c r="AT209" i="104"/>
  <c r="AZ210" i="104"/>
  <c r="AT208" i="104"/>
  <c r="AU207" i="104"/>
  <c r="AR206" i="104"/>
  <c r="AQ205" i="104"/>
  <c r="AO204" i="104"/>
  <c r="AP203" i="104"/>
  <c r="AQ203" i="104" s="1"/>
  <c r="AO202" i="104"/>
  <c r="AM201" i="104"/>
  <c r="AK200" i="104"/>
  <c r="AL200" i="104" s="1"/>
  <c r="AI199" i="104"/>
  <c r="AG198" i="104"/>
  <c r="AG197" i="104"/>
  <c r="AJ196" i="104"/>
  <c r="AF194" i="104"/>
  <c r="AH195" i="104"/>
  <c r="AI195" i="104" s="1"/>
  <c r="AD193" i="104"/>
  <c r="AE192" i="104"/>
  <c r="AC191" i="104"/>
  <c r="AD191" i="104" s="1"/>
  <c r="Y189" i="104"/>
  <c r="Y188" i="104"/>
  <c r="W187" i="104"/>
  <c r="W186" i="104"/>
  <c r="S182" i="104"/>
  <c r="T182" i="104" s="1"/>
  <c r="W185" i="104"/>
  <c r="X185" i="104" s="1"/>
  <c r="T184" i="104"/>
  <c r="U183" i="104"/>
  <c r="T181" i="104"/>
  <c r="U181" i="104" s="1"/>
  <c r="O179" i="104"/>
  <c r="P179" i="104" s="1"/>
  <c r="P180" i="104"/>
  <c r="M178" i="104"/>
  <c r="K177" i="104"/>
  <c r="J176" i="104"/>
  <c r="K176" i="104" s="1"/>
  <c r="H175" i="104"/>
  <c r="M81" i="105"/>
  <c r="AG303" i="104" l="1"/>
  <c r="BS226" i="104"/>
  <c r="BT226" i="104" s="1"/>
  <c r="BU226" i="104" s="1"/>
  <c r="BV226" i="104" s="1"/>
  <c r="BK224" i="104"/>
  <c r="BJ222" i="104"/>
  <c r="BK222" i="104" s="1"/>
  <c r="BL222" i="104" s="1"/>
  <c r="BM222" i="104" s="1"/>
  <c r="BN222" i="104" s="1"/>
  <c r="BO222" i="104" s="1"/>
  <c r="BP222" i="104" s="1"/>
  <c r="BQ222" i="104" s="1"/>
  <c r="BR222" i="104" s="1"/>
  <c r="BS222" i="104" s="1"/>
  <c r="BM221" i="104"/>
  <c r="BN221" i="104" s="1"/>
  <c r="BI220" i="104"/>
  <c r="BH219" i="104"/>
  <c r="BG217" i="104"/>
  <c r="BF218" i="104"/>
  <c r="BC216" i="104"/>
  <c r="BC215" i="104"/>
  <c r="BD214" i="104"/>
  <c r="BD213" i="104"/>
  <c r="BA212" i="104"/>
  <c r="AX211" i="104"/>
  <c r="BA210" i="104"/>
  <c r="BB210" i="104" s="1"/>
  <c r="AU209" i="104"/>
  <c r="AU208" i="104"/>
  <c r="AV207" i="104"/>
  <c r="AW207" i="104" s="1"/>
  <c r="AS206" i="104"/>
  <c r="AR205" i="104"/>
  <c r="AP204" i="104"/>
  <c r="AR203" i="104"/>
  <c r="AP202" i="104"/>
  <c r="AN201" i="104"/>
  <c r="AM200" i="104"/>
  <c r="AJ199" i="104"/>
  <c r="AH198" i="104"/>
  <c r="AH197" i="104"/>
  <c r="AK196" i="104"/>
  <c r="AJ195" i="104"/>
  <c r="AG194" i="104"/>
  <c r="AH194" i="104" s="1"/>
  <c r="AI194" i="104" s="1"/>
  <c r="AJ194" i="104" s="1"/>
  <c r="AK194" i="104" s="1"/>
  <c r="AL194" i="104" s="1"/>
  <c r="AE193" i="104"/>
  <c r="AF192" i="104"/>
  <c r="AB190" i="104"/>
  <c r="Z189" i="104"/>
  <c r="Z188" i="104"/>
  <c r="X187" i="104"/>
  <c r="Y187" i="104" s="1"/>
  <c r="X186" i="104"/>
  <c r="Y185" i="104"/>
  <c r="V181" i="104"/>
  <c r="U184" i="104"/>
  <c r="V183" i="104"/>
  <c r="U182" i="104"/>
  <c r="Q180" i="104"/>
  <c r="R180" i="104" s="1"/>
  <c r="S180" i="104" s="1"/>
  <c r="Q179" i="104"/>
  <c r="N178" i="104"/>
  <c r="L177" i="104"/>
  <c r="L176" i="104"/>
  <c r="J175" i="104"/>
  <c r="H174" i="104"/>
  <c r="J174" i="104" s="1"/>
  <c r="M80" i="105"/>
  <c r="H173" i="104"/>
  <c r="M79" i="105"/>
  <c r="AI273" i="104" l="1"/>
  <c r="AI286" i="104"/>
  <c r="AI280" i="104"/>
  <c r="AI284" i="104"/>
  <c r="AI282" i="104"/>
  <c r="AI263" i="104"/>
  <c r="AI278" i="104"/>
  <c r="AI289" i="104"/>
  <c r="AI270" i="104"/>
  <c r="AI259" i="104"/>
  <c r="AI258" i="104"/>
  <c r="AI295" i="104"/>
  <c r="AI262" i="104"/>
  <c r="AI261" i="104"/>
  <c r="AI300" i="104"/>
  <c r="AI266" i="104"/>
  <c r="AI288" i="104"/>
  <c r="AI292" i="104"/>
  <c r="AI271" i="104"/>
  <c r="AI302" i="104"/>
  <c r="AI269" i="104"/>
  <c r="AI276" i="104"/>
  <c r="AI268" i="104"/>
  <c r="AI264" i="104"/>
  <c r="AI260" i="104"/>
  <c r="AI293" i="104"/>
  <c r="AI285" i="104"/>
  <c r="AI297" i="104"/>
  <c r="AI287" i="104"/>
  <c r="AI290" i="104"/>
  <c r="AI283" i="104"/>
  <c r="AI301" i="104"/>
  <c r="AI274" i="104"/>
  <c r="AI299" i="104"/>
  <c r="AI298" i="104"/>
  <c r="AI296" i="104"/>
  <c r="AI272" i="104"/>
  <c r="AI281" i="104"/>
  <c r="AI265" i="104"/>
  <c r="AI279" i="104"/>
  <c r="AI291" i="104"/>
  <c r="AI277" i="104"/>
  <c r="AI267" i="104"/>
  <c r="AI294" i="104"/>
  <c r="AI275" i="104"/>
  <c r="BT222" i="104"/>
  <c r="BU222" i="104" s="1"/>
  <c r="BV222" i="104" s="1"/>
  <c r="BL224" i="104"/>
  <c r="BM223" i="104"/>
  <c r="BN223" i="104" s="1"/>
  <c r="BO223" i="104" s="1"/>
  <c r="BP223" i="104" s="1"/>
  <c r="BQ223" i="104" s="1"/>
  <c r="BR223" i="104" s="1"/>
  <c r="BS223" i="104" s="1"/>
  <c r="BT223" i="104" s="1"/>
  <c r="BU223" i="104" s="1"/>
  <c r="BV223" i="104" s="1"/>
  <c r="BO221" i="104"/>
  <c r="BP221" i="104" s="1"/>
  <c r="BQ221" i="104" s="1"/>
  <c r="BR221" i="104" s="1"/>
  <c r="BS221" i="104" s="1"/>
  <c r="BT221" i="104" s="1"/>
  <c r="BU221" i="104" s="1"/>
  <c r="BV221" i="104" s="1"/>
  <c r="BJ220" i="104"/>
  <c r="BK220" i="104" s="1"/>
  <c r="BL220" i="104" s="1"/>
  <c r="BM220" i="104" s="1"/>
  <c r="BN220" i="104" s="1"/>
  <c r="BO220" i="104" s="1"/>
  <c r="BI219" i="104"/>
  <c r="BJ219" i="104" s="1"/>
  <c r="BK219" i="104" s="1"/>
  <c r="BL219" i="104" s="1"/>
  <c r="BM219" i="104" s="1"/>
  <c r="BN219" i="104" s="1"/>
  <c r="BO219" i="104" s="1"/>
  <c r="BP219" i="104" s="1"/>
  <c r="BQ219" i="104" s="1"/>
  <c r="BR219" i="104" s="1"/>
  <c r="BS219" i="104" s="1"/>
  <c r="BH217" i="104"/>
  <c r="BG218" i="104"/>
  <c r="BD216" i="104"/>
  <c r="BD215" i="104"/>
  <c r="BE213" i="104"/>
  <c r="BF213" i="104" s="1"/>
  <c r="BE214" i="104"/>
  <c r="BF214" i="104" s="1"/>
  <c r="BG214" i="104" s="1"/>
  <c r="BH214" i="104" s="1"/>
  <c r="BI214" i="104" s="1"/>
  <c r="BB212" i="104"/>
  <c r="AY211" i="104"/>
  <c r="AV209" i="104"/>
  <c r="BC210" i="104"/>
  <c r="AV208" i="104"/>
  <c r="AX207" i="104"/>
  <c r="AT206" i="104"/>
  <c r="AS205" i="104"/>
  <c r="AQ204" i="104"/>
  <c r="AS203" i="104"/>
  <c r="AQ202" i="104"/>
  <c r="AR202" i="104" s="1"/>
  <c r="AS202" i="104" s="1"/>
  <c r="AT202" i="104" s="1"/>
  <c r="AU202" i="104" s="1"/>
  <c r="AO201" i="104"/>
  <c r="AN200" i="104"/>
  <c r="AK199" i="104"/>
  <c r="AI198" i="104"/>
  <c r="AI197" i="104"/>
  <c r="AL196" i="104"/>
  <c r="AM194" i="104"/>
  <c r="AK195" i="104"/>
  <c r="AF193" i="104"/>
  <c r="AG192" i="104"/>
  <c r="AE191" i="104"/>
  <c r="Z187" i="104"/>
  <c r="AC190" i="104"/>
  <c r="AD190" i="104" s="1"/>
  <c r="AA189" i="104"/>
  <c r="AB189" i="104" s="1"/>
  <c r="AA188" i="104"/>
  <c r="Y186" i="104"/>
  <c r="Z185" i="104"/>
  <c r="AA185" i="104" s="1"/>
  <c r="V184" i="104"/>
  <c r="W183" i="104"/>
  <c r="V182" i="104"/>
  <c r="W181" i="104"/>
  <c r="T180" i="104"/>
  <c r="R179" i="104"/>
  <c r="O178" i="104"/>
  <c r="M176" i="104"/>
  <c r="M177" i="104"/>
  <c r="K175" i="104"/>
  <c r="K174" i="104"/>
  <c r="J173" i="104"/>
  <c r="H172" i="104"/>
  <c r="M78" i="105"/>
  <c r="H171" i="104"/>
  <c r="M77" i="105"/>
  <c r="AI303" i="104" l="1"/>
  <c r="AL265" i="104"/>
  <c r="AL278" i="104"/>
  <c r="AL268" i="104"/>
  <c r="AL302" i="104"/>
  <c r="AL261" i="104"/>
  <c r="AL279" i="104"/>
  <c r="AL273" i="104"/>
  <c r="AL269" i="104"/>
  <c r="AL276" i="104"/>
  <c r="AL291" i="104"/>
  <c r="AL287" i="104"/>
  <c r="AL260" i="104"/>
  <c r="AL267" i="104"/>
  <c r="AL294" i="104"/>
  <c r="AL301" i="104"/>
  <c r="AL300" i="104"/>
  <c r="AL270" i="104"/>
  <c r="AL296" i="104"/>
  <c r="AL293" i="104"/>
  <c r="AL288" i="104"/>
  <c r="AL298" i="104"/>
  <c r="AL266" i="104"/>
  <c r="AL299" i="104"/>
  <c r="AL283" i="104"/>
  <c r="AL286" i="104"/>
  <c r="AL297" i="104"/>
  <c r="AL281" i="104"/>
  <c r="AL295" i="104"/>
  <c r="AL284" i="104"/>
  <c r="AL289" i="104"/>
  <c r="AL272" i="104"/>
  <c r="AL258" i="104"/>
  <c r="AL282" i="104"/>
  <c r="AL264" i="104"/>
  <c r="AL277" i="104"/>
  <c r="AL263" i="104"/>
  <c r="AL271" i="104"/>
  <c r="AL285" i="104"/>
  <c r="AL259" i="104"/>
  <c r="AL274" i="104"/>
  <c r="AL275" i="104"/>
  <c r="AL280" i="104"/>
  <c r="AL262" i="104"/>
  <c r="AL292" i="104"/>
  <c r="AL290" i="104"/>
  <c r="BM224" i="104"/>
  <c r="AM286" i="104"/>
  <c r="AM287" i="104"/>
  <c r="AM258" i="104"/>
  <c r="AM297" i="104"/>
  <c r="AM294" i="104"/>
  <c r="AM267" i="104"/>
  <c r="AM295" i="104"/>
  <c r="AM266" i="104"/>
  <c r="AM259" i="104"/>
  <c r="AM302" i="104"/>
  <c r="AM270" i="104"/>
  <c r="AM264" i="104"/>
  <c r="AM291" i="104"/>
  <c r="AM301" i="104"/>
  <c r="AM269" i="104"/>
  <c r="AM282" i="104"/>
  <c r="AM275" i="104"/>
  <c r="AM289" i="104"/>
  <c r="AM300" i="104"/>
  <c r="AM277" i="104"/>
  <c r="AM263" i="104"/>
  <c r="AM271" i="104"/>
  <c r="AM296" i="104"/>
  <c r="AM281" i="104"/>
  <c r="AM292" i="104"/>
  <c r="AM261" i="104"/>
  <c r="AM272" i="104"/>
  <c r="AM274" i="104"/>
  <c r="AM288" i="104"/>
  <c r="AM278" i="104"/>
  <c r="AM268" i="104"/>
  <c r="AM298" i="104"/>
  <c r="AM273" i="104"/>
  <c r="AM260" i="104"/>
  <c r="AM265" i="104"/>
  <c r="AM279" i="104"/>
  <c r="AM280" i="104"/>
  <c r="AM290" i="104"/>
  <c r="AM284" i="104"/>
  <c r="AM262" i="104"/>
  <c r="AM293" i="104"/>
  <c r="AM283" i="104"/>
  <c r="AM299" i="104"/>
  <c r="AM276" i="104"/>
  <c r="AM285" i="104"/>
  <c r="AN262" i="104"/>
  <c r="AN278" i="104"/>
  <c r="AN279" i="104"/>
  <c r="AN294" i="104"/>
  <c r="AN282" i="104"/>
  <c r="AN261" i="104"/>
  <c r="AN285" i="104"/>
  <c r="AN287" i="104"/>
  <c r="AN270" i="104"/>
  <c r="AN284" i="104"/>
  <c r="AN283" i="104"/>
  <c r="AN263" i="104"/>
  <c r="AN295" i="104"/>
  <c r="AN266" i="104"/>
  <c r="AN275" i="104"/>
  <c r="AN296" i="104"/>
  <c r="AN298" i="104"/>
  <c r="AN288" i="104"/>
  <c r="AN265" i="104"/>
  <c r="AN302" i="104"/>
  <c r="AN276" i="104"/>
  <c r="AN301" i="104"/>
  <c r="AN292" i="104"/>
  <c r="AN260" i="104"/>
  <c r="AN286" i="104"/>
  <c r="AN277" i="104"/>
  <c r="AN280" i="104"/>
  <c r="AN281" i="104"/>
  <c r="AN289" i="104"/>
  <c r="AN300" i="104"/>
  <c r="AN273" i="104"/>
  <c r="AN291" i="104"/>
  <c r="AN299" i="104"/>
  <c r="AN274" i="104"/>
  <c r="AN267" i="104"/>
  <c r="AN272" i="104"/>
  <c r="AN293" i="104"/>
  <c r="AN268" i="104"/>
  <c r="AN297" i="104"/>
  <c r="AN290" i="104"/>
  <c r="AN259" i="104"/>
  <c r="AN271" i="104"/>
  <c r="AN269" i="104"/>
  <c r="AN258" i="104"/>
  <c r="AN264" i="104"/>
  <c r="BT219" i="104"/>
  <c r="BU219" i="104" s="1"/>
  <c r="BV219" i="104" s="1"/>
  <c r="BI217" i="104"/>
  <c r="BH218" i="104"/>
  <c r="BE216" i="104"/>
  <c r="BE215" i="104"/>
  <c r="BF215" i="104" s="1"/>
  <c r="BG215" i="104" s="1"/>
  <c r="BH215" i="104" s="1"/>
  <c r="BG213" i="104"/>
  <c r="BC212" i="104"/>
  <c r="AZ211" i="104"/>
  <c r="AW209" i="104"/>
  <c r="BD210" i="104"/>
  <c r="AW208" i="104"/>
  <c r="AY207" i="104"/>
  <c r="AU206" i="104"/>
  <c r="AT205" i="104"/>
  <c r="AR204" i="104"/>
  <c r="AT203" i="104"/>
  <c r="AV202" i="104"/>
  <c r="AW202" i="104" s="1"/>
  <c r="AX202" i="104" s="1"/>
  <c r="AY202" i="104" s="1"/>
  <c r="AZ202" i="104" s="1"/>
  <c r="BA202" i="104" s="1"/>
  <c r="AP201" i="104"/>
  <c r="AO200" i="104"/>
  <c r="AL199" i="104"/>
  <c r="AJ198" i="104"/>
  <c r="AJ197" i="104"/>
  <c r="AM196" i="104"/>
  <c r="AL195" i="104"/>
  <c r="AG193" i="104"/>
  <c r="AH192" i="104"/>
  <c r="AF191" i="104"/>
  <c r="AE190" i="104"/>
  <c r="AC189" i="104"/>
  <c r="AB188" i="104"/>
  <c r="Z186" i="104"/>
  <c r="AA186" i="104" s="1"/>
  <c r="AB185" i="104"/>
  <c r="AC185" i="104" s="1"/>
  <c r="W184" i="104"/>
  <c r="X183" i="104"/>
  <c r="W182" i="104"/>
  <c r="X181" i="104"/>
  <c r="U180" i="104"/>
  <c r="S179" i="104"/>
  <c r="P178" i="104"/>
  <c r="N177" i="104"/>
  <c r="N176" i="104"/>
  <c r="L174" i="104"/>
  <c r="M174" i="104" s="1"/>
  <c r="N174" i="104" s="1"/>
  <c r="L175" i="104"/>
  <c r="K173" i="104"/>
  <c r="J172" i="104"/>
  <c r="J171" i="104"/>
  <c r="K171" i="104" s="1"/>
  <c r="H170" i="104"/>
  <c r="M76" i="105"/>
  <c r="AL303" i="104" l="1"/>
  <c r="BN224" i="104"/>
  <c r="AM303" i="104"/>
  <c r="AN303" i="104"/>
  <c r="AP284" i="104"/>
  <c r="AP283" i="104"/>
  <c r="AP301" i="104"/>
  <c r="AP298" i="104"/>
  <c r="AP280" i="104"/>
  <c r="AP295" i="104"/>
  <c r="AP263" i="104"/>
  <c r="AP275" i="104"/>
  <c r="AP302" i="104"/>
  <c r="AP293" i="104"/>
  <c r="AP259" i="104"/>
  <c r="AP297" i="104"/>
  <c r="AP292" i="104"/>
  <c r="AP291" i="104"/>
  <c r="AP265" i="104"/>
  <c r="AP277" i="104"/>
  <c r="AP300" i="104"/>
  <c r="AP282" i="104"/>
  <c r="AP270" i="104"/>
  <c r="AP288" i="104"/>
  <c r="AP269" i="104"/>
  <c r="AP285" i="104"/>
  <c r="AP294" i="104"/>
  <c r="AP296" i="104"/>
  <c r="AP290" i="104"/>
  <c r="AP274" i="104"/>
  <c r="AP261" i="104"/>
  <c r="AP287" i="104"/>
  <c r="AP267" i="104"/>
  <c r="AP266" i="104"/>
  <c r="AP299" i="104"/>
  <c r="AP281" i="104"/>
  <c r="AP279" i="104"/>
  <c r="AP278" i="104"/>
  <c r="AP271" i="104"/>
  <c r="AP286" i="104"/>
  <c r="AP268" i="104"/>
  <c r="AP258" i="104"/>
  <c r="AP289" i="104"/>
  <c r="AP262" i="104"/>
  <c r="AP273" i="104"/>
  <c r="AP264" i="104"/>
  <c r="AP272" i="104"/>
  <c r="AP260" i="104"/>
  <c r="AP276" i="104"/>
  <c r="BI218" i="104"/>
  <c r="BJ217" i="104"/>
  <c r="BF216" i="104"/>
  <c r="BH213" i="104"/>
  <c r="BD212" i="104"/>
  <c r="BA211" i="104"/>
  <c r="AX209" i="104"/>
  <c r="BE210" i="104"/>
  <c r="AX208" i="104"/>
  <c r="AZ207" i="104"/>
  <c r="AV206" i="104"/>
  <c r="AU205" i="104"/>
  <c r="AS204" i="104"/>
  <c r="AU203" i="104"/>
  <c r="BB202" i="104"/>
  <c r="AQ201" i="104"/>
  <c r="AP200" i="104"/>
  <c r="AM199" i="104"/>
  <c r="AK198" i="104"/>
  <c r="AK197" i="104"/>
  <c r="AN196" i="104"/>
  <c r="AM195" i="104"/>
  <c r="AH193" i="104"/>
  <c r="AI192" i="104"/>
  <c r="AG191" i="104"/>
  <c r="AF190" i="104"/>
  <c r="AD189" i="104"/>
  <c r="AC188" i="104"/>
  <c r="AD188" i="104" s="1"/>
  <c r="AA187" i="104"/>
  <c r="AB186" i="104"/>
  <c r="AD185" i="104"/>
  <c r="X184" i="104"/>
  <c r="Y183" i="104"/>
  <c r="X182" i="104"/>
  <c r="Y181" i="104"/>
  <c r="V180" i="104"/>
  <c r="T179" i="104"/>
  <c r="U179" i="104" s="1"/>
  <c r="O177" i="104"/>
  <c r="P177" i="104" s="1"/>
  <c r="Q178" i="104"/>
  <c r="O176" i="104"/>
  <c r="M175" i="104"/>
  <c r="O174" i="104"/>
  <c r="P174" i="104" s="1"/>
  <c r="K172" i="104"/>
  <c r="L172" i="104" s="1"/>
  <c r="L173" i="104"/>
  <c r="L171" i="104"/>
  <c r="M171" i="104" s="1"/>
  <c r="J170" i="104"/>
  <c r="AT72" i="105"/>
  <c r="AK70" i="105"/>
  <c r="AA69" i="105"/>
  <c r="Z69" i="105"/>
  <c r="Y69" i="105"/>
  <c r="R68" i="105"/>
  <c r="BE16" i="61"/>
  <c r="H169" i="104"/>
  <c r="J169" i="104" s="1"/>
  <c r="M75" i="105"/>
  <c r="BO224" i="104" l="1"/>
  <c r="BP224" i="104" s="1"/>
  <c r="BQ224" i="104" s="1"/>
  <c r="BR224" i="104" s="1"/>
  <c r="AP303" i="104"/>
  <c r="BK217" i="104"/>
  <c r="BL217" i="104" s="1"/>
  <c r="BM217" i="104" s="1"/>
  <c r="BN217" i="104" s="1"/>
  <c r="BO217" i="104" s="1"/>
  <c r="BP217" i="104" s="1"/>
  <c r="BQ217" i="104" s="1"/>
  <c r="BR217" i="104" s="1"/>
  <c r="BS217" i="104" s="1"/>
  <c r="BT217" i="104" s="1"/>
  <c r="BU217" i="104" s="1"/>
  <c r="BJ218" i="104"/>
  <c r="BG216" i="104"/>
  <c r="BI213" i="104"/>
  <c r="BE212" i="104"/>
  <c r="BF212" i="104" s="1"/>
  <c r="BG212" i="104" s="1"/>
  <c r="BH212" i="104" s="1"/>
  <c r="BI212" i="104" s="1"/>
  <c r="BJ212" i="104" s="1"/>
  <c r="BK212" i="104" s="1"/>
  <c r="BL212" i="104" s="1"/>
  <c r="BM212" i="104" s="1"/>
  <c r="BN212" i="104" s="1"/>
  <c r="BO212" i="104" s="1"/>
  <c r="BB211" i="104"/>
  <c r="AY209" i="104"/>
  <c r="BF210" i="104"/>
  <c r="AY208" i="104"/>
  <c r="BA207" i="104"/>
  <c r="AW206" i="104"/>
  <c r="AX206" i="104" s="1"/>
  <c r="AV205" i="104"/>
  <c r="AT204" i="104"/>
  <c r="AV203" i="104"/>
  <c r="BC202" i="104"/>
  <c r="AR201" i="104"/>
  <c r="AQ200" i="104"/>
  <c r="AN199" i="104"/>
  <c r="AL198" i="104"/>
  <c r="AL197" i="104"/>
  <c r="AO196" i="104"/>
  <c r="AN195" i="104"/>
  <c r="AI193" i="104"/>
  <c r="AJ192" i="104"/>
  <c r="AH191" i="104"/>
  <c r="AG190" i="104"/>
  <c r="AE189" i="104"/>
  <c r="AB187" i="104"/>
  <c r="AC186" i="104"/>
  <c r="AE185" i="104"/>
  <c r="Y184" i="104"/>
  <c r="Z183" i="104"/>
  <c r="Y182" i="104"/>
  <c r="Z181" i="104"/>
  <c r="W180" i="104"/>
  <c r="V179" i="104"/>
  <c r="R178" i="104"/>
  <c r="Q177" i="104"/>
  <c r="P176" i="104"/>
  <c r="N175" i="104"/>
  <c r="Q174" i="104"/>
  <c r="M173" i="104"/>
  <c r="M172" i="104"/>
  <c r="N171" i="104"/>
  <c r="K170" i="104"/>
  <c r="K169" i="104"/>
  <c r="L169" i="104" s="1"/>
  <c r="H168" i="104"/>
  <c r="M74" i="105"/>
  <c r="BS224" i="104" l="1"/>
  <c r="BT224" i="104" s="1"/>
  <c r="BU224" i="104" s="1"/>
  <c r="BV224" i="104" s="1"/>
  <c r="BP220" i="104"/>
  <c r="BV217" i="104"/>
  <c r="BK218" i="104"/>
  <c r="BL218" i="104" s="1"/>
  <c r="BH216" i="104"/>
  <c r="BI216" i="104" s="1"/>
  <c r="BJ213" i="104"/>
  <c r="BP212" i="104"/>
  <c r="BC211" i="104"/>
  <c r="BG210" i="104"/>
  <c r="AZ209" i="104"/>
  <c r="AZ208" i="104"/>
  <c r="BB207" i="104"/>
  <c r="AY206" i="104"/>
  <c r="AW205" i="104"/>
  <c r="AU204" i="104"/>
  <c r="BD202" i="104"/>
  <c r="BE202" i="104" s="1"/>
  <c r="AS201" i="104"/>
  <c r="AR200" i="104"/>
  <c r="AO199" i="104"/>
  <c r="AM198" i="104"/>
  <c r="AM197" i="104"/>
  <c r="AP196" i="104"/>
  <c r="AO195" i="104"/>
  <c r="AN194" i="104"/>
  <c r="AJ193" i="104"/>
  <c r="AK192" i="104"/>
  <c r="AI191" i="104"/>
  <c r="AH190" i="104"/>
  <c r="AF189" i="104"/>
  <c r="AE188" i="104"/>
  <c r="AC187" i="104"/>
  <c r="AD186" i="104"/>
  <c r="AF185" i="104"/>
  <c r="Z184" i="104"/>
  <c r="AA183" i="104"/>
  <c r="Z182" i="104"/>
  <c r="AA181" i="104"/>
  <c r="X180" i="104"/>
  <c r="W179" i="104"/>
  <c r="S178" i="104"/>
  <c r="R177" i="104"/>
  <c r="Q176" i="104"/>
  <c r="R174" i="104"/>
  <c r="O175" i="104"/>
  <c r="N173" i="104"/>
  <c r="N172" i="104"/>
  <c r="O172" i="104" s="1"/>
  <c r="P172" i="104" s="1"/>
  <c r="O171" i="104"/>
  <c r="M169" i="104"/>
  <c r="L170" i="104"/>
  <c r="J168" i="104"/>
  <c r="H167" i="104"/>
  <c r="M73" i="105"/>
  <c r="AK265" i="104" l="1"/>
  <c r="AK263" i="104"/>
  <c r="AK284" i="104"/>
  <c r="AK283" i="104"/>
  <c r="AK258" i="104"/>
  <c r="AK272" i="104"/>
  <c r="AK271" i="104"/>
  <c r="AK290" i="104"/>
  <c r="AK269" i="104"/>
  <c r="AK274" i="104"/>
  <c r="AK280" i="104"/>
  <c r="AK273" i="104"/>
  <c r="AK289" i="104"/>
  <c r="AK298" i="104"/>
  <c r="AK287" i="104"/>
  <c r="AK286" i="104"/>
  <c r="AK291" i="104"/>
  <c r="AK301" i="104"/>
  <c r="AK288" i="104"/>
  <c r="AK285" i="104"/>
  <c r="AK281" i="104"/>
  <c r="AK294" i="104"/>
  <c r="AK267" i="104"/>
  <c r="AK293" i="104"/>
  <c r="AK266" i="104"/>
  <c r="AK302" i="104"/>
  <c r="AK268" i="104"/>
  <c r="AK264" i="104"/>
  <c r="AK297" i="104"/>
  <c r="AK262" i="104"/>
  <c r="AK261" i="104"/>
  <c r="AK278" i="104"/>
  <c r="AK292" i="104"/>
  <c r="AK282" i="104"/>
  <c r="AK299" i="104"/>
  <c r="AK259" i="104"/>
  <c r="AK300" i="104"/>
  <c r="AK270" i="104"/>
  <c r="AK276" i="104"/>
  <c r="AK295" i="104"/>
  <c r="AK260" i="104"/>
  <c r="AK275" i="104"/>
  <c r="AK296" i="104"/>
  <c r="AK279" i="104"/>
  <c r="AK277" i="104"/>
  <c r="BQ220" i="104"/>
  <c r="BR220" i="104" s="1"/>
  <c r="BS220" i="104" s="1"/>
  <c r="AR258" i="104"/>
  <c r="AR261" i="104"/>
  <c r="AR296" i="104"/>
  <c r="AR288" i="104"/>
  <c r="AR287" i="104"/>
  <c r="AR270" i="104"/>
  <c r="AR294" i="104"/>
  <c r="AR265" i="104"/>
  <c r="AR269" i="104"/>
  <c r="AR295" i="104"/>
  <c r="AR281" i="104"/>
  <c r="AR273" i="104"/>
  <c r="AR280" i="104"/>
  <c r="AR291" i="104"/>
  <c r="AR286" i="104"/>
  <c r="AR278" i="104"/>
  <c r="AR290" i="104"/>
  <c r="AR264" i="104"/>
  <c r="AR262" i="104"/>
  <c r="AR279" i="104"/>
  <c r="AR289" i="104"/>
  <c r="AR302" i="104"/>
  <c r="AR263" i="104"/>
  <c r="AR266" i="104"/>
  <c r="AR284" i="104"/>
  <c r="AR274" i="104"/>
  <c r="AR292" i="104"/>
  <c r="AR276" i="104"/>
  <c r="AR267" i="104"/>
  <c r="AR272" i="104"/>
  <c r="AR275" i="104"/>
  <c r="AR301" i="104"/>
  <c r="AR282" i="104"/>
  <c r="AR300" i="104"/>
  <c r="AR271" i="104"/>
  <c r="AR285" i="104"/>
  <c r="AR298" i="104"/>
  <c r="AR277" i="104"/>
  <c r="AR299" i="104"/>
  <c r="AR297" i="104"/>
  <c r="AR259" i="104"/>
  <c r="AR293" i="104"/>
  <c r="AR260" i="104"/>
  <c r="AR283" i="104"/>
  <c r="AR268" i="104"/>
  <c r="BI215" i="104"/>
  <c r="BK213" i="104"/>
  <c r="BD211" i="104"/>
  <c r="BH210" i="104"/>
  <c r="BA209" i="104"/>
  <c r="BA208" i="104"/>
  <c r="AZ206" i="104"/>
  <c r="AX205" i="104"/>
  <c r="AV204" i="104"/>
  <c r="BF202" i="104"/>
  <c r="AT201" i="104"/>
  <c r="AU201" i="104" s="1"/>
  <c r="AV201" i="104" s="1"/>
  <c r="AP199" i="104"/>
  <c r="AN198" i="104"/>
  <c r="AO198" i="104" s="1"/>
  <c r="AN197" i="104"/>
  <c r="AQ196" i="104"/>
  <c r="AO194" i="104"/>
  <c r="AP195" i="104"/>
  <c r="AK193" i="104"/>
  <c r="AL192" i="104"/>
  <c r="AM192" i="104" s="1"/>
  <c r="AJ191" i="104"/>
  <c r="AI190" i="104"/>
  <c r="AG189" i="104"/>
  <c r="AH189" i="104" s="1"/>
  <c r="AF188" i="104"/>
  <c r="AD187" i="104"/>
  <c r="AE186" i="104"/>
  <c r="AG185" i="104"/>
  <c r="AA184" i="104"/>
  <c r="AB183" i="104"/>
  <c r="AA182" i="104"/>
  <c r="AB181" i="104"/>
  <c r="AC181" i="104" s="1"/>
  <c r="Y180" i="104"/>
  <c r="X179" i="104"/>
  <c r="T178" i="104"/>
  <c r="S177" i="104"/>
  <c r="R176" i="104"/>
  <c r="P175" i="104"/>
  <c r="S174" i="104"/>
  <c r="T174" i="104" s="1"/>
  <c r="O173" i="104"/>
  <c r="Q172" i="104"/>
  <c r="P171" i="104"/>
  <c r="M170" i="104"/>
  <c r="N169" i="104"/>
  <c r="J167" i="104"/>
  <c r="K167" i="104" s="1"/>
  <c r="K168" i="104"/>
  <c r="L168" i="104" s="1"/>
  <c r="H166" i="104"/>
  <c r="BE57" i="61"/>
  <c r="BE21" i="61"/>
  <c r="M72" i="105"/>
  <c r="K8" i="98"/>
  <c r="BT220" i="104" l="1"/>
  <c r="BU220" i="104" s="1"/>
  <c r="BV220" i="104" s="1"/>
  <c r="AR303" i="104"/>
  <c r="BM218" i="104"/>
  <c r="BN218" i="104" s="1"/>
  <c r="BJ216" i="104"/>
  <c r="BJ215" i="104"/>
  <c r="BK215" i="104" s="1"/>
  <c r="BL213" i="104"/>
  <c r="BE211" i="104"/>
  <c r="BB209" i="104"/>
  <c r="BB208" i="104"/>
  <c r="BC207" i="104"/>
  <c r="BA206" i="104"/>
  <c r="AY205" i="104"/>
  <c r="AW204" i="104"/>
  <c r="AW203" i="104"/>
  <c r="AW201" i="104"/>
  <c r="AS200" i="104"/>
  <c r="AQ199" i="104"/>
  <c r="AP198" i="104"/>
  <c r="AO197" i="104"/>
  <c r="AR196" i="104"/>
  <c r="AQ195" i="104"/>
  <c r="AP194" i="104"/>
  <c r="AQ194" i="104" s="1"/>
  <c r="AR194" i="104" s="1"/>
  <c r="AL193" i="104"/>
  <c r="AN192" i="104"/>
  <c r="AO192" i="104" s="1"/>
  <c r="AK191" i="104"/>
  <c r="AJ190" i="104"/>
  <c r="AK190" i="104" s="1"/>
  <c r="AI189" i="104"/>
  <c r="AG188" i="104"/>
  <c r="AE187" i="104"/>
  <c r="AF186" i="104"/>
  <c r="AH185" i="104"/>
  <c r="AB184" i="104"/>
  <c r="AC183" i="104"/>
  <c r="AB182" i="104"/>
  <c r="AD181" i="104"/>
  <c r="AE181" i="104" s="1"/>
  <c r="AF181" i="104" s="1"/>
  <c r="Z180" i="104"/>
  <c r="Y179" i="104"/>
  <c r="U178" i="104"/>
  <c r="T177" i="104"/>
  <c r="S176" i="104"/>
  <c r="Q175" i="104"/>
  <c r="U174" i="104"/>
  <c r="P173" i="104"/>
  <c r="R172" i="104"/>
  <c r="Q171" i="104"/>
  <c r="N170" i="104"/>
  <c r="O169" i="104"/>
  <c r="P169" i="104" s="1"/>
  <c r="M168" i="104"/>
  <c r="L167" i="104"/>
  <c r="J166" i="104"/>
  <c r="K166" i="104" s="1"/>
  <c r="H165" i="104"/>
  <c r="J165" i="104" s="1"/>
  <c r="M71" i="105"/>
  <c r="AO299" i="104" l="1"/>
  <c r="AO272" i="104"/>
  <c r="AO296" i="104"/>
  <c r="AO284" i="104"/>
  <c r="AO273" i="104"/>
  <c r="AO285" i="104"/>
  <c r="AO287" i="104"/>
  <c r="AO268" i="104"/>
  <c r="AO281" i="104"/>
  <c r="AO289" i="104"/>
  <c r="AO274" i="104"/>
  <c r="AO260" i="104"/>
  <c r="AO269" i="104"/>
  <c r="AO280" i="104"/>
  <c r="AO258" i="104"/>
  <c r="AO294" i="104"/>
  <c r="AO301" i="104"/>
  <c r="AO265" i="104"/>
  <c r="AO259" i="104"/>
  <c r="AO300" i="104"/>
  <c r="AO263" i="104"/>
  <c r="AO262" i="104"/>
  <c r="AO292" i="104"/>
  <c r="AO270" i="104"/>
  <c r="AO264" i="104"/>
  <c r="AO302" i="104"/>
  <c r="AO290" i="104"/>
  <c r="AO267" i="104"/>
  <c r="AO286" i="104"/>
  <c r="AO298" i="104"/>
  <c r="AO283" i="104"/>
  <c r="AO271" i="104"/>
  <c r="AO291" i="104"/>
  <c r="AO295" i="104"/>
  <c r="AO261" i="104"/>
  <c r="AO275" i="104"/>
  <c r="AO278" i="104"/>
  <c r="AO279" i="104"/>
  <c r="AO277" i="104"/>
  <c r="AO288" i="104"/>
  <c r="AO293" i="104"/>
  <c r="AO266" i="104"/>
  <c r="AO297" i="104"/>
  <c r="AO276" i="104"/>
  <c r="AO282" i="104"/>
  <c r="BO218" i="104"/>
  <c r="BK216" i="104"/>
  <c r="BL216" i="104" s="1"/>
  <c r="BM216" i="104" s="1"/>
  <c r="BN216" i="104" s="1"/>
  <c r="BO216" i="104" s="1"/>
  <c r="BP216" i="104" s="1"/>
  <c r="BQ216" i="104" s="1"/>
  <c r="BL215" i="104"/>
  <c r="BM213" i="104"/>
  <c r="BJ214" i="104"/>
  <c r="BF211" i="104"/>
  <c r="BC209" i="104"/>
  <c r="BC208" i="104"/>
  <c r="BD207" i="104"/>
  <c r="BB206" i="104"/>
  <c r="AZ205" i="104"/>
  <c r="AX204" i="104"/>
  <c r="AX203" i="104"/>
  <c r="AX201" i="104"/>
  <c r="AY201" i="104" s="1"/>
  <c r="AT200" i="104"/>
  <c r="AU200" i="104" s="1"/>
  <c r="AR199" i="104"/>
  <c r="AQ198" i="104"/>
  <c r="AP197" i="104"/>
  <c r="AS196" i="104"/>
  <c r="AR195" i="104"/>
  <c r="AM193" i="104"/>
  <c r="AP192" i="104"/>
  <c r="AL191" i="104"/>
  <c r="AL190" i="104"/>
  <c r="AJ189" i="104"/>
  <c r="AH188" i="104"/>
  <c r="AF187" i="104"/>
  <c r="AG186" i="104"/>
  <c r="AI185" i="104"/>
  <c r="AC184" i="104"/>
  <c r="AD183" i="104"/>
  <c r="AC182" i="104"/>
  <c r="AG181" i="104"/>
  <c r="AA180" i="104"/>
  <c r="Z179" i="104"/>
  <c r="V178" i="104"/>
  <c r="U177" i="104"/>
  <c r="T176" i="104"/>
  <c r="R175" i="104"/>
  <c r="V174" i="104"/>
  <c r="Q173" i="104"/>
  <c r="S172" i="104"/>
  <c r="T172" i="104" s="1"/>
  <c r="U172" i="104" s="1"/>
  <c r="R171" i="104"/>
  <c r="O170" i="104"/>
  <c r="Q169" i="104"/>
  <c r="N168" i="104"/>
  <c r="M167" i="104"/>
  <c r="N167" i="104" s="1"/>
  <c r="L166" i="104"/>
  <c r="K165" i="104"/>
  <c r="H164" i="104"/>
  <c r="J164" i="104" s="1"/>
  <c r="M70" i="105"/>
  <c r="AO303" i="104" l="1"/>
  <c r="BP218" i="104"/>
  <c r="BQ218" i="104" s="1"/>
  <c r="BR218" i="104" s="1"/>
  <c r="BR216" i="104"/>
  <c r="BM215" i="104"/>
  <c r="BN215" i="104" s="1"/>
  <c r="BK214" i="104"/>
  <c r="BL214" i="104" s="1"/>
  <c r="BN213" i="104"/>
  <c r="BQ212" i="104"/>
  <c r="BG211" i="104"/>
  <c r="BI210" i="104"/>
  <c r="BD209" i="104"/>
  <c r="BD208" i="104"/>
  <c r="BE207" i="104"/>
  <c r="BC206" i="104"/>
  <c r="BA205" i="104"/>
  <c r="AY204" i="104"/>
  <c r="AY203" i="104"/>
  <c r="AZ201" i="104"/>
  <c r="AV200" i="104"/>
  <c r="AS199" i="104"/>
  <c r="AR198" i="104"/>
  <c r="AQ197" i="104"/>
  <c r="AT196" i="104"/>
  <c r="AU196" i="104" s="1"/>
  <c r="AS195" i="104"/>
  <c r="AN193" i="104"/>
  <c r="AQ192" i="104"/>
  <c r="AM191" i="104"/>
  <c r="AK189" i="104"/>
  <c r="AI188" i="104"/>
  <c r="AG187" i="104"/>
  <c r="AH186" i="104"/>
  <c r="AJ185" i="104"/>
  <c r="AD184" i="104"/>
  <c r="AE183" i="104"/>
  <c r="AD182" i="104"/>
  <c r="AB180" i="104"/>
  <c r="AA179" i="104"/>
  <c r="W178" i="104"/>
  <c r="V177" i="104"/>
  <c r="U176" i="104"/>
  <c r="S175" i="104"/>
  <c r="T175" i="104" s="1"/>
  <c r="W174" i="104"/>
  <c r="R173" i="104"/>
  <c r="S173" i="104" s="1"/>
  <c r="V172" i="104"/>
  <c r="S171" i="104"/>
  <c r="P170" i="104"/>
  <c r="Q170" i="104" s="1"/>
  <c r="R169" i="104"/>
  <c r="O168" i="104"/>
  <c r="O167" i="104"/>
  <c r="K164" i="104"/>
  <c r="L164" i="104" s="1"/>
  <c r="M166" i="104"/>
  <c r="L165" i="104"/>
  <c r="H163" i="104"/>
  <c r="M69" i="105"/>
  <c r="BS218" i="104" l="1"/>
  <c r="BO215" i="104"/>
  <c r="BP215" i="104" s="1"/>
  <c r="BO213" i="104"/>
  <c r="BR212" i="104"/>
  <c r="BS212" i="104" s="1"/>
  <c r="BH211" i="104"/>
  <c r="BE209" i="104"/>
  <c r="BJ210" i="104"/>
  <c r="BE208" i="104"/>
  <c r="BF207" i="104"/>
  <c r="BD206" i="104"/>
  <c r="BB205" i="104"/>
  <c r="AZ204" i="104"/>
  <c r="AZ203" i="104"/>
  <c r="BA201" i="104"/>
  <c r="AW200" i="104"/>
  <c r="AT199" i="104"/>
  <c r="AS198" i="104"/>
  <c r="AR197" i="104"/>
  <c r="AT195" i="104"/>
  <c r="AU195" i="104" s="1"/>
  <c r="AS194" i="104"/>
  <c r="AO193" i="104"/>
  <c r="AR192" i="104"/>
  <c r="AN191" i="104"/>
  <c r="AL189" i="104"/>
  <c r="AJ188" i="104"/>
  <c r="AH187" i="104"/>
  <c r="AI186" i="104"/>
  <c r="AK185" i="104"/>
  <c r="AE184" i="104"/>
  <c r="AF183" i="104"/>
  <c r="AE182" i="104"/>
  <c r="AH181" i="104"/>
  <c r="AC180" i="104"/>
  <c r="AB179" i="104"/>
  <c r="X178" i="104"/>
  <c r="V176" i="104"/>
  <c r="W177" i="104"/>
  <c r="X174" i="104"/>
  <c r="U175" i="104"/>
  <c r="V175" i="104" s="1"/>
  <c r="T173" i="104"/>
  <c r="U173" i="104" s="1"/>
  <c r="V173" i="104" s="1"/>
  <c r="W172" i="104"/>
  <c r="T171" i="104"/>
  <c r="R170" i="104"/>
  <c r="S169" i="104"/>
  <c r="P168" i="104"/>
  <c r="P167" i="104"/>
  <c r="Q167" i="104" s="1"/>
  <c r="N166" i="104"/>
  <c r="O166" i="104" s="1"/>
  <c r="M165" i="104"/>
  <c r="M164" i="104"/>
  <c r="J163" i="104"/>
  <c r="H162" i="104"/>
  <c r="M68" i="105"/>
  <c r="BT218" i="104" l="1"/>
  <c r="BU218" i="104" s="1"/>
  <c r="BV218" i="104" s="1"/>
  <c r="BS216" i="104"/>
  <c r="BQ215" i="104"/>
  <c r="BP213" i="104"/>
  <c r="BQ213" i="104" s="1"/>
  <c r="BR213" i="104" s="1"/>
  <c r="BS213" i="104" s="1"/>
  <c r="BT213" i="104" s="1"/>
  <c r="BM214" i="104"/>
  <c r="BT212" i="104"/>
  <c r="BU212" i="104" s="1"/>
  <c r="BV212" i="104" s="1"/>
  <c r="BI211" i="104"/>
  <c r="BF209" i="104"/>
  <c r="BK210" i="104"/>
  <c r="BF208" i="104"/>
  <c r="BG207" i="104"/>
  <c r="BH207" i="104" s="1"/>
  <c r="BI207" i="104" s="1"/>
  <c r="BJ207" i="104" s="1"/>
  <c r="BK207" i="104" s="1"/>
  <c r="BE206" i="104"/>
  <c r="BC205" i="104"/>
  <c r="BA204" i="104"/>
  <c r="BA203" i="104"/>
  <c r="BB201" i="104"/>
  <c r="AU199" i="104"/>
  <c r="AT198" i="104"/>
  <c r="AS197" i="104"/>
  <c r="AV196" i="104"/>
  <c r="AV195" i="104"/>
  <c r="AT194" i="104"/>
  <c r="AU194" i="104" s="1"/>
  <c r="AP193" i="104"/>
  <c r="AS192" i="104"/>
  <c r="AO191" i="104"/>
  <c r="AM190" i="104"/>
  <c r="AM189" i="104"/>
  <c r="AK188" i="104"/>
  <c r="AI187" i="104"/>
  <c r="AJ186" i="104"/>
  <c r="AL185" i="104"/>
  <c r="AF184" i="104"/>
  <c r="AG183" i="104"/>
  <c r="AF182" i="104"/>
  <c r="AI181" i="104"/>
  <c r="AD180" i="104"/>
  <c r="AE180" i="104" s="1"/>
  <c r="AC179" i="104"/>
  <c r="Y178" i="104"/>
  <c r="X177" i="104"/>
  <c r="W176" i="104"/>
  <c r="W175" i="104"/>
  <c r="X175" i="104" s="1"/>
  <c r="W173" i="104"/>
  <c r="X172" i="104"/>
  <c r="Y172" i="104" s="1"/>
  <c r="U171" i="104"/>
  <c r="S170" i="104"/>
  <c r="T169" i="104"/>
  <c r="Q168" i="104"/>
  <c r="R167" i="104"/>
  <c r="S167" i="104" s="1"/>
  <c r="T167" i="104" s="1"/>
  <c r="P166" i="104"/>
  <c r="Q166" i="104" s="1"/>
  <c r="N165" i="104"/>
  <c r="O165" i="104" s="1"/>
  <c r="N164" i="104"/>
  <c r="K163" i="104"/>
  <c r="J162" i="104"/>
  <c r="K162" i="104" s="1"/>
  <c r="H161" i="104"/>
  <c r="M67" i="105"/>
  <c r="AQ269" i="104" l="1"/>
  <c r="AQ300" i="104"/>
  <c r="AQ261" i="104"/>
  <c r="AQ283" i="104"/>
  <c r="AQ295" i="104"/>
  <c r="AQ289" i="104"/>
  <c r="AQ298" i="104"/>
  <c r="AQ290" i="104"/>
  <c r="AQ272" i="104"/>
  <c r="AQ285" i="104"/>
  <c r="AQ296" i="104"/>
  <c r="AQ267" i="104"/>
  <c r="AQ284" i="104"/>
  <c r="AQ264" i="104"/>
  <c r="AQ302" i="104"/>
  <c r="AQ273" i="104"/>
  <c r="AQ282" i="104"/>
  <c r="AQ277" i="104"/>
  <c r="AQ293" i="104"/>
  <c r="AQ294" i="104"/>
  <c r="AQ286" i="104"/>
  <c r="AQ274" i="104"/>
  <c r="AQ299" i="104"/>
  <c r="AQ279" i="104"/>
  <c r="AQ288" i="104"/>
  <c r="AQ301" i="104"/>
  <c r="AQ276" i="104"/>
  <c r="AQ291" i="104"/>
  <c r="AQ297" i="104"/>
  <c r="AQ260" i="104"/>
  <c r="AQ265" i="104"/>
  <c r="AQ281" i="104"/>
  <c r="AQ278" i="104"/>
  <c r="AQ270" i="104"/>
  <c r="AQ287" i="104"/>
  <c r="AQ280" i="104"/>
  <c r="AQ259" i="104"/>
  <c r="AQ292" i="104"/>
  <c r="AQ263" i="104"/>
  <c r="AQ268" i="104"/>
  <c r="AQ266" i="104"/>
  <c r="AQ258" i="104"/>
  <c r="AQ275" i="104"/>
  <c r="AQ262" i="104"/>
  <c r="AQ271" i="104"/>
  <c r="BT216" i="104"/>
  <c r="BU216" i="104" s="1"/>
  <c r="BR215" i="104"/>
  <c r="BS215" i="104" s="1"/>
  <c r="BT215" i="104" s="1"/>
  <c r="BN214" i="104"/>
  <c r="BO214" i="104" s="1"/>
  <c r="BP214" i="104" s="1"/>
  <c r="BQ214" i="104" s="1"/>
  <c r="BR214" i="104" s="1"/>
  <c r="BU213" i="104"/>
  <c r="BV213" i="104" s="1"/>
  <c r="AW282" i="104"/>
  <c r="AW291" i="104"/>
  <c r="AW260" i="104"/>
  <c r="AW281" i="104"/>
  <c r="AW273" i="104"/>
  <c r="AW299" i="104"/>
  <c r="AW285" i="104"/>
  <c r="AW265" i="104"/>
  <c r="AW276" i="104"/>
  <c r="AW295" i="104"/>
  <c r="AW280" i="104"/>
  <c r="AW289" i="104"/>
  <c r="AW302" i="104"/>
  <c r="AW293" i="104"/>
  <c r="AW290" i="104"/>
  <c r="AW269" i="104"/>
  <c r="AW268" i="104"/>
  <c r="AW298" i="104"/>
  <c r="AW296" i="104"/>
  <c r="AW272" i="104"/>
  <c r="AW277" i="104"/>
  <c r="AW264" i="104"/>
  <c r="AW259" i="104"/>
  <c r="AW267" i="104"/>
  <c r="AW271" i="104"/>
  <c r="AW283" i="104"/>
  <c r="AW286" i="104"/>
  <c r="AW284" i="104"/>
  <c r="AW292" i="104"/>
  <c r="AW270" i="104"/>
  <c r="AW287" i="104"/>
  <c r="AW258" i="104"/>
  <c r="AW266" i="104"/>
  <c r="AW300" i="104"/>
  <c r="AW261" i="104"/>
  <c r="AW274" i="104"/>
  <c r="AW288" i="104"/>
  <c r="AW262" i="104"/>
  <c r="AW301" i="104"/>
  <c r="AW275" i="104"/>
  <c r="AW294" i="104"/>
  <c r="AW279" i="104"/>
  <c r="AW263" i="104"/>
  <c r="AW278" i="104"/>
  <c r="AW297" i="104"/>
  <c r="BJ211" i="104"/>
  <c r="BL210" i="104"/>
  <c r="BG209" i="104"/>
  <c r="BG208" i="104"/>
  <c r="BH208" i="104" s="1"/>
  <c r="BI208" i="104" s="1"/>
  <c r="BJ208" i="104" s="1"/>
  <c r="BK208" i="104" s="1"/>
  <c r="BL208" i="104" s="1"/>
  <c r="BM208" i="104" s="1"/>
  <c r="BN208" i="104" s="1"/>
  <c r="BO208" i="104" s="1"/>
  <c r="BF206" i="104"/>
  <c r="BD205" i="104"/>
  <c r="BB204" i="104"/>
  <c r="BB203" i="104"/>
  <c r="BC201" i="104"/>
  <c r="AX200" i="104"/>
  <c r="AV199" i="104"/>
  <c r="AU198" i="104"/>
  <c r="AT197" i="104"/>
  <c r="AW196" i="104"/>
  <c r="AW195" i="104"/>
  <c r="AX195" i="104" s="1"/>
  <c r="AQ193" i="104"/>
  <c r="AT192" i="104"/>
  <c r="AU192" i="104" s="1"/>
  <c r="AP191" i="104"/>
  <c r="AN190" i="104"/>
  <c r="AN189" i="104"/>
  <c r="AL188" i="104"/>
  <c r="AJ187" i="104"/>
  <c r="AK186" i="104"/>
  <c r="AM185" i="104"/>
  <c r="AG184" i="104"/>
  <c r="AH183" i="104"/>
  <c r="AI183" i="104" s="1"/>
  <c r="AG182" i="104"/>
  <c r="AJ181" i="104"/>
  <c r="AF180" i="104"/>
  <c r="AD179" i="104"/>
  <c r="Z178" i="104"/>
  <c r="X176" i="104"/>
  <c r="Y177" i="104"/>
  <c r="Y175" i="104"/>
  <c r="X173" i="104"/>
  <c r="Z172" i="104"/>
  <c r="V171" i="104"/>
  <c r="T170" i="104"/>
  <c r="U169" i="104"/>
  <c r="R168" i="104"/>
  <c r="S168" i="104" s="1"/>
  <c r="U167" i="104"/>
  <c r="V167" i="104" s="1"/>
  <c r="W167" i="104" s="1"/>
  <c r="R166" i="104"/>
  <c r="P165" i="104"/>
  <c r="L163" i="104"/>
  <c r="O164" i="104"/>
  <c r="L162" i="104"/>
  <c r="J161" i="104"/>
  <c r="H160" i="104"/>
  <c r="M66" i="105"/>
  <c r="W6" i="98"/>
  <c r="AQ303" i="104" l="1"/>
  <c r="BV216" i="104"/>
  <c r="AS258" i="104" s="1"/>
  <c r="BU215" i="104"/>
  <c r="BV215" i="104" s="1"/>
  <c r="BS214" i="104"/>
  <c r="BT214" i="104" s="1"/>
  <c r="AV300" i="104"/>
  <c r="AV268" i="104"/>
  <c r="AV280" i="104"/>
  <c r="AV302" i="104"/>
  <c r="AV265" i="104"/>
  <c r="AV298" i="104"/>
  <c r="AV259" i="104"/>
  <c r="AV284" i="104"/>
  <c r="AV269" i="104"/>
  <c r="AV292" i="104"/>
  <c r="AV281" i="104"/>
  <c r="AV288" i="104"/>
  <c r="AV301" i="104"/>
  <c r="AV283" i="104"/>
  <c r="AV294" i="104"/>
  <c r="AV271" i="104"/>
  <c r="AV274" i="104"/>
  <c r="AV286" i="104"/>
  <c r="AV261" i="104"/>
  <c r="AV266" i="104"/>
  <c r="AV270" i="104"/>
  <c r="AV267" i="104"/>
  <c r="AV272" i="104"/>
  <c r="AV278" i="104"/>
  <c r="AV291" i="104"/>
  <c r="AV295" i="104"/>
  <c r="AV293" i="104"/>
  <c r="AV296" i="104"/>
  <c r="AV299" i="104"/>
  <c r="AV279" i="104"/>
  <c r="AV275" i="104"/>
  <c r="AV289" i="104"/>
  <c r="AV282" i="104"/>
  <c r="AV260" i="104"/>
  <c r="AV277" i="104"/>
  <c r="AV276" i="104"/>
  <c r="AV262" i="104"/>
  <c r="AV258" i="104"/>
  <c r="AV263" i="104"/>
  <c r="AV264" i="104"/>
  <c r="AV273" i="104"/>
  <c r="AV297" i="104"/>
  <c r="AV287" i="104"/>
  <c r="AV290" i="104"/>
  <c r="AV285" i="104"/>
  <c r="AW303" i="104"/>
  <c r="BK211" i="104"/>
  <c r="BM210" i="104"/>
  <c r="BH209" i="104"/>
  <c r="BG206" i="104"/>
  <c r="BE205" i="104"/>
  <c r="BC204" i="104"/>
  <c r="BC203" i="104"/>
  <c r="AY200" i="104"/>
  <c r="AZ200" i="104" s="1"/>
  <c r="AW199" i="104"/>
  <c r="AV198" i="104"/>
  <c r="AU197" i="104"/>
  <c r="AX196" i="104"/>
  <c r="AY195" i="104"/>
  <c r="AV194" i="104"/>
  <c r="AR193" i="104"/>
  <c r="AV192" i="104"/>
  <c r="AQ191" i="104"/>
  <c r="AO190" i="104"/>
  <c r="AO189" i="104"/>
  <c r="AM188" i="104"/>
  <c r="AK187" i="104"/>
  <c r="AL186" i="104"/>
  <c r="AN185" i="104"/>
  <c r="AH184" i="104"/>
  <c r="AJ183" i="104"/>
  <c r="AH182" i="104"/>
  <c r="AK181" i="104"/>
  <c r="AG180" i="104"/>
  <c r="AE179" i="104"/>
  <c r="AA178" i="104"/>
  <c r="Z177" i="104"/>
  <c r="AA177" i="104" s="1"/>
  <c r="Y176" i="104"/>
  <c r="Z175" i="104"/>
  <c r="Y174" i="104"/>
  <c r="Y173" i="104"/>
  <c r="AA172" i="104"/>
  <c r="W171" i="104"/>
  <c r="U170" i="104"/>
  <c r="V169" i="104"/>
  <c r="T168" i="104"/>
  <c r="U168" i="104" s="1"/>
  <c r="X167" i="104"/>
  <c r="S166" i="104"/>
  <c r="Q165" i="104"/>
  <c r="M163" i="104"/>
  <c r="P164" i="104"/>
  <c r="M162" i="104"/>
  <c r="N162" i="104" s="1"/>
  <c r="K161" i="104"/>
  <c r="J160" i="104"/>
  <c r="K160" i="104" s="1"/>
  <c r="H159" i="104"/>
  <c r="M65" i="105"/>
  <c r="AS272" i="104" l="1"/>
  <c r="AS267" i="104"/>
  <c r="AS280" i="104"/>
  <c r="AS275" i="104"/>
  <c r="AS291" i="104"/>
  <c r="AS274" i="104"/>
  <c r="AS262" i="104"/>
  <c r="AS299" i="104"/>
  <c r="AS293" i="104"/>
  <c r="AS269" i="104"/>
  <c r="AS286" i="104"/>
  <c r="AS279" i="104"/>
  <c r="AS270" i="104"/>
  <c r="AS277" i="104"/>
  <c r="AS285" i="104"/>
  <c r="AS273" i="104"/>
  <c r="AS295" i="104"/>
  <c r="AS302" i="104"/>
  <c r="AS288" i="104"/>
  <c r="AS263" i="104"/>
  <c r="AS296" i="104"/>
  <c r="AS266" i="104"/>
  <c r="AS268" i="104"/>
  <c r="AS290" i="104"/>
  <c r="AS278" i="104"/>
  <c r="AS297" i="104"/>
  <c r="AS281" i="104"/>
  <c r="AS289" i="104"/>
  <c r="AS294" i="104"/>
  <c r="AS298" i="104"/>
  <c r="AS276" i="104"/>
  <c r="AS287" i="104"/>
  <c r="AS261" i="104"/>
  <c r="AS264" i="104"/>
  <c r="AS283" i="104"/>
  <c r="AS292" i="104"/>
  <c r="AS265" i="104"/>
  <c r="AS284" i="104"/>
  <c r="AS301" i="104"/>
  <c r="AS259" i="104"/>
  <c r="AS300" i="104"/>
  <c r="AS271" i="104"/>
  <c r="AS260" i="104"/>
  <c r="AS282" i="104"/>
  <c r="AT285" i="104"/>
  <c r="AT275" i="104"/>
  <c r="AT292" i="104"/>
  <c r="AT260" i="104"/>
  <c r="AT265" i="104"/>
  <c r="AT278" i="104"/>
  <c r="AT300" i="104"/>
  <c r="AT294" i="104"/>
  <c r="AT290" i="104"/>
  <c r="AT277" i="104"/>
  <c r="AT282" i="104"/>
  <c r="AT289" i="104"/>
  <c r="AT293" i="104"/>
  <c r="AT274" i="104"/>
  <c r="AT276" i="104"/>
  <c r="AT262" i="104"/>
  <c r="AT273" i="104"/>
  <c r="AT297" i="104"/>
  <c r="AT261" i="104"/>
  <c r="AT287" i="104"/>
  <c r="AT270" i="104"/>
  <c r="AT259" i="104"/>
  <c r="AT268" i="104"/>
  <c r="AT284" i="104"/>
  <c r="AT301" i="104"/>
  <c r="AT299" i="104"/>
  <c r="AT302" i="104"/>
  <c r="AT263" i="104"/>
  <c r="AT291" i="104"/>
  <c r="AT272" i="104"/>
  <c r="AT286" i="104"/>
  <c r="AT271" i="104"/>
  <c r="AT267" i="104"/>
  <c r="AT298" i="104"/>
  <c r="AT283" i="104"/>
  <c r="AT296" i="104"/>
  <c r="AT295" i="104"/>
  <c r="AT264" i="104"/>
  <c r="AT281" i="104"/>
  <c r="AT269" i="104"/>
  <c r="AT288" i="104"/>
  <c r="AT279" i="104"/>
  <c r="AT280" i="104"/>
  <c r="AT266" i="104"/>
  <c r="AT258" i="104"/>
  <c r="AV303" i="104"/>
  <c r="BU214" i="104"/>
  <c r="BV214" i="104" s="1"/>
  <c r="BL211" i="104"/>
  <c r="BN210" i="104"/>
  <c r="BO210" i="104" s="1"/>
  <c r="BI209" i="104"/>
  <c r="BJ209" i="104" s="1"/>
  <c r="BL207" i="104"/>
  <c r="BH206" i="104"/>
  <c r="BF205" i="104"/>
  <c r="BD204" i="104"/>
  <c r="BE204" i="104" s="1"/>
  <c r="BD203" i="104"/>
  <c r="AX199" i="104"/>
  <c r="AW198" i="104"/>
  <c r="AV197" i="104"/>
  <c r="AY196" i="104"/>
  <c r="AZ195" i="104"/>
  <c r="AW194" i="104"/>
  <c r="AS193" i="104"/>
  <c r="AW192" i="104"/>
  <c r="AR191" i="104"/>
  <c r="AP190" i="104"/>
  <c r="AN188" i="104"/>
  <c r="AL187" i="104"/>
  <c r="AM186" i="104"/>
  <c r="AO185" i="104"/>
  <c r="AI184" i="104"/>
  <c r="AK183" i="104"/>
  <c r="AL183" i="104" s="1"/>
  <c r="AI182" i="104"/>
  <c r="AL181" i="104"/>
  <c r="AH180" i="104"/>
  <c r="AF179" i="104"/>
  <c r="AB178" i="104"/>
  <c r="Z176" i="104"/>
  <c r="AB177" i="104"/>
  <c r="AA175" i="104"/>
  <c r="Z174" i="104"/>
  <c r="Z173" i="104"/>
  <c r="AB172" i="104"/>
  <c r="X171" i="104"/>
  <c r="Y171" i="104" s="1"/>
  <c r="Z171" i="104" s="1"/>
  <c r="V170" i="104"/>
  <c r="W169" i="104"/>
  <c r="V168" i="104"/>
  <c r="W168" i="104" s="1"/>
  <c r="X168" i="104" s="1"/>
  <c r="Y167" i="104"/>
  <c r="T166" i="104"/>
  <c r="R165" i="104"/>
  <c r="N163" i="104"/>
  <c r="O163" i="104" s="1"/>
  <c r="Q164" i="104"/>
  <c r="L161" i="104"/>
  <c r="O162" i="104"/>
  <c r="L160" i="104"/>
  <c r="J159" i="104"/>
  <c r="K159" i="104" s="1"/>
  <c r="H158" i="104"/>
  <c r="M64" i="105"/>
  <c r="AS303" i="104" l="1"/>
  <c r="AT303" i="104"/>
  <c r="AU271" i="104"/>
  <c r="AU258" i="104"/>
  <c r="AU289" i="104"/>
  <c r="AU285" i="104"/>
  <c r="AU278" i="104"/>
  <c r="AU266" i="104"/>
  <c r="AU287" i="104"/>
  <c r="AU295" i="104"/>
  <c r="AU284" i="104"/>
  <c r="AU275" i="104"/>
  <c r="AU299" i="104"/>
  <c r="AU273" i="104"/>
  <c r="AU265" i="104"/>
  <c r="AU297" i="104"/>
  <c r="AU274" i="104"/>
  <c r="AU294" i="104"/>
  <c r="AU283" i="104"/>
  <c r="AU302" i="104"/>
  <c r="AU261" i="104"/>
  <c r="AU270" i="104"/>
  <c r="AU300" i="104"/>
  <c r="AU262" i="104"/>
  <c r="AU301" i="104"/>
  <c r="AU296" i="104"/>
  <c r="AU281" i="104"/>
  <c r="AU268" i="104"/>
  <c r="AU267" i="104"/>
  <c r="AU279" i="104"/>
  <c r="AU260" i="104"/>
  <c r="AU277" i="104"/>
  <c r="AU282" i="104"/>
  <c r="AU263" i="104"/>
  <c r="AU298" i="104"/>
  <c r="AU293" i="104"/>
  <c r="AU264" i="104"/>
  <c r="AU288" i="104"/>
  <c r="AU269" i="104"/>
  <c r="AU276" i="104"/>
  <c r="AU280" i="104"/>
  <c r="AU290" i="104"/>
  <c r="AU291" i="104"/>
  <c r="AU259" i="104"/>
  <c r="AU286" i="104"/>
  <c r="AU292" i="104"/>
  <c r="AU272" i="104"/>
  <c r="BM211" i="104"/>
  <c r="BP210" i="104"/>
  <c r="BQ210" i="104" s="1"/>
  <c r="BK209" i="104"/>
  <c r="BL209" i="104" s="1"/>
  <c r="BM209" i="104" s="1"/>
  <c r="BN209" i="104" s="1"/>
  <c r="BO209" i="104" s="1"/>
  <c r="BP208" i="104"/>
  <c r="BM207" i="104"/>
  <c r="BN207" i="104" s="1"/>
  <c r="BO207" i="104" s="1"/>
  <c r="BP207" i="104" s="1"/>
  <c r="BQ207" i="104" s="1"/>
  <c r="BI206" i="104"/>
  <c r="BG205" i="104"/>
  <c r="BH205" i="104" s="1"/>
  <c r="BI205" i="104" s="1"/>
  <c r="BJ205" i="104" s="1"/>
  <c r="BK205" i="104" s="1"/>
  <c r="BL205" i="104" s="1"/>
  <c r="BM205" i="104" s="1"/>
  <c r="BN205" i="104" s="1"/>
  <c r="BO205" i="104" s="1"/>
  <c r="BP205" i="104" s="1"/>
  <c r="BQ205" i="104" s="1"/>
  <c r="BF204" i="104"/>
  <c r="BG204" i="104" s="1"/>
  <c r="BH204" i="104" s="1"/>
  <c r="BE203" i="104"/>
  <c r="BA200" i="104"/>
  <c r="AY199" i="104"/>
  <c r="AX198" i="104"/>
  <c r="AY198" i="104" s="1"/>
  <c r="AZ198" i="104" s="1"/>
  <c r="BA198" i="104" s="1"/>
  <c r="AW197" i="104"/>
  <c r="AZ196" i="104"/>
  <c r="BA195" i="104"/>
  <c r="AX194" i="104"/>
  <c r="AT193" i="104"/>
  <c r="AX192" i="104"/>
  <c r="AY192" i="104" s="1"/>
  <c r="AS191" i="104"/>
  <c r="AQ190" i="104"/>
  <c r="AP189" i="104"/>
  <c r="AO188" i="104"/>
  <c r="AM187" i="104"/>
  <c r="AN186" i="104"/>
  <c r="AP185" i="104"/>
  <c r="AJ184" i="104"/>
  <c r="AM183" i="104"/>
  <c r="AJ182" i="104"/>
  <c r="AM181" i="104"/>
  <c r="AI180" i="104"/>
  <c r="AG179" i="104"/>
  <c r="AC178" i="104"/>
  <c r="AC177" i="104"/>
  <c r="AA176" i="104"/>
  <c r="AB175" i="104"/>
  <c r="AA174" i="104"/>
  <c r="AA173" i="104"/>
  <c r="AC172" i="104"/>
  <c r="AA171" i="104"/>
  <c r="W170" i="104"/>
  <c r="Y168" i="104"/>
  <c r="Z168" i="104" s="1"/>
  <c r="X169" i="104"/>
  <c r="Z167" i="104"/>
  <c r="U166" i="104"/>
  <c r="S165" i="104"/>
  <c r="R164" i="104"/>
  <c r="S164" i="104" s="1"/>
  <c r="P163" i="104"/>
  <c r="Q163" i="104" s="1"/>
  <c r="M161" i="104"/>
  <c r="N161" i="104" s="1"/>
  <c r="P162" i="104"/>
  <c r="L159" i="104"/>
  <c r="M159" i="104" s="1"/>
  <c r="N159" i="104" s="1"/>
  <c r="M160" i="104"/>
  <c r="J158" i="104"/>
  <c r="K9" i="98"/>
  <c r="H157" i="104"/>
  <c r="M63" i="105"/>
  <c r="AU303" i="104" l="1"/>
  <c r="BN211" i="104"/>
  <c r="BO211" i="104" s="1"/>
  <c r="BP211" i="104" s="1"/>
  <c r="BQ211" i="104" s="1"/>
  <c r="BR211" i="104" s="1"/>
  <c r="BS211" i="104" s="1"/>
  <c r="BT211" i="104" s="1"/>
  <c r="BU211" i="104" s="1"/>
  <c r="BV211" i="104" s="1"/>
  <c r="BP209" i="104"/>
  <c r="BQ209" i="104" s="1"/>
  <c r="BR209" i="104" s="1"/>
  <c r="BS209" i="104" s="1"/>
  <c r="BT209" i="104" s="1"/>
  <c r="BU209" i="104" s="1"/>
  <c r="BV209" i="104" s="1"/>
  <c r="BR210" i="104"/>
  <c r="BS210" i="104" s="1"/>
  <c r="BQ208" i="104"/>
  <c r="BR208" i="104" s="1"/>
  <c r="BS208" i="104" s="1"/>
  <c r="BR207" i="104"/>
  <c r="BJ206" i="104"/>
  <c r="BR205" i="104"/>
  <c r="BF203" i="104"/>
  <c r="BD201" i="104"/>
  <c r="BB200" i="104"/>
  <c r="AZ199" i="104"/>
  <c r="BB198" i="104"/>
  <c r="AX197" i="104"/>
  <c r="BA196" i="104"/>
  <c r="BB195" i="104"/>
  <c r="AY194" i="104"/>
  <c r="AU193" i="104"/>
  <c r="AZ192" i="104"/>
  <c r="BA192" i="104" s="1"/>
  <c r="AT191" i="104"/>
  <c r="AR190" i="104"/>
  <c r="AQ189" i="104"/>
  <c r="AR189" i="104" s="1"/>
  <c r="AP188" i="104"/>
  <c r="AN187" i="104"/>
  <c r="AO186" i="104"/>
  <c r="AQ185" i="104"/>
  <c r="AK184" i="104"/>
  <c r="AN183" i="104"/>
  <c r="AK182" i="104"/>
  <c r="AN181" i="104"/>
  <c r="AJ180" i="104"/>
  <c r="AH179" i="104"/>
  <c r="AD178" i="104"/>
  <c r="AD177" i="104"/>
  <c r="AB176" i="104"/>
  <c r="AB174" i="104"/>
  <c r="AC174" i="104" s="1"/>
  <c r="AC175" i="104"/>
  <c r="AB173" i="104"/>
  <c r="AD172" i="104"/>
  <c r="AB171" i="104"/>
  <c r="AA168" i="104"/>
  <c r="X170" i="104"/>
  <c r="Y169" i="104"/>
  <c r="AA167" i="104"/>
  <c r="AB167" i="104" s="1"/>
  <c r="V166" i="104"/>
  <c r="T165" i="104"/>
  <c r="T164" i="104"/>
  <c r="R163" i="104"/>
  <c r="O161" i="104"/>
  <c r="P161" i="104" s="1"/>
  <c r="Q161" i="104" s="1"/>
  <c r="Q162" i="104"/>
  <c r="N160" i="104"/>
  <c r="O160" i="104" s="1"/>
  <c r="O159" i="104"/>
  <c r="K158" i="104"/>
  <c r="L158" i="104" s="1"/>
  <c r="M158" i="104" s="1"/>
  <c r="J157" i="104"/>
  <c r="H156" i="104"/>
  <c r="J156" i="104" s="1"/>
  <c r="M62" i="105"/>
  <c r="AX273" i="104" l="1"/>
  <c r="AX301" i="104"/>
  <c r="AX261" i="104"/>
  <c r="AX300" i="104"/>
  <c r="AX277" i="104"/>
  <c r="AX265" i="104"/>
  <c r="AX270" i="104"/>
  <c r="AX293" i="104"/>
  <c r="AX272" i="104"/>
  <c r="AX269" i="104"/>
  <c r="AX291" i="104"/>
  <c r="AX266" i="104"/>
  <c r="AX263" i="104"/>
  <c r="AX271" i="104"/>
  <c r="AX296" i="104"/>
  <c r="AX290" i="104"/>
  <c r="AX262" i="104"/>
  <c r="AX297" i="104"/>
  <c r="AX267" i="104"/>
  <c r="AX276" i="104"/>
  <c r="AX286" i="104"/>
  <c r="AX295" i="104"/>
  <c r="AX287" i="104"/>
  <c r="AX299" i="104"/>
  <c r="AX264" i="104"/>
  <c r="AX258" i="104"/>
  <c r="AX260" i="104"/>
  <c r="AX294" i="104"/>
  <c r="AX285" i="104"/>
  <c r="AX283" i="104"/>
  <c r="AX268" i="104"/>
  <c r="AX284" i="104"/>
  <c r="AX281" i="104"/>
  <c r="AX289" i="104"/>
  <c r="AX288" i="104"/>
  <c r="AX280" i="104"/>
  <c r="AX259" i="104"/>
  <c r="AX274" i="104"/>
  <c r="AX302" i="104"/>
  <c r="AX292" i="104"/>
  <c r="AX282" i="104"/>
  <c r="AX279" i="104"/>
  <c r="AX278" i="104"/>
  <c r="AX275" i="104"/>
  <c r="AX298" i="104"/>
  <c r="AZ265" i="104"/>
  <c r="AZ268" i="104"/>
  <c r="AZ269" i="104"/>
  <c r="AZ280" i="104"/>
  <c r="AZ285" i="104"/>
  <c r="AZ273" i="104"/>
  <c r="AZ284" i="104"/>
  <c r="AZ289" i="104"/>
  <c r="AZ296" i="104"/>
  <c r="AZ260" i="104"/>
  <c r="AZ288" i="104"/>
  <c r="AZ281" i="104"/>
  <c r="AZ261" i="104"/>
  <c r="AZ298" i="104"/>
  <c r="AZ275" i="104"/>
  <c r="AZ270" i="104"/>
  <c r="AZ279" i="104"/>
  <c r="AZ264" i="104"/>
  <c r="AZ282" i="104"/>
  <c r="AZ277" i="104"/>
  <c r="AZ262" i="104"/>
  <c r="AZ272" i="104"/>
  <c r="AZ271" i="104"/>
  <c r="AZ302" i="104"/>
  <c r="AZ276" i="104"/>
  <c r="AZ274" i="104"/>
  <c r="AZ292" i="104"/>
  <c r="AZ291" i="104"/>
  <c r="AZ267" i="104"/>
  <c r="AZ293" i="104"/>
  <c r="AZ283" i="104"/>
  <c r="AZ266" i="104"/>
  <c r="AZ301" i="104"/>
  <c r="AZ297" i="104"/>
  <c r="AZ258" i="104"/>
  <c r="AZ259" i="104"/>
  <c r="AZ294" i="104"/>
  <c r="AZ295" i="104"/>
  <c r="AZ286" i="104"/>
  <c r="AZ300" i="104"/>
  <c r="AZ278" i="104"/>
  <c r="AZ290" i="104"/>
  <c r="AZ287" i="104"/>
  <c r="AZ263" i="104"/>
  <c r="AZ299" i="104"/>
  <c r="BT210" i="104"/>
  <c r="BU210" i="104" s="1"/>
  <c r="BV210" i="104" s="1"/>
  <c r="BT208" i="104"/>
  <c r="BU208" i="104" s="1"/>
  <c r="BS207" i="104"/>
  <c r="BT207" i="104" s="1"/>
  <c r="BU207" i="104" s="1"/>
  <c r="BK206" i="104"/>
  <c r="BS205" i="104"/>
  <c r="BG203" i="104"/>
  <c r="BG202" i="104"/>
  <c r="BE201" i="104"/>
  <c r="BC200" i="104"/>
  <c r="BA199" i="104"/>
  <c r="BC198" i="104"/>
  <c r="AY197" i="104"/>
  <c r="BB196" i="104"/>
  <c r="BC195" i="104"/>
  <c r="AZ194" i="104"/>
  <c r="BA194" i="104" s="1"/>
  <c r="AV193" i="104"/>
  <c r="BB192" i="104"/>
  <c r="AU191" i="104"/>
  <c r="AS190" i="104"/>
  <c r="AQ188" i="104"/>
  <c r="AO187" i="104"/>
  <c r="AP186" i="104"/>
  <c r="AR185" i="104"/>
  <c r="AL184" i="104"/>
  <c r="AO183" i="104"/>
  <c r="AL182" i="104"/>
  <c r="AO181" i="104"/>
  <c r="AK180" i="104"/>
  <c r="AI179" i="104"/>
  <c r="AE178" i="104"/>
  <c r="AC176" i="104"/>
  <c r="AE177" i="104"/>
  <c r="AD175" i="104"/>
  <c r="AD174" i="104"/>
  <c r="AC173" i="104"/>
  <c r="AE172" i="104"/>
  <c r="AC171" i="104"/>
  <c r="Y170" i="104"/>
  <c r="Z169" i="104"/>
  <c r="AC167" i="104"/>
  <c r="W166" i="104"/>
  <c r="U165" i="104"/>
  <c r="U164" i="104"/>
  <c r="S163" i="104"/>
  <c r="R161" i="104"/>
  <c r="S161" i="104" s="1"/>
  <c r="R162" i="104"/>
  <c r="P160" i="104"/>
  <c r="P159" i="104"/>
  <c r="N158" i="104"/>
  <c r="K157" i="104"/>
  <c r="L157" i="104" s="1"/>
  <c r="M157" i="104" s="1"/>
  <c r="K156" i="104"/>
  <c r="M61" i="105"/>
  <c r="H155" i="104"/>
  <c r="AX303" i="104" l="1"/>
  <c r="BV208" i="104"/>
  <c r="AY260" i="104"/>
  <c r="AY299" i="104"/>
  <c r="AY288" i="104"/>
  <c r="AY273" i="104"/>
  <c r="AY296" i="104"/>
  <c r="AY294" i="104"/>
  <c r="AY295" i="104"/>
  <c r="AY292" i="104"/>
  <c r="AY277" i="104"/>
  <c r="AY268" i="104"/>
  <c r="AY269" i="104"/>
  <c r="AY279" i="104"/>
  <c r="AY267" i="104"/>
  <c r="AY285" i="104"/>
  <c r="AY270" i="104"/>
  <c r="AY289" i="104"/>
  <c r="AY264" i="104"/>
  <c r="AY300" i="104"/>
  <c r="AY272" i="104"/>
  <c r="AY258" i="104"/>
  <c r="AY290" i="104"/>
  <c r="AY262" i="104"/>
  <c r="AY271" i="104"/>
  <c r="AY282" i="104"/>
  <c r="AY259" i="104"/>
  <c r="AY276" i="104"/>
  <c r="AY278" i="104"/>
  <c r="AY275" i="104"/>
  <c r="AY302" i="104"/>
  <c r="AY261" i="104"/>
  <c r="AY297" i="104"/>
  <c r="AY266" i="104"/>
  <c r="AY298" i="104"/>
  <c r="AY280" i="104"/>
  <c r="AY265" i="104"/>
  <c r="AY301" i="104"/>
  <c r="AY286" i="104"/>
  <c r="AY287" i="104"/>
  <c r="AY284" i="104"/>
  <c r="AY291" i="104"/>
  <c r="AY274" i="104"/>
  <c r="AY293" i="104"/>
  <c r="AY281" i="104"/>
  <c r="AY283" i="104"/>
  <c r="AY263" i="104"/>
  <c r="AZ303" i="104"/>
  <c r="BA265" i="104"/>
  <c r="BA258" i="104"/>
  <c r="BA298" i="104"/>
  <c r="BA278" i="104"/>
  <c r="BA269" i="104"/>
  <c r="BA275" i="104"/>
  <c r="BA283" i="104"/>
  <c r="BA301" i="104"/>
  <c r="BA261" i="104"/>
  <c r="BA263" i="104"/>
  <c r="BA259" i="104"/>
  <c r="BA271" i="104"/>
  <c r="BA299" i="104"/>
  <c r="BA279" i="104"/>
  <c r="BA297" i="104"/>
  <c r="BA285" i="104"/>
  <c r="BA295" i="104"/>
  <c r="BA291" i="104"/>
  <c r="BA286" i="104"/>
  <c r="BA294" i="104"/>
  <c r="BA281" i="104"/>
  <c r="BA302" i="104"/>
  <c r="BA288" i="104"/>
  <c r="BA267" i="104"/>
  <c r="BA284" i="104"/>
  <c r="BA290" i="104"/>
  <c r="BA270" i="104"/>
  <c r="BA289" i="104"/>
  <c r="BA274" i="104"/>
  <c r="BA296" i="104"/>
  <c r="BA287" i="104"/>
  <c r="BA273" i="104"/>
  <c r="BA280" i="104"/>
  <c r="BA277" i="104"/>
  <c r="BA268" i="104"/>
  <c r="BA293" i="104"/>
  <c r="BA264" i="104"/>
  <c r="BA262" i="104"/>
  <c r="BA282" i="104"/>
  <c r="BA272" i="104"/>
  <c r="BA276" i="104"/>
  <c r="BA300" i="104"/>
  <c r="BA266" i="104"/>
  <c r="BA292" i="104"/>
  <c r="BA260" i="104"/>
  <c r="BV207" i="104"/>
  <c r="BL206" i="104"/>
  <c r="BT205" i="104"/>
  <c r="BU205" i="104" s="1"/>
  <c r="BH203" i="104"/>
  <c r="BH202" i="104"/>
  <c r="BF201" i="104"/>
  <c r="BD200" i="104"/>
  <c r="BB199" i="104"/>
  <c r="BD198" i="104"/>
  <c r="AZ197" i="104"/>
  <c r="BC196" i="104"/>
  <c r="BD196" i="104" s="1"/>
  <c r="BE196" i="104" s="1"/>
  <c r="BD195" i="104"/>
  <c r="AW193" i="104"/>
  <c r="BC192" i="104"/>
  <c r="AV191" i="104"/>
  <c r="AT190" i="104"/>
  <c r="AS189" i="104"/>
  <c r="AR188" i="104"/>
  <c r="AP187" i="104"/>
  <c r="AQ186" i="104"/>
  <c r="AS185" i="104"/>
  <c r="AM184" i="104"/>
  <c r="AP183" i="104"/>
  <c r="AM182" i="104"/>
  <c r="AP181" i="104"/>
  <c r="AL180" i="104"/>
  <c r="AJ179" i="104"/>
  <c r="AF178" i="104"/>
  <c r="AF177" i="104"/>
  <c r="AD176" i="104"/>
  <c r="AE175" i="104"/>
  <c r="AE174" i="104"/>
  <c r="AD173" i="104"/>
  <c r="AF172" i="104"/>
  <c r="AD171" i="104"/>
  <c r="Z170" i="104"/>
  <c r="AA169" i="104"/>
  <c r="AB168" i="104"/>
  <c r="AD167" i="104"/>
  <c r="X166" i="104"/>
  <c r="V165" i="104"/>
  <c r="V164" i="104"/>
  <c r="T163" i="104"/>
  <c r="T161" i="104"/>
  <c r="U161" i="104" s="1"/>
  <c r="S162" i="104"/>
  <c r="Q160" i="104"/>
  <c r="Q159" i="104"/>
  <c r="O158" i="104"/>
  <c r="P158" i="104" s="1"/>
  <c r="L156" i="104"/>
  <c r="M156" i="104" s="1"/>
  <c r="N157" i="104"/>
  <c r="J155" i="104"/>
  <c r="K155" i="104" s="1"/>
  <c r="M60" i="105"/>
  <c r="AY303" i="104" l="1"/>
  <c r="BA303" i="104"/>
  <c r="BB286" i="104"/>
  <c r="BB299" i="104"/>
  <c r="BB273" i="104"/>
  <c r="BB278" i="104"/>
  <c r="BB265" i="104"/>
  <c r="BB288" i="104"/>
  <c r="BB282" i="104"/>
  <c r="BB270" i="104"/>
  <c r="BB289" i="104"/>
  <c r="BB290" i="104"/>
  <c r="BB292" i="104"/>
  <c r="BB296" i="104"/>
  <c r="BB263" i="104"/>
  <c r="BB274" i="104"/>
  <c r="BB262" i="104"/>
  <c r="BB280" i="104"/>
  <c r="BB276" i="104"/>
  <c r="BB258" i="104"/>
  <c r="BB295" i="104"/>
  <c r="BB269" i="104"/>
  <c r="BB297" i="104"/>
  <c r="BB281" i="104"/>
  <c r="BB293" i="104"/>
  <c r="BB287" i="104"/>
  <c r="BB267" i="104"/>
  <c r="BB279" i="104"/>
  <c r="BB275" i="104"/>
  <c r="BB261" i="104"/>
  <c r="BB291" i="104"/>
  <c r="BB268" i="104"/>
  <c r="BB264" i="104"/>
  <c r="BB300" i="104"/>
  <c r="BB266" i="104"/>
  <c r="BB277" i="104"/>
  <c r="BB259" i="104"/>
  <c r="BB298" i="104"/>
  <c r="BB294" i="104"/>
  <c r="BB301" i="104"/>
  <c r="BB283" i="104"/>
  <c r="BB302" i="104"/>
  <c r="BB271" i="104"/>
  <c r="BB260" i="104"/>
  <c r="BB285" i="104"/>
  <c r="BB284" i="104"/>
  <c r="BB272" i="104"/>
  <c r="BM206" i="104"/>
  <c r="BV205" i="104"/>
  <c r="BI204" i="104"/>
  <c r="BI203" i="104"/>
  <c r="BI202" i="104"/>
  <c r="BG201" i="104"/>
  <c r="BH201" i="104" s="1"/>
  <c r="BE200" i="104"/>
  <c r="BC199" i="104"/>
  <c r="BE198" i="104"/>
  <c r="BA197" i="104"/>
  <c r="BF196" i="104"/>
  <c r="BE195" i="104"/>
  <c r="BB194" i="104"/>
  <c r="AX193" i="104"/>
  <c r="BD192" i="104"/>
  <c r="AW191" i="104"/>
  <c r="AU190" i="104"/>
  <c r="AT189" i="104"/>
  <c r="AS188" i="104"/>
  <c r="AQ187" i="104"/>
  <c r="AR186" i="104"/>
  <c r="AT185" i="104"/>
  <c r="AN184" i="104"/>
  <c r="AQ183" i="104"/>
  <c r="AN182" i="104"/>
  <c r="AQ181" i="104"/>
  <c r="AM180" i="104"/>
  <c r="AK179" i="104"/>
  <c r="AG178" i="104"/>
  <c r="AE176" i="104"/>
  <c r="AG177" i="104"/>
  <c r="AF174" i="104"/>
  <c r="AF175" i="104"/>
  <c r="AE173" i="104"/>
  <c r="AG172" i="104"/>
  <c r="AE171" i="104"/>
  <c r="AA170" i="104"/>
  <c r="AB169" i="104"/>
  <c r="AC168" i="104"/>
  <c r="AE167" i="104"/>
  <c r="Y166" i="104"/>
  <c r="W165" i="104"/>
  <c r="U163" i="104"/>
  <c r="V161" i="104"/>
  <c r="W161" i="104" s="1"/>
  <c r="T162" i="104"/>
  <c r="U162" i="104" s="1"/>
  <c r="R159" i="104"/>
  <c r="S159" i="104" s="1"/>
  <c r="R160" i="104"/>
  <c r="Q158" i="104"/>
  <c r="R158" i="104" s="1"/>
  <c r="O157" i="104"/>
  <c r="P157" i="104" s="1"/>
  <c r="N156" i="104"/>
  <c r="L155" i="104"/>
  <c r="M155" i="104" s="1"/>
  <c r="BB303" i="104" l="1"/>
  <c r="BD258" i="104"/>
  <c r="BD266" i="104"/>
  <c r="BD282" i="104"/>
  <c r="BD296" i="104"/>
  <c r="BD288" i="104"/>
  <c r="BD265" i="104"/>
  <c r="BD263" i="104"/>
  <c r="BD268" i="104"/>
  <c r="BD284" i="104"/>
  <c r="BD278" i="104"/>
  <c r="BD290" i="104"/>
  <c r="BD291" i="104"/>
  <c r="BD280" i="104"/>
  <c r="BD285" i="104"/>
  <c r="BD292" i="104"/>
  <c r="BD281" i="104"/>
  <c r="BD287" i="104"/>
  <c r="BD286" i="104"/>
  <c r="BD289" i="104"/>
  <c r="BD272" i="104"/>
  <c r="BD298" i="104"/>
  <c r="BD277" i="104"/>
  <c r="BD273" i="104"/>
  <c r="BD260" i="104"/>
  <c r="BD295" i="104"/>
  <c r="BD261" i="104"/>
  <c r="BD299" i="104"/>
  <c r="BD267" i="104"/>
  <c r="BD297" i="104"/>
  <c r="BD275" i="104"/>
  <c r="BD276" i="104"/>
  <c r="BD264" i="104"/>
  <c r="BD300" i="104"/>
  <c r="BD271" i="104"/>
  <c r="BD274" i="104"/>
  <c r="BD270" i="104"/>
  <c r="BD302" i="104"/>
  <c r="BD262" i="104"/>
  <c r="BD293" i="104"/>
  <c r="BD259" i="104"/>
  <c r="BD294" i="104"/>
  <c r="BD301" i="104"/>
  <c r="BD269" i="104"/>
  <c r="BD283" i="104"/>
  <c r="BD279" i="104"/>
  <c r="BN206" i="104"/>
  <c r="BO206" i="104" s="1"/>
  <c r="BP206" i="104" s="1"/>
  <c r="BQ206" i="104" s="1"/>
  <c r="BR206" i="104" s="1"/>
  <c r="BS206" i="104" s="1"/>
  <c r="BT206" i="104" s="1"/>
  <c r="BU206" i="104" s="1"/>
  <c r="BV206" i="104" s="1"/>
  <c r="BJ204" i="104"/>
  <c r="BK204" i="104" s="1"/>
  <c r="BJ203" i="104"/>
  <c r="BJ202" i="104"/>
  <c r="BK202" i="104" s="1"/>
  <c r="BF200" i="104"/>
  <c r="BD199" i="104"/>
  <c r="BF198" i="104"/>
  <c r="BB197" i="104"/>
  <c r="BF195" i="104"/>
  <c r="BC194" i="104"/>
  <c r="BD194" i="104" s="1"/>
  <c r="AY193" i="104"/>
  <c r="AZ193" i="104" s="1"/>
  <c r="BA193" i="104" s="1"/>
  <c r="BE192" i="104"/>
  <c r="AX191" i="104"/>
  <c r="AV190" i="104"/>
  <c r="AU189" i="104"/>
  <c r="AT188" i="104"/>
  <c r="AR187" i="104"/>
  <c r="AS186" i="104"/>
  <c r="AU185" i="104"/>
  <c r="AO184" i="104"/>
  <c r="AP184" i="104" s="1"/>
  <c r="AR183" i="104"/>
  <c r="AO182" i="104"/>
  <c r="AR181" i="104"/>
  <c r="AN180" i="104"/>
  <c r="AL179" i="104"/>
  <c r="AM179" i="104" s="1"/>
  <c r="AN179" i="104" s="1"/>
  <c r="AO179" i="104" s="1"/>
  <c r="AH178" i="104"/>
  <c r="AF176" i="104"/>
  <c r="AH177" i="104"/>
  <c r="AG174" i="104"/>
  <c r="AG175" i="104"/>
  <c r="AF173" i="104"/>
  <c r="AH172" i="104"/>
  <c r="AF171" i="104"/>
  <c r="AB170" i="104"/>
  <c r="AC169" i="104"/>
  <c r="AD168" i="104"/>
  <c r="AF167" i="104"/>
  <c r="AG167" i="104" s="1"/>
  <c r="AH167" i="104" s="1"/>
  <c r="Z166" i="104"/>
  <c r="X165" i="104"/>
  <c r="Y165" i="104" s="1"/>
  <c r="V163" i="104"/>
  <c r="W164" i="104"/>
  <c r="V162" i="104"/>
  <c r="X161" i="104"/>
  <c r="S160" i="104"/>
  <c r="T159" i="104"/>
  <c r="U159" i="104" s="1"/>
  <c r="S158" i="104"/>
  <c r="Q157" i="104"/>
  <c r="O156" i="104"/>
  <c r="P156" i="104" s="1"/>
  <c r="N155" i="104"/>
  <c r="U51" i="105"/>
  <c r="U50" i="105"/>
  <c r="U49" i="105"/>
  <c r="U48" i="105"/>
  <c r="U47" i="105"/>
  <c r="U46" i="105"/>
  <c r="U45" i="105"/>
  <c r="U44" i="105"/>
  <c r="U43" i="105"/>
  <c r="U42" i="105"/>
  <c r="U41" i="105"/>
  <c r="U40" i="105"/>
  <c r="U39" i="105"/>
  <c r="U38" i="105"/>
  <c r="U37" i="105"/>
  <c r="U36" i="105"/>
  <c r="U35" i="105"/>
  <c r="U34" i="105"/>
  <c r="U33" i="105"/>
  <c r="U32" i="105"/>
  <c r="U31" i="105"/>
  <c r="U30" i="105"/>
  <c r="U29" i="105"/>
  <c r="U28" i="105"/>
  <c r="U27" i="105"/>
  <c r="U26" i="105"/>
  <c r="U25" i="105"/>
  <c r="U24" i="105"/>
  <c r="U23" i="105"/>
  <c r="U22" i="105"/>
  <c r="U21" i="105"/>
  <c r="U20" i="105"/>
  <c r="U19" i="105"/>
  <c r="U18" i="105"/>
  <c r="U17" i="105"/>
  <c r="U16" i="105"/>
  <c r="U15" i="105"/>
  <c r="U14" i="105"/>
  <c r="U13" i="105"/>
  <c r="U12" i="105"/>
  <c r="U11" i="105"/>
  <c r="U10" i="105"/>
  <c r="U9" i="105"/>
  <c r="U8" i="105"/>
  <c r="M33" i="105"/>
  <c r="M34" i="105"/>
  <c r="M35" i="105"/>
  <c r="M36" i="105"/>
  <c r="M37" i="105"/>
  <c r="M38" i="105"/>
  <c r="M39" i="105"/>
  <c r="M40" i="105"/>
  <c r="M41" i="105"/>
  <c r="M42" i="105"/>
  <c r="M43" i="105"/>
  <c r="M44" i="105"/>
  <c r="M45" i="105"/>
  <c r="M46" i="105"/>
  <c r="M47" i="105"/>
  <c r="M48" i="105"/>
  <c r="M49" i="105"/>
  <c r="M50" i="105"/>
  <c r="M51" i="105"/>
  <c r="M52" i="105"/>
  <c r="M53" i="105"/>
  <c r="M54" i="105"/>
  <c r="M55" i="105"/>
  <c r="M56" i="105"/>
  <c r="M57" i="105"/>
  <c r="M58" i="105"/>
  <c r="M59" i="105"/>
  <c r="M8" i="105"/>
  <c r="M9" i="105"/>
  <c r="M10" i="105"/>
  <c r="M11" i="105"/>
  <c r="M12" i="105"/>
  <c r="M13" i="105"/>
  <c r="M14" i="105"/>
  <c r="M15" i="105"/>
  <c r="M16" i="105"/>
  <c r="M17" i="105"/>
  <c r="M18" i="105"/>
  <c r="M19" i="105"/>
  <c r="M20" i="105"/>
  <c r="M21" i="105"/>
  <c r="M22" i="105"/>
  <c r="M23" i="105"/>
  <c r="M24" i="105"/>
  <c r="M25" i="105"/>
  <c r="M26" i="105"/>
  <c r="M27" i="105"/>
  <c r="M28" i="105"/>
  <c r="M29" i="105"/>
  <c r="M30" i="105"/>
  <c r="M31" i="105"/>
  <c r="M32" i="105"/>
  <c r="M7" i="105"/>
  <c r="W10" i="98"/>
  <c r="W9" i="98"/>
  <c r="W8" i="98"/>
  <c r="W7" i="98"/>
  <c r="K6" i="98"/>
  <c r="K4" i="98"/>
  <c r="BD60" i="61"/>
  <c r="BD59" i="61"/>
  <c r="BD58" i="61"/>
  <c r="BD57" i="61"/>
  <c r="BD56" i="61"/>
  <c r="BD55" i="61"/>
  <c r="BD54" i="61"/>
  <c r="BD53" i="61"/>
  <c r="BD52" i="61"/>
  <c r="BD51" i="61"/>
  <c r="BD50" i="61"/>
  <c r="BD49" i="61"/>
  <c r="BD48" i="61"/>
  <c r="BD47" i="61"/>
  <c r="BD46" i="61"/>
  <c r="BD45" i="61"/>
  <c r="BD44" i="61"/>
  <c r="BD43" i="61"/>
  <c r="BD42" i="61"/>
  <c r="BD41" i="61"/>
  <c r="BD40" i="61"/>
  <c r="BD39" i="61"/>
  <c r="BD38" i="61"/>
  <c r="BD37" i="61"/>
  <c r="BD36" i="61"/>
  <c r="BD35" i="61"/>
  <c r="BD34" i="61"/>
  <c r="BD33" i="61"/>
  <c r="BD32" i="61"/>
  <c r="BD31" i="61"/>
  <c r="BD30" i="61"/>
  <c r="BD29" i="61"/>
  <c r="BD28" i="61"/>
  <c r="BD27" i="61"/>
  <c r="BD26" i="61"/>
  <c r="BD25" i="61"/>
  <c r="BD24" i="61"/>
  <c r="BD23" i="61"/>
  <c r="BD22" i="61"/>
  <c r="BD21" i="61"/>
  <c r="BD20" i="61"/>
  <c r="BD19" i="61"/>
  <c r="BD18" i="61"/>
  <c r="BD17" i="61"/>
  <c r="H154" i="104"/>
  <c r="H106" i="104"/>
  <c r="J106" i="104" s="1"/>
  <c r="K106" i="104" s="1"/>
  <c r="H107" i="104"/>
  <c r="H108" i="104"/>
  <c r="J108" i="104" s="1"/>
  <c r="K108" i="104" s="1"/>
  <c r="H109" i="104"/>
  <c r="H110" i="104"/>
  <c r="J110" i="104" s="1"/>
  <c r="K110" i="104" s="1"/>
  <c r="H111" i="104"/>
  <c r="J111" i="104" s="1"/>
  <c r="H112" i="104"/>
  <c r="H113" i="104"/>
  <c r="J113" i="104" s="1"/>
  <c r="H114" i="104"/>
  <c r="J114" i="104" s="1"/>
  <c r="H115" i="104"/>
  <c r="J115" i="104" s="1"/>
  <c r="H116" i="104"/>
  <c r="J116" i="104" s="1"/>
  <c r="H117" i="104"/>
  <c r="J117" i="104" s="1"/>
  <c r="K117" i="104" s="1"/>
  <c r="H118" i="104"/>
  <c r="J118" i="104" s="1"/>
  <c r="H119" i="104"/>
  <c r="H120" i="104"/>
  <c r="J120" i="104" s="1"/>
  <c r="K120" i="104" s="1"/>
  <c r="H121" i="104"/>
  <c r="H122" i="104"/>
  <c r="J122" i="104" s="1"/>
  <c r="H123" i="104"/>
  <c r="J123" i="104" s="1"/>
  <c r="H124" i="104"/>
  <c r="J124" i="104" s="1"/>
  <c r="H125" i="104"/>
  <c r="H126" i="104"/>
  <c r="J126" i="104" s="1"/>
  <c r="H127" i="104"/>
  <c r="J127" i="104" s="1"/>
  <c r="H128" i="104"/>
  <c r="J128" i="104" s="1"/>
  <c r="H129" i="104"/>
  <c r="J129" i="104" s="1"/>
  <c r="H130" i="104"/>
  <c r="J130" i="104" s="1"/>
  <c r="H131" i="104"/>
  <c r="J131" i="104" s="1"/>
  <c r="H132" i="104"/>
  <c r="J132" i="104" s="1"/>
  <c r="H133" i="104"/>
  <c r="J133" i="104" s="1"/>
  <c r="H134" i="104"/>
  <c r="J134" i="104" s="1"/>
  <c r="H135" i="104"/>
  <c r="J135" i="104" s="1"/>
  <c r="K135" i="104" s="1"/>
  <c r="H136" i="104"/>
  <c r="J136" i="104" s="1"/>
  <c r="H137" i="104"/>
  <c r="J137" i="104" s="1"/>
  <c r="K137" i="104" s="1"/>
  <c r="H138" i="104"/>
  <c r="J138" i="104" s="1"/>
  <c r="H139" i="104"/>
  <c r="H140" i="104"/>
  <c r="J140" i="104" s="1"/>
  <c r="H141" i="104"/>
  <c r="J141" i="104" s="1"/>
  <c r="H142" i="104"/>
  <c r="J142" i="104" s="1"/>
  <c r="H143" i="104"/>
  <c r="J143" i="104" s="1"/>
  <c r="H144" i="104"/>
  <c r="J144" i="104" s="1"/>
  <c r="H145" i="104"/>
  <c r="H146" i="104"/>
  <c r="H147" i="104"/>
  <c r="H148" i="104"/>
  <c r="H149" i="104"/>
  <c r="H150" i="104"/>
  <c r="H151" i="104"/>
  <c r="H152" i="104"/>
  <c r="H153" i="104"/>
  <c r="BC292" i="104" l="1"/>
  <c r="BC285" i="104"/>
  <c r="BC258" i="104"/>
  <c r="BC286" i="104"/>
  <c r="BC281" i="104"/>
  <c r="BC295" i="104"/>
  <c r="BC261" i="104"/>
  <c r="BC276" i="104"/>
  <c r="BC269" i="104"/>
  <c r="BC288" i="104"/>
  <c r="BC277" i="104"/>
  <c r="BC268" i="104"/>
  <c r="BC272" i="104"/>
  <c r="BC280" i="104"/>
  <c r="BC299" i="104"/>
  <c r="BC278" i="104"/>
  <c r="BC298" i="104"/>
  <c r="BC274" i="104"/>
  <c r="BC264" i="104"/>
  <c r="BC301" i="104"/>
  <c r="BC294" i="104"/>
  <c r="BC293" i="104"/>
  <c r="BC265" i="104"/>
  <c r="BC290" i="104"/>
  <c r="BC287" i="104"/>
  <c r="BC300" i="104"/>
  <c r="BC289" i="104"/>
  <c r="BC262" i="104"/>
  <c r="BC291" i="104"/>
  <c r="BC296" i="104"/>
  <c r="BC273" i="104"/>
  <c r="BC302" i="104"/>
  <c r="BC284" i="104"/>
  <c r="BC282" i="104"/>
  <c r="BC297" i="104"/>
  <c r="BC263" i="104"/>
  <c r="BC266" i="104"/>
  <c r="BC283" i="104"/>
  <c r="BC267" i="104"/>
  <c r="BC259" i="104"/>
  <c r="BC260" i="104"/>
  <c r="BC279" i="104"/>
  <c r="BC275" i="104"/>
  <c r="BC270" i="104"/>
  <c r="BC271" i="104"/>
  <c r="AS36" i="105"/>
  <c r="AS32" i="105"/>
  <c r="AS35" i="105"/>
  <c r="AS38" i="105"/>
  <c r="AS34" i="105"/>
  <c r="AS37" i="105"/>
  <c r="AS33" i="105"/>
  <c r="BD303" i="104"/>
  <c r="BK203" i="104"/>
  <c r="BI201" i="104"/>
  <c r="BG200" i="104"/>
  <c r="BE199" i="104"/>
  <c r="BG198" i="104"/>
  <c r="BC197" i="104"/>
  <c r="BE194" i="104"/>
  <c r="BF192" i="104"/>
  <c r="AY191" i="104"/>
  <c r="AW190" i="104"/>
  <c r="AV189" i="104"/>
  <c r="AU188" i="104"/>
  <c r="AV188" i="104" s="1"/>
  <c r="AS187" i="104"/>
  <c r="AT186" i="104"/>
  <c r="AV185" i="104"/>
  <c r="AQ184" i="104"/>
  <c r="AR184" i="104" s="1"/>
  <c r="AS183" i="104"/>
  <c r="AP182" i="104"/>
  <c r="AS181" i="104"/>
  <c r="AT181" i="104" s="1"/>
  <c r="AO180" i="104"/>
  <c r="AP179" i="104"/>
  <c r="AI178" i="104"/>
  <c r="AI177" i="104"/>
  <c r="AG176" i="104"/>
  <c r="AH175" i="104"/>
  <c r="AH174" i="104"/>
  <c r="AG173" i="104"/>
  <c r="AH173" i="104" s="1"/>
  <c r="AI172" i="104"/>
  <c r="AG171" i="104"/>
  <c r="AH171" i="104" s="1"/>
  <c r="AC170" i="104"/>
  <c r="AD169" i="104"/>
  <c r="AE169" i="104" s="1"/>
  <c r="AF169" i="104" s="1"/>
  <c r="AG169" i="104" s="1"/>
  <c r="AH169" i="104" s="1"/>
  <c r="AE168" i="104"/>
  <c r="AA166" i="104"/>
  <c r="Z165" i="104"/>
  <c r="W163" i="104"/>
  <c r="X164" i="104"/>
  <c r="W162" i="104"/>
  <c r="V159" i="104"/>
  <c r="W159" i="104" s="1"/>
  <c r="T160" i="104"/>
  <c r="T158" i="104"/>
  <c r="R157" i="104"/>
  <c r="Q156" i="104"/>
  <c r="R156" i="104" s="1"/>
  <c r="K126" i="104"/>
  <c r="L126" i="104" s="1"/>
  <c r="K124" i="104"/>
  <c r="L124" i="104" s="1"/>
  <c r="L117" i="104"/>
  <c r="M117" i="104" s="1"/>
  <c r="N117" i="104" s="1"/>
  <c r="O155" i="104"/>
  <c r="J153" i="104"/>
  <c r="K153" i="104" s="1"/>
  <c r="L153" i="104" s="1"/>
  <c r="J151" i="104"/>
  <c r="K151" i="104" s="1"/>
  <c r="J149" i="104"/>
  <c r="K149" i="104" s="1"/>
  <c r="J147" i="104"/>
  <c r="K147" i="104" s="1"/>
  <c r="L147" i="104" s="1"/>
  <c r="J145" i="104"/>
  <c r="K145" i="104" s="1"/>
  <c r="L145" i="104" s="1"/>
  <c r="K141" i="104"/>
  <c r="L141" i="104" s="1"/>
  <c r="J119" i="104"/>
  <c r="K119" i="104" s="1"/>
  <c r="L119" i="104" s="1"/>
  <c r="AK39" i="105"/>
  <c r="AL38" i="105" s="1"/>
  <c r="Y39" i="105"/>
  <c r="Z37" i="105" s="1"/>
  <c r="W11" i="98"/>
  <c r="X8" i="98" s="1"/>
  <c r="K11" i="98"/>
  <c r="L8" i="98" s="1"/>
  <c r="AO39" i="105"/>
  <c r="AP33" i="105" s="1"/>
  <c r="AG39" i="105"/>
  <c r="AH35" i="105" s="1"/>
  <c r="AC39" i="105"/>
  <c r="AD35" i="105" s="1"/>
  <c r="AD79" i="61"/>
  <c r="AE75" i="61" s="1"/>
  <c r="J139" i="104"/>
  <c r="K133" i="104"/>
  <c r="L133" i="104" s="1"/>
  <c r="M133" i="104" s="1"/>
  <c r="K131" i="104"/>
  <c r="L131" i="104" s="1"/>
  <c r="K129" i="104"/>
  <c r="L129" i="104" s="1"/>
  <c r="M129" i="104" s="1"/>
  <c r="K127" i="104"/>
  <c r="L127" i="104" s="1"/>
  <c r="M127" i="104" s="1"/>
  <c r="K115" i="104"/>
  <c r="L115" i="104" s="1"/>
  <c r="K116" i="104"/>
  <c r="L116" i="104" s="1"/>
  <c r="K114" i="104"/>
  <c r="L114" i="104" s="1"/>
  <c r="K138" i="104"/>
  <c r="L138" i="104" s="1"/>
  <c r="K136" i="104"/>
  <c r="L136" i="104" s="1"/>
  <c r="J150" i="104"/>
  <c r="J152" i="104"/>
  <c r="J154" i="104"/>
  <c r="J148" i="104"/>
  <c r="J146" i="104"/>
  <c r="L137" i="104"/>
  <c r="M137" i="104" s="1"/>
  <c r="N137" i="104" s="1"/>
  <c r="L135" i="104"/>
  <c r="M135" i="104" s="1"/>
  <c r="N135" i="104" s="1"/>
  <c r="K142" i="104"/>
  <c r="L142" i="104" s="1"/>
  <c r="K144" i="104"/>
  <c r="K143" i="104"/>
  <c r="K140" i="104"/>
  <c r="K134" i="104"/>
  <c r="J125" i="104"/>
  <c r="K125" i="104" s="1"/>
  <c r="K132" i="104"/>
  <c r="K130" i="104"/>
  <c r="L130" i="104" s="1"/>
  <c r="K128" i="104"/>
  <c r="K123" i="104"/>
  <c r="L123" i="104" s="1"/>
  <c r="J121" i="104"/>
  <c r="K121" i="104" s="1"/>
  <c r="L120" i="104"/>
  <c r="K122" i="104"/>
  <c r="K118" i="104"/>
  <c r="L118" i="104" s="1"/>
  <c r="K113" i="104"/>
  <c r="J112" i="104"/>
  <c r="J109" i="104"/>
  <c r="K109" i="104" s="1"/>
  <c r="L109" i="104" s="1"/>
  <c r="J107" i="104"/>
  <c r="K111" i="104"/>
  <c r="L110" i="104"/>
  <c r="L108" i="104"/>
  <c r="L106" i="104"/>
  <c r="M106" i="104" s="1"/>
  <c r="N106" i="104" s="1"/>
  <c r="BE31" i="61"/>
  <c r="BC303" i="104" l="1"/>
  <c r="BL204" i="104"/>
  <c r="BL203" i="104"/>
  <c r="BM203" i="104" s="1"/>
  <c r="BN203" i="104" s="1"/>
  <c r="BO203" i="104" s="1"/>
  <c r="BP203" i="104" s="1"/>
  <c r="BQ203" i="104" s="1"/>
  <c r="BL202" i="104"/>
  <c r="BJ201" i="104"/>
  <c r="BH200" i="104"/>
  <c r="BF199" i="104"/>
  <c r="BH198" i="104"/>
  <c r="BD197" i="104"/>
  <c r="BE197" i="104" s="1"/>
  <c r="BG196" i="104"/>
  <c r="BG195" i="104"/>
  <c r="BF194" i="104"/>
  <c r="BG192" i="104"/>
  <c r="BH192" i="104" s="1"/>
  <c r="AZ191" i="104"/>
  <c r="AX190" i="104"/>
  <c r="AW189" i="104"/>
  <c r="AW188" i="104"/>
  <c r="AT187" i="104"/>
  <c r="AU186" i="104"/>
  <c r="AW185" i="104"/>
  <c r="AS184" i="104"/>
  <c r="AT183" i="104"/>
  <c r="AQ182" i="104"/>
  <c r="AP180" i="104"/>
  <c r="AJ178" i="104"/>
  <c r="AH176" i="104"/>
  <c r="AJ177" i="104"/>
  <c r="AI174" i="104"/>
  <c r="AI175" i="104"/>
  <c r="AI173" i="104"/>
  <c r="AJ172" i="104"/>
  <c r="AK172" i="104" s="1"/>
  <c r="AI171" i="104"/>
  <c r="AD170" i="104"/>
  <c r="AI169" i="104"/>
  <c r="AF168" i="104"/>
  <c r="AB166" i="104"/>
  <c r="AA165" i="104"/>
  <c r="X163" i="104"/>
  <c r="Y164" i="104"/>
  <c r="X162" i="104"/>
  <c r="U160" i="104"/>
  <c r="X159" i="104"/>
  <c r="U158" i="104"/>
  <c r="X4" i="98"/>
  <c r="X7" i="98"/>
  <c r="X9" i="98"/>
  <c r="X6" i="98"/>
  <c r="X5" i="98"/>
  <c r="S156" i="104"/>
  <c r="S157" i="104"/>
  <c r="M126" i="104"/>
  <c r="N126" i="104" s="1"/>
  <c r="O126" i="104" s="1"/>
  <c r="L5" i="98"/>
  <c r="L9" i="98"/>
  <c r="P155" i="104"/>
  <c r="L149" i="104"/>
  <c r="M149" i="104" s="1"/>
  <c r="M123" i="104"/>
  <c r="L151" i="104"/>
  <c r="M151" i="104" s="1"/>
  <c r="N151" i="104" s="1"/>
  <c r="M138" i="104"/>
  <c r="N138" i="104" s="1"/>
  <c r="M115" i="104"/>
  <c r="N115" i="104" s="1"/>
  <c r="M141" i="104"/>
  <c r="N141" i="104" s="1"/>
  <c r="X10" i="98"/>
  <c r="L4" i="98"/>
  <c r="L6" i="98"/>
  <c r="Z36" i="105"/>
  <c r="AL36" i="105"/>
  <c r="AL34" i="105"/>
  <c r="Z35" i="105"/>
  <c r="AS39" i="105"/>
  <c r="AT35" i="105" s="1"/>
  <c r="AL32" i="105"/>
  <c r="AL33" i="105"/>
  <c r="Z34" i="105"/>
  <c r="Z32" i="105"/>
  <c r="Z38" i="105"/>
  <c r="Z33" i="105"/>
  <c r="AP37" i="105"/>
  <c r="AH34" i="105"/>
  <c r="AD32" i="105"/>
  <c r="AD37" i="105"/>
  <c r="L10" i="98"/>
  <c r="L7" i="98"/>
  <c r="AE77" i="61"/>
  <c r="AE72" i="61"/>
  <c r="AP32" i="105"/>
  <c r="AP36" i="105"/>
  <c r="AP38" i="105"/>
  <c r="AP35" i="105"/>
  <c r="AP34" i="105"/>
  <c r="AD33" i="105"/>
  <c r="AD38" i="105"/>
  <c r="AD36" i="105"/>
  <c r="AD34" i="105"/>
  <c r="AE78" i="61"/>
  <c r="AE74" i="61"/>
  <c r="AL35" i="105"/>
  <c r="AL37" i="105"/>
  <c r="AH37" i="105"/>
  <c r="AH33" i="105"/>
  <c r="AH32" i="105"/>
  <c r="AH38" i="105"/>
  <c r="AH36" i="105"/>
  <c r="AE73" i="61"/>
  <c r="AE76" i="61"/>
  <c r="L111" i="104"/>
  <c r="M111" i="104" s="1"/>
  <c r="L121" i="104"/>
  <c r="M121" i="104" s="1"/>
  <c r="N121" i="104" s="1"/>
  <c r="K154" i="104"/>
  <c r="K139" i="104"/>
  <c r="M110" i="104"/>
  <c r="M114" i="104"/>
  <c r="O135" i="104"/>
  <c r="P135" i="104" s="1"/>
  <c r="M108" i="104"/>
  <c r="M109" i="104"/>
  <c r="L125" i="104"/>
  <c r="M125" i="104" s="1"/>
  <c r="O117" i="104"/>
  <c r="P117" i="104" s="1"/>
  <c r="M119" i="104"/>
  <c r="N119" i="104" s="1"/>
  <c r="O119" i="104" s="1"/>
  <c r="L122" i="104"/>
  <c r="L128" i="104"/>
  <c r="L140" i="104"/>
  <c r="M140" i="104" s="1"/>
  <c r="M136" i="104"/>
  <c r="N136" i="104" s="1"/>
  <c r="L143" i="104"/>
  <c r="M143" i="104" s="1"/>
  <c r="K148" i="104"/>
  <c r="L144" i="104"/>
  <c r="M145" i="104"/>
  <c r="M118" i="104"/>
  <c r="M130" i="104"/>
  <c r="N130" i="104" s="1"/>
  <c r="O137" i="104"/>
  <c r="M142" i="104"/>
  <c r="N142" i="104" s="1"/>
  <c r="M147" i="104"/>
  <c r="N147" i="104" s="1"/>
  <c r="O147" i="104" s="1"/>
  <c r="K150" i="104"/>
  <c r="L150" i="104" s="1"/>
  <c r="K112" i="104"/>
  <c r="K107" i="104"/>
  <c r="N127" i="104"/>
  <c r="N133" i="104"/>
  <c r="K152" i="104"/>
  <c r="L152" i="104" s="1"/>
  <c r="L113" i="104"/>
  <c r="M113" i="104" s="1"/>
  <c r="O106" i="104"/>
  <c r="M116" i="104"/>
  <c r="M120" i="104"/>
  <c r="M131" i="104"/>
  <c r="L132" i="104"/>
  <c r="N129" i="104"/>
  <c r="M124" i="104"/>
  <c r="L134" i="104"/>
  <c r="K146" i="104"/>
  <c r="M153" i="104"/>
  <c r="BE28" i="61"/>
  <c r="H105" i="104"/>
  <c r="J105" i="104" s="1"/>
  <c r="EF86" i="97"/>
  <c r="EG86" i="97"/>
  <c r="EH86" i="97"/>
  <c r="EI86" i="97"/>
  <c r="EN86" i="97"/>
  <c r="EO86" i="97"/>
  <c r="EP86" i="97"/>
  <c r="EQ86" i="97"/>
  <c r="CZ83" i="97"/>
  <c r="DA83" i="97"/>
  <c r="DB83" i="97"/>
  <c r="DD83" i="97"/>
  <c r="DE83" i="97"/>
  <c r="DF83" i="97"/>
  <c r="BP86" i="97"/>
  <c r="BR86" i="97"/>
  <c r="BS86" i="97"/>
  <c r="BT86" i="97"/>
  <c r="BU86" i="97"/>
  <c r="BW86" i="97"/>
  <c r="BX86" i="97"/>
  <c r="BY86" i="97"/>
  <c r="K86" i="97"/>
  <c r="M86" i="97"/>
  <c r="N86" i="97"/>
  <c r="O86" i="97"/>
  <c r="P86" i="97"/>
  <c r="R86" i="97"/>
  <c r="S86" i="97"/>
  <c r="T86" i="97"/>
  <c r="GY59" i="26"/>
  <c r="CW104" i="104"/>
  <c r="CM104" i="104"/>
  <c r="CN104" i="104"/>
  <c r="CP104" i="104"/>
  <c r="CQ104" i="104"/>
  <c r="CR104" i="104"/>
  <c r="CS104" i="104"/>
  <c r="CT104" i="104"/>
  <c r="CU104" i="104"/>
  <c r="BM204" i="104" l="1"/>
  <c r="BR203" i="104"/>
  <c r="BS203" i="104" s="1"/>
  <c r="BT203" i="104" s="1"/>
  <c r="BU203" i="104" s="1"/>
  <c r="BV203" i="104" s="1"/>
  <c r="BM202" i="104"/>
  <c r="BK201" i="104"/>
  <c r="BL201" i="104" s="1"/>
  <c r="BM201" i="104" s="1"/>
  <c r="BI200" i="104"/>
  <c r="BG199" i="104"/>
  <c r="BI198" i="104"/>
  <c r="BF197" i="104"/>
  <c r="BH196" i="104"/>
  <c r="BI196" i="104" s="1"/>
  <c r="BH195" i="104"/>
  <c r="BI195" i="104" s="1"/>
  <c r="BI192" i="104"/>
  <c r="BJ192" i="104" s="1"/>
  <c r="BB193" i="104"/>
  <c r="BA191" i="104"/>
  <c r="AY190" i="104"/>
  <c r="AX189" i="104"/>
  <c r="AX188" i="104"/>
  <c r="AU187" i="104"/>
  <c r="AV186" i="104"/>
  <c r="AX185" i="104"/>
  <c r="AT184" i="104"/>
  <c r="AR182" i="104"/>
  <c r="AS182" i="104" s="1"/>
  <c r="AU181" i="104"/>
  <c r="AQ180" i="104"/>
  <c r="AK178" i="104"/>
  <c r="AI176" i="104"/>
  <c r="AK177" i="104"/>
  <c r="AJ175" i="104"/>
  <c r="AJ174" i="104"/>
  <c r="DC83" i="97"/>
  <c r="AJ173" i="104"/>
  <c r="AL172" i="104"/>
  <c r="EM86" i="97"/>
  <c r="EE86" i="97"/>
  <c r="L86" i="97"/>
  <c r="BQ86" i="97"/>
  <c r="Q86" i="97"/>
  <c r="BV86" i="97"/>
  <c r="CY83" i="97"/>
  <c r="AJ171" i="104"/>
  <c r="AE170" i="104"/>
  <c r="AJ169" i="104"/>
  <c r="AG168" i="104"/>
  <c r="AI167" i="104"/>
  <c r="AC166" i="104"/>
  <c r="M6" i="98"/>
  <c r="AB165" i="104"/>
  <c r="Y163" i="104"/>
  <c r="Z164" i="104"/>
  <c r="AA164" i="104" s="1"/>
  <c r="M8" i="98"/>
  <c r="Y162" i="104"/>
  <c r="Y10" i="98"/>
  <c r="Y6" i="98"/>
  <c r="Y159" i="104"/>
  <c r="V160" i="104"/>
  <c r="Y8" i="98"/>
  <c r="Y9" i="98"/>
  <c r="Y4" i="98"/>
  <c r="X11" i="98"/>
  <c r="Y7" i="98"/>
  <c r="L11" i="98"/>
  <c r="V158" i="104"/>
  <c r="W158" i="104" s="1"/>
  <c r="M5" i="98"/>
  <c r="T157" i="104"/>
  <c r="T156" i="104"/>
  <c r="N123" i="104"/>
  <c r="O123" i="104" s="1"/>
  <c r="O115" i="104"/>
  <c r="P115" i="104" s="1"/>
  <c r="P126" i="104"/>
  <c r="Q126" i="104" s="1"/>
  <c r="R126" i="104" s="1"/>
  <c r="Y5" i="98"/>
  <c r="O138" i="104"/>
  <c r="P138" i="104" s="1"/>
  <c r="Q155" i="104"/>
  <c r="O141" i="104"/>
  <c r="P141" i="104" s="1"/>
  <c r="N149" i="104"/>
  <c r="O149" i="104" s="1"/>
  <c r="N125" i="104"/>
  <c r="O125" i="104" s="1"/>
  <c r="P125" i="104" s="1"/>
  <c r="AT34" i="105"/>
  <c r="AT32" i="105"/>
  <c r="AT36" i="105"/>
  <c r="AT37" i="105"/>
  <c r="AL39" i="105"/>
  <c r="AD39" i="105"/>
  <c r="AT33" i="105"/>
  <c r="AT38" i="105"/>
  <c r="Z39" i="105"/>
  <c r="AP39" i="105"/>
  <c r="M10" i="98"/>
  <c r="M4" i="98"/>
  <c r="M7" i="98"/>
  <c r="M9" i="98"/>
  <c r="AE79" i="61"/>
  <c r="AH39" i="105"/>
  <c r="M152" i="104"/>
  <c r="N152" i="104" s="1"/>
  <c r="L154" i="104"/>
  <c r="M154" i="104" s="1"/>
  <c r="P119" i="104"/>
  <c r="Q119" i="104" s="1"/>
  <c r="L139" i="104"/>
  <c r="N111" i="104"/>
  <c r="O111" i="104" s="1"/>
  <c r="O136" i="104"/>
  <c r="N153" i="104"/>
  <c r="O153" i="104" s="1"/>
  <c r="L146" i="104"/>
  <c r="M134" i="104"/>
  <c r="N134" i="104" s="1"/>
  <c r="N116" i="104"/>
  <c r="L112" i="104"/>
  <c r="M112" i="104" s="1"/>
  <c r="N145" i="104"/>
  <c r="Q117" i="104"/>
  <c r="Q135" i="104"/>
  <c r="M132" i="104"/>
  <c r="N114" i="104"/>
  <c r="O114" i="104" s="1"/>
  <c r="N124" i="104"/>
  <c r="O124" i="104" s="1"/>
  <c r="N131" i="104"/>
  <c r="L107" i="104"/>
  <c r="M150" i="104"/>
  <c r="O130" i="104"/>
  <c r="N118" i="104"/>
  <c r="N113" i="104"/>
  <c r="O113" i="104" s="1"/>
  <c r="P113" i="104" s="1"/>
  <c r="L148" i="104"/>
  <c r="P137" i="104"/>
  <c r="M128" i="104"/>
  <c r="O133" i="104"/>
  <c r="P133" i="104" s="1"/>
  <c r="N109" i="104"/>
  <c r="N108" i="104"/>
  <c r="O108" i="104" s="1"/>
  <c r="N110" i="104"/>
  <c r="P106" i="104"/>
  <c r="N120" i="104"/>
  <c r="O127" i="104"/>
  <c r="P127" i="104" s="1"/>
  <c r="P147" i="104"/>
  <c r="O142" i="104"/>
  <c r="O121" i="104"/>
  <c r="O129" i="104"/>
  <c r="N140" i="104"/>
  <c r="M144" i="104"/>
  <c r="N143" i="104"/>
  <c r="O151" i="104"/>
  <c r="M122" i="104"/>
  <c r="K105" i="104"/>
  <c r="L105" i="104" s="1"/>
  <c r="M105" i="104" s="1"/>
  <c r="N105" i="104" s="1"/>
  <c r="EJ18" i="97"/>
  <c r="BN204" i="104" l="1"/>
  <c r="BO204" i="104" s="1"/>
  <c r="BP204" i="104" s="1"/>
  <c r="BQ204" i="104" s="1"/>
  <c r="BR204" i="104" s="1"/>
  <c r="BS204" i="104" s="1"/>
  <c r="BF262" i="104"/>
  <c r="BF281" i="104"/>
  <c r="BF258" i="104"/>
  <c r="BF295" i="104"/>
  <c r="BF297" i="104"/>
  <c r="BF280" i="104"/>
  <c r="BF277" i="104"/>
  <c r="BF273" i="104"/>
  <c r="BF268" i="104"/>
  <c r="BF286" i="104"/>
  <c r="BF285" i="104"/>
  <c r="BF288" i="104"/>
  <c r="BF265" i="104"/>
  <c r="BF290" i="104"/>
  <c r="BF292" i="104"/>
  <c r="BF284" i="104"/>
  <c r="BF261" i="104"/>
  <c r="BF294" i="104"/>
  <c r="BF298" i="104"/>
  <c r="BF301" i="104"/>
  <c r="BF269" i="104"/>
  <c r="BF293" i="104"/>
  <c r="BF260" i="104"/>
  <c r="BF274" i="104"/>
  <c r="BF283" i="104"/>
  <c r="BF299" i="104"/>
  <c r="BF271" i="104"/>
  <c r="BF272" i="104"/>
  <c r="BF282" i="104"/>
  <c r="BF266" i="104"/>
  <c r="BF302" i="104"/>
  <c r="BF300" i="104"/>
  <c r="BF287" i="104"/>
  <c r="BF259" i="104"/>
  <c r="BF291" i="104"/>
  <c r="BF270" i="104"/>
  <c r="BF289" i="104"/>
  <c r="BF263" i="104"/>
  <c r="BF264" i="104"/>
  <c r="BF296" i="104"/>
  <c r="BF276" i="104"/>
  <c r="BF267" i="104"/>
  <c r="BF275" i="104"/>
  <c r="BF278" i="104"/>
  <c r="BF279" i="104"/>
  <c r="BT204" i="104"/>
  <c r="BN202" i="104"/>
  <c r="BO202" i="104" s="1"/>
  <c r="BP202" i="104" s="1"/>
  <c r="BQ202" i="104" s="1"/>
  <c r="BR202" i="104" s="1"/>
  <c r="BS202" i="104" s="1"/>
  <c r="BT202" i="104" s="1"/>
  <c r="BU202" i="104" s="1"/>
  <c r="BV202" i="104" s="1"/>
  <c r="BJ200" i="104"/>
  <c r="BK200" i="104" s="1"/>
  <c r="BL200" i="104" s="1"/>
  <c r="BH199" i="104"/>
  <c r="BJ198" i="104"/>
  <c r="BG197" i="104"/>
  <c r="BG194" i="104"/>
  <c r="BC193" i="104"/>
  <c r="BK192" i="104"/>
  <c r="BB191" i="104"/>
  <c r="AZ190" i="104"/>
  <c r="AY189" i="104"/>
  <c r="AY188" i="104"/>
  <c r="AV187" i="104"/>
  <c r="AW186" i="104"/>
  <c r="AY185" i="104"/>
  <c r="AU184" i="104"/>
  <c r="AT182" i="104"/>
  <c r="AV181" i="104"/>
  <c r="AR180" i="104"/>
  <c r="AQ179" i="104"/>
  <c r="AL178" i="104"/>
  <c r="AJ176" i="104"/>
  <c r="AK176" i="104" s="1"/>
  <c r="AL177" i="104"/>
  <c r="AK174" i="104"/>
  <c r="AK175" i="104"/>
  <c r="AK173" i="104"/>
  <c r="AM172" i="104"/>
  <c r="AK171" i="104"/>
  <c r="AF170" i="104"/>
  <c r="AK169" i="104"/>
  <c r="AH168" i="104"/>
  <c r="AJ167" i="104"/>
  <c r="AD166" i="104"/>
  <c r="AC165" i="104"/>
  <c r="AB164" i="104"/>
  <c r="Z163" i="104"/>
  <c r="Z162" i="104"/>
  <c r="W160" i="104"/>
  <c r="Z159" i="104"/>
  <c r="Q115" i="104"/>
  <c r="R115" i="104" s="1"/>
  <c r="S115" i="104" s="1"/>
  <c r="X158" i="104"/>
  <c r="Y158" i="104" s="1"/>
  <c r="U157" i="104"/>
  <c r="U156" i="104"/>
  <c r="V156" i="104" s="1"/>
  <c r="W156" i="104" s="1"/>
  <c r="P123" i="104"/>
  <c r="Q123" i="104" s="1"/>
  <c r="R123" i="104" s="1"/>
  <c r="S123" i="104" s="1"/>
  <c r="R155" i="104"/>
  <c r="S155" i="104" s="1"/>
  <c r="Q141" i="104"/>
  <c r="R141" i="104" s="1"/>
  <c r="S141" i="104" s="1"/>
  <c r="T141" i="104" s="1"/>
  <c r="N128" i="104"/>
  <c r="O128" i="104" s="1"/>
  <c r="P128" i="104" s="1"/>
  <c r="AT39" i="105"/>
  <c r="N154" i="104"/>
  <c r="N150" i="104"/>
  <c r="O150" i="104" s="1"/>
  <c r="P150" i="104" s="1"/>
  <c r="M139" i="104"/>
  <c r="N139" i="104" s="1"/>
  <c r="P111" i="104"/>
  <c r="Q111" i="104" s="1"/>
  <c r="Q127" i="104"/>
  <c r="P121" i="104"/>
  <c r="Q121" i="104" s="1"/>
  <c r="M107" i="104"/>
  <c r="N107" i="104" s="1"/>
  <c r="O107" i="104" s="1"/>
  <c r="O131" i="104"/>
  <c r="P114" i="104"/>
  <c r="O118" i="104"/>
  <c r="P118" i="104" s="1"/>
  <c r="P153" i="104"/>
  <c r="O116" i="104"/>
  <c r="M146" i="104"/>
  <c r="Q113" i="104"/>
  <c r="P130" i="104"/>
  <c r="Q147" i="104"/>
  <c r="O134" i="104"/>
  <c r="Q106" i="104"/>
  <c r="O110" i="104"/>
  <c r="P110" i="104" s="1"/>
  <c r="O109" i="104"/>
  <c r="P109" i="104" s="1"/>
  <c r="N112" i="104"/>
  <c r="O112" i="104" s="1"/>
  <c r="P142" i="104"/>
  <c r="Q142" i="104" s="1"/>
  <c r="R117" i="104"/>
  <c r="O143" i="104"/>
  <c r="R135" i="104"/>
  <c r="S135" i="104" s="1"/>
  <c r="T135" i="104" s="1"/>
  <c r="S126" i="104"/>
  <c r="T126" i="104" s="1"/>
  <c r="P151" i="104"/>
  <c r="Q151" i="104" s="1"/>
  <c r="O152" i="104"/>
  <c r="N132" i="104"/>
  <c r="O120" i="104"/>
  <c r="N122" i="104"/>
  <c r="O122" i="104" s="1"/>
  <c r="M148" i="104"/>
  <c r="O145" i="104"/>
  <c r="Q125" i="104"/>
  <c r="N144" i="104"/>
  <c r="P149" i="104"/>
  <c r="P124" i="104"/>
  <c r="P108" i="104"/>
  <c r="O140" i="104"/>
  <c r="Q137" i="104"/>
  <c r="Q138" i="104"/>
  <c r="Q133" i="104"/>
  <c r="P129" i="104"/>
  <c r="P136" i="104"/>
  <c r="R119" i="104"/>
  <c r="O105" i="104"/>
  <c r="BF303" i="104" l="1"/>
  <c r="BU204" i="104"/>
  <c r="BV204" i="104" s="1"/>
  <c r="BE301" i="104" s="1"/>
  <c r="BG302" i="104"/>
  <c r="BG289" i="104"/>
  <c r="BG272" i="104"/>
  <c r="BG298" i="104"/>
  <c r="BG285" i="104"/>
  <c r="BG268" i="104"/>
  <c r="BG278" i="104"/>
  <c r="BG265" i="104"/>
  <c r="BG287" i="104"/>
  <c r="BG258" i="104"/>
  <c r="BG292" i="104"/>
  <c r="BG286" i="104"/>
  <c r="BG273" i="104"/>
  <c r="BG271" i="104"/>
  <c r="BG282" i="104"/>
  <c r="BG269" i="104"/>
  <c r="BG291" i="104"/>
  <c r="BG262" i="104"/>
  <c r="BG296" i="104"/>
  <c r="BG263" i="104"/>
  <c r="BG293" i="104"/>
  <c r="BG276" i="104"/>
  <c r="BG270" i="104"/>
  <c r="BG267" i="104"/>
  <c r="BG295" i="104"/>
  <c r="BG266" i="104"/>
  <c r="BG300" i="104"/>
  <c r="BG275" i="104"/>
  <c r="BG297" i="104"/>
  <c r="BG280" i="104"/>
  <c r="BG290" i="104"/>
  <c r="BG277" i="104"/>
  <c r="BG260" i="104"/>
  <c r="BG283" i="104"/>
  <c r="BG259" i="104"/>
  <c r="BG288" i="104"/>
  <c r="BG279" i="104"/>
  <c r="BG301" i="104"/>
  <c r="BG284" i="104"/>
  <c r="BG294" i="104"/>
  <c r="BG281" i="104"/>
  <c r="BG264" i="104"/>
  <c r="BG274" i="104"/>
  <c r="BG261" i="104"/>
  <c r="BG299" i="104"/>
  <c r="BI199" i="104"/>
  <c r="BK198" i="104"/>
  <c r="BL198" i="104" s="1"/>
  <c r="BH197" i="104"/>
  <c r="BI197" i="104" s="1"/>
  <c r="BJ196" i="104"/>
  <c r="BJ195" i="104"/>
  <c r="BH194" i="104"/>
  <c r="BI194" i="104" s="1"/>
  <c r="BJ194" i="104" s="1"/>
  <c r="BD193" i="104"/>
  <c r="BL192" i="104"/>
  <c r="BC191" i="104"/>
  <c r="BA190" i="104"/>
  <c r="AZ189" i="104"/>
  <c r="AZ188" i="104"/>
  <c r="AW187" i="104"/>
  <c r="AX186" i="104"/>
  <c r="AZ185" i="104"/>
  <c r="AV184" i="104"/>
  <c r="AU183" i="104"/>
  <c r="AU182" i="104"/>
  <c r="AW181" i="104"/>
  <c r="AS180" i="104"/>
  <c r="AR179" i="104"/>
  <c r="AM178" i="104"/>
  <c r="AN178" i="104" s="1"/>
  <c r="AL176" i="104"/>
  <c r="AM177" i="104"/>
  <c r="AL174" i="104"/>
  <c r="AL175" i="104"/>
  <c r="AL173" i="104"/>
  <c r="AN172" i="104"/>
  <c r="AL171" i="104"/>
  <c r="AG170" i="104"/>
  <c r="AL169" i="104"/>
  <c r="AI168" i="104"/>
  <c r="AK167" i="104"/>
  <c r="AE166" i="104"/>
  <c r="AD165" i="104"/>
  <c r="AA163" i="104"/>
  <c r="AC164" i="104"/>
  <c r="AA162" i="104"/>
  <c r="AA159" i="104"/>
  <c r="X160" i="104"/>
  <c r="V157" i="104"/>
  <c r="T123" i="104"/>
  <c r="U123" i="104" s="1"/>
  <c r="V123" i="104" s="1"/>
  <c r="T115" i="104"/>
  <c r="U115" i="104" s="1"/>
  <c r="T155" i="104"/>
  <c r="X156" i="104"/>
  <c r="O139" i="104"/>
  <c r="P139" i="104" s="1"/>
  <c r="Q139" i="104" s="1"/>
  <c r="O154" i="104"/>
  <c r="S119" i="104"/>
  <c r="Q118" i="104"/>
  <c r="R118" i="104" s="1"/>
  <c r="S118" i="104" s="1"/>
  <c r="Q108" i="104"/>
  <c r="O144" i="104"/>
  <c r="Q124" i="104"/>
  <c r="R124" i="104" s="1"/>
  <c r="Q136" i="104"/>
  <c r="R136" i="104" s="1"/>
  <c r="P152" i="104"/>
  <c r="Q152" i="104" s="1"/>
  <c r="U126" i="104"/>
  <c r="V126" i="104" s="1"/>
  <c r="S117" i="104"/>
  <c r="Q130" i="104"/>
  <c r="Q128" i="104"/>
  <c r="R128" i="104" s="1"/>
  <c r="S128" i="104" s="1"/>
  <c r="T128" i="104" s="1"/>
  <c r="Q109" i="104"/>
  <c r="R106" i="104"/>
  <c r="R142" i="104"/>
  <c r="S142" i="104" s="1"/>
  <c r="P145" i="104"/>
  <c r="Q145" i="104" s="1"/>
  <c r="U141" i="104"/>
  <c r="R137" i="104"/>
  <c r="Q129" i="104"/>
  <c r="R129" i="104" s="1"/>
  <c r="O132" i="104"/>
  <c r="P107" i="104"/>
  <c r="Q107" i="104" s="1"/>
  <c r="Q110" i="104"/>
  <c r="R110" i="104" s="1"/>
  <c r="Q149" i="104"/>
  <c r="R149" i="104" s="1"/>
  <c r="N146" i="104"/>
  <c r="R127" i="104"/>
  <c r="R111" i="104"/>
  <c r="Q150" i="104"/>
  <c r="P140" i="104"/>
  <c r="Q140" i="104" s="1"/>
  <c r="R151" i="104"/>
  <c r="R138" i="104"/>
  <c r="S138" i="104" s="1"/>
  <c r="N148" i="104"/>
  <c r="R147" i="104"/>
  <c r="R133" i="104"/>
  <c r="Q114" i="104"/>
  <c r="R114" i="104" s="1"/>
  <c r="P131" i="104"/>
  <c r="Q131" i="104" s="1"/>
  <c r="R131" i="104" s="1"/>
  <c r="P134" i="104"/>
  <c r="R121" i="104"/>
  <c r="S121" i="104" s="1"/>
  <c r="R113" i="104"/>
  <c r="Q153" i="104"/>
  <c r="U135" i="104"/>
  <c r="P122" i="104"/>
  <c r="P120" i="104"/>
  <c r="P143" i="104"/>
  <c r="P116" i="104"/>
  <c r="P112" i="104"/>
  <c r="R125" i="104"/>
  <c r="P105" i="104"/>
  <c r="AD69" i="61"/>
  <c r="AE63" i="61" s="1"/>
  <c r="BE267" i="104" l="1"/>
  <c r="BE287" i="104"/>
  <c r="BE284" i="104"/>
  <c r="BE302" i="104"/>
  <c r="BE297" i="104"/>
  <c r="BE280" i="104"/>
  <c r="BE298" i="104"/>
  <c r="BE258" i="104"/>
  <c r="BE261" i="104"/>
  <c r="BE260" i="104"/>
  <c r="BE288" i="104"/>
  <c r="BE259" i="104"/>
  <c r="BE293" i="104"/>
  <c r="BE285" i="104"/>
  <c r="BE268" i="104"/>
  <c r="BE286" i="104"/>
  <c r="BE292" i="104"/>
  <c r="BE281" i="104"/>
  <c r="BE264" i="104"/>
  <c r="BE282" i="104"/>
  <c r="BE275" i="104"/>
  <c r="BE272" i="104"/>
  <c r="BE290" i="104"/>
  <c r="BE276" i="104"/>
  <c r="BE269" i="104"/>
  <c r="BE299" i="104"/>
  <c r="BE270" i="104"/>
  <c r="BE291" i="104"/>
  <c r="BE265" i="104"/>
  <c r="BE295" i="104"/>
  <c r="BE266" i="104"/>
  <c r="BE262" i="104"/>
  <c r="BE273" i="104"/>
  <c r="BE271" i="104"/>
  <c r="BE274" i="104"/>
  <c r="BE294" i="104"/>
  <c r="BE300" i="104"/>
  <c r="BE283" i="104"/>
  <c r="BE263" i="104"/>
  <c r="BE278" i="104"/>
  <c r="BE296" i="104"/>
  <c r="BE279" i="104"/>
  <c r="BE277" i="104"/>
  <c r="BE289" i="104"/>
  <c r="BG303" i="104"/>
  <c r="BN201" i="104"/>
  <c r="BO201" i="104" s="1"/>
  <c r="BP201" i="104" s="1"/>
  <c r="BQ201" i="104" s="1"/>
  <c r="BR201" i="104" s="1"/>
  <c r="BS201" i="104" s="1"/>
  <c r="BT201" i="104" s="1"/>
  <c r="BU201" i="104" s="1"/>
  <c r="BV201" i="104" s="1"/>
  <c r="BJ199" i="104"/>
  <c r="BJ197" i="104"/>
  <c r="BK197" i="104" s="1"/>
  <c r="BL197" i="104" s="1"/>
  <c r="BK196" i="104"/>
  <c r="BL196" i="104" s="1"/>
  <c r="BM196" i="104" s="1"/>
  <c r="BK195" i="104"/>
  <c r="BK194" i="104"/>
  <c r="BL194" i="104" s="1"/>
  <c r="BE193" i="104"/>
  <c r="BF193" i="104" s="1"/>
  <c r="BM192" i="104"/>
  <c r="BN192" i="104" s="1"/>
  <c r="BO192" i="104" s="1"/>
  <c r="BP192" i="104" s="1"/>
  <c r="BQ192" i="104" s="1"/>
  <c r="BR192" i="104" s="1"/>
  <c r="BS192" i="104" s="1"/>
  <c r="BT192" i="104" s="1"/>
  <c r="BU192" i="104" s="1"/>
  <c r="BD191" i="104"/>
  <c r="BB190" i="104"/>
  <c r="BA189" i="104"/>
  <c r="BA188" i="104"/>
  <c r="AX187" i="104"/>
  <c r="AY186" i="104"/>
  <c r="BA185" i="104"/>
  <c r="AW184" i="104"/>
  <c r="AV183" i="104"/>
  <c r="AV182" i="104"/>
  <c r="AX181" i="104"/>
  <c r="AY181" i="104" s="1"/>
  <c r="AT180" i="104"/>
  <c r="AS179" i="104"/>
  <c r="AO178" i="104"/>
  <c r="AN177" i="104"/>
  <c r="AM176" i="104"/>
  <c r="AM175" i="104"/>
  <c r="AN175" i="104" s="1"/>
  <c r="AO175" i="104" s="1"/>
  <c r="AP175" i="104" s="1"/>
  <c r="AM174" i="104"/>
  <c r="AM173" i="104"/>
  <c r="AN173" i="104" s="1"/>
  <c r="AO172" i="104"/>
  <c r="AP172" i="104" s="1"/>
  <c r="AM171" i="104"/>
  <c r="AN171" i="104" s="1"/>
  <c r="AH170" i="104"/>
  <c r="AM169" i="104"/>
  <c r="AJ168" i="104"/>
  <c r="AL167" i="104"/>
  <c r="W123" i="104"/>
  <c r="X123" i="104" s="1"/>
  <c r="AF166" i="104"/>
  <c r="AE165" i="104"/>
  <c r="AD164" i="104"/>
  <c r="AB163" i="104"/>
  <c r="AB162" i="104"/>
  <c r="Y161" i="104"/>
  <c r="AB159" i="104"/>
  <c r="Y160" i="104"/>
  <c r="Z158" i="104"/>
  <c r="Y156" i="104"/>
  <c r="W157" i="104"/>
  <c r="V115" i="104"/>
  <c r="W115" i="104" s="1"/>
  <c r="U155" i="104"/>
  <c r="P154" i="104"/>
  <c r="R139" i="104"/>
  <c r="S139" i="104" s="1"/>
  <c r="S136" i="104"/>
  <c r="T136" i="104" s="1"/>
  <c r="U136" i="104" s="1"/>
  <c r="S131" i="104"/>
  <c r="T131" i="104" s="1"/>
  <c r="U131" i="104" s="1"/>
  <c r="S110" i="104"/>
  <c r="Q116" i="104"/>
  <c r="R116" i="104" s="1"/>
  <c r="Q120" i="104"/>
  <c r="R120" i="104" s="1"/>
  <c r="T121" i="104"/>
  <c r="U121" i="104" s="1"/>
  <c r="Q112" i="104"/>
  <c r="R112" i="104" s="1"/>
  <c r="R150" i="104"/>
  <c r="S150" i="104" s="1"/>
  <c r="R145" i="104"/>
  <c r="S145" i="104" s="1"/>
  <c r="R152" i="104"/>
  <c r="S152" i="104" s="1"/>
  <c r="T117" i="104"/>
  <c r="W126" i="104"/>
  <c r="X126" i="104" s="1"/>
  <c r="T118" i="104"/>
  <c r="T119" i="104"/>
  <c r="S114" i="104"/>
  <c r="S124" i="104"/>
  <c r="T124" i="104" s="1"/>
  <c r="U124" i="104" s="1"/>
  <c r="V124" i="104" s="1"/>
  <c r="R153" i="104"/>
  <c r="S153" i="104" s="1"/>
  <c r="T153" i="104" s="1"/>
  <c r="V135" i="104"/>
  <c r="P132" i="104"/>
  <c r="R140" i="104"/>
  <c r="S149" i="104"/>
  <c r="S127" i="104"/>
  <c r="T127" i="104" s="1"/>
  <c r="U127" i="104" s="1"/>
  <c r="S133" i="104"/>
  <c r="Q143" i="104"/>
  <c r="R143" i="104" s="1"/>
  <c r="S143" i="104" s="1"/>
  <c r="S147" i="104"/>
  <c r="T147" i="104" s="1"/>
  <c r="U147" i="104" s="1"/>
  <c r="R107" i="104"/>
  <c r="S129" i="104"/>
  <c r="O148" i="104"/>
  <c r="T138" i="104"/>
  <c r="U128" i="104"/>
  <c r="V128" i="104" s="1"/>
  <c r="P144" i="104"/>
  <c r="R108" i="104"/>
  <c r="S137" i="104"/>
  <c r="T137" i="104" s="1"/>
  <c r="S151" i="104"/>
  <c r="S125" i="104"/>
  <c r="Q122" i="104"/>
  <c r="R122" i="104" s="1"/>
  <c r="S113" i="104"/>
  <c r="Q134" i="104"/>
  <c r="S111" i="104"/>
  <c r="O146" i="104"/>
  <c r="P146" i="104" s="1"/>
  <c r="V141" i="104"/>
  <c r="T142" i="104"/>
  <c r="S106" i="104"/>
  <c r="R109" i="104"/>
  <c r="S109" i="104" s="1"/>
  <c r="R130" i="104"/>
  <c r="Q105" i="104"/>
  <c r="AE68" i="61"/>
  <c r="AE64" i="61"/>
  <c r="AE67" i="61"/>
  <c r="AE62" i="61"/>
  <c r="AE65" i="61"/>
  <c r="AE66" i="61"/>
  <c r="BE303" i="104" l="1"/>
  <c r="BH286" i="104"/>
  <c r="BH276" i="104"/>
  <c r="BH288" i="104"/>
  <c r="BH267" i="104"/>
  <c r="BH272" i="104"/>
  <c r="BH289" i="104"/>
  <c r="BH263" i="104"/>
  <c r="BH273" i="104"/>
  <c r="BH295" i="104"/>
  <c r="BH284" i="104"/>
  <c r="BH278" i="104"/>
  <c r="BH262" i="104"/>
  <c r="BH279" i="104"/>
  <c r="BH274" i="104"/>
  <c r="BH287" i="104"/>
  <c r="BH290" i="104"/>
  <c r="BH298" i="104"/>
  <c r="BH302" i="104"/>
  <c r="BH266" i="104"/>
  <c r="BH261" i="104"/>
  <c r="BH296" i="104"/>
  <c r="BH265" i="104"/>
  <c r="BH285" i="104"/>
  <c r="BH277" i="104"/>
  <c r="BH270" i="104"/>
  <c r="BH281" i="104"/>
  <c r="BH264" i="104"/>
  <c r="BH297" i="104"/>
  <c r="BH294" i="104"/>
  <c r="BH271" i="104"/>
  <c r="BH283" i="104"/>
  <c r="BH275" i="104"/>
  <c r="BH293" i="104"/>
  <c r="BH291" i="104"/>
  <c r="BH259" i="104"/>
  <c r="BH280" i="104"/>
  <c r="BH260" i="104"/>
  <c r="BH282" i="104"/>
  <c r="BH258" i="104"/>
  <c r="BH301" i="104"/>
  <c r="BH299" i="104"/>
  <c r="BH292" i="104"/>
  <c r="BH269" i="104"/>
  <c r="BH300" i="104"/>
  <c r="BH268" i="104"/>
  <c r="BM200" i="104"/>
  <c r="BN200" i="104" s="1"/>
  <c r="BK199" i="104"/>
  <c r="BM198" i="104"/>
  <c r="BM197" i="104"/>
  <c r="BN197" i="104" s="1"/>
  <c r="BO197" i="104" s="1"/>
  <c r="BP197" i="104" s="1"/>
  <c r="BQ197" i="104" s="1"/>
  <c r="BR197" i="104" s="1"/>
  <c r="BS197" i="104" s="1"/>
  <c r="BN196" i="104"/>
  <c r="BL195" i="104"/>
  <c r="BM194" i="104"/>
  <c r="BG193" i="104"/>
  <c r="BV192" i="104"/>
  <c r="BE191" i="104"/>
  <c r="BC190" i="104"/>
  <c r="BB189" i="104"/>
  <c r="BB188" i="104"/>
  <c r="BC188" i="104" s="1"/>
  <c r="AY187" i="104"/>
  <c r="AZ186" i="104"/>
  <c r="BB185" i="104"/>
  <c r="AW183" i="104"/>
  <c r="AW182" i="104"/>
  <c r="AU180" i="104"/>
  <c r="AT179" i="104"/>
  <c r="AP178" i="104"/>
  <c r="AN176" i="104"/>
  <c r="AO177" i="104"/>
  <c r="AQ175" i="104"/>
  <c r="AN174" i="104"/>
  <c r="AO174" i="104" s="1"/>
  <c r="AP174" i="104" s="1"/>
  <c r="AQ174" i="104" s="1"/>
  <c r="AR174" i="104" s="1"/>
  <c r="AS174" i="104" s="1"/>
  <c r="AT174" i="104" s="1"/>
  <c r="AU174" i="104" s="1"/>
  <c r="AV174" i="104" s="1"/>
  <c r="AW174" i="104" s="1"/>
  <c r="AO173" i="104"/>
  <c r="AQ172" i="104"/>
  <c r="AO171" i="104"/>
  <c r="AI170" i="104"/>
  <c r="AN169" i="104"/>
  <c r="AK168" i="104"/>
  <c r="Y123" i="104"/>
  <c r="Z123" i="104" s="1"/>
  <c r="AM167" i="104"/>
  <c r="AG166" i="104"/>
  <c r="AF165" i="104"/>
  <c r="AE164" i="104"/>
  <c r="AC163" i="104"/>
  <c r="AC162" i="104"/>
  <c r="Z161" i="104"/>
  <c r="Z160" i="104"/>
  <c r="AC159" i="104"/>
  <c r="AA158" i="104"/>
  <c r="X157" i="104"/>
  <c r="X115" i="104"/>
  <c r="Y115" i="104" s="1"/>
  <c r="V155" i="104"/>
  <c r="W155" i="104" s="1"/>
  <c r="X155" i="104" s="1"/>
  <c r="Z156" i="104"/>
  <c r="Q154" i="104"/>
  <c r="R154" i="104" s="1"/>
  <c r="S112" i="104"/>
  <c r="T112" i="104" s="1"/>
  <c r="U112" i="104" s="1"/>
  <c r="V112" i="104" s="1"/>
  <c r="T139" i="104"/>
  <c r="U139" i="104" s="1"/>
  <c r="V139" i="104" s="1"/>
  <c r="W124" i="104"/>
  <c r="X124" i="104" s="1"/>
  <c r="U137" i="104"/>
  <c r="V137" i="104" s="1"/>
  <c r="T150" i="104"/>
  <c r="U150" i="104" s="1"/>
  <c r="T106" i="104"/>
  <c r="T111" i="104"/>
  <c r="U111" i="104" s="1"/>
  <c r="R134" i="104"/>
  <c r="T113" i="104"/>
  <c r="S108" i="104"/>
  <c r="T108" i="104" s="1"/>
  <c r="U108" i="104" s="1"/>
  <c r="T109" i="104"/>
  <c r="T129" i="104"/>
  <c r="V147" i="104"/>
  <c r="T133" i="104"/>
  <c r="V136" i="104"/>
  <c r="W136" i="104" s="1"/>
  <c r="Q132" i="104"/>
  <c r="W135" i="104"/>
  <c r="T145" i="104"/>
  <c r="V121" i="104"/>
  <c r="U118" i="104"/>
  <c r="W141" i="104"/>
  <c r="U153" i="104"/>
  <c r="V153" i="104" s="1"/>
  <c r="U138" i="104"/>
  <c r="W128" i="104"/>
  <c r="S107" i="104"/>
  <c r="T107" i="104" s="1"/>
  <c r="V131" i="104"/>
  <c r="W131" i="104" s="1"/>
  <c r="U142" i="104"/>
  <c r="U117" i="104"/>
  <c r="T152" i="104"/>
  <c r="S120" i="104"/>
  <c r="T110" i="104"/>
  <c r="Y126" i="104"/>
  <c r="S130" i="104"/>
  <c r="Q146" i="104"/>
  <c r="R146" i="104" s="1"/>
  <c r="S146" i="104" s="1"/>
  <c r="V127" i="104"/>
  <c r="T151" i="104"/>
  <c r="P148" i="104"/>
  <c r="Q148" i="104" s="1"/>
  <c r="S140" i="104"/>
  <c r="U119" i="104"/>
  <c r="V119" i="104" s="1"/>
  <c r="T143" i="104"/>
  <c r="T125" i="104"/>
  <c r="Q144" i="104"/>
  <c r="R144" i="104" s="1"/>
  <c r="S122" i="104"/>
  <c r="T114" i="104"/>
  <c r="S116" i="104"/>
  <c r="T149" i="104"/>
  <c r="R105" i="104"/>
  <c r="S105" i="104" s="1"/>
  <c r="AE69" i="61"/>
  <c r="H104" i="104"/>
  <c r="CW103" i="104"/>
  <c r="CN103" i="104"/>
  <c r="CM103" i="104"/>
  <c r="CP103" i="104"/>
  <c r="CQ103" i="104"/>
  <c r="CR103" i="104"/>
  <c r="CS103" i="104"/>
  <c r="CT103" i="104"/>
  <c r="CU103" i="104"/>
  <c r="EF85" i="97"/>
  <c r="EG85" i="97"/>
  <c r="EH85" i="97"/>
  <c r="EI85" i="97"/>
  <c r="EN85" i="97"/>
  <c r="EO85" i="97"/>
  <c r="EP85" i="97"/>
  <c r="EQ85" i="97"/>
  <c r="CZ82" i="97"/>
  <c r="DA82" i="97"/>
  <c r="DB82" i="97"/>
  <c r="DD82" i="97"/>
  <c r="DE82" i="97"/>
  <c r="DF82" i="97"/>
  <c r="BP85" i="97"/>
  <c r="BR85" i="97"/>
  <c r="BQ85" i="97" s="1"/>
  <c r="BS85" i="97"/>
  <c r="BT85" i="97"/>
  <c r="BU85" i="97"/>
  <c r="BW85" i="97"/>
  <c r="BV85" i="97" s="1"/>
  <c r="BX85" i="97"/>
  <c r="BY85" i="97"/>
  <c r="K85" i="97"/>
  <c r="M85" i="97"/>
  <c r="L85" i="97" s="1"/>
  <c r="N85" i="97"/>
  <c r="O85" i="97"/>
  <c r="P85" i="97"/>
  <c r="R85" i="97"/>
  <c r="S85" i="97"/>
  <c r="T85" i="97"/>
  <c r="CU53" i="26"/>
  <c r="AS54" i="26"/>
  <c r="BH303" i="104" l="1"/>
  <c r="BO200" i="104"/>
  <c r="BP200" i="104" s="1"/>
  <c r="BQ200" i="104" s="1"/>
  <c r="BR200" i="104" s="1"/>
  <c r="BS200" i="104" s="1"/>
  <c r="BT200" i="104" s="1"/>
  <c r="BU200" i="104" s="1"/>
  <c r="BV200" i="104" s="1"/>
  <c r="BI284" i="104" s="1"/>
  <c r="BL199" i="104"/>
  <c r="BM199" i="104" s="1"/>
  <c r="BN199" i="104" s="1"/>
  <c r="BO199" i="104" s="1"/>
  <c r="BP199" i="104" s="1"/>
  <c r="BQ199" i="104" s="1"/>
  <c r="BR199" i="104" s="1"/>
  <c r="BS199" i="104" s="1"/>
  <c r="BN198" i="104"/>
  <c r="BO198" i="104" s="1"/>
  <c r="BP198" i="104" s="1"/>
  <c r="BQ198" i="104" s="1"/>
  <c r="BR198" i="104" s="1"/>
  <c r="BS198" i="104" s="1"/>
  <c r="BT198" i="104" s="1"/>
  <c r="BU198" i="104" s="1"/>
  <c r="BV198" i="104" s="1"/>
  <c r="BT197" i="104"/>
  <c r="BU197" i="104" s="1"/>
  <c r="BV197" i="104" s="1"/>
  <c r="BO196" i="104"/>
  <c r="BP196" i="104" s="1"/>
  <c r="BQ196" i="104" s="1"/>
  <c r="BM195" i="104"/>
  <c r="BN195" i="104" s="1"/>
  <c r="BO195" i="104" s="1"/>
  <c r="BP195" i="104" s="1"/>
  <c r="BQ195" i="104" s="1"/>
  <c r="BR195" i="104" s="1"/>
  <c r="BN194" i="104"/>
  <c r="BH193" i="104"/>
  <c r="BI193" i="104" s="1"/>
  <c r="BJ193" i="104" s="1"/>
  <c r="BQ268" i="104"/>
  <c r="BQ286" i="104"/>
  <c r="BQ299" i="104"/>
  <c r="BQ287" i="104"/>
  <c r="BQ278" i="104"/>
  <c r="BQ281" i="104"/>
  <c r="BQ293" i="104"/>
  <c r="BQ280" i="104"/>
  <c r="BQ272" i="104"/>
  <c r="BQ273" i="104"/>
  <c r="BQ264" i="104"/>
  <c r="BQ260" i="104"/>
  <c r="BQ258" i="104"/>
  <c r="BQ275" i="104"/>
  <c r="BQ289" i="104"/>
  <c r="BQ292" i="104"/>
  <c r="BQ282" i="104"/>
  <c r="BQ294" i="104"/>
  <c r="BQ279" i="104"/>
  <c r="BQ301" i="104"/>
  <c r="BQ288" i="104"/>
  <c r="BQ300" i="104"/>
  <c r="BQ283" i="104"/>
  <c r="BQ285" i="104"/>
  <c r="BQ269" i="104"/>
  <c r="BQ277" i="104"/>
  <c r="BQ261" i="104"/>
  <c r="BQ266" i="104"/>
  <c r="BQ291" i="104"/>
  <c r="BQ297" i="104"/>
  <c r="BQ270" i="104"/>
  <c r="BQ274" i="104"/>
  <c r="BQ265" i="104"/>
  <c r="BQ284" i="104"/>
  <c r="BQ296" i="104"/>
  <c r="BQ302" i="104"/>
  <c r="BQ298" i="104"/>
  <c r="BQ290" i="104"/>
  <c r="BQ262" i="104"/>
  <c r="BQ271" i="104"/>
  <c r="BQ295" i="104"/>
  <c r="BQ259" i="104"/>
  <c r="BQ267" i="104"/>
  <c r="BQ276" i="104"/>
  <c r="BQ263" i="104"/>
  <c r="BF191" i="104"/>
  <c r="BG191" i="104" s="1"/>
  <c r="BH191" i="104" s="1"/>
  <c r="BI191" i="104" s="1"/>
  <c r="BJ191" i="104" s="1"/>
  <c r="BK191" i="104" s="1"/>
  <c r="BL191" i="104" s="1"/>
  <c r="BM191" i="104" s="1"/>
  <c r="BN191" i="104" s="1"/>
  <c r="BD190" i="104"/>
  <c r="BC189" i="104"/>
  <c r="BD188" i="104"/>
  <c r="BE188" i="104" s="1"/>
  <c r="AZ187" i="104"/>
  <c r="BA186" i="104"/>
  <c r="BC185" i="104"/>
  <c r="AX183" i="104"/>
  <c r="AY183" i="104" s="1"/>
  <c r="AZ181" i="104"/>
  <c r="AV180" i="104"/>
  <c r="AU179" i="104"/>
  <c r="AQ178" i="104"/>
  <c r="AR178" i="104" s="1"/>
  <c r="AO176" i="104"/>
  <c r="AP177" i="104"/>
  <c r="AR175" i="104"/>
  <c r="AX174" i="104"/>
  <c r="AP173" i="104"/>
  <c r="Q85" i="97"/>
  <c r="CY82" i="97"/>
  <c r="EM85" i="97"/>
  <c r="EE85" i="97"/>
  <c r="DC82" i="97"/>
  <c r="AP171" i="104"/>
  <c r="AJ170" i="104"/>
  <c r="AO169" i="104"/>
  <c r="AL168" i="104"/>
  <c r="AN167" i="104"/>
  <c r="AH166" i="104"/>
  <c r="AG165" i="104"/>
  <c r="AD163" i="104"/>
  <c r="AF164" i="104"/>
  <c r="AD162" i="104"/>
  <c r="AA161" i="104"/>
  <c r="AD159" i="104"/>
  <c r="AA160" i="104"/>
  <c r="AB158" i="104"/>
  <c r="AA156" i="104"/>
  <c r="AB156" i="104" s="1"/>
  <c r="Y157" i="104"/>
  <c r="Y155" i="104"/>
  <c r="S154" i="104"/>
  <c r="T154" i="104" s="1"/>
  <c r="U151" i="104"/>
  <c r="V108" i="104"/>
  <c r="X131" i="104"/>
  <c r="S144" i="104"/>
  <c r="W137" i="104"/>
  <c r="U143" i="104"/>
  <c r="X141" i="104"/>
  <c r="V118" i="104"/>
  <c r="X135" i="104"/>
  <c r="U129" i="104"/>
  <c r="U113" i="104"/>
  <c r="X136" i="104"/>
  <c r="R148" i="104"/>
  <c r="Y124" i="104"/>
  <c r="T130" i="104"/>
  <c r="V150" i="104"/>
  <c r="U125" i="104"/>
  <c r="W119" i="104"/>
  <c r="T140" i="104"/>
  <c r="U152" i="104"/>
  <c r="V138" i="104"/>
  <c r="Z115" i="104"/>
  <c r="W121" i="104"/>
  <c r="V111" i="104"/>
  <c r="W127" i="104"/>
  <c r="W112" i="104"/>
  <c r="W139" i="104"/>
  <c r="U110" i="104"/>
  <c r="U114" i="104"/>
  <c r="W147" i="104"/>
  <c r="U149" i="104"/>
  <c r="T116" i="104"/>
  <c r="W153" i="104"/>
  <c r="X153" i="104" s="1"/>
  <c r="T122" i="104"/>
  <c r="U107" i="104"/>
  <c r="U109" i="104"/>
  <c r="Z126" i="104"/>
  <c r="T120" i="104"/>
  <c r="V117" i="104"/>
  <c r="V142" i="104"/>
  <c r="T146" i="104"/>
  <c r="AA123" i="104"/>
  <c r="X128" i="104"/>
  <c r="U145" i="104"/>
  <c r="R132" i="104"/>
  <c r="U133" i="104"/>
  <c r="S134" i="104"/>
  <c r="U106" i="104"/>
  <c r="T105" i="104"/>
  <c r="J104" i="104"/>
  <c r="BI299" i="104" l="1"/>
  <c r="BI287" i="104"/>
  <c r="BI294" i="104"/>
  <c r="BI259" i="104"/>
  <c r="BI262" i="104"/>
  <c r="BI271" i="104"/>
  <c r="BI258" i="104"/>
  <c r="BI281" i="104"/>
  <c r="BI295" i="104"/>
  <c r="BI282" i="104"/>
  <c r="BI302" i="104"/>
  <c r="BI273" i="104"/>
  <c r="BI285" i="104"/>
  <c r="BI274" i="104"/>
  <c r="BI296" i="104"/>
  <c r="BI289" i="104"/>
  <c r="BI301" i="104"/>
  <c r="BI270" i="104"/>
  <c r="BI292" i="104"/>
  <c r="BI260" i="104"/>
  <c r="BI280" i="104"/>
  <c r="BI288" i="104"/>
  <c r="BI265" i="104"/>
  <c r="BI290" i="104"/>
  <c r="BI261" i="104"/>
  <c r="BI267" i="104"/>
  <c r="BI291" i="104"/>
  <c r="BI279" i="104"/>
  <c r="BI275" i="104"/>
  <c r="BI293" i="104"/>
  <c r="BI300" i="104"/>
  <c r="BI269" i="104"/>
  <c r="BI276" i="104"/>
  <c r="BI266" i="104"/>
  <c r="BI264" i="104"/>
  <c r="BI278" i="104"/>
  <c r="BI286" i="104"/>
  <c r="BI272" i="104"/>
  <c r="BI298" i="104"/>
  <c r="BI283" i="104"/>
  <c r="BI263" i="104"/>
  <c r="BI268" i="104"/>
  <c r="BI277" i="104"/>
  <c r="BI297" i="104"/>
  <c r="BK273" i="104"/>
  <c r="BK283" i="104"/>
  <c r="BK270" i="104"/>
  <c r="BK287" i="104"/>
  <c r="BK294" i="104"/>
  <c r="BK289" i="104"/>
  <c r="BK288" i="104"/>
  <c r="BK298" i="104"/>
  <c r="BK300" i="104"/>
  <c r="BK293" i="104"/>
  <c r="BK265" i="104"/>
  <c r="BK286" i="104"/>
  <c r="BK266" i="104"/>
  <c r="BK302" i="104"/>
  <c r="BK290" i="104"/>
  <c r="BK281" i="104"/>
  <c r="BK301" i="104"/>
  <c r="BK297" i="104"/>
  <c r="BK278" i="104"/>
  <c r="BK277" i="104"/>
  <c r="BK261" i="104"/>
  <c r="BK272" i="104"/>
  <c r="BK291" i="104"/>
  <c r="BK295" i="104"/>
  <c r="BK299" i="104"/>
  <c r="BK269" i="104"/>
  <c r="BK282" i="104"/>
  <c r="BK263" i="104"/>
  <c r="BK280" i="104"/>
  <c r="BK296" i="104"/>
  <c r="BK268" i="104"/>
  <c r="BK262" i="104"/>
  <c r="BK259" i="104"/>
  <c r="BK275" i="104"/>
  <c r="BK258" i="104"/>
  <c r="BK271" i="104"/>
  <c r="BK260" i="104"/>
  <c r="BK279" i="104"/>
  <c r="BK264" i="104"/>
  <c r="BK292" i="104"/>
  <c r="BK274" i="104"/>
  <c r="BK267" i="104"/>
  <c r="BK285" i="104"/>
  <c r="BK284" i="104"/>
  <c r="BK276" i="104"/>
  <c r="BT199" i="104"/>
  <c r="BU199" i="104" s="1"/>
  <c r="BL265" i="104"/>
  <c r="BL284" i="104"/>
  <c r="BL268" i="104"/>
  <c r="BL273" i="104"/>
  <c r="BL295" i="104"/>
  <c r="BL282" i="104"/>
  <c r="BL301" i="104"/>
  <c r="BL291" i="104"/>
  <c r="BL277" i="104"/>
  <c r="BL285" i="104"/>
  <c r="BL296" i="104"/>
  <c r="BL280" i="104"/>
  <c r="BL260" i="104"/>
  <c r="BL264" i="104"/>
  <c r="BL286" i="104"/>
  <c r="BL292" i="104"/>
  <c r="BL275" i="104"/>
  <c r="BL299" i="104"/>
  <c r="BL267" i="104"/>
  <c r="BL276" i="104"/>
  <c r="BL289" i="104"/>
  <c r="BL269" i="104"/>
  <c r="BL279" i="104"/>
  <c r="BL293" i="104"/>
  <c r="BL300" i="104"/>
  <c r="BL297" i="104"/>
  <c r="BL281" i="104"/>
  <c r="BL283" i="104"/>
  <c r="BL272" i="104"/>
  <c r="BL288" i="104"/>
  <c r="BL287" i="104"/>
  <c r="BL261" i="104"/>
  <c r="BL259" i="104"/>
  <c r="BL270" i="104"/>
  <c r="BL278" i="104"/>
  <c r="BL274" i="104"/>
  <c r="BL266" i="104"/>
  <c r="BL262" i="104"/>
  <c r="BL263" i="104"/>
  <c r="BL271" i="104"/>
  <c r="BL302" i="104"/>
  <c r="BL290" i="104"/>
  <c r="BL258" i="104"/>
  <c r="BL294" i="104"/>
  <c r="BL298" i="104"/>
  <c r="BR196" i="104"/>
  <c r="BS196" i="104" s="1"/>
  <c r="BS195" i="104"/>
  <c r="BT195" i="104" s="1"/>
  <c r="BU195" i="104" s="1"/>
  <c r="BV195" i="104" s="1"/>
  <c r="BO194" i="104"/>
  <c r="BP194" i="104" s="1"/>
  <c r="BQ194" i="104" s="1"/>
  <c r="BR194" i="104" s="1"/>
  <c r="BS194" i="104" s="1"/>
  <c r="BT194" i="104" s="1"/>
  <c r="BU194" i="104" s="1"/>
  <c r="BV194" i="104" s="1"/>
  <c r="BK193" i="104"/>
  <c r="BQ303" i="104"/>
  <c r="BO191" i="104"/>
  <c r="BE190" i="104"/>
  <c r="BD189" i="104"/>
  <c r="BE189" i="104" s="1"/>
  <c r="BF188" i="104"/>
  <c r="BA187" i="104"/>
  <c r="BB186" i="104"/>
  <c r="BD185" i="104"/>
  <c r="AX184" i="104"/>
  <c r="AX182" i="104"/>
  <c r="BA181" i="104"/>
  <c r="AW180" i="104"/>
  <c r="AV179" i="104"/>
  <c r="AS178" i="104"/>
  <c r="AT178" i="104" s="1"/>
  <c r="AQ177" i="104"/>
  <c r="AP176" i="104"/>
  <c r="AS175" i="104"/>
  <c r="AQ173" i="104"/>
  <c r="AQ171" i="104"/>
  <c r="AK170" i="104"/>
  <c r="AP169" i="104"/>
  <c r="AM168" i="104"/>
  <c r="AO167" i="104"/>
  <c r="AI166" i="104"/>
  <c r="AH165" i="104"/>
  <c r="AI165" i="104" s="1"/>
  <c r="AG164" i="104"/>
  <c r="AE163" i="104"/>
  <c r="AE162" i="104"/>
  <c r="AB161" i="104"/>
  <c r="AB160" i="104"/>
  <c r="AE159" i="104"/>
  <c r="AC158" i="104"/>
  <c r="AC156" i="104"/>
  <c r="Z155" i="104"/>
  <c r="U154" i="104"/>
  <c r="V151" i="104"/>
  <c r="Y153" i="104"/>
  <c r="Y136" i="104"/>
  <c r="W118" i="104"/>
  <c r="V143" i="104"/>
  <c r="W108" i="104"/>
  <c r="V106" i="104"/>
  <c r="T134" i="104"/>
  <c r="U146" i="104"/>
  <c r="V133" i="104"/>
  <c r="S132" i="104"/>
  <c r="Y128" i="104"/>
  <c r="AB123" i="104"/>
  <c r="W117" i="104"/>
  <c r="AA126" i="104"/>
  <c r="X147" i="104"/>
  <c r="W111" i="104"/>
  <c r="AA115" i="104"/>
  <c r="V125" i="104"/>
  <c r="U130" i="104"/>
  <c r="S148" i="104"/>
  <c r="V113" i="104"/>
  <c r="V114" i="104"/>
  <c r="Y131" i="104"/>
  <c r="V129" i="104"/>
  <c r="X112" i="104"/>
  <c r="X127" i="104"/>
  <c r="X121" i="104"/>
  <c r="W138" i="104"/>
  <c r="U140" i="104"/>
  <c r="X119" i="104"/>
  <c r="Z124" i="104"/>
  <c r="Y141" i="104"/>
  <c r="X137" i="104"/>
  <c r="T144" i="104"/>
  <c r="U120" i="104"/>
  <c r="V107" i="104"/>
  <c r="U116" i="104"/>
  <c r="V152" i="104"/>
  <c r="W150" i="104"/>
  <c r="Y135" i="104"/>
  <c r="W142" i="104"/>
  <c r="V109" i="104"/>
  <c r="V149" i="104"/>
  <c r="V110" i="104"/>
  <c r="V145" i="104"/>
  <c r="W145" i="104" s="1"/>
  <c r="U122" i="104"/>
  <c r="X139" i="104"/>
  <c r="U105" i="104"/>
  <c r="K104" i="104"/>
  <c r="BI303" i="104" l="1"/>
  <c r="BK303" i="104"/>
  <c r="BL303" i="104"/>
  <c r="BV199" i="104"/>
  <c r="BN265" i="104"/>
  <c r="BN294" i="104"/>
  <c r="BN288" i="104"/>
  <c r="BN278" i="104"/>
  <c r="BN283" i="104"/>
  <c r="BN274" i="104"/>
  <c r="BN281" i="104"/>
  <c r="BN287" i="104"/>
  <c r="BN299" i="104"/>
  <c r="BN276" i="104"/>
  <c r="BN293" i="104"/>
  <c r="BN292" i="104"/>
  <c r="BN260" i="104"/>
  <c r="BN271" i="104"/>
  <c r="BN264" i="104"/>
  <c r="BN268" i="104"/>
  <c r="BN291" i="104"/>
  <c r="BN277" i="104"/>
  <c r="BN301" i="104"/>
  <c r="BN262" i="104"/>
  <c r="BN275" i="104"/>
  <c r="BN289" i="104"/>
  <c r="BN286" i="104"/>
  <c r="BN258" i="104"/>
  <c r="BN270" i="104"/>
  <c r="BN280" i="104"/>
  <c r="BN296" i="104"/>
  <c r="BN298" i="104"/>
  <c r="BN285" i="104"/>
  <c r="BN302" i="104"/>
  <c r="BN284" i="104"/>
  <c r="BN300" i="104"/>
  <c r="BN273" i="104"/>
  <c r="BN261" i="104"/>
  <c r="BN295" i="104"/>
  <c r="BN297" i="104"/>
  <c r="BN266" i="104"/>
  <c r="BN269" i="104"/>
  <c r="BN267" i="104"/>
  <c r="BN259" i="104"/>
  <c r="BN263" i="104"/>
  <c r="BN290" i="104"/>
  <c r="BN282" i="104"/>
  <c r="BN272" i="104"/>
  <c r="BN279" i="104"/>
  <c r="BT196" i="104"/>
  <c r="BU196" i="104" s="1"/>
  <c r="BV196" i="104" s="1"/>
  <c r="BO283" i="104"/>
  <c r="BO289" i="104"/>
  <c r="BO262" i="104"/>
  <c r="BO290" i="104"/>
  <c r="BO294" i="104"/>
  <c r="BO273" i="104"/>
  <c r="BO267" i="104"/>
  <c r="BO298" i="104"/>
  <c r="BO295" i="104"/>
  <c r="BO282" i="104"/>
  <c r="BO258" i="104"/>
  <c r="BO260" i="104"/>
  <c r="BO276" i="104"/>
  <c r="BO271" i="104"/>
  <c r="BO292" i="104"/>
  <c r="BO274" i="104"/>
  <c r="BO279" i="104"/>
  <c r="BO288" i="104"/>
  <c r="BO268" i="104"/>
  <c r="BO299" i="104"/>
  <c r="BO284" i="104"/>
  <c r="BO293" i="104"/>
  <c r="BO287" i="104"/>
  <c r="BO270" i="104"/>
  <c r="BO300" i="104"/>
  <c r="BO269" i="104"/>
  <c r="BO261" i="104"/>
  <c r="BO263" i="104"/>
  <c r="BO277" i="104"/>
  <c r="BO286" i="104"/>
  <c r="BO278" i="104"/>
  <c r="BO264" i="104"/>
  <c r="BO280" i="104"/>
  <c r="BO266" i="104"/>
  <c r="BO296" i="104"/>
  <c r="BO272" i="104"/>
  <c r="BO259" i="104"/>
  <c r="BO302" i="104"/>
  <c r="BO291" i="104"/>
  <c r="BO265" i="104"/>
  <c r="BO285" i="104"/>
  <c r="BO301" i="104"/>
  <c r="BO281" i="104"/>
  <c r="BO297" i="104"/>
  <c r="BO275" i="104"/>
  <c r="BL193" i="104"/>
  <c r="BF190" i="104"/>
  <c r="BF189" i="104"/>
  <c r="BG188" i="104"/>
  <c r="BB187" i="104"/>
  <c r="BC186" i="104"/>
  <c r="BE185" i="104"/>
  <c r="AY184" i="104"/>
  <c r="AZ183" i="104"/>
  <c r="AY182" i="104"/>
  <c r="BB181" i="104"/>
  <c r="AX180" i="104"/>
  <c r="AW179" i="104"/>
  <c r="AX179" i="104" s="1"/>
  <c r="AY179" i="104" s="1"/>
  <c r="AU178" i="104"/>
  <c r="AV178" i="104" s="1"/>
  <c r="AQ176" i="104"/>
  <c r="AR176" i="104" s="1"/>
  <c r="AS176" i="104" s="1"/>
  <c r="AR177" i="104"/>
  <c r="AT175" i="104"/>
  <c r="AR173" i="104"/>
  <c r="AR171" i="104"/>
  <c r="AS171" i="104" s="1"/>
  <c r="AL170" i="104"/>
  <c r="AQ169" i="104"/>
  <c r="AN168" i="104"/>
  <c r="AP167" i="104"/>
  <c r="AJ166" i="104"/>
  <c r="AJ165" i="104"/>
  <c r="AH164" i="104"/>
  <c r="AF163" i="104"/>
  <c r="AF162" i="104"/>
  <c r="AC161" i="104"/>
  <c r="AF159" i="104"/>
  <c r="AC160" i="104"/>
  <c r="AD158" i="104"/>
  <c r="AD156" i="104"/>
  <c r="AE156" i="104" s="1"/>
  <c r="AA155" i="104"/>
  <c r="AB155" i="104" s="1"/>
  <c r="V154" i="104"/>
  <c r="W151" i="104"/>
  <c r="Y139" i="104"/>
  <c r="Z135" i="104"/>
  <c r="V116" i="104"/>
  <c r="U144" i="104"/>
  <c r="AA124" i="104"/>
  <c r="Y121" i="104"/>
  <c r="Y127" i="104"/>
  <c r="V130" i="104"/>
  <c r="W125" i="104"/>
  <c r="AC123" i="104"/>
  <c r="T132" i="104"/>
  <c r="X108" i="104"/>
  <c r="Z153" i="104"/>
  <c r="V122" i="104"/>
  <c r="W152" i="104"/>
  <c r="Z141" i="104"/>
  <c r="W129" i="104"/>
  <c r="W113" i="104"/>
  <c r="AB115" i="104"/>
  <c r="X111" i="104"/>
  <c r="Y147" i="104"/>
  <c r="U134" i="104"/>
  <c r="X145" i="104"/>
  <c r="W149" i="104"/>
  <c r="W109" i="104"/>
  <c r="X142" i="104"/>
  <c r="V120" i="104"/>
  <c r="Y137" i="104"/>
  <c r="Y119" i="104"/>
  <c r="Y112" i="104"/>
  <c r="X117" i="104"/>
  <c r="W106" i="104"/>
  <c r="X150" i="104"/>
  <c r="X138" i="104"/>
  <c r="Z131" i="104"/>
  <c r="T148" i="104"/>
  <c r="W133" i="104"/>
  <c r="V146" i="104"/>
  <c r="Z136" i="104"/>
  <c r="W110" i="104"/>
  <c r="W107" i="104"/>
  <c r="V140" i="104"/>
  <c r="W114" i="104"/>
  <c r="AB126" i="104"/>
  <c r="Z128" i="104"/>
  <c r="W143" i="104"/>
  <c r="X118" i="104"/>
  <c r="L104" i="104"/>
  <c r="H103" i="104"/>
  <c r="AS53" i="26"/>
  <c r="GV45" i="26"/>
  <c r="EF84" i="97"/>
  <c r="EG84" i="97"/>
  <c r="EH84" i="97"/>
  <c r="EI84" i="97"/>
  <c r="EN84" i="97"/>
  <c r="EO84" i="97"/>
  <c r="EP84" i="97"/>
  <c r="EQ84" i="97"/>
  <c r="CZ81" i="97"/>
  <c r="DA81" i="97"/>
  <c r="DB81" i="97"/>
  <c r="DD81" i="97"/>
  <c r="DE81" i="97"/>
  <c r="DF81" i="97"/>
  <c r="BP84" i="97"/>
  <c r="BR84" i="97"/>
  <c r="BS84" i="97"/>
  <c r="BT84" i="97"/>
  <c r="BU84" i="97"/>
  <c r="BW84" i="97"/>
  <c r="BX84" i="97"/>
  <c r="BY84" i="97"/>
  <c r="K84" i="97"/>
  <c r="M84" i="97"/>
  <c r="N84" i="97"/>
  <c r="O84" i="97"/>
  <c r="P84" i="97"/>
  <c r="R84" i="97"/>
  <c r="S84" i="97"/>
  <c r="Q84" i="97" s="1"/>
  <c r="T84" i="97"/>
  <c r="CN102" i="104"/>
  <c r="CM102" i="104"/>
  <c r="CU102" i="104"/>
  <c r="CT102" i="104"/>
  <c r="CS102" i="104"/>
  <c r="CR102" i="104"/>
  <c r="CQ102" i="104"/>
  <c r="CP102" i="104"/>
  <c r="BJ260" i="104" l="1"/>
  <c r="BJ267" i="104"/>
  <c r="BJ269" i="104"/>
  <c r="BJ287" i="104"/>
  <c r="BJ281" i="104"/>
  <c r="BJ298" i="104"/>
  <c r="BJ301" i="104"/>
  <c r="BJ280" i="104"/>
  <c r="BJ285" i="104"/>
  <c r="BJ264" i="104"/>
  <c r="BJ292" i="104"/>
  <c r="BJ266" i="104"/>
  <c r="BJ302" i="104"/>
  <c r="BJ294" i="104"/>
  <c r="BJ282" i="104"/>
  <c r="BJ258" i="104"/>
  <c r="BJ299" i="104"/>
  <c r="BJ289" i="104"/>
  <c r="BJ295" i="104"/>
  <c r="BJ273" i="104"/>
  <c r="BJ275" i="104"/>
  <c r="BJ262" i="104"/>
  <c r="BJ284" i="104"/>
  <c r="BJ290" i="104"/>
  <c r="BJ283" i="104"/>
  <c r="BJ261" i="104"/>
  <c r="BJ268" i="104"/>
  <c r="BJ293" i="104"/>
  <c r="BJ291" i="104"/>
  <c r="BJ271" i="104"/>
  <c r="BJ274" i="104"/>
  <c r="BJ297" i="104"/>
  <c r="BJ270" i="104"/>
  <c r="BJ278" i="104"/>
  <c r="BJ279" i="104"/>
  <c r="BJ296" i="104"/>
  <c r="BJ286" i="104"/>
  <c r="BJ277" i="104"/>
  <c r="BJ276" i="104"/>
  <c r="BJ265" i="104"/>
  <c r="BJ300" i="104"/>
  <c r="BJ259" i="104"/>
  <c r="BJ263" i="104"/>
  <c r="BJ288" i="104"/>
  <c r="BJ272" i="104"/>
  <c r="BM284" i="104"/>
  <c r="BM281" i="104"/>
  <c r="BM275" i="104"/>
  <c r="BM291" i="104"/>
  <c r="BM277" i="104"/>
  <c r="BM302" i="104"/>
  <c r="BM269" i="104"/>
  <c r="BM261" i="104"/>
  <c r="BM266" i="104"/>
  <c r="BM301" i="104"/>
  <c r="BM285" i="104"/>
  <c r="BM298" i="104"/>
  <c r="BM290" i="104"/>
  <c r="BM289" i="104"/>
  <c r="BM274" i="104"/>
  <c r="BM267" i="104"/>
  <c r="BM262" i="104"/>
  <c r="BM264" i="104"/>
  <c r="BM270" i="104"/>
  <c r="BM296" i="104"/>
  <c r="BM295" i="104"/>
  <c r="BM297" i="104"/>
  <c r="BM280" i="104"/>
  <c r="BM279" i="104"/>
  <c r="BM282" i="104"/>
  <c r="BM268" i="104"/>
  <c r="BM288" i="104"/>
  <c r="BM265" i="104"/>
  <c r="BM294" i="104"/>
  <c r="BM260" i="104"/>
  <c r="BM283" i="104"/>
  <c r="BM276" i="104"/>
  <c r="BM278" i="104"/>
  <c r="BM263" i="104"/>
  <c r="BM259" i="104"/>
  <c r="BM258" i="104"/>
  <c r="BM300" i="104"/>
  <c r="BM272" i="104"/>
  <c r="BM292" i="104"/>
  <c r="BM271" i="104"/>
  <c r="BM293" i="104"/>
  <c r="BM299" i="104"/>
  <c r="BM286" i="104"/>
  <c r="BM273" i="104"/>
  <c r="BM287" i="104"/>
  <c r="BN303" i="104"/>
  <c r="BO303" i="104"/>
  <c r="BM193" i="104"/>
  <c r="BG190" i="104"/>
  <c r="BH188" i="104"/>
  <c r="BC187" i="104"/>
  <c r="BD186" i="104"/>
  <c r="BF185" i="104"/>
  <c r="AZ184" i="104"/>
  <c r="BA183" i="104"/>
  <c r="AZ182" i="104"/>
  <c r="BC181" i="104"/>
  <c r="AY180" i="104"/>
  <c r="AZ179" i="104"/>
  <c r="BA179" i="104" s="1"/>
  <c r="AW178" i="104"/>
  <c r="AT176" i="104"/>
  <c r="AS177" i="104"/>
  <c r="AU175" i="104"/>
  <c r="BV84" i="97"/>
  <c r="CY81" i="97"/>
  <c r="AS173" i="104"/>
  <c r="L84" i="97"/>
  <c r="BQ84" i="97"/>
  <c r="DC81" i="97"/>
  <c r="EM84" i="97"/>
  <c r="EE84" i="97"/>
  <c r="AT171" i="104"/>
  <c r="AM170" i="104"/>
  <c r="AR169" i="104"/>
  <c r="AO168" i="104"/>
  <c r="AQ167" i="104"/>
  <c r="AK166" i="104"/>
  <c r="AK165" i="104"/>
  <c r="AG163" i="104"/>
  <c r="AI164" i="104"/>
  <c r="AG162" i="104"/>
  <c r="AD161" i="104"/>
  <c r="AG159" i="104"/>
  <c r="AD160" i="104"/>
  <c r="AE158" i="104"/>
  <c r="AF156" i="104"/>
  <c r="Z157" i="104"/>
  <c r="AC155" i="104"/>
  <c r="AD155" i="104" s="1"/>
  <c r="W154" i="104"/>
  <c r="X154" i="104" s="1"/>
  <c r="X151" i="104"/>
  <c r="X114" i="104"/>
  <c r="X110" i="104"/>
  <c r="AA136" i="104"/>
  <c r="Y150" i="104"/>
  <c r="X109" i="104"/>
  <c r="V134" i="104"/>
  <c r="AA141" i="104"/>
  <c r="X125" i="104"/>
  <c r="W130" i="104"/>
  <c r="AB124" i="104"/>
  <c r="V144" i="104"/>
  <c r="Z139" i="104"/>
  <c r="X143" i="104"/>
  <c r="AA128" i="104"/>
  <c r="AA131" i="104"/>
  <c r="Z112" i="104"/>
  <c r="W120" i="104"/>
  <c r="X149" i="104"/>
  <c r="Y111" i="104"/>
  <c r="AC115" i="104"/>
  <c r="AA153" i="104"/>
  <c r="Y108" i="104"/>
  <c r="U132" i="104"/>
  <c r="W146" i="104"/>
  <c r="X133" i="104"/>
  <c r="Y117" i="104"/>
  <c r="Z137" i="104"/>
  <c r="Y145" i="104"/>
  <c r="X129" i="104"/>
  <c r="X152" i="104"/>
  <c r="AD123" i="104"/>
  <c r="Z121" i="104"/>
  <c r="W116" i="104"/>
  <c r="Y118" i="104"/>
  <c r="AC126" i="104"/>
  <c r="W140" i="104"/>
  <c r="X107" i="104"/>
  <c r="U148" i="104"/>
  <c r="Y138" i="104"/>
  <c r="X106" i="104"/>
  <c r="Z119" i="104"/>
  <c r="Y142" i="104"/>
  <c r="Z147" i="104"/>
  <c r="X113" i="104"/>
  <c r="W122" i="104"/>
  <c r="Z127" i="104"/>
  <c r="AA135" i="104"/>
  <c r="V105" i="104"/>
  <c r="M104" i="104"/>
  <c r="J103" i="104"/>
  <c r="K103" i="104" s="1"/>
  <c r="BJ303" i="104" l="1"/>
  <c r="BM303" i="104"/>
  <c r="BN193" i="104"/>
  <c r="BO193" i="104" s="1"/>
  <c r="BP193" i="104" s="1"/>
  <c r="BQ193" i="104" s="1"/>
  <c r="BR193" i="104" s="1"/>
  <c r="BS193" i="104" s="1"/>
  <c r="BH190" i="104"/>
  <c r="BG189" i="104"/>
  <c r="BI188" i="104"/>
  <c r="BD187" i="104"/>
  <c r="BE186" i="104"/>
  <c r="BG185" i="104"/>
  <c r="BA184" i="104"/>
  <c r="BB183" i="104"/>
  <c r="BA182" i="104"/>
  <c r="BD181" i="104"/>
  <c r="AZ180" i="104"/>
  <c r="AX178" i="104"/>
  <c r="AU176" i="104"/>
  <c r="AT177" i="104"/>
  <c r="AV175" i="104"/>
  <c r="AT173" i="104"/>
  <c r="AU171" i="104"/>
  <c r="AN170" i="104"/>
  <c r="AS169" i="104"/>
  <c r="AP168" i="104"/>
  <c r="AR167" i="104"/>
  <c r="AL166" i="104"/>
  <c r="AL165" i="104"/>
  <c r="AJ164" i="104"/>
  <c r="AH163" i="104"/>
  <c r="AH162" i="104"/>
  <c r="AE161" i="104"/>
  <c r="AE160" i="104"/>
  <c r="AH159" i="104"/>
  <c r="AF158" i="104"/>
  <c r="AE155" i="104"/>
  <c r="AF155" i="104" s="1"/>
  <c r="AG155" i="104" s="1"/>
  <c r="AA157" i="104"/>
  <c r="AG156" i="104"/>
  <c r="Y154" i="104"/>
  <c r="Y151" i="104"/>
  <c r="AA127" i="104"/>
  <c r="X122" i="104"/>
  <c r="Y113" i="104"/>
  <c r="AA147" i="104"/>
  <c r="Y106" i="104"/>
  <c r="AE123" i="104"/>
  <c r="Y129" i="104"/>
  <c r="AD115" i="104"/>
  <c r="Y149" i="104"/>
  <c r="AA139" i="104"/>
  <c r="X140" i="104"/>
  <c r="Z118" i="104"/>
  <c r="X116" i="104"/>
  <c r="AA121" i="104"/>
  <c r="Y152" i="104"/>
  <c r="Z117" i="104"/>
  <c r="AB153" i="104"/>
  <c r="AB141" i="104"/>
  <c r="W134" i="104"/>
  <c r="Y114" i="104"/>
  <c r="AB135" i="104"/>
  <c r="Z138" i="104"/>
  <c r="V148" i="104"/>
  <c r="AD126" i="104"/>
  <c r="AA137" i="104"/>
  <c r="X146" i="104"/>
  <c r="V132" i="104"/>
  <c r="X120" i="104"/>
  <c r="AB131" i="104"/>
  <c r="Y143" i="104"/>
  <c r="AB136" i="104"/>
  <c r="Z142" i="104"/>
  <c r="AA119" i="104"/>
  <c r="Y107" i="104"/>
  <c r="Z145" i="104"/>
  <c r="Y133" i="104"/>
  <c r="Z108" i="104"/>
  <c r="Z111" i="104"/>
  <c r="AA112" i="104"/>
  <c r="AB128" i="104"/>
  <c r="W144" i="104"/>
  <c r="AC124" i="104"/>
  <c r="X130" i="104"/>
  <c r="Y125" i="104"/>
  <c r="Y109" i="104"/>
  <c r="Z150" i="104"/>
  <c r="Y110" i="104"/>
  <c r="W105" i="104"/>
  <c r="N104" i="104"/>
  <c r="L103" i="104"/>
  <c r="BT193" i="104" l="1"/>
  <c r="BU193" i="104" s="1"/>
  <c r="BV193" i="104" s="1"/>
  <c r="BI190" i="104"/>
  <c r="BH189" i="104"/>
  <c r="BJ188" i="104"/>
  <c r="BK188" i="104" s="1"/>
  <c r="BE187" i="104"/>
  <c r="BF186" i="104"/>
  <c r="BG186" i="104" s="1"/>
  <c r="BH185" i="104"/>
  <c r="BB184" i="104"/>
  <c r="BC183" i="104"/>
  <c r="BB182" i="104"/>
  <c r="BE181" i="104"/>
  <c r="BA180" i="104"/>
  <c r="AY178" i="104"/>
  <c r="AV176" i="104"/>
  <c r="AU177" i="104"/>
  <c r="AW175" i="104"/>
  <c r="AU173" i="104"/>
  <c r="AR172" i="104"/>
  <c r="AV171" i="104"/>
  <c r="AO170" i="104"/>
  <c r="AQ168" i="104"/>
  <c r="AS167" i="104"/>
  <c r="AM166" i="104"/>
  <c r="AM165" i="104"/>
  <c r="AK164" i="104"/>
  <c r="AI163" i="104"/>
  <c r="AI162" i="104"/>
  <c r="AF161" i="104"/>
  <c r="AI159" i="104"/>
  <c r="AJ159" i="104" s="1"/>
  <c r="AF160" i="104"/>
  <c r="AG158" i="104"/>
  <c r="AH156" i="104"/>
  <c r="AB157" i="104"/>
  <c r="AH155" i="104"/>
  <c r="Z154" i="104"/>
  <c r="Z151" i="104"/>
  <c r="AA151" i="104" s="1"/>
  <c r="AB151" i="104" s="1"/>
  <c r="Z125" i="104"/>
  <c r="AC135" i="104"/>
  <c r="Y116" i="104"/>
  <c r="AF123" i="104"/>
  <c r="Z113" i="104"/>
  <c r="Y130" i="104"/>
  <c r="AD124" i="104"/>
  <c r="AC128" i="104"/>
  <c r="AA108" i="104"/>
  <c r="Z107" i="104"/>
  <c r="AB119" i="104"/>
  <c r="AA142" i="104"/>
  <c r="AA138" i="104"/>
  <c r="Y140" i="104"/>
  <c r="AB139" i="104"/>
  <c r="AB147" i="104"/>
  <c r="AB127" i="104"/>
  <c r="Z133" i="104"/>
  <c r="AA145" i="104"/>
  <c r="Y120" i="104"/>
  <c r="W132" i="104"/>
  <c r="AB137" i="104"/>
  <c r="AE126" i="104"/>
  <c r="X134" i="104"/>
  <c r="AC141" i="104"/>
  <c r="AA117" i="104"/>
  <c r="Z129" i="104"/>
  <c r="Z106" i="104"/>
  <c r="Z109" i="104"/>
  <c r="AA111" i="104"/>
  <c r="AC136" i="104"/>
  <c r="Y146" i="104"/>
  <c r="W148" i="104"/>
  <c r="AA118" i="104"/>
  <c r="X144" i="104"/>
  <c r="Z110" i="104"/>
  <c r="AA150" i="104"/>
  <c r="AB112" i="104"/>
  <c r="Z143" i="104"/>
  <c r="AC131" i="104"/>
  <c r="Z114" i="104"/>
  <c r="AC153" i="104"/>
  <c r="Z152" i="104"/>
  <c r="AB121" i="104"/>
  <c r="Z149" i="104"/>
  <c r="AE115" i="104"/>
  <c r="Y122" i="104"/>
  <c r="X105" i="104"/>
  <c r="Y105" i="104" s="1"/>
  <c r="M103" i="104"/>
  <c r="N103" i="104" s="1"/>
  <c r="O104" i="104"/>
  <c r="H102" i="104"/>
  <c r="EF83" i="97"/>
  <c r="EG83" i="97"/>
  <c r="EH83" i="97"/>
  <c r="EI83" i="97"/>
  <c r="EN83" i="97"/>
  <c r="EO83" i="97"/>
  <c r="EP83" i="97"/>
  <c r="EQ83" i="97"/>
  <c r="CZ80" i="97"/>
  <c r="DA80" i="97"/>
  <c r="DB80" i="97"/>
  <c r="DD80" i="97"/>
  <c r="DE80" i="97"/>
  <c r="DF80" i="97"/>
  <c r="BP83" i="97"/>
  <c r="BR83" i="97"/>
  <c r="BS83" i="97"/>
  <c r="BT83" i="97"/>
  <c r="BU83" i="97"/>
  <c r="BW83" i="97"/>
  <c r="BX83" i="97"/>
  <c r="BY83" i="97"/>
  <c r="K83" i="97"/>
  <c r="M83" i="97"/>
  <c r="N83" i="97"/>
  <c r="O83" i="97"/>
  <c r="P83" i="97"/>
  <c r="R83" i="97"/>
  <c r="S83" i="97"/>
  <c r="T83" i="97"/>
  <c r="GV59" i="26"/>
  <c r="GY58" i="26"/>
  <c r="GV58" i="26"/>
  <c r="GY57" i="26"/>
  <c r="GV57" i="26"/>
  <c r="GY56" i="26"/>
  <c r="GV56" i="26"/>
  <c r="GY55" i="26"/>
  <c r="GV55" i="26"/>
  <c r="GY54" i="26"/>
  <c r="GV54" i="26"/>
  <c r="GY53" i="26"/>
  <c r="GV53" i="26"/>
  <c r="HK50" i="26"/>
  <c r="HH50" i="26"/>
  <c r="HE50" i="26"/>
  <c r="HB50" i="26"/>
  <c r="GY50" i="26"/>
  <c r="GV50" i="26"/>
  <c r="HK49" i="26"/>
  <c r="HH49" i="26"/>
  <c r="HE49" i="26"/>
  <c r="HB49" i="26"/>
  <c r="GY49" i="26"/>
  <c r="GV49" i="26"/>
  <c r="HK48" i="26"/>
  <c r="HH48" i="26"/>
  <c r="HE48" i="26"/>
  <c r="HB48" i="26"/>
  <c r="GY48" i="26"/>
  <c r="GV48" i="26"/>
  <c r="HK47" i="26"/>
  <c r="HH47" i="26"/>
  <c r="HE47" i="26"/>
  <c r="HB47" i="26"/>
  <c r="GY47" i="26"/>
  <c r="GV47" i="26"/>
  <c r="HK46" i="26"/>
  <c r="HH46" i="26"/>
  <c r="HE46" i="26"/>
  <c r="HB46" i="26"/>
  <c r="GY46" i="26"/>
  <c r="GV46" i="26"/>
  <c r="HK45" i="26"/>
  <c r="HH45" i="26"/>
  <c r="HE45" i="26"/>
  <c r="HB45" i="26"/>
  <c r="GY45" i="26"/>
  <c r="HK44" i="26"/>
  <c r="HH44" i="26"/>
  <c r="HE44" i="26"/>
  <c r="HB44" i="26"/>
  <c r="GY44" i="26"/>
  <c r="GV44" i="26"/>
  <c r="HK41" i="26"/>
  <c r="HH41" i="26"/>
  <c r="HE41" i="26"/>
  <c r="HB41" i="26"/>
  <c r="GY41" i="26"/>
  <c r="GV41" i="26"/>
  <c r="HK40" i="26"/>
  <c r="HH40" i="26"/>
  <c r="HE40" i="26"/>
  <c r="HB40" i="26"/>
  <c r="GY40" i="26"/>
  <c r="GV40" i="26"/>
  <c r="HK39" i="26"/>
  <c r="HH39" i="26"/>
  <c r="HE39" i="26"/>
  <c r="HB39" i="26"/>
  <c r="GY39" i="26"/>
  <c r="GV39" i="26"/>
  <c r="HK38" i="26"/>
  <c r="HH38" i="26"/>
  <c r="HE38" i="26"/>
  <c r="HB38" i="26"/>
  <c r="GY38" i="26"/>
  <c r="GV38" i="26"/>
  <c r="HK37" i="26"/>
  <c r="HH37" i="26"/>
  <c r="HE37" i="26"/>
  <c r="HB37" i="26"/>
  <c r="GY37" i="26"/>
  <c r="GV37" i="26"/>
  <c r="HK36" i="26"/>
  <c r="HH36" i="26"/>
  <c r="HE36" i="26"/>
  <c r="HB36" i="26"/>
  <c r="GY36" i="26"/>
  <c r="GV36" i="26"/>
  <c r="HK35" i="26"/>
  <c r="HH35" i="26"/>
  <c r="HE35" i="26"/>
  <c r="HB35" i="26"/>
  <c r="GY35" i="26"/>
  <c r="GV35" i="26"/>
  <c r="HK32" i="26"/>
  <c r="HH32" i="26"/>
  <c r="HE32" i="26"/>
  <c r="HB32" i="26"/>
  <c r="GY32" i="26"/>
  <c r="GV32" i="26"/>
  <c r="HK31" i="26"/>
  <c r="HH31" i="26"/>
  <c r="HE31" i="26"/>
  <c r="HB31" i="26"/>
  <c r="GY31" i="26"/>
  <c r="GV31" i="26"/>
  <c r="HK30" i="26"/>
  <c r="HH30" i="26"/>
  <c r="HE30" i="26"/>
  <c r="HB30" i="26"/>
  <c r="GY30" i="26"/>
  <c r="GV30" i="26"/>
  <c r="HK29" i="26"/>
  <c r="HH29" i="26"/>
  <c r="HE29" i="26"/>
  <c r="HB29" i="26"/>
  <c r="GY29" i="26"/>
  <c r="GV29" i="26"/>
  <c r="HK28" i="26"/>
  <c r="HH28" i="26"/>
  <c r="HE28" i="26"/>
  <c r="HB28" i="26"/>
  <c r="GY28" i="26"/>
  <c r="GV28" i="26"/>
  <c r="HK27" i="26"/>
  <c r="HH27" i="26"/>
  <c r="HE27" i="26"/>
  <c r="HB27" i="26"/>
  <c r="GY27" i="26"/>
  <c r="GV27" i="26"/>
  <c r="HK26" i="26"/>
  <c r="HH26" i="26"/>
  <c r="HE26" i="26"/>
  <c r="HB26" i="26"/>
  <c r="GY26" i="26"/>
  <c r="GV26" i="26"/>
  <c r="HK23" i="26"/>
  <c r="HH23" i="26"/>
  <c r="HE23" i="26"/>
  <c r="HB23" i="26"/>
  <c r="GY23" i="26"/>
  <c r="HK22" i="26"/>
  <c r="HH22" i="26"/>
  <c r="HE22" i="26"/>
  <c r="HB22" i="26"/>
  <c r="GY22" i="26"/>
  <c r="HK21" i="26"/>
  <c r="HH21" i="26"/>
  <c r="HE21" i="26"/>
  <c r="HB21" i="26"/>
  <c r="GY21" i="26"/>
  <c r="HK20" i="26"/>
  <c r="HH20" i="26"/>
  <c r="HE20" i="26"/>
  <c r="HB20" i="26"/>
  <c r="GY20" i="26"/>
  <c r="HK19" i="26"/>
  <c r="HH19" i="26"/>
  <c r="HE19" i="26"/>
  <c r="HB19" i="26"/>
  <c r="GY19" i="26"/>
  <c r="HK18" i="26"/>
  <c r="HH18" i="26"/>
  <c r="HE18" i="26"/>
  <c r="HB18" i="26"/>
  <c r="GY18" i="26"/>
  <c r="HK17" i="26"/>
  <c r="HH17" i="26"/>
  <c r="HE17" i="26"/>
  <c r="HB17" i="26"/>
  <c r="GY17" i="26"/>
  <c r="EW59" i="26"/>
  <c r="ET59" i="26"/>
  <c r="EW58" i="26"/>
  <c r="ET58" i="26"/>
  <c r="EW57" i="26"/>
  <c r="ET57" i="26"/>
  <c r="EW56" i="26"/>
  <c r="ET56" i="26"/>
  <c r="EW55" i="26"/>
  <c r="ET55" i="26"/>
  <c r="EW54" i="26"/>
  <c r="ET54" i="26"/>
  <c r="EW53" i="26"/>
  <c r="ET53" i="26"/>
  <c r="FI50" i="26"/>
  <c r="FF50" i="26"/>
  <c r="FC50" i="26"/>
  <c r="EZ50" i="26"/>
  <c r="EW50" i="26"/>
  <c r="ET50" i="26"/>
  <c r="FI49" i="26"/>
  <c r="FF49" i="26"/>
  <c r="FC49" i="26"/>
  <c r="EZ49" i="26"/>
  <c r="EW49" i="26"/>
  <c r="ET49" i="26"/>
  <c r="FI48" i="26"/>
  <c r="FF48" i="26"/>
  <c r="FC48" i="26"/>
  <c r="EZ48" i="26"/>
  <c r="EW48" i="26"/>
  <c r="ET48" i="26"/>
  <c r="FI47" i="26"/>
  <c r="FF47" i="26"/>
  <c r="FC47" i="26"/>
  <c r="EZ47" i="26"/>
  <c r="EW47" i="26"/>
  <c r="ET47" i="26"/>
  <c r="FI46" i="26"/>
  <c r="FF46" i="26"/>
  <c r="FC46" i="26"/>
  <c r="EZ46" i="26"/>
  <c r="EW46" i="26"/>
  <c r="ET46" i="26"/>
  <c r="FI45" i="26"/>
  <c r="FF45" i="26"/>
  <c r="FC45" i="26"/>
  <c r="EZ45" i="26"/>
  <c r="EW45" i="26"/>
  <c r="ET45" i="26"/>
  <c r="FI44" i="26"/>
  <c r="FF44" i="26"/>
  <c r="FC44" i="26"/>
  <c r="EZ44" i="26"/>
  <c r="EW44" i="26"/>
  <c r="ET44" i="26"/>
  <c r="FI41" i="26"/>
  <c r="FF41" i="26"/>
  <c r="FC41" i="26"/>
  <c r="EZ41" i="26"/>
  <c r="EW41" i="26"/>
  <c r="ET41" i="26"/>
  <c r="FI40" i="26"/>
  <c r="FF40" i="26"/>
  <c r="FC40" i="26"/>
  <c r="EZ40" i="26"/>
  <c r="EW40" i="26"/>
  <c r="ET40" i="26"/>
  <c r="FI39" i="26"/>
  <c r="FF39" i="26"/>
  <c r="FC39" i="26"/>
  <c r="EZ39" i="26"/>
  <c r="EW39" i="26"/>
  <c r="ET39" i="26"/>
  <c r="FI38" i="26"/>
  <c r="FF38" i="26"/>
  <c r="FC38" i="26"/>
  <c r="EZ38" i="26"/>
  <c r="EW38" i="26"/>
  <c r="ET38" i="26"/>
  <c r="FI37" i="26"/>
  <c r="FF37" i="26"/>
  <c r="FC37" i="26"/>
  <c r="EZ37" i="26"/>
  <c r="EW37" i="26"/>
  <c r="ET37" i="26"/>
  <c r="FI36" i="26"/>
  <c r="FF36" i="26"/>
  <c r="FC36" i="26"/>
  <c r="EZ36" i="26"/>
  <c r="EW36" i="26"/>
  <c r="ET36" i="26"/>
  <c r="FI35" i="26"/>
  <c r="FF35" i="26"/>
  <c r="FC35" i="26"/>
  <c r="EZ35" i="26"/>
  <c r="EW35" i="26"/>
  <c r="ET35" i="26"/>
  <c r="FI32" i="26"/>
  <c r="FF32" i="26"/>
  <c r="FC32" i="26"/>
  <c r="EZ32" i="26"/>
  <c r="EW32" i="26"/>
  <c r="ET32" i="26"/>
  <c r="FI31" i="26"/>
  <c r="FF31" i="26"/>
  <c r="FC31" i="26"/>
  <c r="EZ31" i="26"/>
  <c r="EW31" i="26"/>
  <c r="ET31" i="26"/>
  <c r="FI30" i="26"/>
  <c r="FF30" i="26"/>
  <c r="FC30" i="26"/>
  <c r="EZ30" i="26"/>
  <c r="EW30" i="26"/>
  <c r="ET30" i="26"/>
  <c r="FI29" i="26"/>
  <c r="FF29" i="26"/>
  <c r="FC29" i="26"/>
  <c r="EZ29" i="26"/>
  <c r="EW29" i="26"/>
  <c r="ET29" i="26"/>
  <c r="FI28" i="26"/>
  <c r="FF28" i="26"/>
  <c r="FC28" i="26"/>
  <c r="EZ28" i="26"/>
  <c r="EW28" i="26"/>
  <c r="ET28" i="26"/>
  <c r="FI27" i="26"/>
  <c r="FF27" i="26"/>
  <c r="FC27" i="26"/>
  <c r="EZ27" i="26"/>
  <c r="EW27" i="26"/>
  <c r="ET27" i="26"/>
  <c r="FI26" i="26"/>
  <c r="FF26" i="26"/>
  <c r="FC26" i="26"/>
  <c r="EZ26" i="26"/>
  <c r="EW26" i="26"/>
  <c r="ET26" i="26"/>
  <c r="FI23" i="26"/>
  <c r="FF23" i="26"/>
  <c r="FC23" i="26"/>
  <c r="EZ23" i="26"/>
  <c r="EW23" i="26"/>
  <c r="ET23" i="26"/>
  <c r="FI22" i="26"/>
  <c r="FF22" i="26"/>
  <c r="FC22" i="26"/>
  <c r="EZ22" i="26"/>
  <c r="EW22" i="26"/>
  <c r="ET22" i="26"/>
  <c r="FI21" i="26"/>
  <c r="FF21" i="26"/>
  <c r="FC21" i="26"/>
  <c r="EZ21" i="26"/>
  <c r="EW21" i="26"/>
  <c r="ET21" i="26"/>
  <c r="FI20" i="26"/>
  <c r="FF20" i="26"/>
  <c r="FC20" i="26"/>
  <c r="EZ20" i="26"/>
  <c r="EW20" i="26"/>
  <c r="ET20" i="26"/>
  <c r="FI19" i="26"/>
  <c r="FF19" i="26"/>
  <c r="FC19" i="26"/>
  <c r="EZ19" i="26"/>
  <c r="EW19" i="26"/>
  <c r="ET19" i="26"/>
  <c r="FI18" i="26"/>
  <c r="FF18" i="26"/>
  <c r="FC18" i="26"/>
  <c r="EZ18" i="26"/>
  <c r="EW18" i="26"/>
  <c r="ET18" i="26"/>
  <c r="FI17" i="26"/>
  <c r="FF17" i="26"/>
  <c r="FC17" i="26"/>
  <c r="EZ17" i="26"/>
  <c r="EW17" i="26"/>
  <c r="ET17" i="26"/>
  <c r="CU59" i="26"/>
  <c r="CR59" i="26"/>
  <c r="CU58" i="26"/>
  <c r="CR58" i="26"/>
  <c r="CU57" i="26"/>
  <c r="CR57" i="26"/>
  <c r="CU56" i="26"/>
  <c r="CR56" i="26"/>
  <c r="CU55" i="26"/>
  <c r="CR55" i="26"/>
  <c r="CU54" i="26"/>
  <c r="CR54" i="26"/>
  <c r="CR53" i="26"/>
  <c r="DG50" i="26"/>
  <c r="DD50" i="26"/>
  <c r="DA50" i="26"/>
  <c r="CX50" i="26"/>
  <c r="CU50" i="26"/>
  <c r="CR50" i="26"/>
  <c r="DG49" i="26"/>
  <c r="DD49" i="26"/>
  <c r="DA49" i="26"/>
  <c r="CX49" i="26"/>
  <c r="CU49" i="26"/>
  <c r="CR49" i="26"/>
  <c r="DG48" i="26"/>
  <c r="DD48" i="26"/>
  <c r="DA48" i="26"/>
  <c r="CX48" i="26"/>
  <c r="CU48" i="26"/>
  <c r="CR48" i="26"/>
  <c r="DG47" i="26"/>
  <c r="DD47" i="26"/>
  <c r="DA47" i="26"/>
  <c r="CX47" i="26"/>
  <c r="CU47" i="26"/>
  <c r="CR47" i="26"/>
  <c r="DG46" i="26"/>
  <c r="DD46" i="26"/>
  <c r="DA46" i="26"/>
  <c r="CX46" i="26"/>
  <c r="CU46" i="26"/>
  <c r="CR46" i="26"/>
  <c r="DG45" i="26"/>
  <c r="DD45" i="26"/>
  <c r="DA45" i="26"/>
  <c r="CX45" i="26"/>
  <c r="CU45" i="26"/>
  <c r="CR45" i="26"/>
  <c r="DG44" i="26"/>
  <c r="DD44" i="26"/>
  <c r="DA44" i="26"/>
  <c r="CX44" i="26"/>
  <c r="CU44" i="26"/>
  <c r="CR44" i="26"/>
  <c r="DG41" i="26"/>
  <c r="DD41" i="26"/>
  <c r="DA41" i="26"/>
  <c r="CX41" i="26"/>
  <c r="CU41" i="26"/>
  <c r="CR41" i="26"/>
  <c r="DG40" i="26"/>
  <c r="DD40" i="26"/>
  <c r="DA40" i="26"/>
  <c r="CX40" i="26"/>
  <c r="CU40" i="26"/>
  <c r="CR40" i="26"/>
  <c r="DG39" i="26"/>
  <c r="DD39" i="26"/>
  <c r="DA39" i="26"/>
  <c r="CX39" i="26"/>
  <c r="CU39" i="26"/>
  <c r="CR39" i="26"/>
  <c r="DG38" i="26"/>
  <c r="DD38" i="26"/>
  <c r="DA38" i="26"/>
  <c r="CX38" i="26"/>
  <c r="CU38" i="26"/>
  <c r="CR38" i="26"/>
  <c r="DG37" i="26"/>
  <c r="DD37" i="26"/>
  <c r="DA37" i="26"/>
  <c r="CX37" i="26"/>
  <c r="CU37" i="26"/>
  <c r="CR37" i="26"/>
  <c r="DG36" i="26"/>
  <c r="DD36" i="26"/>
  <c r="DA36" i="26"/>
  <c r="CX36" i="26"/>
  <c r="CU36" i="26"/>
  <c r="CR36" i="26"/>
  <c r="DG35" i="26"/>
  <c r="DD35" i="26"/>
  <c r="DA35" i="26"/>
  <c r="CX35" i="26"/>
  <c r="CU35" i="26"/>
  <c r="CR35" i="26"/>
  <c r="DG32" i="26"/>
  <c r="DD32" i="26"/>
  <c r="DA32" i="26"/>
  <c r="CX32" i="26"/>
  <c r="CU32" i="26"/>
  <c r="CR32" i="26"/>
  <c r="DG31" i="26"/>
  <c r="DD31" i="26"/>
  <c r="DA31" i="26"/>
  <c r="CX31" i="26"/>
  <c r="CU31" i="26"/>
  <c r="CR31" i="26"/>
  <c r="DG30" i="26"/>
  <c r="DD30" i="26"/>
  <c r="DA30" i="26"/>
  <c r="CX30" i="26"/>
  <c r="CU30" i="26"/>
  <c r="CR30" i="26"/>
  <c r="DG29" i="26"/>
  <c r="DD29" i="26"/>
  <c r="DA29" i="26"/>
  <c r="CX29" i="26"/>
  <c r="CU29" i="26"/>
  <c r="CR29" i="26"/>
  <c r="DG28" i="26"/>
  <c r="DD28" i="26"/>
  <c r="DA28" i="26"/>
  <c r="CX28" i="26"/>
  <c r="CU28" i="26"/>
  <c r="CR28" i="26"/>
  <c r="DG27" i="26"/>
  <c r="DD27" i="26"/>
  <c r="DA27" i="26"/>
  <c r="CX27" i="26"/>
  <c r="CU27" i="26"/>
  <c r="CR27" i="26"/>
  <c r="DG26" i="26"/>
  <c r="DD26" i="26"/>
  <c r="DA26" i="26"/>
  <c r="CX26" i="26"/>
  <c r="CU26" i="26"/>
  <c r="CR26" i="26"/>
  <c r="DG23" i="26"/>
  <c r="DD23" i="26"/>
  <c r="DA23" i="26"/>
  <c r="CX23" i="26"/>
  <c r="CU23" i="26"/>
  <c r="CR23" i="26"/>
  <c r="DG22" i="26"/>
  <c r="DD22" i="26"/>
  <c r="DA22" i="26"/>
  <c r="CX22" i="26"/>
  <c r="CU22" i="26"/>
  <c r="CR22" i="26"/>
  <c r="DG21" i="26"/>
  <c r="DD21" i="26"/>
  <c r="DA21" i="26"/>
  <c r="CX21" i="26"/>
  <c r="CU21" i="26"/>
  <c r="CR21" i="26"/>
  <c r="DG20" i="26"/>
  <c r="DD20" i="26"/>
  <c r="DA20" i="26"/>
  <c r="CX20" i="26"/>
  <c r="CU20" i="26"/>
  <c r="CR20" i="26"/>
  <c r="DG19" i="26"/>
  <c r="DD19" i="26"/>
  <c r="DA19" i="26"/>
  <c r="CX19" i="26"/>
  <c r="CU19" i="26"/>
  <c r="CR19" i="26"/>
  <c r="DG18" i="26"/>
  <c r="DD18" i="26"/>
  <c r="DA18" i="26"/>
  <c r="CX18" i="26"/>
  <c r="CU18" i="26"/>
  <c r="CR18" i="26"/>
  <c r="DG17" i="26"/>
  <c r="DD17" i="26"/>
  <c r="DA17" i="26"/>
  <c r="CX17" i="26"/>
  <c r="CU17" i="26"/>
  <c r="CR17" i="26"/>
  <c r="AS59" i="26"/>
  <c r="AS58" i="26"/>
  <c r="AS57" i="26"/>
  <c r="AS56" i="26"/>
  <c r="AS55" i="26"/>
  <c r="AP59" i="26"/>
  <c r="AP58" i="26"/>
  <c r="AP57" i="26"/>
  <c r="AP56" i="26"/>
  <c r="AP55" i="26"/>
  <c r="AP54" i="26"/>
  <c r="AP53" i="26"/>
  <c r="BE50" i="26"/>
  <c r="BE49" i="26"/>
  <c r="BE48" i="26"/>
  <c r="BE47" i="26"/>
  <c r="BE46" i="26"/>
  <c r="BE45" i="26"/>
  <c r="BE44" i="26"/>
  <c r="BB50" i="26"/>
  <c r="BB49" i="26"/>
  <c r="BB48" i="26"/>
  <c r="BB47" i="26"/>
  <c r="BB46" i="26"/>
  <c r="BB45" i="26"/>
  <c r="BB44" i="26"/>
  <c r="AY50" i="26"/>
  <c r="AY49" i="26"/>
  <c r="AY48" i="26"/>
  <c r="AY47" i="26"/>
  <c r="AY46" i="26"/>
  <c r="AY45" i="26"/>
  <c r="AY44" i="26"/>
  <c r="AV50" i="26"/>
  <c r="AV49" i="26"/>
  <c r="AV48" i="26"/>
  <c r="AV47" i="26"/>
  <c r="AV46" i="26"/>
  <c r="AV45" i="26"/>
  <c r="AV44" i="26"/>
  <c r="AS44" i="26"/>
  <c r="AS50" i="26"/>
  <c r="AS49" i="26"/>
  <c r="AS48" i="26"/>
  <c r="AS47" i="26"/>
  <c r="AS46" i="26"/>
  <c r="AS45" i="26"/>
  <c r="AP50" i="26"/>
  <c r="AP49" i="26"/>
  <c r="AP48" i="26"/>
  <c r="AP47" i="26"/>
  <c r="AP46" i="26"/>
  <c r="AP45" i="26"/>
  <c r="AP44" i="26"/>
  <c r="BE41" i="26"/>
  <c r="BE40" i="26"/>
  <c r="BE39" i="26"/>
  <c r="BE38" i="26"/>
  <c r="BE37" i="26"/>
  <c r="BE36" i="26"/>
  <c r="BE35" i="26"/>
  <c r="BB41" i="26"/>
  <c r="BB40" i="26"/>
  <c r="BB39" i="26"/>
  <c r="BB38" i="26"/>
  <c r="BB37" i="26"/>
  <c r="BB36" i="26"/>
  <c r="BB35" i="26"/>
  <c r="AY41" i="26"/>
  <c r="AY40" i="26"/>
  <c r="AY39" i="26"/>
  <c r="AY38" i="26"/>
  <c r="AY37" i="26"/>
  <c r="AY36" i="26"/>
  <c r="AY35" i="26"/>
  <c r="AV41" i="26"/>
  <c r="AV40" i="26"/>
  <c r="AV39" i="26"/>
  <c r="AV38" i="26"/>
  <c r="AV37" i="26"/>
  <c r="AV36" i="26"/>
  <c r="AV35" i="26"/>
  <c r="AS41" i="26"/>
  <c r="AS40" i="26"/>
  <c r="AS39" i="26"/>
  <c r="AS38" i="26"/>
  <c r="AS37" i="26"/>
  <c r="AS36" i="26"/>
  <c r="AS35" i="26"/>
  <c r="AP41" i="26"/>
  <c r="AP40" i="26"/>
  <c r="AP39" i="26"/>
  <c r="AP38" i="26"/>
  <c r="AP37" i="26"/>
  <c r="AP36" i="26"/>
  <c r="AP35" i="26"/>
  <c r="BE32" i="26"/>
  <c r="BE31" i="26"/>
  <c r="BE30" i="26"/>
  <c r="BE29" i="26"/>
  <c r="BE28" i="26"/>
  <c r="BE27" i="26"/>
  <c r="BE26" i="26"/>
  <c r="BB32" i="26"/>
  <c r="BB31" i="26"/>
  <c r="BB30" i="26"/>
  <c r="BB29" i="26"/>
  <c r="BB28" i="26"/>
  <c r="BB27" i="26"/>
  <c r="BB26" i="26"/>
  <c r="AY32" i="26"/>
  <c r="AY31" i="26"/>
  <c r="AY30" i="26"/>
  <c r="AY29" i="26"/>
  <c r="AY28" i="26"/>
  <c r="AY27" i="26"/>
  <c r="AY26" i="26"/>
  <c r="AV32" i="26"/>
  <c r="AV31" i="26"/>
  <c r="AV30" i="26"/>
  <c r="AV29" i="26"/>
  <c r="AV28" i="26"/>
  <c r="AV27" i="26"/>
  <c r="AV26" i="26"/>
  <c r="AS32" i="26"/>
  <c r="AS31" i="26"/>
  <c r="AS30" i="26"/>
  <c r="AS29" i="26"/>
  <c r="AS28" i="26"/>
  <c r="AS27" i="26"/>
  <c r="AS26" i="26"/>
  <c r="AP32" i="26"/>
  <c r="AP31" i="26"/>
  <c r="AP30" i="26"/>
  <c r="AP29" i="26"/>
  <c r="AP28" i="26"/>
  <c r="AP27" i="26"/>
  <c r="AP26" i="26"/>
  <c r="BE23" i="26"/>
  <c r="BE22" i="26"/>
  <c r="BE21" i="26"/>
  <c r="BE20" i="26"/>
  <c r="BE19" i="26"/>
  <c r="BE18" i="26"/>
  <c r="BE17" i="26"/>
  <c r="BB23" i="26"/>
  <c r="BB22" i="26"/>
  <c r="BB21" i="26"/>
  <c r="BB20" i="26"/>
  <c r="BB19" i="26"/>
  <c r="BB18" i="26"/>
  <c r="BB17" i="26"/>
  <c r="AY23" i="26"/>
  <c r="AY22" i="26"/>
  <c r="AY21" i="26"/>
  <c r="AY20" i="26"/>
  <c r="AY19" i="26"/>
  <c r="AY18" i="26"/>
  <c r="AY17" i="26"/>
  <c r="AV23" i="26"/>
  <c r="AV22" i="26"/>
  <c r="AV21" i="26"/>
  <c r="AV20" i="26"/>
  <c r="AV19" i="26"/>
  <c r="AV18" i="26"/>
  <c r="AV17" i="26"/>
  <c r="AS23" i="26"/>
  <c r="AS22" i="26"/>
  <c r="AS21" i="26"/>
  <c r="AS20" i="26"/>
  <c r="AS19" i="26"/>
  <c r="AS18" i="26"/>
  <c r="AS17" i="26"/>
  <c r="AP23" i="26"/>
  <c r="AP22" i="26"/>
  <c r="AP21" i="26"/>
  <c r="AP20" i="26"/>
  <c r="AP19" i="26"/>
  <c r="AP18" i="26"/>
  <c r="AP17" i="26"/>
  <c r="CU101" i="104"/>
  <c r="CT101" i="104"/>
  <c r="CS101" i="104"/>
  <c r="CR101" i="104"/>
  <c r="CQ101" i="104"/>
  <c r="CP101" i="104"/>
  <c r="CN101" i="104"/>
  <c r="CM101" i="104"/>
  <c r="H101" i="104"/>
  <c r="CU100" i="104"/>
  <c r="CT100" i="104"/>
  <c r="CS100" i="104"/>
  <c r="CR100" i="104"/>
  <c r="CQ100" i="104"/>
  <c r="CP100" i="104"/>
  <c r="CN100" i="104"/>
  <c r="CM100" i="104"/>
  <c r="H100" i="104"/>
  <c r="CW99" i="104"/>
  <c r="CU99" i="104"/>
  <c r="CT99" i="104"/>
  <c r="CS99" i="104"/>
  <c r="CR99" i="104"/>
  <c r="CQ99" i="104"/>
  <c r="CP99" i="104"/>
  <c r="CN99" i="104"/>
  <c r="CM99" i="104"/>
  <c r="H99" i="104"/>
  <c r="CW98" i="104"/>
  <c r="CU98" i="104"/>
  <c r="CT98" i="104"/>
  <c r="CS98" i="104"/>
  <c r="CR98" i="104"/>
  <c r="CQ98" i="104"/>
  <c r="CP98" i="104"/>
  <c r="CN98" i="104"/>
  <c r="CM98" i="104"/>
  <c r="H98" i="104"/>
  <c r="CU97" i="104"/>
  <c r="CT97" i="104"/>
  <c r="CS97" i="104"/>
  <c r="CR97" i="104"/>
  <c r="CQ97" i="104"/>
  <c r="CP97" i="104"/>
  <c r="CN97" i="104"/>
  <c r="CM97" i="104"/>
  <c r="H97" i="104"/>
  <c r="CU96" i="104"/>
  <c r="CT96" i="104"/>
  <c r="CS96" i="104"/>
  <c r="CR96" i="104"/>
  <c r="CQ96" i="104"/>
  <c r="CP96" i="104"/>
  <c r="CN96" i="104"/>
  <c r="CM96" i="104"/>
  <c r="H96" i="104"/>
  <c r="CU95" i="104"/>
  <c r="CT95" i="104"/>
  <c r="CS95" i="104"/>
  <c r="CR95" i="104"/>
  <c r="CQ95" i="104"/>
  <c r="CP95" i="104"/>
  <c r="CN95" i="104"/>
  <c r="CM95" i="104"/>
  <c r="H95" i="104"/>
  <c r="CU94" i="104"/>
  <c r="CT94" i="104"/>
  <c r="CS94" i="104"/>
  <c r="CR94" i="104"/>
  <c r="CQ94" i="104"/>
  <c r="CP94" i="104"/>
  <c r="CN94" i="104"/>
  <c r="CM94" i="104"/>
  <c r="H94" i="104"/>
  <c r="CW93" i="104"/>
  <c r="CU93" i="104"/>
  <c r="CT93" i="104"/>
  <c r="CS93" i="104"/>
  <c r="CR93" i="104"/>
  <c r="CQ93" i="104"/>
  <c r="CP93" i="104"/>
  <c r="CN93" i="104"/>
  <c r="CM93" i="104"/>
  <c r="H93" i="104"/>
  <c r="CU92" i="104"/>
  <c r="CT92" i="104"/>
  <c r="CS92" i="104"/>
  <c r="CR92" i="104"/>
  <c r="CQ92" i="104"/>
  <c r="CP92" i="104"/>
  <c r="CN92" i="104"/>
  <c r="CM92" i="104"/>
  <c r="H92" i="104"/>
  <c r="CU91" i="104"/>
  <c r="CT91" i="104"/>
  <c r="CS91" i="104"/>
  <c r="CR91" i="104"/>
  <c r="CQ91" i="104"/>
  <c r="CP91" i="104"/>
  <c r="CN91" i="104"/>
  <c r="CM91" i="104"/>
  <c r="H91" i="104"/>
  <c r="CU90" i="104"/>
  <c r="CT90" i="104"/>
  <c r="CS90" i="104"/>
  <c r="CR90" i="104"/>
  <c r="CQ90" i="104"/>
  <c r="CP90" i="104"/>
  <c r="CN90" i="104"/>
  <c r="CM90" i="104"/>
  <c r="H90" i="104"/>
  <c r="CW89" i="104"/>
  <c r="CU89" i="104"/>
  <c r="CT89" i="104"/>
  <c r="CS89" i="104"/>
  <c r="CR89" i="104"/>
  <c r="CQ89" i="104"/>
  <c r="CP89" i="104"/>
  <c r="CN89" i="104"/>
  <c r="CM89" i="104"/>
  <c r="H89" i="104"/>
  <c r="CU88" i="104"/>
  <c r="CT88" i="104"/>
  <c r="CS88" i="104"/>
  <c r="CR88" i="104"/>
  <c r="CQ88" i="104"/>
  <c r="CP88" i="104"/>
  <c r="CN88" i="104"/>
  <c r="CM88" i="104"/>
  <c r="H88" i="104"/>
  <c r="CU87" i="104"/>
  <c r="CT87" i="104"/>
  <c r="CS87" i="104"/>
  <c r="CR87" i="104"/>
  <c r="CQ87" i="104"/>
  <c r="CP87" i="104"/>
  <c r="CN87" i="104"/>
  <c r="CM87" i="104"/>
  <c r="H87" i="104"/>
  <c r="CW86" i="104"/>
  <c r="CU86" i="104"/>
  <c r="CT86" i="104"/>
  <c r="CS86" i="104"/>
  <c r="CR86" i="104"/>
  <c r="CQ86" i="104"/>
  <c r="CP86" i="104"/>
  <c r="CN86" i="104"/>
  <c r="CM86" i="104"/>
  <c r="J86" i="104"/>
  <c r="CU85" i="104"/>
  <c r="CT85" i="104"/>
  <c r="CS85" i="104"/>
  <c r="CR85" i="104"/>
  <c r="CQ85" i="104"/>
  <c r="CP85" i="104"/>
  <c r="CN85" i="104"/>
  <c r="CM85" i="104"/>
  <c r="H85" i="104"/>
  <c r="CW84" i="104"/>
  <c r="CU84" i="104"/>
  <c r="CT84" i="104"/>
  <c r="CS84" i="104"/>
  <c r="CR84" i="104"/>
  <c r="CQ84" i="104"/>
  <c r="CP84" i="104"/>
  <c r="CN84" i="104"/>
  <c r="CM84" i="104"/>
  <c r="H84" i="104"/>
  <c r="CU83" i="104"/>
  <c r="CT83" i="104"/>
  <c r="CS83" i="104"/>
  <c r="CR83" i="104"/>
  <c r="CQ83" i="104"/>
  <c r="CP83" i="104"/>
  <c r="CN83" i="104"/>
  <c r="CM83" i="104"/>
  <c r="H83" i="104"/>
  <c r="CU82" i="104"/>
  <c r="CT82" i="104"/>
  <c r="CS82" i="104"/>
  <c r="CR82" i="104"/>
  <c r="CQ82" i="104"/>
  <c r="CP82" i="104"/>
  <c r="CN82" i="104"/>
  <c r="CM82" i="104"/>
  <c r="H82" i="104"/>
  <c r="CW81" i="104"/>
  <c r="CU81" i="104"/>
  <c r="CT81" i="104"/>
  <c r="CS81" i="104"/>
  <c r="CR81" i="104"/>
  <c r="CQ81" i="104"/>
  <c r="CP81" i="104"/>
  <c r="CN81" i="104"/>
  <c r="CM81" i="104"/>
  <c r="H81" i="104"/>
  <c r="CU80" i="104"/>
  <c r="CT80" i="104"/>
  <c r="CS80" i="104"/>
  <c r="CR80" i="104"/>
  <c r="CQ80" i="104"/>
  <c r="CP80" i="104"/>
  <c r="CN80" i="104"/>
  <c r="CM80" i="104"/>
  <c r="H80" i="104"/>
  <c r="CU79" i="104"/>
  <c r="CT79" i="104"/>
  <c r="CS79" i="104"/>
  <c r="CR79" i="104"/>
  <c r="CQ79" i="104"/>
  <c r="CP79" i="104"/>
  <c r="CN79" i="104"/>
  <c r="CM79" i="104"/>
  <c r="H79" i="104"/>
  <c r="CW78" i="104"/>
  <c r="CU78" i="104"/>
  <c r="CT78" i="104"/>
  <c r="CS78" i="104"/>
  <c r="CR78" i="104"/>
  <c r="CQ78" i="104"/>
  <c r="CP78" i="104"/>
  <c r="CN78" i="104"/>
  <c r="CM78" i="104"/>
  <c r="H78" i="104"/>
  <c r="CW77" i="104"/>
  <c r="CU77" i="104"/>
  <c r="CT77" i="104"/>
  <c r="CS77" i="104"/>
  <c r="CR77" i="104"/>
  <c r="CQ77" i="104"/>
  <c r="CP77" i="104"/>
  <c r="CN77" i="104"/>
  <c r="CM77" i="104"/>
  <c r="H77" i="104"/>
  <c r="CU76" i="104"/>
  <c r="CT76" i="104"/>
  <c r="CS76" i="104"/>
  <c r="CR76" i="104"/>
  <c r="CQ76" i="104"/>
  <c r="CP76" i="104"/>
  <c r="CN76" i="104"/>
  <c r="CM76" i="104"/>
  <c r="H76" i="104"/>
  <c r="CW75" i="104"/>
  <c r="CU75" i="104"/>
  <c r="CT75" i="104"/>
  <c r="CS75" i="104"/>
  <c r="CR75" i="104"/>
  <c r="CQ75" i="104"/>
  <c r="CP75" i="104"/>
  <c r="CN75" i="104"/>
  <c r="CM75" i="104"/>
  <c r="H75" i="104"/>
  <c r="CW74" i="104"/>
  <c r="CU74" i="104"/>
  <c r="CT74" i="104"/>
  <c r="CS74" i="104"/>
  <c r="CR74" i="104"/>
  <c r="CQ74" i="104"/>
  <c r="CP74" i="104"/>
  <c r="CN74" i="104"/>
  <c r="CM74" i="104"/>
  <c r="H74" i="104"/>
  <c r="CU73" i="104"/>
  <c r="CT73" i="104"/>
  <c r="CS73" i="104"/>
  <c r="CR73" i="104"/>
  <c r="CQ73" i="104"/>
  <c r="CP73" i="104"/>
  <c r="CN73" i="104"/>
  <c r="CM73" i="104"/>
  <c r="H73" i="104"/>
  <c r="J73" i="104" s="1"/>
  <c r="CU72" i="104"/>
  <c r="CT72" i="104"/>
  <c r="CS72" i="104"/>
  <c r="CR72" i="104"/>
  <c r="CQ72" i="104"/>
  <c r="CP72" i="104"/>
  <c r="CN72" i="104"/>
  <c r="CM72" i="104"/>
  <c r="H72" i="104"/>
  <c r="CU71" i="104"/>
  <c r="CT71" i="104"/>
  <c r="CS71" i="104"/>
  <c r="CR71" i="104"/>
  <c r="CQ71" i="104"/>
  <c r="CP71" i="104"/>
  <c r="CN71" i="104"/>
  <c r="CM71" i="104"/>
  <c r="H71" i="104"/>
  <c r="J71" i="104" s="1"/>
  <c r="CU70" i="104"/>
  <c r="CT70" i="104"/>
  <c r="CS70" i="104"/>
  <c r="CR70" i="104"/>
  <c r="CQ70" i="104"/>
  <c r="CP70" i="104"/>
  <c r="CN70" i="104"/>
  <c r="CM70" i="104"/>
  <c r="H70" i="104"/>
  <c r="CU69" i="104"/>
  <c r="CT69" i="104"/>
  <c r="CS69" i="104"/>
  <c r="CR69" i="104"/>
  <c r="CQ69" i="104"/>
  <c r="CP69" i="104"/>
  <c r="CN69" i="104"/>
  <c r="CM69" i="104"/>
  <c r="H69" i="104"/>
  <c r="J69" i="104" s="1"/>
  <c r="CU68" i="104"/>
  <c r="CT68" i="104"/>
  <c r="CS68" i="104"/>
  <c r="CR68" i="104"/>
  <c r="CQ68" i="104"/>
  <c r="CP68" i="104"/>
  <c r="CN68" i="104"/>
  <c r="CM68" i="104"/>
  <c r="H68" i="104"/>
  <c r="CU67" i="104"/>
  <c r="CT67" i="104"/>
  <c r="CS67" i="104"/>
  <c r="CR67" i="104"/>
  <c r="CQ67" i="104"/>
  <c r="CP67" i="104"/>
  <c r="CN67" i="104"/>
  <c r="CM67" i="104"/>
  <c r="H67" i="104"/>
  <c r="CU66" i="104"/>
  <c r="CT66" i="104"/>
  <c r="CS66" i="104"/>
  <c r="CR66" i="104"/>
  <c r="CQ66" i="104"/>
  <c r="CP66" i="104"/>
  <c r="CN66" i="104"/>
  <c r="CM66" i="104"/>
  <c r="H66" i="104"/>
  <c r="CU65" i="104"/>
  <c r="CT65" i="104"/>
  <c r="CS65" i="104"/>
  <c r="CR65" i="104"/>
  <c r="CQ65" i="104"/>
  <c r="CP65" i="104"/>
  <c r="CN65" i="104"/>
  <c r="CM65" i="104"/>
  <c r="H65" i="104"/>
  <c r="CU64" i="104"/>
  <c r="CT64" i="104"/>
  <c r="CS64" i="104"/>
  <c r="CR64" i="104"/>
  <c r="CQ64" i="104"/>
  <c r="CP64" i="104"/>
  <c r="CN64" i="104"/>
  <c r="CM64" i="104"/>
  <c r="H64" i="104"/>
  <c r="CU63" i="104"/>
  <c r="CT63" i="104"/>
  <c r="CS63" i="104"/>
  <c r="CR63" i="104"/>
  <c r="CQ63" i="104"/>
  <c r="CP63" i="104"/>
  <c r="CN63" i="104"/>
  <c r="CM63" i="104"/>
  <c r="H63" i="104"/>
  <c r="CU62" i="104"/>
  <c r="CT62" i="104"/>
  <c r="CS62" i="104"/>
  <c r="CR62" i="104"/>
  <c r="CQ62" i="104"/>
  <c r="CP62" i="104"/>
  <c r="CN62" i="104"/>
  <c r="CM62" i="104"/>
  <c r="H62" i="104"/>
  <c r="CU61" i="104"/>
  <c r="CT61" i="104"/>
  <c r="CS61" i="104"/>
  <c r="CR61" i="104"/>
  <c r="CQ61" i="104"/>
  <c r="CP61" i="104"/>
  <c r="CN61" i="104"/>
  <c r="CM61" i="104"/>
  <c r="H61" i="104"/>
  <c r="CU60" i="104"/>
  <c r="CT60" i="104"/>
  <c r="CS60" i="104"/>
  <c r="CR60" i="104"/>
  <c r="CQ60" i="104"/>
  <c r="CP60" i="104"/>
  <c r="CN60" i="104"/>
  <c r="CM60" i="104"/>
  <c r="H60" i="104"/>
  <c r="CW59" i="104"/>
  <c r="CU59" i="104"/>
  <c r="CT59" i="104"/>
  <c r="CS59" i="104"/>
  <c r="CR59" i="104"/>
  <c r="CQ59" i="104"/>
  <c r="CP59" i="104"/>
  <c r="CN59" i="104"/>
  <c r="CM59" i="104"/>
  <c r="H59" i="104"/>
  <c r="CU58" i="104"/>
  <c r="CT58" i="104"/>
  <c r="CS58" i="104"/>
  <c r="CR58" i="104"/>
  <c r="CQ58" i="104"/>
  <c r="CP58" i="104"/>
  <c r="CN58" i="104"/>
  <c r="CM58" i="104"/>
  <c r="H58" i="104"/>
  <c r="J58" i="104" s="1"/>
  <c r="CW57" i="104"/>
  <c r="CU57" i="104"/>
  <c r="CT57" i="104"/>
  <c r="CS57" i="104"/>
  <c r="CR57" i="104"/>
  <c r="CQ57" i="104"/>
  <c r="CP57" i="104"/>
  <c r="CN57" i="104"/>
  <c r="CM57" i="104"/>
  <c r="H57" i="104"/>
  <c r="CU56" i="104"/>
  <c r="CT56" i="104"/>
  <c r="CS56" i="104"/>
  <c r="CR56" i="104"/>
  <c r="CQ56" i="104"/>
  <c r="CP56" i="104"/>
  <c r="CN56" i="104"/>
  <c r="CM56" i="104"/>
  <c r="H56" i="104"/>
  <c r="J56" i="104" s="1"/>
  <c r="K56" i="104" s="1"/>
  <c r="CU55" i="104"/>
  <c r="CT55" i="104"/>
  <c r="CS55" i="104"/>
  <c r="CR55" i="104"/>
  <c r="CQ55" i="104"/>
  <c r="CP55" i="104"/>
  <c r="CN55" i="104"/>
  <c r="CM55" i="104"/>
  <c r="H55" i="104"/>
  <c r="CU54" i="104"/>
  <c r="CT54" i="104"/>
  <c r="CS54" i="104"/>
  <c r="CR54" i="104"/>
  <c r="CQ54" i="104"/>
  <c r="CP54" i="104"/>
  <c r="CN54" i="104"/>
  <c r="CM54" i="104"/>
  <c r="H54" i="104"/>
  <c r="J54" i="104" s="1"/>
  <c r="CU53" i="104"/>
  <c r="CT53" i="104"/>
  <c r="CS53" i="104"/>
  <c r="CR53" i="104"/>
  <c r="CQ53" i="104"/>
  <c r="CP53" i="104"/>
  <c r="CN53" i="104"/>
  <c r="CM53" i="104"/>
  <c r="H53" i="104"/>
  <c r="CW52" i="104"/>
  <c r="CU52" i="104"/>
  <c r="CT52" i="104"/>
  <c r="CS52" i="104"/>
  <c r="CR52" i="104"/>
  <c r="CQ52" i="104"/>
  <c r="CP52" i="104"/>
  <c r="CN52" i="104"/>
  <c r="CM52" i="104"/>
  <c r="H52" i="104"/>
  <c r="CU51" i="104"/>
  <c r="CT51" i="104"/>
  <c r="CS51" i="104"/>
  <c r="CR51" i="104"/>
  <c r="CQ51" i="104"/>
  <c r="CP51" i="104"/>
  <c r="CN51" i="104"/>
  <c r="CM51" i="104"/>
  <c r="H51" i="104"/>
  <c r="CU50" i="104"/>
  <c r="CT50" i="104"/>
  <c r="CS50" i="104"/>
  <c r="CR50" i="104"/>
  <c r="CQ50" i="104"/>
  <c r="CP50" i="104"/>
  <c r="CN50" i="104"/>
  <c r="CM50" i="104"/>
  <c r="H50" i="104"/>
  <c r="CU49" i="104"/>
  <c r="CT49" i="104"/>
  <c r="CS49" i="104"/>
  <c r="CR49" i="104"/>
  <c r="CQ49" i="104"/>
  <c r="CP49" i="104"/>
  <c r="CN49" i="104"/>
  <c r="CM49" i="104"/>
  <c r="H49" i="104"/>
  <c r="CU48" i="104"/>
  <c r="CT48" i="104"/>
  <c r="CS48" i="104"/>
  <c r="CR48" i="104"/>
  <c r="CQ48" i="104"/>
  <c r="CP48" i="104"/>
  <c r="CN48" i="104"/>
  <c r="CM48" i="104"/>
  <c r="H48" i="104"/>
  <c r="CU47" i="104"/>
  <c r="CT47" i="104"/>
  <c r="CS47" i="104"/>
  <c r="CR47" i="104"/>
  <c r="CQ47" i="104"/>
  <c r="CP47" i="104"/>
  <c r="CN47" i="104"/>
  <c r="CM47" i="104"/>
  <c r="H47" i="104"/>
  <c r="J47" i="104" s="1"/>
  <c r="CU46" i="104"/>
  <c r="CT46" i="104"/>
  <c r="CS46" i="104"/>
  <c r="CR46" i="104"/>
  <c r="CQ46" i="104"/>
  <c r="CP46" i="104"/>
  <c r="CN46" i="104"/>
  <c r="CM46" i="104"/>
  <c r="H46" i="104"/>
  <c r="CU45" i="104"/>
  <c r="CT45" i="104"/>
  <c r="CS45" i="104"/>
  <c r="CR45" i="104"/>
  <c r="CQ45" i="104"/>
  <c r="CP45" i="104"/>
  <c r="CN45" i="104"/>
  <c r="CM45" i="104"/>
  <c r="H45" i="104"/>
  <c r="J45" i="104" s="1"/>
  <c r="CW44" i="104"/>
  <c r="CU44" i="104"/>
  <c r="CT44" i="104"/>
  <c r="CS44" i="104"/>
  <c r="CR44" i="104"/>
  <c r="CQ44" i="104"/>
  <c r="CP44" i="104"/>
  <c r="CN44" i="104"/>
  <c r="CM44" i="104"/>
  <c r="H44" i="104"/>
  <c r="J44" i="104" s="1"/>
  <c r="CW43" i="104"/>
  <c r="CU43" i="104"/>
  <c r="CT43" i="104"/>
  <c r="CS43" i="104"/>
  <c r="CR43" i="104"/>
  <c r="CQ43" i="104"/>
  <c r="CP43" i="104"/>
  <c r="CN43" i="104"/>
  <c r="CM43" i="104"/>
  <c r="H43" i="104"/>
  <c r="CU42" i="104"/>
  <c r="CT42" i="104"/>
  <c r="CS42" i="104"/>
  <c r="CR42" i="104"/>
  <c r="CQ42" i="104"/>
  <c r="CP42" i="104"/>
  <c r="CN42" i="104"/>
  <c r="CM42" i="104"/>
  <c r="H42" i="104"/>
  <c r="CU41" i="104"/>
  <c r="CT41" i="104"/>
  <c r="CS41" i="104"/>
  <c r="CR41" i="104"/>
  <c r="CQ41" i="104"/>
  <c r="CP41" i="104"/>
  <c r="CN41" i="104"/>
  <c r="CM41" i="104"/>
  <c r="H41" i="104"/>
  <c r="CU40" i="104"/>
  <c r="CT40" i="104"/>
  <c r="CS40" i="104"/>
  <c r="CR40" i="104"/>
  <c r="CQ40" i="104"/>
  <c r="CP40" i="104"/>
  <c r="CN40" i="104"/>
  <c r="CM40" i="104"/>
  <c r="H40" i="104"/>
  <c r="J40" i="104" s="1"/>
  <c r="CU39" i="104"/>
  <c r="CT39" i="104"/>
  <c r="CS39" i="104"/>
  <c r="CR39" i="104"/>
  <c r="CQ39" i="104"/>
  <c r="CP39" i="104"/>
  <c r="CN39" i="104"/>
  <c r="CM39" i="104"/>
  <c r="H39" i="104"/>
  <c r="CU38" i="104"/>
  <c r="CT38" i="104"/>
  <c r="CS38" i="104"/>
  <c r="CR38" i="104"/>
  <c r="CQ38" i="104"/>
  <c r="CP38" i="104"/>
  <c r="CN38" i="104"/>
  <c r="CM38" i="104"/>
  <c r="H38" i="104"/>
  <c r="J38" i="104" s="1"/>
  <c r="CU37" i="104"/>
  <c r="CT37" i="104"/>
  <c r="CS37" i="104"/>
  <c r="CR37" i="104"/>
  <c r="CQ37" i="104"/>
  <c r="CP37" i="104"/>
  <c r="CN37" i="104"/>
  <c r="CM37" i="104"/>
  <c r="H37" i="104"/>
  <c r="CU36" i="104"/>
  <c r="CT36" i="104"/>
  <c r="CS36" i="104"/>
  <c r="CR36" i="104"/>
  <c r="CQ36" i="104"/>
  <c r="CP36" i="104"/>
  <c r="CN36" i="104"/>
  <c r="CM36" i="104"/>
  <c r="H36" i="104"/>
  <c r="J36" i="104" s="1"/>
  <c r="CU35" i="104"/>
  <c r="CT35" i="104"/>
  <c r="CS35" i="104"/>
  <c r="CR35" i="104"/>
  <c r="CQ35" i="104"/>
  <c r="CP35" i="104"/>
  <c r="CN35" i="104"/>
  <c r="CM35" i="104"/>
  <c r="H35" i="104"/>
  <c r="CU34" i="104"/>
  <c r="CT34" i="104"/>
  <c r="CS34" i="104"/>
  <c r="CR34" i="104"/>
  <c r="CQ34" i="104"/>
  <c r="CP34" i="104"/>
  <c r="CN34" i="104"/>
  <c r="CM34" i="104"/>
  <c r="H34" i="104"/>
  <c r="J34" i="104" s="1"/>
  <c r="CU33" i="104"/>
  <c r="CT33" i="104"/>
  <c r="CS33" i="104"/>
  <c r="CR33" i="104"/>
  <c r="CQ33" i="104"/>
  <c r="CP33" i="104"/>
  <c r="CN33" i="104"/>
  <c r="CM33" i="104"/>
  <c r="H33" i="104"/>
  <c r="CW32" i="104"/>
  <c r="CU32" i="104"/>
  <c r="CT32" i="104"/>
  <c r="CS32" i="104"/>
  <c r="CR32" i="104"/>
  <c r="CQ32" i="104"/>
  <c r="CP32" i="104"/>
  <c r="CN32" i="104"/>
  <c r="CM32" i="104"/>
  <c r="H32" i="104"/>
  <c r="J32" i="104" s="1"/>
  <c r="CW31" i="104"/>
  <c r="CU31" i="104"/>
  <c r="CT31" i="104"/>
  <c r="CS31" i="104"/>
  <c r="CR31" i="104"/>
  <c r="CQ31" i="104"/>
  <c r="CP31" i="104"/>
  <c r="CN31" i="104"/>
  <c r="CM31" i="104"/>
  <c r="H31" i="104"/>
  <c r="J31" i="104" s="1"/>
  <c r="CW30" i="104"/>
  <c r="CU30" i="104"/>
  <c r="CT30" i="104"/>
  <c r="CS30" i="104"/>
  <c r="CR30" i="104"/>
  <c r="CQ30" i="104"/>
  <c r="CP30" i="104"/>
  <c r="CN30" i="104"/>
  <c r="CM30" i="104"/>
  <c r="H30" i="104"/>
  <c r="J30" i="104" s="1"/>
  <c r="CU29" i="104"/>
  <c r="CT29" i="104"/>
  <c r="CS29" i="104"/>
  <c r="CR29" i="104"/>
  <c r="CQ29" i="104"/>
  <c r="CP29" i="104"/>
  <c r="CN29" i="104"/>
  <c r="CM29" i="104"/>
  <c r="H29" i="104"/>
  <c r="J29" i="104" s="1"/>
  <c r="K29" i="104" s="1"/>
  <c r="L29" i="104" s="1"/>
  <c r="CU28" i="104"/>
  <c r="CT28" i="104"/>
  <c r="CS28" i="104"/>
  <c r="CR28" i="104"/>
  <c r="CQ28" i="104"/>
  <c r="CP28" i="104"/>
  <c r="CN28" i="104"/>
  <c r="CM28" i="104"/>
  <c r="H28" i="104"/>
  <c r="J28" i="104" s="1"/>
  <c r="CW27" i="104"/>
  <c r="CU27" i="104"/>
  <c r="CT27" i="104"/>
  <c r="CS27" i="104"/>
  <c r="CR27" i="104"/>
  <c r="CQ27" i="104"/>
  <c r="CP27" i="104"/>
  <c r="CN27" i="104"/>
  <c r="CM27" i="104"/>
  <c r="H27" i="104"/>
  <c r="CU26" i="104"/>
  <c r="CT26" i="104"/>
  <c r="CS26" i="104"/>
  <c r="CR26" i="104"/>
  <c r="CQ26" i="104"/>
  <c r="CP26" i="104"/>
  <c r="CN26" i="104"/>
  <c r="CM26" i="104"/>
  <c r="H26" i="104"/>
  <c r="J26" i="104" s="1"/>
  <c r="CU25" i="104"/>
  <c r="CT25" i="104"/>
  <c r="CS25" i="104"/>
  <c r="CR25" i="104"/>
  <c r="CQ25" i="104"/>
  <c r="CP25" i="104"/>
  <c r="CN25" i="104"/>
  <c r="CM25" i="104"/>
  <c r="H25" i="104"/>
  <c r="CU24" i="104"/>
  <c r="CT24" i="104"/>
  <c r="CS24" i="104"/>
  <c r="CR24" i="104"/>
  <c r="CQ24" i="104"/>
  <c r="CP24" i="104"/>
  <c r="CN24" i="104"/>
  <c r="CM24" i="104"/>
  <c r="H24" i="104"/>
  <c r="CU23" i="104"/>
  <c r="CT23" i="104"/>
  <c r="CS23" i="104"/>
  <c r="CR23" i="104"/>
  <c r="CQ23" i="104"/>
  <c r="CP23" i="104"/>
  <c r="CN23" i="104"/>
  <c r="CM23" i="104"/>
  <c r="H23" i="104"/>
  <c r="J23" i="104" s="1"/>
  <c r="K23" i="104" s="1"/>
  <c r="CU22" i="104"/>
  <c r="CT22" i="104"/>
  <c r="CS22" i="104"/>
  <c r="CR22" i="104"/>
  <c r="CQ22" i="104"/>
  <c r="CP22" i="104"/>
  <c r="CN22" i="104"/>
  <c r="CM22" i="104"/>
  <c r="H22" i="104"/>
  <c r="CU21" i="104"/>
  <c r="CT21" i="104"/>
  <c r="CS21" i="104"/>
  <c r="CR21" i="104"/>
  <c r="CQ21" i="104"/>
  <c r="CP21" i="104"/>
  <c r="CN21" i="104"/>
  <c r="CM21" i="104"/>
  <c r="H21" i="104"/>
  <c r="J21" i="104" s="1"/>
  <c r="K21" i="104" s="1"/>
  <c r="CW20" i="104"/>
  <c r="CU20" i="104"/>
  <c r="CT20" i="104"/>
  <c r="CS20" i="104"/>
  <c r="CR20" i="104"/>
  <c r="CQ20" i="104"/>
  <c r="CP20" i="104"/>
  <c r="CN20" i="104"/>
  <c r="CM20" i="104"/>
  <c r="H20" i="104"/>
  <c r="J20" i="104" s="1"/>
  <c r="CU19" i="104"/>
  <c r="CT19" i="104"/>
  <c r="CS19" i="104"/>
  <c r="CR19" i="104"/>
  <c r="CQ19" i="104"/>
  <c r="CP19" i="104"/>
  <c r="CN19" i="104"/>
  <c r="CM19" i="104"/>
  <c r="H19" i="104"/>
  <c r="CW18" i="104"/>
  <c r="CU18" i="104"/>
  <c r="CT18" i="104"/>
  <c r="CS18" i="104"/>
  <c r="CR18" i="104"/>
  <c r="CQ18" i="104"/>
  <c r="CP18" i="104"/>
  <c r="CN18" i="104"/>
  <c r="CM18" i="104"/>
  <c r="H18" i="104"/>
  <c r="J18" i="104" s="1"/>
  <c r="K18" i="104" s="1"/>
  <c r="CU17" i="104"/>
  <c r="CT17" i="104"/>
  <c r="CS17" i="104"/>
  <c r="CR17" i="104"/>
  <c r="CQ17" i="104"/>
  <c r="CP17" i="104"/>
  <c r="CN17" i="104"/>
  <c r="CM17" i="104"/>
  <c r="H17" i="104"/>
  <c r="CU16" i="104"/>
  <c r="CT16" i="104"/>
  <c r="CS16" i="104"/>
  <c r="CR16" i="104"/>
  <c r="CQ16" i="104"/>
  <c r="CP16" i="104"/>
  <c r="CN16" i="104"/>
  <c r="CM16" i="104"/>
  <c r="H16" i="104"/>
  <c r="J16" i="104" s="1"/>
  <c r="K16" i="104" s="1"/>
  <c r="CU15" i="104"/>
  <c r="CT15" i="104"/>
  <c r="CS15" i="104"/>
  <c r="CR15" i="104"/>
  <c r="CQ15" i="104"/>
  <c r="CP15" i="104"/>
  <c r="CN15" i="104"/>
  <c r="CM15" i="104"/>
  <c r="H15" i="104"/>
  <c r="CW14" i="104"/>
  <c r="CU14" i="104"/>
  <c r="CT14" i="104"/>
  <c r="CS14" i="104"/>
  <c r="CR14" i="104"/>
  <c r="CQ14" i="104"/>
  <c r="CP14" i="104"/>
  <c r="CN14" i="104"/>
  <c r="CM14" i="104"/>
  <c r="H14" i="104"/>
  <c r="CU13" i="104"/>
  <c r="CT13" i="104"/>
  <c r="CS13" i="104"/>
  <c r="CR13" i="104"/>
  <c r="CQ13" i="104"/>
  <c r="CP13" i="104"/>
  <c r="CN13" i="104"/>
  <c r="CM13" i="104"/>
  <c r="H13" i="104"/>
  <c r="J13" i="104" s="1"/>
  <c r="CU12" i="104"/>
  <c r="CT12" i="104"/>
  <c r="CS12" i="104"/>
  <c r="CR12" i="104"/>
  <c r="CQ12" i="104"/>
  <c r="CP12" i="104"/>
  <c r="CN12" i="104"/>
  <c r="CM12" i="104"/>
  <c r="H12" i="104"/>
  <c r="CW11" i="104"/>
  <c r="CU11" i="104"/>
  <c r="CT11" i="104"/>
  <c r="CS11" i="104"/>
  <c r="CR11" i="104"/>
  <c r="CQ11" i="104"/>
  <c r="CP11" i="104"/>
  <c r="CN11" i="104"/>
  <c r="CM11" i="104"/>
  <c r="H11" i="104"/>
  <c r="CU10" i="104"/>
  <c r="CT10" i="104"/>
  <c r="CS10" i="104"/>
  <c r="CR10" i="104"/>
  <c r="CQ10" i="104"/>
  <c r="CP10" i="104"/>
  <c r="CN10" i="104"/>
  <c r="CM10" i="104"/>
  <c r="H10" i="104"/>
  <c r="J10" i="104" s="1"/>
  <c r="CU9" i="104"/>
  <c r="CT9" i="104"/>
  <c r="CS9" i="104"/>
  <c r="CR9" i="104"/>
  <c r="CQ9" i="104"/>
  <c r="CP9" i="104"/>
  <c r="CN9" i="104"/>
  <c r="CM9" i="104"/>
  <c r="H9" i="104"/>
  <c r="J9" i="104" s="1"/>
  <c r="CU8" i="104"/>
  <c r="CT8" i="104"/>
  <c r="CS8" i="104"/>
  <c r="CR8" i="104"/>
  <c r="CQ8" i="104"/>
  <c r="CP8" i="104"/>
  <c r="CN8" i="104"/>
  <c r="CM8" i="104"/>
  <c r="H8" i="104"/>
  <c r="J8" i="104" s="1"/>
  <c r="CU7" i="104"/>
  <c r="CT7" i="104"/>
  <c r="CS7" i="104"/>
  <c r="CR7" i="104"/>
  <c r="CQ7" i="104"/>
  <c r="CP7" i="104"/>
  <c r="CN7" i="104"/>
  <c r="CM7" i="104"/>
  <c r="H7" i="104"/>
  <c r="J7" i="104" s="1"/>
  <c r="CU6" i="104"/>
  <c r="CT6" i="104"/>
  <c r="CS6" i="104"/>
  <c r="CR6" i="104"/>
  <c r="CQ6" i="104"/>
  <c r="CP6" i="104"/>
  <c r="CN6" i="104"/>
  <c r="CM6" i="104"/>
  <c r="H6" i="104"/>
  <c r="J6" i="104" s="1"/>
  <c r="CW5" i="104"/>
  <c r="CU5" i="104"/>
  <c r="CT5" i="104"/>
  <c r="CS5" i="104"/>
  <c r="CR5" i="104"/>
  <c r="CQ5" i="104"/>
  <c r="CP5" i="104"/>
  <c r="CN5" i="104"/>
  <c r="CM5" i="104"/>
  <c r="H5" i="104"/>
  <c r="CU4" i="104"/>
  <c r="CT4" i="104"/>
  <c r="CS4" i="104"/>
  <c r="CR4" i="104"/>
  <c r="CQ4" i="104"/>
  <c r="CP4" i="104"/>
  <c r="CN4" i="104"/>
  <c r="CM4" i="104"/>
  <c r="H4" i="104"/>
  <c r="CU3" i="104"/>
  <c r="CT3" i="104"/>
  <c r="CS3" i="104"/>
  <c r="CR3" i="104"/>
  <c r="CQ3" i="104"/>
  <c r="CP3" i="104"/>
  <c r="CN3" i="104"/>
  <c r="CM3" i="104"/>
  <c r="H3" i="104"/>
  <c r="J3" i="104" s="1"/>
  <c r="CO2" i="104"/>
  <c r="CN2" i="104"/>
  <c r="BP295" i="104" l="1"/>
  <c r="BP266" i="104"/>
  <c r="BP276" i="104"/>
  <c r="BP296" i="104"/>
  <c r="BP261" i="104"/>
  <c r="BP262" i="104"/>
  <c r="BP269" i="104"/>
  <c r="BP288" i="104"/>
  <c r="BP270" i="104"/>
  <c r="BP291" i="104"/>
  <c r="BP278" i="104"/>
  <c r="BP263" i="104"/>
  <c r="BP293" i="104"/>
  <c r="BP302" i="104"/>
  <c r="BP294" i="104"/>
  <c r="BP279" i="104"/>
  <c r="BP282" i="104"/>
  <c r="BP283" i="104"/>
  <c r="BP271" i="104"/>
  <c r="BP273" i="104"/>
  <c r="BP264" i="104"/>
  <c r="BP268" i="104"/>
  <c r="BP300" i="104"/>
  <c r="BP272" i="104"/>
  <c r="BP259" i="104"/>
  <c r="BP265" i="104"/>
  <c r="BP281" i="104"/>
  <c r="BP287" i="104"/>
  <c r="BP286" i="104"/>
  <c r="BP285" i="104"/>
  <c r="BP299" i="104"/>
  <c r="BP275" i="104"/>
  <c r="BP289" i="104"/>
  <c r="BP290" i="104"/>
  <c r="BP274" i="104"/>
  <c r="BP280" i="104"/>
  <c r="BP301" i="104"/>
  <c r="BP267" i="104"/>
  <c r="BP258" i="104"/>
  <c r="BP292" i="104"/>
  <c r="BP260" i="104"/>
  <c r="BP298" i="104"/>
  <c r="BP277" i="104"/>
  <c r="BP284" i="104"/>
  <c r="BP297" i="104"/>
  <c r="BP191" i="104"/>
  <c r="BJ190" i="104"/>
  <c r="BK190" i="104" s="1"/>
  <c r="BL190" i="104" s="1"/>
  <c r="BM190" i="104" s="1"/>
  <c r="BN190" i="104" s="1"/>
  <c r="BI189" i="104"/>
  <c r="BL188" i="104"/>
  <c r="BF187" i="104"/>
  <c r="BH186" i="104"/>
  <c r="BI186" i="104" s="1"/>
  <c r="BJ186" i="104" s="1"/>
  <c r="BK186" i="104" s="1"/>
  <c r="BL186" i="104" s="1"/>
  <c r="BM186" i="104" s="1"/>
  <c r="BN186" i="104" s="1"/>
  <c r="BO186" i="104" s="1"/>
  <c r="BP186" i="104" s="1"/>
  <c r="BQ186" i="104" s="1"/>
  <c r="BI185" i="104"/>
  <c r="BJ185" i="104" s="1"/>
  <c r="BK185" i="104" s="1"/>
  <c r="BC184" i="104"/>
  <c r="BD183" i="104"/>
  <c r="BC182" i="104"/>
  <c r="BF181" i="104"/>
  <c r="BB180" i="104"/>
  <c r="AZ178" i="104"/>
  <c r="AV177" i="104"/>
  <c r="AW177" i="104" s="1"/>
  <c r="AW176" i="104"/>
  <c r="AX175" i="104"/>
  <c r="AV173" i="104"/>
  <c r="AS172" i="104"/>
  <c r="AW171" i="104"/>
  <c r="AX171" i="104" s="1"/>
  <c r="Q83" i="97"/>
  <c r="AP170" i="104"/>
  <c r="AR168" i="104"/>
  <c r="AT167" i="104"/>
  <c r="AN166" i="104"/>
  <c r="AN165" i="104"/>
  <c r="AJ163" i="104"/>
  <c r="AL164" i="104"/>
  <c r="AJ162" i="104"/>
  <c r="AG161" i="104"/>
  <c r="AK159" i="104"/>
  <c r="AG160" i="104"/>
  <c r="AH158" i="104"/>
  <c r="AC157" i="104"/>
  <c r="AI156" i="104"/>
  <c r="AI155" i="104"/>
  <c r="AA154" i="104"/>
  <c r="AC151" i="104"/>
  <c r="AD151" i="104" s="1"/>
  <c r="AE151" i="104" s="1"/>
  <c r="AF115" i="104"/>
  <c r="AA152" i="104"/>
  <c r="AD153" i="104"/>
  <c r="AD131" i="104"/>
  <c r="AD141" i="104"/>
  <c r="Y134" i="104"/>
  <c r="AF126" i="104"/>
  <c r="AB145" i="104"/>
  <c r="AA133" i="104"/>
  <c r="AC139" i="104"/>
  <c r="AB138" i="104"/>
  <c r="AC119" i="104"/>
  <c r="Z116" i="104"/>
  <c r="Z122" i="104"/>
  <c r="AC121" i="104"/>
  <c r="AC112" i="104"/>
  <c r="X148" i="104"/>
  <c r="Z146" i="104"/>
  <c r="AA109" i="104"/>
  <c r="AA106" i="104"/>
  <c r="AB117" i="104"/>
  <c r="AC137" i="104"/>
  <c r="Z120" i="104"/>
  <c r="AB108" i="104"/>
  <c r="AE124" i="104"/>
  <c r="AG123" i="104"/>
  <c r="AA125" i="104"/>
  <c r="AA110" i="104"/>
  <c r="Y144" i="104"/>
  <c r="AB118" i="104"/>
  <c r="X132" i="104"/>
  <c r="AB142" i="104"/>
  <c r="AA149" i="104"/>
  <c r="AA114" i="104"/>
  <c r="AA143" i="104"/>
  <c r="AB150" i="104"/>
  <c r="AD136" i="104"/>
  <c r="AB111" i="104"/>
  <c r="AA129" i="104"/>
  <c r="AC127" i="104"/>
  <c r="AC147" i="104"/>
  <c r="Z140" i="104"/>
  <c r="AA107" i="104"/>
  <c r="AD128" i="104"/>
  <c r="Z130" i="104"/>
  <c r="AA113" i="104"/>
  <c r="AD135" i="104"/>
  <c r="Z105" i="104"/>
  <c r="P104" i="104"/>
  <c r="Q104" i="104" s="1"/>
  <c r="R104" i="104" s="1"/>
  <c r="EW51" i="26"/>
  <c r="EX45" i="26" s="1"/>
  <c r="FI51" i="26"/>
  <c r="FJ45" i="26" s="1"/>
  <c r="O103" i="104"/>
  <c r="J77" i="104"/>
  <c r="K77" i="104" s="1"/>
  <c r="J82" i="104"/>
  <c r="J84" i="104"/>
  <c r="K84" i="104" s="1"/>
  <c r="J93" i="104"/>
  <c r="J98" i="104"/>
  <c r="K98" i="104" s="1"/>
  <c r="J100" i="104"/>
  <c r="J90" i="104"/>
  <c r="K90" i="104" s="1"/>
  <c r="J92" i="104"/>
  <c r="J95" i="104"/>
  <c r="K95" i="104" s="1"/>
  <c r="L95" i="104" s="1"/>
  <c r="J97" i="104"/>
  <c r="J101" i="104"/>
  <c r="K101" i="104" s="1"/>
  <c r="CY80" i="97"/>
  <c r="EM83" i="97"/>
  <c r="EE83" i="97"/>
  <c r="L83" i="97"/>
  <c r="BV83" i="97"/>
  <c r="BQ83" i="97"/>
  <c r="DC80" i="97"/>
  <c r="J102" i="104"/>
  <c r="FI33" i="26"/>
  <c r="DD42" i="26"/>
  <c r="DE36" i="26" s="1"/>
  <c r="K9" i="104"/>
  <c r="L9" i="104" s="1"/>
  <c r="K44" i="104"/>
  <c r="L44" i="104" s="1"/>
  <c r="M44" i="104" s="1"/>
  <c r="K45" i="104"/>
  <c r="L45" i="104" s="1"/>
  <c r="K31" i="104"/>
  <c r="L31" i="104" s="1"/>
  <c r="K32" i="104"/>
  <c r="L32" i="104" s="1"/>
  <c r="M32" i="104" s="1"/>
  <c r="J11" i="104"/>
  <c r="K11" i="104" s="1"/>
  <c r="CR33" i="26"/>
  <c r="CS27" i="26" s="1"/>
  <c r="ET42" i="26"/>
  <c r="EU35" i="26" s="1"/>
  <c r="FF42" i="26"/>
  <c r="FG36" i="26" s="1"/>
  <c r="HK51" i="26"/>
  <c r="HL47" i="26" s="1"/>
  <c r="GY51" i="26"/>
  <c r="GZ44" i="26" s="1"/>
  <c r="HK33" i="26"/>
  <c r="HL31" i="26" s="1"/>
  <c r="HH24" i="26"/>
  <c r="HI21" i="26" s="1"/>
  <c r="CR42" i="26"/>
  <c r="CS36" i="26" s="1"/>
  <c r="AS60" i="26"/>
  <c r="AS24" i="26"/>
  <c r="AT18" i="26" s="1"/>
  <c r="AV24" i="26"/>
  <c r="AW22" i="26" s="1"/>
  <c r="BB51" i="26"/>
  <c r="BC46" i="26" s="1"/>
  <c r="CR51" i="26"/>
  <c r="CS45" i="26" s="1"/>
  <c r="HB33" i="26"/>
  <c r="HC29" i="26" s="1"/>
  <c r="HB51" i="26"/>
  <c r="HC44" i="26" s="1"/>
  <c r="AS51" i="26"/>
  <c r="AT49" i="26" s="1"/>
  <c r="AS33" i="26"/>
  <c r="BE33" i="26"/>
  <c r="BF29" i="26" s="1"/>
  <c r="AY42" i="26"/>
  <c r="AZ38" i="26" s="1"/>
  <c r="AV51" i="26"/>
  <c r="AW44" i="26" s="1"/>
  <c r="AP60" i="26"/>
  <c r="AQ56" i="26" s="1"/>
  <c r="BE51" i="26"/>
  <c r="AY51" i="26"/>
  <c r="AZ45" i="26" s="1"/>
  <c r="AP33" i="26"/>
  <c r="AV42" i="26"/>
  <c r="AW38" i="26" s="1"/>
  <c r="AP51" i="26"/>
  <c r="AQ44" i="26" s="1"/>
  <c r="BE24" i="26"/>
  <c r="BF22" i="26" s="1"/>
  <c r="AY33" i="26"/>
  <c r="AZ30" i="26" s="1"/>
  <c r="AS42" i="26"/>
  <c r="AT35" i="26" s="1"/>
  <c r="BE42" i="26"/>
  <c r="BF37" i="26" s="1"/>
  <c r="BB24" i="26"/>
  <c r="BC21" i="26" s="1"/>
  <c r="AV33" i="26"/>
  <c r="AW26" i="26" s="1"/>
  <c r="AP42" i="26"/>
  <c r="AQ36" i="26" s="1"/>
  <c r="BB42" i="26"/>
  <c r="BC38" i="26" s="1"/>
  <c r="GY33" i="26"/>
  <c r="GZ27" i="26" s="1"/>
  <c r="HE24" i="26"/>
  <c r="HF18" i="26" s="1"/>
  <c r="HB24" i="26"/>
  <c r="HC18" i="26" s="1"/>
  <c r="HB42" i="26"/>
  <c r="HC36" i="26" s="1"/>
  <c r="GY42" i="26"/>
  <c r="GZ36" i="26" s="1"/>
  <c r="HK42" i="26"/>
  <c r="HL36" i="26" s="1"/>
  <c r="HC19" i="26"/>
  <c r="GY24" i="26"/>
  <c r="GZ18" i="26" s="1"/>
  <c r="HK24" i="26"/>
  <c r="HL20" i="26" s="1"/>
  <c r="GZ45" i="26"/>
  <c r="GZ47" i="26"/>
  <c r="HC27" i="26"/>
  <c r="HC31" i="26"/>
  <c r="GV60" i="26"/>
  <c r="GW53" i="26" s="1"/>
  <c r="HE33" i="26"/>
  <c r="HF28" i="26" s="1"/>
  <c r="HE42" i="26"/>
  <c r="HF41" i="26" s="1"/>
  <c r="GZ46" i="26"/>
  <c r="GZ50" i="26"/>
  <c r="HE51" i="26"/>
  <c r="HF46" i="26" s="1"/>
  <c r="HC26" i="26"/>
  <c r="HC28" i="26"/>
  <c r="GV33" i="26"/>
  <c r="GW32" i="26" s="1"/>
  <c r="HH33" i="26"/>
  <c r="HI26" i="26" s="1"/>
  <c r="GV42" i="26"/>
  <c r="GW39" i="26" s="1"/>
  <c r="HH42" i="26"/>
  <c r="HI41" i="26" s="1"/>
  <c r="GV51" i="26"/>
  <c r="GW46" i="26" s="1"/>
  <c r="HH51" i="26"/>
  <c r="HI48" i="26" s="1"/>
  <c r="GY60" i="26"/>
  <c r="GZ56" i="26" s="1"/>
  <c r="FF51" i="26"/>
  <c r="FG45" i="26" s="1"/>
  <c r="ET51" i="26"/>
  <c r="EU47" i="26" s="1"/>
  <c r="FI42" i="26"/>
  <c r="FJ40" i="26" s="1"/>
  <c r="EW42" i="26"/>
  <c r="EX36" i="26" s="1"/>
  <c r="FC33" i="26"/>
  <c r="FD30" i="26" s="1"/>
  <c r="FI24" i="26"/>
  <c r="FJ18" i="26" s="1"/>
  <c r="EW24" i="26"/>
  <c r="EX23" i="26" s="1"/>
  <c r="EZ24" i="26"/>
  <c r="FA19" i="26" s="1"/>
  <c r="ET33" i="26"/>
  <c r="EU31" i="26" s="1"/>
  <c r="FF33" i="26"/>
  <c r="FG28" i="26" s="1"/>
  <c r="EX18" i="26"/>
  <c r="FJ31" i="26"/>
  <c r="FJ27" i="26"/>
  <c r="FJ28" i="26"/>
  <c r="FJ30" i="26"/>
  <c r="FJ32" i="26"/>
  <c r="FJ29" i="26"/>
  <c r="ET24" i="26"/>
  <c r="EU18" i="26" s="1"/>
  <c r="FC24" i="26"/>
  <c r="FD23" i="26" s="1"/>
  <c r="EU36" i="26"/>
  <c r="FG38" i="26"/>
  <c r="FJ26" i="26"/>
  <c r="EW33" i="26"/>
  <c r="EX29" i="26" s="1"/>
  <c r="EX47" i="26"/>
  <c r="FF24" i="26"/>
  <c r="FG20" i="26" s="1"/>
  <c r="EZ33" i="26"/>
  <c r="FA26" i="26" s="1"/>
  <c r="FG35" i="26"/>
  <c r="FG37" i="26"/>
  <c r="FG39" i="26"/>
  <c r="FG41" i="26"/>
  <c r="EZ42" i="26"/>
  <c r="FA37" i="26" s="1"/>
  <c r="EZ51" i="26"/>
  <c r="FA50" i="26" s="1"/>
  <c r="ET60" i="26"/>
  <c r="EU55" i="26" s="1"/>
  <c r="FC42" i="26"/>
  <c r="FD41" i="26" s="1"/>
  <c r="EX46" i="26"/>
  <c r="EX50" i="26"/>
  <c r="FC51" i="26"/>
  <c r="FD46" i="26" s="1"/>
  <c r="EW60" i="26"/>
  <c r="EX56" i="26" s="1"/>
  <c r="DD51" i="26"/>
  <c r="DE47" i="26" s="1"/>
  <c r="DG42" i="26"/>
  <c r="DH38" i="26" s="1"/>
  <c r="CU42" i="26"/>
  <c r="CV35" i="26" s="1"/>
  <c r="DD33" i="26"/>
  <c r="DE29" i="26" s="1"/>
  <c r="CX24" i="26"/>
  <c r="CY18" i="26" s="1"/>
  <c r="DA24" i="26"/>
  <c r="DB21" i="26" s="1"/>
  <c r="CU33" i="26"/>
  <c r="CV29" i="26" s="1"/>
  <c r="DG33" i="26"/>
  <c r="DH28" i="26" s="1"/>
  <c r="CU51" i="26"/>
  <c r="CV45" i="26" s="1"/>
  <c r="DG51" i="26"/>
  <c r="DH48" i="26" s="1"/>
  <c r="CR24" i="26"/>
  <c r="CS20" i="26" s="1"/>
  <c r="DD24" i="26"/>
  <c r="DE21" i="26" s="1"/>
  <c r="CS38" i="26"/>
  <c r="CU24" i="26"/>
  <c r="CV18" i="26" s="1"/>
  <c r="DG24" i="26"/>
  <c r="DH22" i="26" s="1"/>
  <c r="CX33" i="26"/>
  <c r="CY26" i="26" s="1"/>
  <c r="DE35" i="26"/>
  <c r="DE37" i="26"/>
  <c r="DE39" i="26"/>
  <c r="DE41" i="26"/>
  <c r="CX42" i="26"/>
  <c r="CY39" i="26" s="1"/>
  <c r="CS48" i="26"/>
  <c r="CX51" i="26"/>
  <c r="CY44" i="26" s="1"/>
  <c r="CR60" i="26"/>
  <c r="CS58" i="26" s="1"/>
  <c r="DA33" i="26"/>
  <c r="DB26" i="26" s="1"/>
  <c r="DA42" i="26"/>
  <c r="DB39" i="26" s="1"/>
  <c r="DA51" i="26"/>
  <c r="DB44" i="26" s="1"/>
  <c r="CU60" i="26"/>
  <c r="CV58" i="26" s="1"/>
  <c r="AT59" i="26"/>
  <c r="BF47" i="26"/>
  <c r="BF40" i="26"/>
  <c r="AZ39" i="26"/>
  <c r="BF39" i="26"/>
  <c r="BF35" i="26"/>
  <c r="AQ37" i="26"/>
  <c r="BB33" i="26"/>
  <c r="BC31" i="26" s="1"/>
  <c r="AQ40" i="26"/>
  <c r="AQ41" i="26"/>
  <c r="AQ38" i="26"/>
  <c r="AW37" i="26"/>
  <c r="AW41" i="26"/>
  <c r="AQ35" i="26"/>
  <c r="AT28" i="26"/>
  <c r="AT32" i="26"/>
  <c r="BF19" i="26"/>
  <c r="AQ29" i="26"/>
  <c r="AY24" i="26"/>
  <c r="AZ21" i="26" s="1"/>
  <c r="BC22" i="26"/>
  <c r="AW18" i="26"/>
  <c r="AW19" i="26"/>
  <c r="AT21" i="26"/>
  <c r="AT23" i="26"/>
  <c r="AP24" i="26"/>
  <c r="AQ20" i="26" s="1"/>
  <c r="J80" i="104"/>
  <c r="J53" i="104"/>
  <c r="K53" i="104" s="1"/>
  <c r="J61" i="104"/>
  <c r="K61" i="104" s="1"/>
  <c r="L61" i="104" s="1"/>
  <c r="J63" i="104"/>
  <c r="K63" i="104" s="1"/>
  <c r="J65" i="104"/>
  <c r="K65" i="104" s="1"/>
  <c r="K3" i="104"/>
  <c r="L3" i="104" s="1"/>
  <c r="K10" i="104"/>
  <c r="J5" i="104"/>
  <c r="K5" i="104" s="1"/>
  <c r="L5" i="104" s="1"/>
  <c r="J12" i="104"/>
  <c r="J15" i="104"/>
  <c r="J4" i="104"/>
  <c r="K6" i="104"/>
  <c r="K7" i="104"/>
  <c r="K8" i="104"/>
  <c r="K13" i="104"/>
  <c r="L13" i="104" s="1"/>
  <c r="K28" i="104"/>
  <c r="L28" i="104" s="1"/>
  <c r="K30" i="104"/>
  <c r="L30" i="104" s="1"/>
  <c r="M30" i="104" s="1"/>
  <c r="N30" i="104" s="1"/>
  <c r="L16" i="104"/>
  <c r="M16" i="104" s="1"/>
  <c r="J17" i="104"/>
  <c r="K17" i="104" s="1"/>
  <c r="L18" i="104"/>
  <c r="K20" i="104"/>
  <c r="L20" i="104" s="1"/>
  <c r="L21" i="104"/>
  <c r="J22" i="104"/>
  <c r="K22" i="104" s="1"/>
  <c r="L23" i="104"/>
  <c r="M23" i="104" s="1"/>
  <c r="J24" i="104"/>
  <c r="K26" i="104"/>
  <c r="J27" i="104"/>
  <c r="K27" i="104" s="1"/>
  <c r="J14" i="104"/>
  <c r="K14" i="104" s="1"/>
  <c r="J19" i="104"/>
  <c r="J25" i="104"/>
  <c r="J42" i="104"/>
  <c r="J41" i="104"/>
  <c r="K41" i="104" s="1"/>
  <c r="J46" i="104"/>
  <c r="K46" i="104" s="1"/>
  <c r="K34" i="104"/>
  <c r="L34" i="104" s="1"/>
  <c r="K36" i="104"/>
  <c r="L36" i="104" s="1"/>
  <c r="M36" i="104" s="1"/>
  <c r="K38" i="104"/>
  <c r="L38" i="104" s="1"/>
  <c r="K40" i="104"/>
  <c r="L40" i="104" s="1"/>
  <c r="M40" i="104" s="1"/>
  <c r="M29" i="104"/>
  <c r="J33" i="104"/>
  <c r="J35" i="104"/>
  <c r="J37" i="104"/>
  <c r="J39" i="104"/>
  <c r="J43" i="104"/>
  <c r="K47" i="104"/>
  <c r="K54" i="104"/>
  <c r="L56" i="104"/>
  <c r="M56" i="104" s="1"/>
  <c r="N56" i="104" s="1"/>
  <c r="J57" i="104"/>
  <c r="K58" i="104"/>
  <c r="L58" i="104" s="1"/>
  <c r="M58" i="104" s="1"/>
  <c r="N58" i="104" s="1"/>
  <c r="J48" i="104"/>
  <c r="J49" i="104"/>
  <c r="J50" i="104"/>
  <c r="K50" i="104" s="1"/>
  <c r="J51" i="104"/>
  <c r="J52" i="104"/>
  <c r="K52" i="104" s="1"/>
  <c r="J55" i="104"/>
  <c r="J66" i="104"/>
  <c r="J68" i="104"/>
  <c r="K68" i="104" s="1"/>
  <c r="K71" i="104"/>
  <c r="J60" i="104"/>
  <c r="K60" i="104" s="1"/>
  <c r="J62" i="104"/>
  <c r="K62" i="104" s="1"/>
  <c r="J64" i="104"/>
  <c r="J67" i="104"/>
  <c r="J59" i="104"/>
  <c r="K59" i="104" s="1"/>
  <c r="K69" i="104"/>
  <c r="J70" i="104"/>
  <c r="J78" i="104"/>
  <c r="K73" i="104"/>
  <c r="J75" i="104"/>
  <c r="K75" i="104" s="1"/>
  <c r="J79" i="104"/>
  <c r="J72" i="104"/>
  <c r="J74" i="104"/>
  <c r="K74" i="104" s="1"/>
  <c r="J76" i="104"/>
  <c r="J85" i="104"/>
  <c r="J81" i="104"/>
  <c r="J83" i="104"/>
  <c r="K86" i="104"/>
  <c r="J87" i="104"/>
  <c r="J89" i="104"/>
  <c r="J91" i="104"/>
  <c r="J88" i="104"/>
  <c r="J94" i="104"/>
  <c r="J96" i="104"/>
  <c r="J99" i="104"/>
  <c r="BP303" i="104" l="1"/>
  <c r="BQ191" i="104"/>
  <c r="BJ189" i="104"/>
  <c r="BR186" i="104"/>
  <c r="BS186" i="104" s="1"/>
  <c r="BT186" i="104" s="1"/>
  <c r="BM188" i="104"/>
  <c r="BG187" i="104"/>
  <c r="BL185" i="104"/>
  <c r="BD184" i="104"/>
  <c r="BE183" i="104"/>
  <c r="BD182" i="104"/>
  <c r="BG181" i="104"/>
  <c r="BC180" i="104"/>
  <c r="BB179" i="104"/>
  <c r="BA178" i="104"/>
  <c r="AX177" i="104"/>
  <c r="AX176" i="104"/>
  <c r="AY175" i="104"/>
  <c r="AT45" i="26"/>
  <c r="EX41" i="26"/>
  <c r="HI19" i="26"/>
  <c r="AZ31" i="26"/>
  <c r="HC49" i="26"/>
  <c r="AT172" i="104"/>
  <c r="AY171" i="104"/>
  <c r="AZ171" i="104" s="1"/>
  <c r="HC37" i="26"/>
  <c r="AQ170" i="104"/>
  <c r="AS168" i="104"/>
  <c r="AU167" i="104"/>
  <c r="AO166" i="104"/>
  <c r="AO165" i="104"/>
  <c r="AK163" i="104"/>
  <c r="AM164" i="104"/>
  <c r="AK162" i="104"/>
  <c r="AH161" i="104"/>
  <c r="AH160" i="104"/>
  <c r="AL159" i="104"/>
  <c r="AI158" i="104"/>
  <c r="AJ156" i="104"/>
  <c r="AD157" i="104"/>
  <c r="AJ155" i="104"/>
  <c r="AB154" i="104"/>
  <c r="AB113" i="104"/>
  <c r="AF151" i="104"/>
  <c r="AD147" i="104"/>
  <c r="AB129" i="104"/>
  <c r="AB110" i="104"/>
  <c r="AH123" i="104"/>
  <c r="AC117" i="104"/>
  <c r="AD121" i="104"/>
  <c r="AA116" i="104"/>
  <c r="AC138" i="104"/>
  <c r="AD139" i="104"/>
  <c r="AC145" i="104"/>
  <c r="AG126" i="104"/>
  <c r="Z134" i="104"/>
  <c r="AE141" i="104"/>
  <c r="AB107" i="104"/>
  <c r="AA140" i="104"/>
  <c r="AD127" i="104"/>
  <c r="AE136" i="104"/>
  <c r="AC150" i="104"/>
  <c r="Z144" i="104"/>
  <c r="AF124" i="104"/>
  <c r="AB109" i="104"/>
  <c r="Y148" i="104"/>
  <c r="AB133" i="104"/>
  <c r="AE153" i="104"/>
  <c r="AB152" i="104"/>
  <c r="AE128" i="104"/>
  <c r="AC111" i="104"/>
  <c r="AC142" i="104"/>
  <c r="AC118" i="104"/>
  <c r="AB125" i="104"/>
  <c r="AC108" i="104"/>
  <c r="AD137" i="104"/>
  <c r="AE135" i="104"/>
  <c r="AB114" i="104"/>
  <c r="AA130" i="104"/>
  <c r="AB143" i="104"/>
  <c r="AB149" i="104"/>
  <c r="Y132" i="104"/>
  <c r="AA120" i="104"/>
  <c r="AB106" i="104"/>
  <c r="AA146" i="104"/>
  <c r="AD112" i="104"/>
  <c r="AA122" i="104"/>
  <c r="AD119" i="104"/>
  <c r="AE131" i="104"/>
  <c r="AG115" i="104"/>
  <c r="K92" i="104"/>
  <c r="L92" i="104" s="1"/>
  <c r="K100" i="104"/>
  <c r="K93" i="104"/>
  <c r="AA105" i="104"/>
  <c r="HL30" i="26"/>
  <c r="EX48" i="26"/>
  <c r="EX44" i="26"/>
  <c r="EX51" i="26" s="1"/>
  <c r="EX49" i="26"/>
  <c r="BF21" i="26"/>
  <c r="AT19" i="26"/>
  <c r="AT20" i="26"/>
  <c r="CS41" i="26"/>
  <c r="CS39" i="26"/>
  <c r="CS37" i="26"/>
  <c r="CS35" i="26"/>
  <c r="CS40" i="26"/>
  <c r="FJ50" i="26"/>
  <c r="FJ48" i="26"/>
  <c r="FJ46" i="26"/>
  <c r="FJ44" i="26"/>
  <c r="EU41" i="26"/>
  <c r="EU39" i="26"/>
  <c r="EU37" i="26"/>
  <c r="FJ49" i="26"/>
  <c r="FJ47" i="26"/>
  <c r="EU40" i="26"/>
  <c r="EU38" i="26"/>
  <c r="K83" i="104"/>
  <c r="K97" i="104"/>
  <c r="L97" i="104" s="1"/>
  <c r="K82" i="104"/>
  <c r="S104" i="104"/>
  <c r="HL45" i="26"/>
  <c r="HL26" i="26"/>
  <c r="HL27" i="26"/>
  <c r="GZ30" i="26"/>
  <c r="HC17" i="26"/>
  <c r="AZ32" i="26"/>
  <c r="AZ27" i="26"/>
  <c r="AZ29" i="26"/>
  <c r="AZ26" i="26"/>
  <c r="AZ28" i="26"/>
  <c r="FJ35" i="26"/>
  <c r="HL48" i="26"/>
  <c r="HL49" i="26"/>
  <c r="HL46" i="26"/>
  <c r="DH35" i="26"/>
  <c r="DE38" i="26"/>
  <c r="DE40" i="26"/>
  <c r="AZ20" i="26"/>
  <c r="P103" i="104"/>
  <c r="GZ49" i="26"/>
  <c r="EX37" i="26"/>
  <c r="CV48" i="26"/>
  <c r="AW17" i="26"/>
  <c r="AW21" i="26"/>
  <c r="AW20" i="26"/>
  <c r="BC19" i="26"/>
  <c r="BC20" i="26"/>
  <c r="BF18" i="26"/>
  <c r="AW35" i="26"/>
  <c r="AQ39" i="26"/>
  <c r="AW40" i="26"/>
  <c r="AW36" i="26"/>
  <c r="AW39" i="26"/>
  <c r="CS32" i="26"/>
  <c r="K80" i="104"/>
  <c r="K88" i="104"/>
  <c r="L77" i="104"/>
  <c r="K78" i="104"/>
  <c r="K81" i="104"/>
  <c r="K94" i="104"/>
  <c r="K102" i="104"/>
  <c r="HL44" i="26"/>
  <c r="FG47" i="26"/>
  <c r="EU48" i="26"/>
  <c r="EU44" i="26"/>
  <c r="FG40" i="26"/>
  <c r="FD27" i="26"/>
  <c r="HL50" i="26"/>
  <c r="HC46" i="26"/>
  <c r="GZ48" i="26"/>
  <c r="HL38" i="26"/>
  <c r="HL35" i="26"/>
  <c r="GZ35" i="26"/>
  <c r="HI17" i="26"/>
  <c r="HI20" i="26"/>
  <c r="HF23" i="26"/>
  <c r="HF19" i="26"/>
  <c r="HC23" i="26"/>
  <c r="CS44" i="26"/>
  <c r="CS30" i="26"/>
  <c r="CS31" i="26"/>
  <c r="CS28" i="26"/>
  <c r="CS49" i="26"/>
  <c r="CS29" i="26"/>
  <c r="CS50" i="26"/>
  <c r="CS26" i="26"/>
  <c r="CS47" i="26"/>
  <c r="CS46" i="26"/>
  <c r="CV37" i="26"/>
  <c r="FJ21" i="26"/>
  <c r="DB40" i="26"/>
  <c r="DH32" i="26"/>
  <c r="FG46" i="26"/>
  <c r="FG29" i="26"/>
  <c r="FJ36" i="26"/>
  <c r="FJ22" i="26"/>
  <c r="GZ26" i="26"/>
  <c r="AQ23" i="26"/>
  <c r="FJ39" i="26"/>
  <c r="HL41" i="26"/>
  <c r="HF17" i="26"/>
  <c r="M9" i="104"/>
  <c r="N9" i="104" s="1"/>
  <c r="O9" i="104" s="1"/>
  <c r="P9" i="104" s="1"/>
  <c r="L10" i="104"/>
  <c r="M10" i="104" s="1"/>
  <c r="M28" i="104"/>
  <c r="L62" i="104"/>
  <c r="M62" i="104" s="1"/>
  <c r="N62" i="104" s="1"/>
  <c r="O62" i="104" s="1"/>
  <c r="K12" i="104"/>
  <c r="L12" i="104" s="1"/>
  <c r="L11" i="104"/>
  <c r="M11" i="104" s="1"/>
  <c r="M34" i="104"/>
  <c r="N34" i="104" s="1"/>
  <c r="O34" i="104" s="1"/>
  <c r="M20" i="104"/>
  <c r="N20" i="104" s="1"/>
  <c r="HL29" i="26"/>
  <c r="AT22" i="26"/>
  <c r="BC17" i="26"/>
  <c r="BC18" i="26"/>
  <c r="BF20" i="26"/>
  <c r="AZ36" i="26"/>
  <c r="DH46" i="26"/>
  <c r="DH37" i="26"/>
  <c r="DE44" i="26"/>
  <c r="DH49" i="26"/>
  <c r="DB23" i="26"/>
  <c r="CY23" i="26"/>
  <c r="EX35" i="26"/>
  <c r="FG50" i="26"/>
  <c r="FG44" i="26"/>
  <c r="FD28" i="26"/>
  <c r="FD31" i="26"/>
  <c r="GW58" i="26"/>
  <c r="HC50" i="26"/>
  <c r="GZ39" i="26"/>
  <c r="HL32" i="26"/>
  <c r="HL28" i="26"/>
  <c r="HC47" i="26"/>
  <c r="HI23" i="26"/>
  <c r="GZ38" i="26"/>
  <c r="HI22" i="26"/>
  <c r="HI18" i="26"/>
  <c r="AT17" i="26"/>
  <c r="AW23" i="26"/>
  <c r="BC23" i="26"/>
  <c r="BF17" i="26"/>
  <c r="BF23" i="26"/>
  <c r="BF41" i="26"/>
  <c r="CV44" i="26"/>
  <c r="DB17" i="26"/>
  <c r="DE48" i="26"/>
  <c r="DH40" i="26"/>
  <c r="DE49" i="26"/>
  <c r="CY19" i="26"/>
  <c r="EX39" i="26"/>
  <c r="EU32" i="26"/>
  <c r="FG48" i="26"/>
  <c r="EU27" i="26"/>
  <c r="EX40" i="26"/>
  <c r="FG49" i="26"/>
  <c r="FD26" i="26"/>
  <c r="FD29" i="26"/>
  <c r="GW54" i="26"/>
  <c r="HC48" i="26"/>
  <c r="HC39" i="26"/>
  <c r="HC30" i="26"/>
  <c r="HC33" i="26" s="1"/>
  <c r="GZ32" i="26"/>
  <c r="GZ28" i="26"/>
  <c r="GW55" i="26"/>
  <c r="HC45" i="26"/>
  <c r="HC51" i="26" s="1"/>
  <c r="HC21" i="26"/>
  <c r="CY21" i="26"/>
  <c r="FG32" i="26"/>
  <c r="EU49" i="26"/>
  <c r="FJ19" i="26"/>
  <c r="DE50" i="26"/>
  <c r="DE46" i="26"/>
  <c r="DH29" i="26"/>
  <c r="CY17" i="26"/>
  <c r="DE45" i="26"/>
  <c r="FG30" i="26"/>
  <c r="EU50" i="26"/>
  <c r="EU46" i="26"/>
  <c r="FA23" i="26"/>
  <c r="FJ17" i="26"/>
  <c r="EU45" i="26"/>
  <c r="FJ23" i="26"/>
  <c r="FJ20" i="26"/>
  <c r="HC38" i="26"/>
  <c r="HF22" i="26"/>
  <c r="HL37" i="26"/>
  <c r="HL40" i="26"/>
  <c r="HL39" i="26"/>
  <c r="GZ40" i="26"/>
  <c r="GZ41" i="26"/>
  <c r="GZ37" i="26"/>
  <c r="HC32" i="26"/>
  <c r="HC20" i="26"/>
  <c r="HC22" i="26"/>
  <c r="CY38" i="26"/>
  <c r="DH50" i="26"/>
  <c r="DH45" i="26"/>
  <c r="DH44" i="26"/>
  <c r="DH47" i="26"/>
  <c r="DH36" i="26"/>
  <c r="DH41" i="26"/>
  <c r="DH39" i="26"/>
  <c r="CV41" i="26"/>
  <c r="CV40" i="26"/>
  <c r="CV36" i="26"/>
  <c r="CV38" i="26"/>
  <c r="CV39" i="26"/>
  <c r="DH26" i="26"/>
  <c r="DH31" i="26"/>
  <c r="DH30" i="26"/>
  <c r="DH27" i="26"/>
  <c r="DE32" i="26"/>
  <c r="DE28" i="26"/>
  <c r="DE31" i="26"/>
  <c r="DE27" i="26"/>
  <c r="DE30" i="26"/>
  <c r="DE26" i="26"/>
  <c r="CV31" i="26"/>
  <c r="CV30" i="26"/>
  <c r="CV32" i="26"/>
  <c r="CV27" i="26"/>
  <c r="DB22" i="26"/>
  <c r="CY22" i="26"/>
  <c r="AZ18" i="26"/>
  <c r="FJ38" i="26"/>
  <c r="FJ41" i="26"/>
  <c r="FJ37" i="26"/>
  <c r="EX38" i="26"/>
  <c r="EX42" i="26" s="1"/>
  <c r="FD32" i="26"/>
  <c r="EU28" i="26"/>
  <c r="EU26" i="26"/>
  <c r="FA21" i="26"/>
  <c r="FA18" i="26"/>
  <c r="EX21" i="26"/>
  <c r="EX17" i="26"/>
  <c r="EX19" i="26"/>
  <c r="EX22" i="26"/>
  <c r="AQ17" i="26"/>
  <c r="EX20" i="26"/>
  <c r="FJ33" i="26"/>
  <c r="CY29" i="26"/>
  <c r="AQ22" i="26"/>
  <c r="AZ17" i="26"/>
  <c r="DB18" i="26"/>
  <c r="CY20" i="26"/>
  <c r="AZ22" i="26"/>
  <c r="HI45" i="26"/>
  <c r="AZ19" i="26"/>
  <c r="GW56" i="26"/>
  <c r="GZ59" i="26"/>
  <c r="BC26" i="26"/>
  <c r="BC32" i="26"/>
  <c r="AQ21" i="26"/>
  <c r="BC28" i="26"/>
  <c r="BC30" i="26"/>
  <c r="AZ23" i="26"/>
  <c r="HI36" i="26"/>
  <c r="HC40" i="26"/>
  <c r="HC41" i="26"/>
  <c r="HC35" i="26"/>
  <c r="HI27" i="26"/>
  <c r="GZ29" i="26"/>
  <c r="GZ31" i="26"/>
  <c r="HL23" i="26"/>
  <c r="HF21" i="26"/>
  <c r="HF20" i="26"/>
  <c r="GZ23" i="26"/>
  <c r="HI47" i="26"/>
  <c r="HI38" i="26"/>
  <c r="HI29" i="26"/>
  <c r="GW49" i="26"/>
  <c r="GW40" i="26"/>
  <c r="GW31" i="26"/>
  <c r="GZ53" i="26"/>
  <c r="HF49" i="26"/>
  <c r="HF40" i="26"/>
  <c r="HF31" i="26"/>
  <c r="GW57" i="26"/>
  <c r="HI50" i="26"/>
  <c r="GW48" i="26"/>
  <c r="GW41" i="26"/>
  <c r="HI35" i="26"/>
  <c r="HI28" i="26"/>
  <c r="GW26" i="26"/>
  <c r="GZ54" i="26"/>
  <c r="HF48" i="26"/>
  <c r="HF35" i="26"/>
  <c r="HF30" i="26"/>
  <c r="GZ21" i="26"/>
  <c r="HL22" i="26"/>
  <c r="GZ20" i="26"/>
  <c r="GW50" i="26"/>
  <c r="HI44" i="26"/>
  <c r="HI37" i="26"/>
  <c r="GW35" i="26"/>
  <c r="HI30" i="26"/>
  <c r="GW28" i="26"/>
  <c r="HF50" i="26"/>
  <c r="HF37" i="26"/>
  <c r="HF32" i="26"/>
  <c r="HL17" i="26"/>
  <c r="GZ22" i="26"/>
  <c r="GW45" i="26"/>
  <c r="GW36" i="26"/>
  <c r="GW27" i="26"/>
  <c r="GZ57" i="26"/>
  <c r="HF45" i="26"/>
  <c r="HF36" i="26"/>
  <c r="HF27" i="26"/>
  <c r="HI46" i="26"/>
  <c r="GW44" i="26"/>
  <c r="HI39" i="26"/>
  <c r="GW37" i="26"/>
  <c r="HI32" i="26"/>
  <c r="GW30" i="26"/>
  <c r="GZ58" i="26"/>
  <c r="HF44" i="26"/>
  <c r="HF39" i="26"/>
  <c r="HF26" i="26"/>
  <c r="HL19" i="26"/>
  <c r="GZ17" i="26"/>
  <c r="HL18" i="26"/>
  <c r="HI49" i="26"/>
  <c r="GW47" i="26"/>
  <c r="HI40" i="26"/>
  <c r="GW38" i="26"/>
  <c r="HI31" i="26"/>
  <c r="GW29" i="26"/>
  <c r="GZ55" i="26"/>
  <c r="HF47" i="26"/>
  <c r="HF38" i="26"/>
  <c r="HF29" i="26"/>
  <c r="GW59" i="26"/>
  <c r="HL21" i="26"/>
  <c r="GZ19" i="26"/>
  <c r="FA49" i="26"/>
  <c r="FG31" i="26"/>
  <c r="FG27" i="26"/>
  <c r="FG26" i="26"/>
  <c r="FA29" i="26"/>
  <c r="EU29" i="26"/>
  <c r="EU30" i="26"/>
  <c r="FA22" i="26"/>
  <c r="FA20" i="26"/>
  <c r="FA17" i="26"/>
  <c r="FD49" i="26"/>
  <c r="FD40" i="26"/>
  <c r="EU57" i="26"/>
  <c r="FA40" i="26"/>
  <c r="FD22" i="26"/>
  <c r="FD45" i="26"/>
  <c r="FD36" i="26"/>
  <c r="EU53" i="26"/>
  <c r="FD47" i="26"/>
  <c r="FD38" i="26"/>
  <c r="EU59" i="26"/>
  <c r="FD20" i="26"/>
  <c r="EX55" i="26"/>
  <c r="FA47" i="26"/>
  <c r="FA38" i="26"/>
  <c r="FG42" i="26"/>
  <c r="EX54" i="26"/>
  <c r="FD48" i="26"/>
  <c r="FD35" i="26"/>
  <c r="EU58" i="26"/>
  <c r="FA44" i="26"/>
  <c r="FA39" i="26"/>
  <c r="FA30" i="26"/>
  <c r="FD18" i="26"/>
  <c r="FG19" i="26"/>
  <c r="EX26" i="26"/>
  <c r="FG22" i="26"/>
  <c r="EU20" i="26"/>
  <c r="FD50" i="26"/>
  <c r="FD37" i="26"/>
  <c r="FG23" i="26"/>
  <c r="EU56" i="26"/>
  <c r="FA46" i="26"/>
  <c r="FA41" i="26"/>
  <c r="EU23" i="26"/>
  <c r="EU19" i="26"/>
  <c r="EX32" i="26"/>
  <c r="EX28" i="26"/>
  <c r="FD21" i="26"/>
  <c r="EU22" i="26"/>
  <c r="EX59" i="26"/>
  <c r="EX53" i="26"/>
  <c r="FA28" i="26"/>
  <c r="EX58" i="26"/>
  <c r="FD44" i="26"/>
  <c r="FD39" i="26"/>
  <c r="FA27" i="26"/>
  <c r="EU54" i="26"/>
  <c r="FA48" i="26"/>
  <c r="FA35" i="26"/>
  <c r="EX27" i="26"/>
  <c r="FG21" i="26"/>
  <c r="FG17" i="26"/>
  <c r="FD19" i="26"/>
  <c r="FG18" i="26"/>
  <c r="EX57" i="26"/>
  <c r="FA45" i="26"/>
  <c r="FA36" i="26"/>
  <c r="FA32" i="26"/>
  <c r="FA31" i="26"/>
  <c r="EX31" i="26"/>
  <c r="EU21" i="26"/>
  <c r="EU17" i="26"/>
  <c r="EX30" i="26"/>
  <c r="FD17" i="26"/>
  <c r="DB49" i="26"/>
  <c r="CV47" i="26"/>
  <c r="CV50" i="26"/>
  <c r="CV46" i="26"/>
  <c r="CV49" i="26"/>
  <c r="CV26" i="26"/>
  <c r="CV28" i="26"/>
  <c r="DE23" i="26"/>
  <c r="DB19" i="26"/>
  <c r="DB20" i="26"/>
  <c r="CS23" i="26"/>
  <c r="DB27" i="26"/>
  <c r="CV56" i="26"/>
  <c r="DB41" i="26"/>
  <c r="CV20" i="26"/>
  <c r="CS22" i="26"/>
  <c r="CV59" i="26"/>
  <c r="CV53" i="26"/>
  <c r="DB36" i="26"/>
  <c r="DB46" i="26"/>
  <c r="CV57" i="26"/>
  <c r="DB45" i="26"/>
  <c r="CY47" i="26"/>
  <c r="CV55" i="26"/>
  <c r="DB31" i="26"/>
  <c r="DB28" i="26"/>
  <c r="CV23" i="26"/>
  <c r="DE17" i="26"/>
  <c r="DE19" i="26"/>
  <c r="DB47" i="26"/>
  <c r="DB38" i="26"/>
  <c r="DB29" i="26"/>
  <c r="CS59" i="26"/>
  <c r="CS53" i="26"/>
  <c r="CY49" i="26"/>
  <c r="CY40" i="26"/>
  <c r="CY31" i="26"/>
  <c r="CV54" i="26"/>
  <c r="DB48" i="26"/>
  <c r="DB35" i="26"/>
  <c r="DB30" i="26"/>
  <c r="CS56" i="26"/>
  <c r="CY46" i="26"/>
  <c r="CY41" i="26"/>
  <c r="CY28" i="26"/>
  <c r="DH19" i="26"/>
  <c r="CV17" i="26"/>
  <c r="CV22" i="26"/>
  <c r="CS21" i="26"/>
  <c r="DE18" i="26"/>
  <c r="CS57" i="26"/>
  <c r="DB50" i="26"/>
  <c r="DB37" i="26"/>
  <c r="DB32" i="26"/>
  <c r="CS54" i="26"/>
  <c r="CY48" i="26"/>
  <c r="CY35" i="26"/>
  <c r="CY30" i="26"/>
  <c r="DH21" i="26"/>
  <c r="CV19" i="26"/>
  <c r="CS19" i="26"/>
  <c r="DH18" i="26"/>
  <c r="DE20" i="26"/>
  <c r="CS18" i="26"/>
  <c r="DH23" i="26"/>
  <c r="CS55" i="26"/>
  <c r="CY45" i="26"/>
  <c r="CY36" i="26"/>
  <c r="CY27" i="26"/>
  <c r="CY50" i="26"/>
  <c r="CY37" i="26"/>
  <c r="CY32" i="26"/>
  <c r="CV21" i="26"/>
  <c r="CS17" i="26"/>
  <c r="DH20" i="26"/>
  <c r="DE22" i="26"/>
  <c r="DH17" i="26"/>
  <c r="AT53" i="26"/>
  <c r="AQ55" i="26"/>
  <c r="AT54" i="26"/>
  <c r="AQ58" i="26"/>
  <c r="AT55" i="26"/>
  <c r="AQ57" i="26"/>
  <c r="AT56" i="26"/>
  <c r="AT57" i="26"/>
  <c r="AQ59" i="26"/>
  <c r="AT58" i="26"/>
  <c r="AQ54" i="26"/>
  <c r="AQ53" i="26"/>
  <c r="AW49" i="26"/>
  <c r="AW47" i="26"/>
  <c r="AW50" i="26"/>
  <c r="AW46" i="26"/>
  <c r="BF50" i="26"/>
  <c r="BF46" i="26"/>
  <c r="BC49" i="26"/>
  <c r="BC45" i="26"/>
  <c r="AZ48" i="26"/>
  <c r="AZ44" i="26"/>
  <c r="BF49" i="26"/>
  <c r="BF45" i="26"/>
  <c r="BC48" i="26"/>
  <c r="BC44" i="26"/>
  <c r="AZ47" i="26"/>
  <c r="BF48" i="26"/>
  <c r="BF44" i="26"/>
  <c r="BC47" i="26"/>
  <c r="AZ50" i="26"/>
  <c r="AZ46" i="26"/>
  <c r="AW45" i="26"/>
  <c r="BC50" i="26"/>
  <c r="AZ49" i="26"/>
  <c r="AW48" i="26"/>
  <c r="BC29" i="26"/>
  <c r="BC27" i="26"/>
  <c r="AT46" i="26"/>
  <c r="AT47" i="26"/>
  <c r="AT48" i="26"/>
  <c r="AT44" i="26"/>
  <c r="AT50" i="26"/>
  <c r="BF36" i="26"/>
  <c r="BF38" i="26"/>
  <c r="BC40" i="26"/>
  <c r="AZ35" i="26"/>
  <c r="AZ41" i="26"/>
  <c r="AZ37" i="26"/>
  <c r="AZ40" i="26"/>
  <c r="AQ49" i="26"/>
  <c r="AQ45" i="26"/>
  <c r="BC41" i="26"/>
  <c r="BC36" i="26"/>
  <c r="BC39" i="26"/>
  <c r="BC35" i="26"/>
  <c r="BC37" i="26"/>
  <c r="AQ47" i="26"/>
  <c r="AQ50" i="26"/>
  <c r="AQ46" i="26"/>
  <c r="AQ48" i="26"/>
  <c r="AQ42" i="26"/>
  <c r="BF31" i="26"/>
  <c r="AT40" i="26"/>
  <c r="AT36" i="26"/>
  <c r="BF27" i="26"/>
  <c r="BF30" i="26"/>
  <c r="BF32" i="26"/>
  <c r="AT38" i="26"/>
  <c r="AT41" i="26"/>
  <c r="BF26" i="26"/>
  <c r="BF28" i="26"/>
  <c r="AT37" i="26"/>
  <c r="AT39" i="26"/>
  <c r="AT29" i="26"/>
  <c r="AT30" i="26"/>
  <c r="AT26" i="26"/>
  <c r="AT27" i="26"/>
  <c r="AT31" i="26"/>
  <c r="AQ31" i="26"/>
  <c r="AW31" i="26"/>
  <c r="AW27" i="26"/>
  <c r="AQ27" i="26"/>
  <c r="AQ30" i="26"/>
  <c r="AQ32" i="26"/>
  <c r="AW29" i="26"/>
  <c r="AW32" i="26"/>
  <c r="AQ26" i="26"/>
  <c r="AQ28" i="26"/>
  <c r="AW28" i="26"/>
  <c r="AW30" i="26"/>
  <c r="AQ18" i="26"/>
  <c r="AQ19" i="26"/>
  <c r="L75" i="104"/>
  <c r="M75" i="104" s="1"/>
  <c r="N75" i="104" s="1"/>
  <c r="L53" i="104"/>
  <c r="M53" i="104" s="1"/>
  <c r="N53" i="104" s="1"/>
  <c r="O53" i="104" s="1"/>
  <c r="L65" i="104"/>
  <c r="M65" i="104" s="1"/>
  <c r="L63" i="104"/>
  <c r="M63" i="104" s="1"/>
  <c r="M61" i="104"/>
  <c r="N61" i="104" s="1"/>
  <c r="L73" i="104"/>
  <c r="M73" i="104" s="1"/>
  <c r="M95" i="104"/>
  <c r="L84" i="104"/>
  <c r="L71" i="104"/>
  <c r="M71" i="104" s="1"/>
  <c r="L59" i="104"/>
  <c r="L54" i="104"/>
  <c r="M54" i="104" s="1"/>
  <c r="L47" i="104"/>
  <c r="M47" i="104" s="1"/>
  <c r="K51" i="104"/>
  <c r="L51" i="104" s="1"/>
  <c r="K49" i="104"/>
  <c r="L49" i="104" s="1"/>
  <c r="K48" i="104"/>
  <c r="L48" i="104" s="1"/>
  <c r="M48" i="104" s="1"/>
  <c r="L46" i="104"/>
  <c r="M46" i="104" s="1"/>
  <c r="N46" i="104" s="1"/>
  <c r="K39" i="104"/>
  <c r="L39" i="104" s="1"/>
  <c r="M38" i="104"/>
  <c r="N38" i="104" s="1"/>
  <c r="K37" i="104"/>
  <c r="K35" i="104"/>
  <c r="L35" i="104" s="1"/>
  <c r="M35" i="104" s="1"/>
  <c r="K33" i="104"/>
  <c r="L33" i="104" s="1"/>
  <c r="N32" i="104"/>
  <c r="O32" i="104" s="1"/>
  <c r="P32" i="104" s="1"/>
  <c r="L27" i="104"/>
  <c r="M27" i="104" s="1"/>
  <c r="K24" i="104"/>
  <c r="L24" i="104" s="1"/>
  <c r="O30" i="104"/>
  <c r="K15" i="104"/>
  <c r="L7" i="104"/>
  <c r="K85" i="104"/>
  <c r="K76" i="104"/>
  <c r="L76" i="104" s="1"/>
  <c r="K72" i="104"/>
  <c r="L60" i="104"/>
  <c r="O56" i="104"/>
  <c r="L52" i="104"/>
  <c r="M52" i="104" s="1"/>
  <c r="O58" i="104"/>
  <c r="M13" i="104"/>
  <c r="M5" i="104"/>
  <c r="K79" i="104"/>
  <c r="K70" i="104"/>
  <c r="L68" i="104"/>
  <c r="M68" i="104" s="1"/>
  <c r="N68" i="104" s="1"/>
  <c r="K66" i="104"/>
  <c r="L66" i="104" s="1"/>
  <c r="N44" i="104"/>
  <c r="O44" i="104" s="1"/>
  <c r="K43" i="104"/>
  <c r="K25" i="104"/>
  <c r="N23" i="104"/>
  <c r="L22" i="104"/>
  <c r="K19" i="104"/>
  <c r="L17" i="104"/>
  <c r="M17" i="104" s="1"/>
  <c r="N16" i="104"/>
  <c r="O16" i="104" s="1"/>
  <c r="L8" i="104"/>
  <c r="M8" i="104" s="1"/>
  <c r="L101" i="104"/>
  <c r="K96" i="104"/>
  <c r="K99" i="104"/>
  <c r="L98" i="104"/>
  <c r="K91" i="104"/>
  <c r="L90" i="104"/>
  <c r="K89" i="104"/>
  <c r="K87" i="104"/>
  <c r="L86" i="104"/>
  <c r="L74" i="104"/>
  <c r="L69" i="104"/>
  <c r="M69" i="104" s="1"/>
  <c r="K67" i="104"/>
  <c r="K64" i="104"/>
  <c r="L50" i="104"/>
  <c r="K55" i="104"/>
  <c r="K57" i="104"/>
  <c r="L57" i="104" s="1"/>
  <c r="M45" i="104"/>
  <c r="L41" i="104"/>
  <c r="N40" i="104"/>
  <c r="N36" i="104"/>
  <c r="K42" i="104"/>
  <c r="L42" i="104" s="1"/>
  <c r="M31" i="104"/>
  <c r="N29" i="104"/>
  <c r="M21" i="104"/>
  <c r="M18" i="104"/>
  <c r="N18" i="104" s="1"/>
  <c r="L14" i="104"/>
  <c r="M14" i="104" s="1"/>
  <c r="L26" i="104"/>
  <c r="L6" i="104"/>
  <c r="M6" i="104" s="1"/>
  <c r="K4" i="104"/>
  <c r="M3" i="104"/>
  <c r="BR191" i="104" l="1"/>
  <c r="BS191" i="104" s="1"/>
  <c r="BU186" i="104"/>
  <c r="BV186" i="104" s="1"/>
  <c r="BK189" i="104"/>
  <c r="BN188" i="104"/>
  <c r="BO188" i="104" s="1"/>
  <c r="BP188" i="104" s="1"/>
  <c r="BQ188" i="104" s="1"/>
  <c r="BH187" i="104"/>
  <c r="BM185" i="104"/>
  <c r="BN185" i="104" s="1"/>
  <c r="BE184" i="104"/>
  <c r="BF183" i="104"/>
  <c r="BE182" i="104"/>
  <c r="BH181" i="104"/>
  <c r="BD180" i="104"/>
  <c r="BC179" i="104"/>
  <c r="BB178" i="104"/>
  <c r="AY177" i="104"/>
  <c r="AZ175" i="104"/>
  <c r="FD33" i="26"/>
  <c r="HL51" i="26"/>
  <c r="AU172" i="104"/>
  <c r="BA171" i="104"/>
  <c r="AR170" i="104"/>
  <c r="AT168" i="104"/>
  <c r="AV167" i="104"/>
  <c r="AP166" i="104"/>
  <c r="AP165" i="104"/>
  <c r="AL163" i="104"/>
  <c r="AN164" i="104"/>
  <c r="AL162" i="104"/>
  <c r="AI161" i="104"/>
  <c r="AM159" i="104"/>
  <c r="AI160" i="104"/>
  <c r="AJ158" i="104"/>
  <c r="AE157" i="104"/>
  <c r="AK156" i="104"/>
  <c r="AK155" i="104"/>
  <c r="AC154" i="104"/>
  <c r="AE112" i="104"/>
  <c r="Z132" i="104"/>
  <c r="AB130" i="104"/>
  <c r="AF135" i="104"/>
  <c r="AC109" i="104"/>
  <c r="AG124" i="104"/>
  <c r="AA144" i="104"/>
  <c r="AD150" i="104"/>
  <c r="AE127" i="104"/>
  <c r="AF141" i="104"/>
  <c r="AD117" i="104"/>
  <c r="AF131" i="104"/>
  <c r="AB122" i="104"/>
  <c r="AC106" i="104"/>
  <c r="AC125" i="104"/>
  <c r="AC152" i="104"/>
  <c r="AC133" i="104"/>
  <c r="Z148" i="104"/>
  <c r="AC107" i="104"/>
  <c r="AA134" i="104"/>
  <c r="AB116" i="104"/>
  <c r="AE121" i="104"/>
  <c r="AI123" i="104"/>
  <c r="AE147" i="104"/>
  <c r="AG151" i="104"/>
  <c r="AC113" i="104"/>
  <c r="AH115" i="104"/>
  <c r="AE119" i="104"/>
  <c r="AB120" i="104"/>
  <c r="AC149" i="104"/>
  <c r="AC143" i="104"/>
  <c r="AE137" i="104"/>
  <c r="AD118" i="104"/>
  <c r="AD142" i="104"/>
  <c r="AF136" i="104"/>
  <c r="AB140" i="104"/>
  <c r="AD145" i="104"/>
  <c r="AC110" i="104"/>
  <c r="AB146" i="104"/>
  <c r="AC114" i="104"/>
  <c r="AD108" i="104"/>
  <c r="AD111" i="104"/>
  <c r="AF128" i="104"/>
  <c r="AF153" i="104"/>
  <c r="AH126" i="104"/>
  <c r="AE139" i="104"/>
  <c r="AD138" i="104"/>
  <c r="AC129" i="104"/>
  <c r="L94" i="104"/>
  <c r="N28" i="104"/>
  <c r="O28" i="104" s="1"/>
  <c r="P28" i="104" s="1"/>
  <c r="L81" i="104"/>
  <c r="L83" i="104"/>
  <c r="M83" i="104" s="1"/>
  <c r="N83" i="104" s="1"/>
  <c r="O83" i="104" s="1"/>
  <c r="AB105" i="104"/>
  <c r="AC105" i="104" s="1"/>
  <c r="N95" i="104"/>
  <c r="O95" i="104" s="1"/>
  <c r="P95" i="104" s="1"/>
  <c r="L100" i="104"/>
  <c r="M100" i="104" s="1"/>
  <c r="N100" i="104" s="1"/>
  <c r="L93" i="104"/>
  <c r="L78" i="104"/>
  <c r="HL33" i="26"/>
  <c r="CS42" i="26"/>
  <c r="AZ33" i="26"/>
  <c r="AT24" i="26"/>
  <c r="EU42" i="26"/>
  <c r="FJ51" i="26"/>
  <c r="CY24" i="26"/>
  <c r="DE42" i="26"/>
  <c r="BC24" i="26"/>
  <c r="AW42" i="26"/>
  <c r="AW24" i="26"/>
  <c r="M97" i="104"/>
  <c r="O20" i="104"/>
  <c r="P20" i="104" s="1"/>
  <c r="T104" i="104"/>
  <c r="L88" i="104"/>
  <c r="L82" i="104"/>
  <c r="L80" i="104"/>
  <c r="GZ51" i="26"/>
  <c r="BF24" i="26"/>
  <c r="CS51" i="26"/>
  <c r="CS33" i="26"/>
  <c r="Q103" i="104"/>
  <c r="EU51" i="26"/>
  <c r="L102" i="104"/>
  <c r="M77" i="104"/>
  <c r="DH33" i="26"/>
  <c r="CV42" i="26"/>
  <c r="FG51" i="26"/>
  <c r="HI24" i="26"/>
  <c r="FJ24" i="26"/>
  <c r="HC24" i="26"/>
  <c r="DE33" i="26"/>
  <c r="AQ33" i="26"/>
  <c r="DH42" i="26"/>
  <c r="GZ42" i="26"/>
  <c r="DE51" i="26"/>
  <c r="P16" i="104"/>
  <c r="L25" i="104"/>
  <c r="M25" i="104" s="1"/>
  <c r="M33" i="104"/>
  <c r="N33" i="104" s="1"/>
  <c r="M39" i="104"/>
  <c r="N39" i="104" s="1"/>
  <c r="N54" i="104"/>
  <c r="O54" i="104" s="1"/>
  <c r="P54" i="104" s="1"/>
  <c r="N10" i="104"/>
  <c r="O10" i="104" s="1"/>
  <c r="P10" i="104" s="1"/>
  <c r="N11" i="104"/>
  <c r="O11" i="104" s="1"/>
  <c r="P11" i="104" s="1"/>
  <c r="O68" i="104"/>
  <c r="P68" i="104" s="1"/>
  <c r="M12" i="104"/>
  <c r="N12" i="104" s="1"/>
  <c r="O12" i="104" s="1"/>
  <c r="EU33" i="26"/>
  <c r="FG33" i="26"/>
  <c r="CV33" i="26"/>
  <c r="EU60" i="26"/>
  <c r="HF24" i="26"/>
  <c r="HL42" i="26"/>
  <c r="GZ24" i="26"/>
  <c r="FJ42" i="26"/>
  <c r="GW51" i="26"/>
  <c r="HF33" i="26"/>
  <c r="GZ33" i="26"/>
  <c r="DH51" i="26"/>
  <c r="CV51" i="26"/>
  <c r="CV60" i="26"/>
  <c r="DB51" i="26"/>
  <c r="CY51" i="26"/>
  <c r="EX24" i="26"/>
  <c r="FA51" i="26"/>
  <c r="FA24" i="26"/>
  <c r="FD51" i="26"/>
  <c r="AZ24" i="26"/>
  <c r="DB24" i="26"/>
  <c r="HC42" i="26"/>
  <c r="BC33" i="26"/>
  <c r="HF51" i="26"/>
  <c r="HI51" i="26"/>
  <c r="GW60" i="26"/>
  <c r="HI33" i="26"/>
  <c r="GW42" i="26"/>
  <c r="GW33" i="26"/>
  <c r="HF42" i="26"/>
  <c r="GZ60" i="26"/>
  <c r="HL24" i="26"/>
  <c r="HI42" i="26"/>
  <c r="FA42" i="26"/>
  <c r="FA33" i="26"/>
  <c r="FG24" i="26"/>
  <c r="EU24" i="26"/>
  <c r="EX60" i="26"/>
  <c r="FD24" i="26"/>
  <c r="EX33" i="26"/>
  <c r="FD42" i="26"/>
  <c r="DB33" i="26"/>
  <c r="CY33" i="26"/>
  <c r="DE24" i="26"/>
  <c r="CS24" i="26"/>
  <c r="DH24" i="26"/>
  <c r="CV24" i="26"/>
  <c r="CS60" i="26"/>
  <c r="CY42" i="26"/>
  <c r="DB42" i="26"/>
  <c r="AQ60" i="26"/>
  <c r="AT60" i="26"/>
  <c r="BF51" i="26"/>
  <c r="BC51" i="26"/>
  <c r="AW51" i="26"/>
  <c r="AZ51" i="26"/>
  <c r="AT51" i="26"/>
  <c r="BF42" i="26"/>
  <c r="AT33" i="26"/>
  <c r="AQ51" i="26"/>
  <c r="AZ42" i="26"/>
  <c r="BC42" i="26"/>
  <c r="AT42" i="26"/>
  <c r="BF33" i="26"/>
  <c r="AW33" i="26"/>
  <c r="AQ24" i="26"/>
  <c r="N73" i="104"/>
  <c r="N65" i="104"/>
  <c r="O65" i="104" s="1"/>
  <c r="N63" i="104"/>
  <c r="O63" i="104" s="1"/>
  <c r="P63" i="104" s="1"/>
  <c r="N48" i="104"/>
  <c r="O48" i="104" s="1"/>
  <c r="O61" i="104"/>
  <c r="P61" i="104" s="1"/>
  <c r="N52" i="104"/>
  <c r="O52" i="104" s="1"/>
  <c r="P52" i="104" s="1"/>
  <c r="Q52" i="104" s="1"/>
  <c r="P53" i="104"/>
  <c r="Q53" i="104" s="1"/>
  <c r="N71" i="104"/>
  <c r="O29" i="104"/>
  <c r="M50" i="104"/>
  <c r="N50" i="104" s="1"/>
  <c r="M74" i="104"/>
  <c r="N74" i="104" s="1"/>
  <c r="O75" i="104"/>
  <c r="P75" i="104" s="1"/>
  <c r="Q75" i="104" s="1"/>
  <c r="M86" i="104"/>
  <c r="L89" i="104"/>
  <c r="L91" i="104"/>
  <c r="M98" i="104"/>
  <c r="L43" i="104"/>
  <c r="M43" i="104" s="1"/>
  <c r="N5" i="104"/>
  <c r="P56" i="104"/>
  <c r="Q56" i="104" s="1"/>
  <c r="M60" i="104"/>
  <c r="N60" i="104" s="1"/>
  <c r="M76" i="104"/>
  <c r="N76" i="104" s="1"/>
  <c r="O76" i="104" s="1"/>
  <c r="L4" i="104"/>
  <c r="N17" i="104"/>
  <c r="O17" i="104" s="1"/>
  <c r="M51" i="104"/>
  <c r="M49" i="104"/>
  <c r="N49" i="104" s="1"/>
  <c r="M59" i="104"/>
  <c r="N14" i="104"/>
  <c r="O14" i="104" s="1"/>
  <c r="O40" i="104"/>
  <c r="P40" i="104" s="1"/>
  <c r="N6" i="104"/>
  <c r="M42" i="104"/>
  <c r="N42" i="104" s="1"/>
  <c r="L64" i="104"/>
  <c r="M101" i="104"/>
  <c r="L79" i="104"/>
  <c r="O23" i="104"/>
  <c r="P23" i="104" s="1"/>
  <c r="P44" i="104"/>
  <c r="P58" i="104"/>
  <c r="L72" i="104"/>
  <c r="M72" i="104" s="1"/>
  <c r="N72" i="104" s="1"/>
  <c r="L15" i="104"/>
  <c r="M22" i="104"/>
  <c r="N35" i="104"/>
  <c r="M41" i="104"/>
  <c r="N41" i="104" s="1"/>
  <c r="O38" i="104"/>
  <c r="P34" i="104"/>
  <c r="P62" i="104"/>
  <c r="M84" i="104"/>
  <c r="O36" i="104"/>
  <c r="L87" i="104"/>
  <c r="M90" i="104"/>
  <c r="N21" i="104"/>
  <c r="N27" i="104"/>
  <c r="O27" i="104" s="1"/>
  <c r="O46" i="104"/>
  <c r="P46" i="104" s="1"/>
  <c r="Q46" i="104" s="1"/>
  <c r="M24" i="104"/>
  <c r="N24" i="104" s="1"/>
  <c r="L19" i="104"/>
  <c r="M19" i="104" s="1"/>
  <c r="L67" i="104"/>
  <c r="M7" i="104"/>
  <c r="N13" i="104"/>
  <c r="O13" i="104" s="1"/>
  <c r="P30" i="104"/>
  <c r="O18" i="104"/>
  <c r="N31" i="104"/>
  <c r="M26" i="104"/>
  <c r="N26" i="104" s="1"/>
  <c r="M92" i="104"/>
  <c r="L99" i="104"/>
  <c r="N8" i="104"/>
  <c r="M66" i="104"/>
  <c r="L96" i="104"/>
  <c r="Q9" i="104"/>
  <c r="L55" i="104"/>
  <c r="M55" i="104" s="1"/>
  <c r="L70" i="104"/>
  <c r="L85" i="104"/>
  <c r="N3" i="104"/>
  <c r="Q32" i="104"/>
  <c r="N45" i="104"/>
  <c r="L37" i="104"/>
  <c r="N47" i="104"/>
  <c r="O47" i="104" s="1"/>
  <c r="M57" i="104"/>
  <c r="N69" i="104"/>
  <c r="BW283" i="104" l="1"/>
  <c r="BW280" i="104"/>
  <c r="BW260" i="104"/>
  <c r="BW286" i="104"/>
  <c r="BW288" i="104"/>
  <c r="BW263" i="104"/>
  <c r="BW275" i="104"/>
  <c r="BW297" i="104"/>
  <c r="BW290" i="104"/>
  <c r="BW269" i="104"/>
  <c r="BW265" i="104"/>
  <c r="BT191" i="104"/>
  <c r="BU191" i="104" s="1"/>
  <c r="BV191" i="104" s="1"/>
  <c r="BW271" i="104"/>
  <c r="BW274" i="104"/>
  <c r="BW258" i="104"/>
  <c r="BW298" i="104"/>
  <c r="BW293" i="104"/>
  <c r="BW285" i="104"/>
  <c r="BW299" i="104"/>
  <c r="BW268" i="104"/>
  <c r="BW284" i="104"/>
  <c r="BW295" i="104"/>
  <c r="BW273" i="104"/>
  <c r="BW301" i="104"/>
  <c r="BW270" i="104"/>
  <c r="BW292" i="104"/>
  <c r="BW289" i="104"/>
  <c r="BW276" i="104"/>
  <c r="BW281" i="104"/>
  <c r="BW278" i="104"/>
  <c r="BW259" i="104"/>
  <c r="BW296" i="104"/>
  <c r="BW291" i="104"/>
  <c r="BW287" i="104"/>
  <c r="BW262" i="104"/>
  <c r="BW300" i="104"/>
  <c r="BW267" i="104"/>
  <c r="BW277" i="104"/>
  <c r="BW294" i="104"/>
  <c r="BW261" i="104"/>
  <c r="BW302" i="104"/>
  <c r="BW266" i="104"/>
  <c r="BW264" i="104"/>
  <c r="BW279" i="104"/>
  <c r="BW282" i="104"/>
  <c r="BW272" i="104"/>
  <c r="BL189" i="104"/>
  <c r="BR188" i="104"/>
  <c r="BI187" i="104"/>
  <c r="BJ187" i="104" s="1"/>
  <c r="BK187" i="104" s="1"/>
  <c r="BL187" i="104" s="1"/>
  <c r="BM187" i="104" s="1"/>
  <c r="BO185" i="104"/>
  <c r="BF184" i="104"/>
  <c r="BG183" i="104"/>
  <c r="BF182" i="104"/>
  <c r="BI181" i="104"/>
  <c r="BE180" i="104"/>
  <c r="BD179" i="104"/>
  <c r="BC178" i="104"/>
  <c r="AZ177" i="104"/>
  <c r="AY176" i="104"/>
  <c r="BA175" i="104"/>
  <c r="AW173" i="104"/>
  <c r="AV172" i="104"/>
  <c r="BB171" i="104"/>
  <c r="AS170" i="104"/>
  <c r="AT169" i="104"/>
  <c r="AU168" i="104"/>
  <c r="AW167" i="104"/>
  <c r="AQ166" i="104"/>
  <c r="AQ165" i="104"/>
  <c r="AM163" i="104"/>
  <c r="AO164" i="104"/>
  <c r="AM162" i="104"/>
  <c r="AJ161" i="104"/>
  <c r="AN159" i="104"/>
  <c r="AJ160" i="104"/>
  <c r="AK158" i="104"/>
  <c r="AF157" i="104"/>
  <c r="AD154" i="104"/>
  <c r="AH151" i="104"/>
  <c r="AF147" i="104"/>
  <c r="AB134" i="104"/>
  <c r="AD125" i="104"/>
  <c r="AG131" i="104"/>
  <c r="AE150" i="104"/>
  <c r="AD109" i="104"/>
  <c r="AG135" i="104"/>
  <c r="AD110" i="104"/>
  <c r="AD143" i="104"/>
  <c r="AF119" i="104"/>
  <c r="AI115" i="104"/>
  <c r="AD113" i="104"/>
  <c r="AJ123" i="104"/>
  <c r="AC116" i="104"/>
  <c r="AD133" i="104"/>
  <c r="AD152" i="104"/>
  <c r="AF127" i="104"/>
  <c r="AH124" i="104"/>
  <c r="AC130" i="104"/>
  <c r="AA132" i="104"/>
  <c r="AF112" i="104"/>
  <c r="AE111" i="104"/>
  <c r="AC140" i="104"/>
  <c r="AF137" i="104"/>
  <c r="AD129" i="104"/>
  <c r="AG153" i="104"/>
  <c r="AG128" i="104"/>
  <c r="AE108" i="104"/>
  <c r="AD114" i="104"/>
  <c r="AE145" i="104"/>
  <c r="AG136" i="104"/>
  <c r="AE142" i="104"/>
  <c r="AF121" i="104"/>
  <c r="AD107" i="104"/>
  <c r="AA148" i="104"/>
  <c r="AC122" i="104"/>
  <c r="AB144" i="104"/>
  <c r="AE118" i="104"/>
  <c r="AC120" i="104"/>
  <c r="AE138" i="104"/>
  <c r="AF139" i="104"/>
  <c r="AI126" i="104"/>
  <c r="AC146" i="104"/>
  <c r="AD149" i="104"/>
  <c r="AD106" i="104"/>
  <c r="AE117" i="104"/>
  <c r="AG141" i="104"/>
  <c r="M78" i="104"/>
  <c r="AD105" i="104"/>
  <c r="M94" i="104"/>
  <c r="N94" i="104" s="1"/>
  <c r="M81" i="104"/>
  <c r="N81" i="104" s="1"/>
  <c r="M88" i="104"/>
  <c r="N97" i="104"/>
  <c r="O97" i="104" s="1"/>
  <c r="P97" i="104" s="1"/>
  <c r="M93" i="104"/>
  <c r="O33" i="104"/>
  <c r="P33" i="104" s="1"/>
  <c r="Q10" i="104"/>
  <c r="R10" i="104" s="1"/>
  <c r="N84" i="104"/>
  <c r="O84" i="104" s="1"/>
  <c r="N86" i="104"/>
  <c r="N98" i="104"/>
  <c r="O98" i="104" s="1"/>
  <c r="N77" i="104"/>
  <c r="M80" i="104"/>
  <c r="M85" i="104"/>
  <c r="N85" i="104" s="1"/>
  <c r="O85" i="104" s="1"/>
  <c r="Q16" i="104"/>
  <c r="R16" i="104" s="1"/>
  <c r="S16" i="104" s="1"/>
  <c r="M102" i="104"/>
  <c r="N102" i="104" s="1"/>
  <c r="O102" i="104" s="1"/>
  <c r="P102" i="104" s="1"/>
  <c r="U104" i="104"/>
  <c r="V104" i="104" s="1"/>
  <c r="W104" i="104" s="1"/>
  <c r="M91" i="104"/>
  <c r="P48" i="104"/>
  <c r="Q48" i="104" s="1"/>
  <c r="M82" i="104"/>
  <c r="N82" i="104" s="1"/>
  <c r="O82" i="104" s="1"/>
  <c r="R103" i="104"/>
  <c r="Q61" i="104"/>
  <c r="R61" i="104" s="1"/>
  <c r="N25" i="104"/>
  <c r="O25" i="104" s="1"/>
  <c r="P25" i="104" s="1"/>
  <c r="P65" i="104"/>
  <c r="Q65" i="104" s="1"/>
  <c r="O71" i="104"/>
  <c r="P71" i="104" s="1"/>
  <c r="Q71" i="104" s="1"/>
  <c r="O73" i="104"/>
  <c r="R52" i="104"/>
  <c r="S52" i="104" s="1"/>
  <c r="O60" i="104"/>
  <c r="P60" i="104" s="1"/>
  <c r="P47" i="104"/>
  <c r="Q28" i="104"/>
  <c r="N66" i="104"/>
  <c r="P76" i="104"/>
  <c r="Q76" i="104" s="1"/>
  <c r="O24" i="104"/>
  <c r="P24" i="104" s="1"/>
  <c r="Q24" i="104" s="1"/>
  <c r="O100" i="104"/>
  <c r="R46" i="104"/>
  <c r="S46" i="104" s="1"/>
  <c r="M87" i="104"/>
  <c r="P38" i="104"/>
  <c r="P13" i="104"/>
  <c r="Q13" i="104" s="1"/>
  <c r="M79" i="104"/>
  <c r="N51" i="104"/>
  <c r="R56" i="104"/>
  <c r="P17" i="104"/>
  <c r="Q17" i="104" s="1"/>
  <c r="N43" i="104"/>
  <c r="O43" i="104" s="1"/>
  <c r="P43" i="104" s="1"/>
  <c r="Q23" i="104"/>
  <c r="R23" i="104" s="1"/>
  <c r="S23" i="104" s="1"/>
  <c r="M89" i="104"/>
  <c r="O50" i="104"/>
  <c r="P50" i="104" s="1"/>
  <c r="M4" i="104"/>
  <c r="N101" i="104"/>
  <c r="Q11" i="104"/>
  <c r="R11" i="104" s="1"/>
  <c r="Q30" i="104"/>
  <c r="R30" i="104" s="1"/>
  <c r="M67" i="104"/>
  <c r="N67" i="104" s="1"/>
  <c r="N57" i="104"/>
  <c r="O57" i="104" s="1"/>
  <c r="P57" i="104" s="1"/>
  <c r="R32" i="104"/>
  <c r="S32" i="104" s="1"/>
  <c r="T32" i="104" s="1"/>
  <c r="O41" i="104"/>
  <c r="O42" i="104"/>
  <c r="P36" i="104"/>
  <c r="Q36" i="104" s="1"/>
  <c r="Q95" i="104"/>
  <c r="P12" i="104"/>
  <c r="M37" i="104"/>
  <c r="N37" i="104" s="1"/>
  <c r="O39" i="104"/>
  <c r="N22" i="104"/>
  <c r="O22" i="104" s="1"/>
  <c r="P22" i="104" s="1"/>
  <c r="N7" i="104"/>
  <c r="R53" i="104"/>
  <c r="O74" i="104"/>
  <c r="Q20" i="104"/>
  <c r="N92" i="104"/>
  <c r="O31" i="104"/>
  <c r="Q54" i="104"/>
  <c r="O35" i="104"/>
  <c r="P18" i="104"/>
  <c r="Q18" i="104" s="1"/>
  <c r="M15" i="104"/>
  <c r="Q40" i="104"/>
  <c r="N59" i="104"/>
  <c r="O49" i="104"/>
  <c r="O5" i="104"/>
  <c r="Q44" i="104"/>
  <c r="O45" i="104"/>
  <c r="P45" i="104" s="1"/>
  <c r="M99" i="104"/>
  <c r="P83" i="104"/>
  <c r="P29" i="104"/>
  <c r="O72" i="104"/>
  <c r="P72" i="104" s="1"/>
  <c r="R9" i="104"/>
  <c r="M70" i="104"/>
  <c r="P27" i="104"/>
  <c r="M96" i="104"/>
  <c r="N55" i="104"/>
  <c r="O8" i="104"/>
  <c r="O3" i="104"/>
  <c r="R75" i="104"/>
  <c r="O26" i="104"/>
  <c r="P26" i="104" s="1"/>
  <c r="N90" i="104"/>
  <c r="Q63" i="104"/>
  <c r="Q58" i="104"/>
  <c r="O69" i="104"/>
  <c r="M64" i="104"/>
  <c r="O6" i="104"/>
  <c r="P14" i="104"/>
  <c r="N19" i="104"/>
  <c r="O21" i="104"/>
  <c r="Q62" i="104"/>
  <c r="Q68" i="104"/>
  <c r="Q34" i="104"/>
  <c r="EF82" i="97"/>
  <c r="EG82" i="97"/>
  <c r="EH82" i="97"/>
  <c r="EI82" i="97"/>
  <c r="EN82" i="97"/>
  <c r="EO82" i="97"/>
  <c r="EP82" i="97"/>
  <c r="EQ82" i="97"/>
  <c r="CZ79" i="97"/>
  <c r="DA79" i="97"/>
  <c r="DB79" i="97"/>
  <c r="DD79" i="97"/>
  <c r="DE79" i="97"/>
  <c r="DF79" i="97"/>
  <c r="BP82" i="97"/>
  <c r="BR82" i="97"/>
  <c r="BS82" i="97"/>
  <c r="BT82" i="97"/>
  <c r="BU82" i="97"/>
  <c r="BW82" i="97"/>
  <c r="BX82" i="97"/>
  <c r="BY82" i="97"/>
  <c r="K82" i="97"/>
  <c r="M82" i="97"/>
  <c r="N82" i="97"/>
  <c r="O82" i="97"/>
  <c r="P82" i="97"/>
  <c r="R82" i="97"/>
  <c r="S82" i="97"/>
  <c r="T82" i="97"/>
  <c r="BR272" i="104" l="1"/>
  <c r="BR302" i="104"/>
  <c r="BR293" i="104"/>
  <c r="BR261" i="104"/>
  <c r="BR301" i="104"/>
  <c r="BR290" i="104"/>
  <c r="BR292" i="104"/>
  <c r="BR284" i="104"/>
  <c r="BR258" i="104"/>
  <c r="BR277" i="104"/>
  <c r="BR270" i="104"/>
  <c r="BR278" i="104"/>
  <c r="BR280" i="104"/>
  <c r="BR276" i="104"/>
  <c r="BR297" i="104"/>
  <c r="BR274" i="104"/>
  <c r="BR260" i="104"/>
  <c r="BR262" i="104"/>
  <c r="BR271" i="104"/>
  <c r="BR264" i="104"/>
  <c r="BR285" i="104"/>
  <c r="BR273" i="104"/>
  <c r="BR294" i="104"/>
  <c r="BR279" i="104"/>
  <c r="BR263" i="104"/>
  <c r="BR286" i="104"/>
  <c r="BR288" i="104"/>
  <c r="BR267" i="104"/>
  <c r="BR295" i="104"/>
  <c r="BR300" i="104"/>
  <c r="BR269" i="104"/>
  <c r="BR281" i="104"/>
  <c r="BR299" i="104"/>
  <c r="BR287" i="104"/>
  <c r="BR282" i="104"/>
  <c r="BR289" i="104"/>
  <c r="BR275" i="104"/>
  <c r="BR296" i="104"/>
  <c r="BR268" i="104"/>
  <c r="BR266" i="104"/>
  <c r="BR283" i="104"/>
  <c r="BR291" i="104"/>
  <c r="BR259" i="104"/>
  <c r="BR265" i="104"/>
  <c r="BR298" i="104"/>
  <c r="BW303" i="104"/>
  <c r="BO190" i="104"/>
  <c r="BM189" i="104"/>
  <c r="BN189" i="104" s="1"/>
  <c r="BO189" i="104" s="1"/>
  <c r="BP189" i="104" s="1"/>
  <c r="BQ189" i="104" s="1"/>
  <c r="BR189" i="104" s="1"/>
  <c r="BS188" i="104"/>
  <c r="BT188" i="104" s="1"/>
  <c r="BU188" i="104" s="1"/>
  <c r="BV188" i="104" s="1"/>
  <c r="BN187" i="104"/>
  <c r="BP185" i="104"/>
  <c r="BQ185" i="104" s="1"/>
  <c r="BG184" i="104"/>
  <c r="BH183" i="104"/>
  <c r="BG182" i="104"/>
  <c r="BJ181" i="104"/>
  <c r="BF180" i="104"/>
  <c r="BE179" i="104"/>
  <c r="BD178" i="104"/>
  <c r="BE178" i="104" s="1"/>
  <c r="BA177" i="104"/>
  <c r="AZ176" i="104"/>
  <c r="BB175" i="104"/>
  <c r="AY174" i="104"/>
  <c r="Q82" i="97"/>
  <c r="AX173" i="104"/>
  <c r="AW172" i="104"/>
  <c r="BC171" i="104"/>
  <c r="AT170" i="104"/>
  <c r="AU169" i="104"/>
  <c r="AV168" i="104"/>
  <c r="AX167" i="104"/>
  <c r="AR166" i="104"/>
  <c r="AR165" i="104"/>
  <c r="AP164" i="104"/>
  <c r="AN163" i="104"/>
  <c r="AN162" i="104"/>
  <c r="AK161" i="104"/>
  <c r="AK160" i="104"/>
  <c r="AO159" i="104"/>
  <c r="AL158" i="104"/>
  <c r="AG157" i="104"/>
  <c r="AE154" i="104"/>
  <c r="AL155" i="104"/>
  <c r="AG139" i="104"/>
  <c r="AG121" i="104"/>
  <c r="AF111" i="104"/>
  <c r="AE133" i="104"/>
  <c r="AJ115" i="104"/>
  <c r="AG119" i="104"/>
  <c r="AE109" i="104"/>
  <c r="AF145" i="104"/>
  <c r="AH153" i="104"/>
  <c r="AG127" i="104"/>
  <c r="AE152" i="104"/>
  <c r="AK123" i="104"/>
  <c r="AE113" i="104"/>
  <c r="AE143" i="104"/>
  <c r="AH135" i="104"/>
  <c r="AF150" i="104"/>
  <c r="AF117" i="104"/>
  <c r="AB148" i="104"/>
  <c r="AD120" i="104"/>
  <c r="AF142" i="104"/>
  <c r="AH136" i="104"/>
  <c r="AE114" i="104"/>
  <c r="AF108" i="104"/>
  <c r="AH128" i="104"/>
  <c r="AG112" i="104"/>
  <c r="AE110" i="104"/>
  <c r="AC144" i="104"/>
  <c r="AE107" i="104"/>
  <c r="AD140" i="104"/>
  <c r="AB132" i="104"/>
  <c r="AE106" i="104"/>
  <c r="AJ126" i="104"/>
  <c r="AH141" i="104"/>
  <c r="AE149" i="104"/>
  <c r="AD146" i="104"/>
  <c r="AF138" i="104"/>
  <c r="AF118" i="104"/>
  <c r="AD122" i="104"/>
  <c r="AE129" i="104"/>
  <c r="AG137" i="104"/>
  <c r="AD130" i="104"/>
  <c r="AI124" i="104"/>
  <c r="AD116" i="104"/>
  <c r="AH131" i="104"/>
  <c r="AE125" i="104"/>
  <c r="AC134" i="104"/>
  <c r="AG147" i="104"/>
  <c r="AI151" i="104"/>
  <c r="O90" i="104"/>
  <c r="P90" i="104" s="1"/>
  <c r="N91" i="104"/>
  <c r="O91" i="104" s="1"/>
  <c r="N93" i="104"/>
  <c r="O93" i="104" s="1"/>
  <c r="N88" i="104"/>
  <c r="O88" i="104" s="1"/>
  <c r="O86" i="104"/>
  <c r="P86" i="104" s="1"/>
  <c r="AE105" i="104"/>
  <c r="N78" i="104"/>
  <c r="R65" i="104"/>
  <c r="S65" i="104" s="1"/>
  <c r="Q33" i="104"/>
  <c r="R33" i="104" s="1"/>
  <c r="S10" i="104"/>
  <c r="T10" i="104" s="1"/>
  <c r="U10" i="104" s="1"/>
  <c r="Q97" i="104"/>
  <c r="P82" i="104"/>
  <c r="N87" i="104"/>
  <c r="O87" i="104" s="1"/>
  <c r="X104" i="104"/>
  <c r="Y104" i="104" s="1"/>
  <c r="O77" i="104"/>
  <c r="N79" i="104"/>
  <c r="O79" i="104" s="1"/>
  <c r="P79" i="104" s="1"/>
  <c r="N80" i="104"/>
  <c r="R18" i="104"/>
  <c r="S18" i="104" s="1"/>
  <c r="S103" i="104"/>
  <c r="N89" i="104"/>
  <c r="Q102" i="104"/>
  <c r="Q47" i="104"/>
  <c r="R47" i="104" s="1"/>
  <c r="S47" i="104" s="1"/>
  <c r="O67" i="104"/>
  <c r="P73" i="104"/>
  <c r="Q72" i="104"/>
  <c r="P21" i="104"/>
  <c r="Q21" i="104" s="1"/>
  <c r="Q14" i="104"/>
  <c r="Q60" i="104"/>
  <c r="Q25" i="104"/>
  <c r="Q50" i="104"/>
  <c r="R50" i="104" s="1"/>
  <c r="T23" i="104"/>
  <c r="Q22" i="104"/>
  <c r="R22" i="104" s="1"/>
  <c r="O92" i="104"/>
  <c r="O66" i="104"/>
  <c r="S9" i="104"/>
  <c r="T9" i="104" s="1"/>
  <c r="U9" i="104" s="1"/>
  <c r="N70" i="104"/>
  <c r="R24" i="104"/>
  <c r="P35" i="104"/>
  <c r="Q35" i="104" s="1"/>
  <c r="R68" i="104"/>
  <c r="S68" i="104" s="1"/>
  <c r="R58" i="104"/>
  <c r="P31" i="104"/>
  <c r="Q31" i="104" s="1"/>
  <c r="R31" i="104" s="1"/>
  <c r="P8" i="104"/>
  <c r="P85" i="104"/>
  <c r="P39" i="104"/>
  <c r="R36" i="104"/>
  <c r="S30" i="104"/>
  <c r="S11" i="104"/>
  <c r="T11" i="104" s="1"/>
  <c r="R44" i="104"/>
  <c r="N99" i="104"/>
  <c r="P6" i="104"/>
  <c r="T52" i="104"/>
  <c r="U52" i="104" s="1"/>
  <c r="U32" i="104"/>
  <c r="V32" i="104" s="1"/>
  <c r="O7" i="104"/>
  <c r="P7" i="104" s="1"/>
  <c r="R34" i="104"/>
  <c r="O81" i="104"/>
  <c r="R95" i="104"/>
  <c r="R17" i="104"/>
  <c r="P49" i="104"/>
  <c r="R76" i="104"/>
  <c r="S76" i="104" s="1"/>
  <c r="O55" i="104"/>
  <c r="P55" i="104" s="1"/>
  <c r="P42" i="104"/>
  <c r="P41" i="104"/>
  <c r="P84" i="104"/>
  <c r="Q83" i="104"/>
  <c r="R83" i="104" s="1"/>
  <c r="O37" i="104"/>
  <c r="R20" i="104"/>
  <c r="S20" i="104" s="1"/>
  <c r="S53" i="104"/>
  <c r="N4" i="104"/>
  <c r="O4" i="104" s="1"/>
  <c r="S56" i="104"/>
  <c r="T56" i="104" s="1"/>
  <c r="T46" i="104"/>
  <c r="P100" i="104"/>
  <c r="R13" i="104"/>
  <c r="R40" i="104"/>
  <c r="Q43" i="104"/>
  <c r="O19" i="104"/>
  <c r="R54" i="104"/>
  <c r="S54" i="104" s="1"/>
  <c r="R48" i="104"/>
  <c r="P3" i="104"/>
  <c r="Q3" i="104" s="1"/>
  <c r="R3" i="104" s="1"/>
  <c r="Q29" i="104"/>
  <c r="R29" i="104" s="1"/>
  <c r="Q26" i="104"/>
  <c r="R71" i="104"/>
  <c r="P98" i="104"/>
  <c r="T16" i="104"/>
  <c r="S75" i="104"/>
  <c r="R62" i="104"/>
  <c r="S62" i="104" s="1"/>
  <c r="S61" i="104"/>
  <c r="T61" i="104" s="1"/>
  <c r="O59" i="104"/>
  <c r="P5" i="104"/>
  <c r="Q12" i="104"/>
  <c r="P69" i="104"/>
  <c r="Q57" i="104"/>
  <c r="O101" i="104"/>
  <c r="O51" i="104"/>
  <c r="N15" i="104"/>
  <c r="N96" i="104"/>
  <c r="R63" i="104"/>
  <c r="S63" i="104" s="1"/>
  <c r="P74" i="104"/>
  <c r="R28" i="104"/>
  <c r="Q45" i="104"/>
  <c r="N64" i="104"/>
  <c r="Q27" i="104"/>
  <c r="O94" i="104"/>
  <c r="Q38" i="104"/>
  <c r="R38" i="104" s="1"/>
  <c r="DC79" i="97"/>
  <c r="L82" i="97"/>
  <c r="BV82" i="97"/>
  <c r="BQ82" i="97"/>
  <c r="CY79" i="97"/>
  <c r="EM82" i="97"/>
  <c r="EE82" i="97"/>
  <c r="BR303" i="104" l="1"/>
  <c r="BP190" i="104"/>
  <c r="BQ190" i="104" s="1"/>
  <c r="BR190" i="104" s="1"/>
  <c r="BS190" i="104" s="1"/>
  <c r="BU283" i="104"/>
  <c r="BU266" i="104"/>
  <c r="BU271" i="104"/>
  <c r="BU296" i="104"/>
  <c r="BU299" i="104"/>
  <c r="BU277" i="104"/>
  <c r="BU258" i="104"/>
  <c r="BU293" i="104"/>
  <c r="BU275" i="104"/>
  <c r="BU264" i="104"/>
  <c r="BU288" i="104"/>
  <c r="BU284" i="104"/>
  <c r="BU290" i="104"/>
  <c r="BU292" i="104"/>
  <c r="BU273" i="104"/>
  <c r="BU265" i="104"/>
  <c r="BU295" i="104"/>
  <c r="BU297" i="104"/>
  <c r="BU268" i="104"/>
  <c r="BU285" i="104"/>
  <c r="BU272" i="104"/>
  <c r="BU279" i="104"/>
  <c r="BU261" i="104"/>
  <c r="BU302" i="104"/>
  <c r="BU281" i="104"/>
  <c r="BU294" i="104"/>
  <c r="BU276" i="104"/>
  <c r="BU270" i="104"/>
  <c r="BU291" i="104"/>
  <c r="BU260" i="104"/>
  <c r="BU301" i="104"/>
  <c r="BU286" i="104"/>
  <c r="BU282" i="104"/>
  <c r="BU280" i="104"/>
  <c r="BU289" i="104"/>
  <c r="BU278" i="104"/>
  <c r="BU269" i="104"/>
  <c r="BU300" i="104"/>
  <c r="BU262" i="104"/>
  <c r="BU298" i="104"/>
  <c r="BU287" i="104"/>
  <c r="BU274" i="104"/>
  <c r="BU267" i="104"/>
  <c r="BU259" i="104"/>
  <c r="BU263" i="104"/>
  <c r="BS189" i="104"/>
  <c r="BT189" i="104" s="1"/>
  <c r="BU189" i="104" s="1"/>
  <c r="BV189" i="104" s="1"/>
  <c r="BO187" i="104"/>
  <c r="BP187" i="104" s="1"/>
  <c r="BQ187" i="104" s="1"/>
  <c r="BR185" i="104"/>
  <c r="BS185" i="104" s="1"/>
  <c r="BT185" i="104" s="1"/>
  <c r="BU185" i="104" s="1"/>
  <c r="BV185" i="104" s="1"/>
  <c r="BH184" i="104"/>
  <c r="BI184" i="104" s="1"/>
  <c r="BJ184" i="104" s="1"/>
  <c r="BK184" i="104" s="1"/>
  <c r="BL184" i="104" s="1"/>
  <c r="BI183" i="104"/>
  <c r="BH182" i="104"/>
  <c r="BK181" i="104"/>
  <c r="BG180" i="104"/>
  <c r="BF179" i="104"/>
  <c r="BG179" i="104" s="1"/>
  <c r="BH179" i="104" s="1"/>
  <c r="BI179" i="104" s="1"/>
  <c r="BJ179" i="104" s="1"/>
  <c r="BK179" i="104" s="1"/>
  <c r="BA176" i="104"/>
  <c r="BB177" i="104"/>
  <c r="AZ174" i="104"/>
  <c r="BA174" i="104" s="1"/>
  <c r="AY173" i="104"/>
  <c r="AX172" i="104"/>
  <c r="BD171" i="104"/>
  <c r="AU170" i="104"/>
  <c r="AV169" i="104"/>
  <c r="AW168" i="104"/>
  <c r="AY167" i="104"/>
  <c r="AS166" i="104"/>
  <c r="AS165" i="104"/>
  <c r="AO163" i="104"/>
  <c r="AQ164" i="104"/>
  <c r="AO162" i="104"/>
  <c r="AL161" i="104"/>
  <c r="AL160" i="104"/>
  <c r="AP159" i="104"/>
  <c r="AM158" i="104"/>
  <c r="AH157" i="104"/>
  <c r="AL156" i="104"/>
  <c r="AF154" i="104"/>
  <c r="AM155" i="104"/>
  <c r="AH147" i="104"/>
  <c r="AE116" i="104"/>
  <c r="AE122" i="104"/>
  <c r="AE146" i="104"/>
  <c r="AI141" i="104"/>
  <c r="AF106" i="104"/>
  <c r="AH112" i="104"/>
  <c r="AI128" i="104"/>
  <c r="AG108" i="104"/>
  <c r="AI135" i="104"/>
  <c r="AF143" i="104"/>
  <c r="AL123" i="104"/>
  <c r="AF152" i="104"/>
  <c r="AI131" i="104"/>
  <c r="AE130" i="104"/>
  <c r="AG118" i="104"/>
  <c r="AG138" i="104"/>
  <c r="AC132" i="104"/>
  <c r="AD144" i="104"/>
  <c r="AI136" i="104"/>
  <c r="AG117" i="104"/>
  <c r="AF113" i="104"/>
  <c r="AH119" i="104"/>
  <c r="AF133" i="104"/>
  <c r="AK126" i="104"/>
  <c r="AF107" i="104"/>
  <c r="AF110" i="104"/>
  <c r="AF114" i="104"/>
  <c r="AE120" i="104"/>
  <c r="AG150" i="104"/>
  <c r="AI153" i="104"/>
  <c r="AG145" i="104"/>
  <c r="AF109" i="104"/>
  <c r="AK115" i="104"/>
  <c r="AH139" i="104"/>
  <c r="AD134" i="104"/>
  <c r="AF129" i="104"/>
  <c r="AJ151" i="104"/>
  <c r="AF125" i="104"/>
  <c r="AJ124" i="104"/>
  <c r="AH137" i="104"/>
  <c r="AF149" i="104"/>
  <c r="AE140" i="104"/>
  <c r="AG142" i="104"/>
  <c r="AC148" i="104"/>
  <c r="AH127" i="104"/>
  <c r="AG111" i="104"/>
  <c r="AH121" i="104"/>
  <c r="P93" i="104"/>
  <c r="Q93" i="104" s="1"/>
  <c r="R93" i="104" s="1"/>
  <c r="S93" i="104" s="1"/>
  <c r="Q98" i="104"/>
  <c r="R98" i="104" s="1"/>
  <c r="O78" i="104"/>
  <c r="AF105" i="104"/>
  <c r="O89" i="104"/>
  <c r="P89" i="104" s="1"/>
  <c r="P67" i="104"/>
  <c r="Q67" i="104" s="1"/>
  <c r="R67" i="104" s="1"/>
  <c r="S67" i="104" s="1"/>
  <c r="T67" i="104" s="1"/>
  <c r="O80" i="104"/>
  <c r="P77" i="104"/>
  <c r="P101" i="104"/>
  <c r="Z104" i="104"/>
  <c r="AA104" i="104" s="1"/>
  <c r="AB104" i="104" s="1"/>
  <c r="AC104" i="104" s="1"/>
  <c r="AD104" i="104" s="1"/>
  <c r="Q82" i="104"/>
  <c r="O99" i="104"/>
  <c r="P99" i="104" s="1"/>
  <c r="R97" i="104"/>
  <c r="T103" i="104"/>
  <c r="P91" i="104"/>
  <c r="P92" i="104"/>
  <c r="S95" i="104"/>
  <c r="T95" i="104" s="1"/>
  <c r="U95" i="104" s="1"/>
  <c r="R102" i="104"/>
  <c r="R26" i="104"/>
  <c r="S26" i="104" s="1"/>
  <c r="Q73" i="104"/>
  <c r="S38" i="104"/>
  <c r="T62" i="104"/>
  <c r="U62" i="104" s="1"/>
  <c r="V62" i="104" s="1"/>
  <c r="Q55" i="104"/>
  <c r="R55" i="104" s="1"/>
  <c r="S55" i="104" s="1"/>
  <c r="T55" i="104" s="1"/>
  <c r="T63" i="104"/>
  <c r="U11" i="104"/>
  <c r="V11" i="104" s="1"/>
  <c r="V52" i="104"/>
  <c r="S28" i="104"/>
  <c r="T28" i="104" s="1"/>
  <c r="O96" i="104"/>
  <c r="T75" i="104"/>
  <c r="S71" i="104"/>
  <c r="T71" i="104" s="1"/>
  <c r="S13" i="104"/>
  <c r="U46" i="104"/>
  <c r="V46" i="104" s="1"/>
  <c r="P94" i="104"/>
  <c r="T53" i="104"/>
  <c r="S17" i="104"/>
  <c r="S44" i="104"/>
  <c r="S58" i="104"/>
  <c r="T58" i="104" s="1"/>
  <c r="O64" i="104"/>
  <c r="P64" i="104" s="1"/>
  <c r="R25" i="104"/>
  <c r="S25" i="104" s="1"/>
  <c r="Q90" i="104"/>
  <c r="O15" i="104"/>
  <c r="P15" i="104" s="1"/>
  <c r="R12" i="104"/>
  <c r="S12" i="104" s="1"/>
  <c r="U61" i="104"/>
  <c r="R43" i="104"/>
  <c r="S43" i="104" s="1"/>
  <c r="T43" i="104" s="1"/>
  <c r="U43" i="104" s="1"/>
  <c r="Q79" i="104"/>
  <c r="U56" i="104"/>
  <c r="V56" i="104" s="1"/>
  <c r="Q84" i="104"/>
  <c r="T54" i="104"/>
  <c r="P59" i="104"/>
  <c r="S33" i="104"/>
  <c r="T33" i="104" s="1"/>
  <c r="P37" i="104"/>
  <c r="T76" i="104"/>
  <c r="U76" i="104" s="1"/>
  <c r="Q5" i="104"/>
  <c r="Q6" i="104"/>
  <c r="T47" i="104"/>
  <c r="P87" i="104"/>
  <c r="Q87" i="104" s="1"/>
  <c r="R27" i="104"/>
  <c r="S27" i="104" s="1"/>
  <c r="U16" i="104"/>
  <c r="V16" i="104" s="1"/>
  <c r="S40" i="104"/>
  <c r="T20" i="104"/>
  <c r="S34" i="104"/>
  <c r="P19" i="104"/>
  <c r="P88" i="104"/>
  <c r="S22" i="104"/>
  <c r="T65" i="104"/>
  <c r="T68" i="104"/>
  <c r="U68" i="104" s="1"/>
  <c r="O70" i="104"/>
  <c r="P70" i="104" s="1"/>
  <c r="U23" i="104"/>
  <c r="R60" i="104"/>
  <c r="R14" i="104"/>
  <c r="S14" i="104" s="1"/>
  <c r="R72" i="104"/>
  <c r="V10" i="104"/>
  <c r="S3" i="104"/>
  <c r="Q74" i="104"/>
  <c r="Q69" i="104"/>
  <c r="S83" i="104"/>
  <c r="Q7" i="104"/>
  <c r="S29" i="104"/>
  <c r="S48" i="104"/>
  <c r="Q100" i="104"/>
  <c r="T18" i="104"/>
  <c r="P51" i="104"/>
  <c r="P4" i="104"/>
  <c r="Q41" i="104"/>
  <c r="R41" i="104" s="1"/>
  <c r="Q42" i="104"/>
  <c r="R42" i="104" s="1"/>
  <c r="Q49" i="104"/>
  <c r="P81" i="104"/>
  <c r="W32" i="104"/>
  <c r="V9" i="104"/>
  <c r="T30" i="104"/>
  <c r="S36" i="104"/>
  <c r="Q39" i="104"/>
  <c r="Q85" i="104"/>
  <c r="Q8" i="104"/>
  <c r="S31" i="104"/>
  <c r="R35" i="104"/>
  <c r="S24" i="104"/>
  <c r="T24" i="104" s="1"/>
  <c r="P66" i="104"/>
  <c r="R45" i="104"/>
  <c r="Q86" i="104"/>
  <c r="R86" i="104" s="1"/>
  <c r="S86" i="104" s="1"/>
  <c r="S50" i="104"/>
  <c r="R21" i="104"/>
  <c r="R57" i="104"/>
  <c r="BT280" i="104" l="1"/>
  <c r="BT297" i="104"/>
  <c r="BT275" i="104"/>
  <c r="BT300" i="104"/>
  <c r="BT272" i="104"/>
  <c r="BT296" i="104"/>
  <c r="BT290" i="104"/>
  <c r="BT267" i="104"/>
  <c r="BT283" i="104"/>
  <c r="BT291" i="104"/>
  <c r="BT261" i="104"/>
  <c r="BT293" i="104"/>
  <c r="BT259" i="104"/>
  <c r="BT288" i="104"/>
  <c r="BT279" i="104"/>
  <c r="BT302" i="104"/>
  <c r="BT264" i="104"/>
  <c r="BT295" i="104"/>
  <c r="BT271" i="104"/>
  <c r="BT260" i="104"/>
  <c r="BT299" i="104"/>
  <c r="BT266" i="104"/>
  <c r="BT268" i="104"/>
  <c r="BT281" i="104"/>
  <c r="BT269" i="104"/>
  <c r="BT285" i="104"/>
  <c r="BT298" i="104"/>
  <c r="BT273" i="104"/>
  <c r="BT287" i="104"/>
  <c r="BT270" i="104"/>
  <c r="BT301" i="104"/>
  <c r="BT265" i="104"/>
  <c r="BT277" i="104"/>
  <c r="BT282" i="104"/>
  <c r="BT289" i="104"/>
  <c r="BT274" i="104"/>
  <c r="BT258" i="104"/>
  <c r="BT263" i="104"/>
  <c r="BT276" i="104"/>
  <c r="BT292" i="104"/>
  <c r="BT284" i="104"/>
  <c r="BT286" i="104"/>
  <c r="BT278" i="104"/>
  <c r="BT262" i="104"/>
  <c r="BT294" i="104"/>
  <c r="BT190" i="104"/>
  <c r="BU303" i="104"/>
  <c r="BR187" i="104"/>
  <c r="BS187" i="104" s="1"/>
  <c r="BX272" i="104"/>
  <c r="BX297" i="104"/>
  <c r="BX262" i="104"/>
  <c r="BX266" i="104"/>
  <c r="BX258" i="104"/>
  <c r="BX277" i="104"/>
  <c r="BX274" i="104"/>
  <c r="BX268" i="104"/>
  <c r="BX287" i="104"/>
  <c r="BX289" i="104"/>
  <c r="BX264" i="104"/>
  <c r="BX290" i="104"/>
  <c r="BX278" i="104"/>
  <c r="BX280" i="104"/>
  <c r="BX269" i="104"/>
  <c r="BX298" i="104"/>
  <c r="BX283" i="104"/>
  <c r="BX299" i="104"/>
  <c r="BX295" i="104"/>
  <c r="BX296" i="104"/>
  <c r="BX261" i="104"/>
  <c r="BX302" i="104"/>
  <c r="BX285" i="104"/>
  <c r="BX259" i="104"/>
  <c r="BX276" i="104"/>
  <c r="BX293" i="104"/>
  <c r="BX291" i="104"/>
  <c r="BX263" i="104"/>
  <c r="BX301" i="104"/>
  <c r="BX300" i="104"/>
  <c r="BX288" i="104"/>
  <c r="BX267" i="104"/>
  <c r="BX282" i="104"/>
  <c r="BX281" i="104"/>
  <c r="BX265" i="104"/>
  <c r="BX271" i="104"/>
  <c r="BX294" i="104"/>
  <c r="BX260" i="104"/>
  <c r="BX292" i="104"/>
  <c r="BX286" i="104"/>
  <c r="BX284" i="104"/>
  <c r="BX270" i="104"/>
  <c r="BX273" i="104"/>
  <c r="BX275" i="104"/>
  <c r="BX279" i="104"/>
  <c r="BJ183" i="104"/>
  <c r="BI182" i="104"/>
  <c r="BL181" i="104"/>
  <c r="BH180" i="104"/>
  <c r="BI180" i="104" s="1"/>
  <c r="BJ180" i="104" s="1"/>
  <c r="BK180" i="104" s="1"/>
  <c r="BL180" i="104" s="1"/>
  <c r="BM180" i="104" s="1"/>
  <c r="BN180" i="104" s="1"/>
  <c r="BO180" i="104" s="1"/>
  <c r="BP180" i="104" s="1"/>
  <c r="BQ180" i="104" s="1"/>
  <c r="BR180" i="104" s="1"/>
  <c r="BF178" i="104"/>
  <c r="BC177" i="104"/>
  <c r="BB176" i="104"/>
  <c r="BC175" i="104"/>
  <c r="AZ173" i="104"/>
  <c r="BA173" i="104" s="1"/>
  <c r="AY172" i="104"/>
  <c r="BE171" i="104"/>
  <c r="AV170" i="104"/>
  <c r="AW169" i="104"/>
  <c r="AX168" i="104"/>
  <c r="AZ167" i="104"/>
  <c r="AT166" i="104"/>
  <c r="AT165" i="104"/>
  <c r="AR164" i="104"/>
  <c r="AP163" i="104"/>
  <c r="AP162" i="104"/>
  <c r="AM161" i="104"/>
  <c r="AQ159" i="104"/>
  <c r="AM160" i="104"/>
  <c r="AN158" i="104"/>
  <c r="AI157" i="104"/>
  <c r="AM156" i="104"/>
  <c r="AG154" i="104"/>
  <c r="AN155" i="104"/>
  <c r="AI127" i="104"/>
  <c r="AI121" i="104"/>
  <c r="AH111" i="104"/>
  <c r="AD148" i="104"/>
  <c r="AK151" i="104"/>
  <c r="AF120" i="104"/>
  <c r="AG113" i="104"/>
  <c r="AH117" i="104"/>
  <c r="AJ136" i="104"/>
  <c r="AD132" i="104"/>
  <c r="AJ131" i="104"/>
  <c r="AG152" i="104"/>
  <c r="AF122" i="104"/>
  <c r="AH142" i="104"/>
  <c r="AG149" i="104"/>
  <c r="AI137" i="104"/>
  <c r="AG125" i="104"/>
  <c r="AG129" i="104"/>
  <c r="AG114" i="104"/>
  <c r="AG110" i="104"/>
  <c r="AG107" i="104"/>
  <c r="AI119" i="104"/>
  <c r="AH118" i="104"/>
  <c r="AF130" i="104"/>
  <c r="AG106" i="104"/>
  <c r="AF116" i="104"/>
  <c r="AJ153" i="104"/>
  <c r="AH150" i="104"/>
  <c r="AL126" i="104"/>
  <c r="AG133" i="104"/>
  <c r="AE144" i="104"/>
  <c r="AH138" i="104"/>
  <c r="AM123" i="104"/>
  <c r="AH108" i="104"/>
  <c r="AJ128" i="104"/>
  <c r="AI112" i="104"/>
  <c r="AJ141" i="104"/>
  <c r="AF146" i="104"/>
  <c r="AF140" i="104"/>
  <c r="AK124" i="104"/>
  <c r="AE134" i="104"/>
  <c r="AG109" i="104"/>
  <c r="AI139" i="104"/>
  <c r="AL115" i="104"/>
  <c r="AH145" i="104"/>
  <c r="AG143" i="104"/>
  <c r="AJ135" i="104"/>
  <c r="AI147" i="104"/>
  <c r="T93" i="104"/>
  <c r="U93" i="104" s="1"/>
  <c r="T83" i="104"/>
  <c r="U83" i="104" s="1"/>
  <c r="Q91" i="104"/>
  <c r="R91" i="104" s="1"/>
  <c r="R82" i="104"/>
  <c r="S82" i="104" s="1"/>
  <c r="Q101" i="104"/>
  <c r="R101" i="104" s="1"/>
  <c r="AG105" i="104"/>
  <c r="R90" i="104"/>
  <c r="S90" i="104" s="1"/>
  <c r="P78" i="104"/>
  <c r="Q89" i="104"/>
  <c r="R89" i="104" s="1"/>
  <c r="Q77" i="104"/>
  <c r="R77" i="104" s="1"/>
  <c r="S98" i="104"/>
  <c r="T98" i="104" s="1"/>
  <c r="U98" i="104" s="1"/>
  <c r="AE104" i="104"/>
  <c r="S97" i="104"/>
  <c r="P80" i="104"/>
  <c r="Q80" i="104" s="1"/>
  <c r="U103" i="104"/>
  <c r="Q92" i="104"/>
  <c r="R92" i="104" s="1"/>
  <c r="S102" i="104"/>
  <c r="T26" i="104"/>
  <c r="U26" i="104" s="1"/>
  <c r="V26" i="104" s="1"/>
  <c r="Q64" i="104"/>
  <c r="R64" i="104" s="1"/>
  <c r="S64" i="104" s="1"/>
  <c r="R73" i="104"/>
  <c r="S73" i="104" s="1"/>
  <c r="T27" i="104"/>
  <c r="U67" i="104"/>
  <c r="T12" i="104"/>
  <c r="W56" i="104"/>
  <c r="S57" i="104"/>
  <c r="T36" i="104"/>
  <c r="W11" i="104"/>
  <c r="U18" i="104"/>
  <c r="W16" i="104"/>
  <c r="S72" i="104"/>
  <c r="T72" i="104" s="1"/>
  <c r="Q19" i="104"/>
  <c r="R19" i="104" s="1"/>
  <c r="U20" i="104"/>
  <c r="T40" i="104"/>
  <c r="Q99" i="104"/>
  <c r="R5" i="104"/>
  <c r="U54" i="104"/>
  <c r="R84" i="104"/>
  <c r="T44" i="104"/>
  <c r="Q51" i="104"/>
  <c r="R51" i="104" s="1"/>
  <c r="Q59" i="104"/>
  <c r="S21" i="104"/>
  <c r="R8" i="104"/>
  <c r="W9" i="104"/>
  <c r="X32" i="104"/>
  <c r="S41" i="104"/>
  <c r="S60" i="104"/>
  <c r="V23" i="104"/>
  <c r="W23" i="104" s="1"/>
  <c r="V68" i="104"/>
  <c r="W68" i="104" s="1"/>
  <c r="Q88" i="104"/>
  <c r="W62" i="104"/>
  <c r="U55" i="104"/>
  <c r="T31" i="104"/>
  <c r="Q37" i="104"/>
  <c r="V61" i="104"/>
  <c r="Q15" i="104"/>
  <c r="T50" i="104"/>
  <c r="U50" i="104" s="1"/>
  <c r="S45" i="104"/>
  <c r="U33" i="104"/>
  <c r="Q94" i="104"/>
  <c r="W46" i="104"/>
  <c r="U71" i="104"/>
  <c r="P96" i="104"/>
  <c r="U28" i="104"/>
  <c r="T38" i="104"/>
  <c r="Q66" i="104"/>
  <c r="U24" i="104"/>
  <c r="Q81" i="104"/>
  <c r="R81" i="104" s="1"/>
  <c r="S81" i="104" s="1"/>
  <c r="R49" i="104"/>
  <c r="S49" i="104" s="1"/>
  <c r="S42" i="104"/>
  <c r="T42" i="104" s="1"/>
  <c r="R7" i="104"/>
  <c r="R74" i="104"/>
  <c r="S74" i="104" s="1"/>
  <c r="T74" i="104" s="1"/>
  <c r="W10" i="104"/>
  <c r="T22" i="104"/>
  <c r="T34" i="104"/>
  <c r="U47" i="104"/>
  <c r="V47" i="104" s="1"/>
  <c r="R79" i="104"/>
  <c r="S79" i="104" s="1"/>
  <c r="V43" i="104"/>
  <c r="T25" i="104"/>
  <c r="R100" i="104"/>
  <c r="T13" i="104"/>
  <c r="U13" i="104" s="1"/>
  <c r="T29" i="104"/>
  <c r="Q4" i="104"/>
  <c r="S35" i="104"/>
  <c r="T35" i="104" s="1"/>
  <c r="T86" i="104"/>
  <c r="R85" i="104"/>
  <c r="R39" i="104"/>
  <c r="U30" i="104"/>
  <c r="T48" i="104"/>
  <c r="V76" i="104"/>
  <c r="Q70" i="104"/>
  <c r="V95" i="104"/>
  <c r="U65" i="104"/>
  <c r="R87" i="104"/>
  <c r="R6" i="104"/>
  <c r="R69" i="104"/>
  <c r="T14" i="104"/>
  <c r="T3" i="104"/>
  <c r="U58" i="104"/>
  <c r="V58" i="104" s="1"/>
  <c r="T17" i="104"/>
  <c r="U53" i="104"/>
  <c r="U75" i="104"/>
  <c r="W52" i="104"/>
  <c r="U63" i="104"/>
  <c r="BU190" i="104" l="1"/>
  <c r="BV190" i="104" s="1"/>
  <c r="BT303" i="104"/>
  <c r="BT187" i="104"/>
  <c r="BU187" i="104" s="1"/>
  <c r="BV187" i="104" s="1"/>
  <c r="BX303" i="104"/>
  <c r="BK183" i="104"/>
  <c r="BJ182" i="104"/>
  <c r="BK182" i="104" s="1"/>
  <c r="BL182" i="104" s="1"/>
  <c r="BM182" i="104" s="1"/>
  <c r="BN182" i="104" s="1"/>
  <c r="BO182" i="104" s="1"/>
  <c r="BP182" i="104" s="1"/>
  <c r="BQ182" i="104" s="1"/>
  <c r="BR182" i="104" s="1"/>
  <c r="BS182" i="104" s="1"/>
  <c r="BM181" i="104"/>
  <c r="BN181" i="104" s="1"/>
  <c r="BO181" i="104" s="1"/>
  <c r="BP181" i="104" s="1"/>
  <c r="BQ181" i="104" s="1"/>
  <c r="BR181" i="104" s="1"/>
  <c r="BS181" i="104" s="1"/>
  <c r="BT181" i="104" s="1"/>
  <c r="BU181" i="104" s="1"/>
  <c r="BV181" i="104" s="1"/>
  <c r="BS180" i="104"/>
  <c r="BG178" i="104"/>
  <c r="BH178" i="104" s="1"/>
  <c r="BC176" i="104"/>
  <c r="BD177" i="104"/>
  <c r="BD175" i="104"/>
  <c r="BB174" i="104"/>
  <c r="AZ172" i="104"/>
  <c r="BF171" i="104"/>
  <c r="AW170" i="104"/>
  <c r="AX169" i="104"/>
  <c r="AY168" i="104"/>
  <c r="BA167" i="104"/>
  <c r="AU166" i="104"/>
  <c r="AU165" i="104"/>
  <c r="AQ163" i="104"/>
  <c r="AS164" i="104"/>
  <c r="AQ162" i="104"/>
  <c r="AN161" i="104"/>
  <c r="AR159" i="104"/>
  <c r="AS159" i="104" s="1"/>
  <c r="AN160" i="104"/>
  <c r="AO158" i="104"/>
  <c r="AJ157" i="104"/>
  <c r="AO155" i="104"/>
  <c r="AN156" i="104"/>
  <c r="AH154" i="104"/>
  <c r="AJ147" i="104"/>
  <c r="AK135" i="104"/>
  <c r="AM115" i="104"/>
  <c r="AJ112" i="104"/>
  <c r="AK128" i="104"/>
  <c r="AI108" i="104"/>
  <c r="AK153" i="104"/>
  <c r="AH106" i="104"/>
  <c r="AI118" i="104"/>
  <c r="AH110" i="104"/>
  <c r="AG122" i="104"/>
  <c r="AH152" i="104"/>
  <c r="AE132" i="104"/>
  <c r="AH113" i="104"/>
  <c r="AE148" i="104"/>
  <c r="AJ121" i="104"/>
  <c r="AJ127" i="104"/>
  <c r="AI145" i="104"/>
  <c r="AJ139" i="104"/>
  <c r="AF134" i="104"/>
  <c r="AG140" i="104"/>
  <c r="AM126" i="104"/>
  <c r="AG116" i="104"/>
  <c r="AH107" i="104"/>
  <c r="AH149" i="104"/>
  <c r="AL151" i="104"/>
  <c r="AI111" i="104"/>
  <c r="AH109" i="104"/>
  <c r="AL124" i="104"/>
  <c r="AG146" i="104"/>
  <c r="AN123" i="104"/>
  <c r="AH133" i="104"/>
  <c r="AI150" i="104"/>
  <c r="AG130" i="104"/>
  <c r="AH129" i="104"/>
  <c r="AI142" i="104"/>
  <c r="AI117" i="104"/>
  <c r="AG120" i="104"/>
  <c r="AH143" i="104"/>
  <c r="AK141" i="104"/>
  <c r="AI138" i="104"/>
  <c r="AF144" i="104"/>
  <c r="AJ119" i="104"/>
  <c r="AH114" i="104"/>
  <c r="AH125" i="104"/>
  <c r="AJ137" i="104"/>
  <c r="AK131" i="104"/>
  <c r="AK136" i="104"/>
  <c r="S101" i="104"/>
  <c r="T101" i="104" s="1"/>
  <c r="U101" i="104" s="1"/>
  <c r="V93" i="104"/>
  <c r="W93" i="104" s="1"/>
  <c r="T82" i="104"/>
  <c r="U82" i="104" s="1"/>
  <c r="Q78" i="104"/>
  <c r="AH105" i="104"/>
  <c r="S77" i="104"/>
  <c r="T97" i="104"/>
  <c r="U97" i="104" s="1"/>
  <c r="V97" i="104" s="1"/>
  <c r="AF104" i="104"/>
  <c r="R80" i="104"/>
  <c r="S92" i="104"/>
  <c r="T92" i="104" s="1"/>
  <c r="V103" i="104"/>
  <c r="S91" i="104"/>
  <c r="T102" i="104"/>
  <c r="V98" i="104"/>
  <c r="W98" i="104" s="1"/>
  <c r="T73" i="104"/>
  <c r="U73" i="104" s="1"/>
  <c r="T81" i="104"/>
  <c r="U72" i="104"/>
  <c r="U74" i="104"/>
  <c r="V53" i="104"/>
  <c r="W76" i="104"/>
  <c r="U48" i="104"/>
  <c r="T64" i="104"/>
  <c r="U25" i="104"/>
  <c r="V25" i="104" s="1"/>
  <c r="S19" i="104"/>
  <c r="V83" i="104"/>
  <c r="X10" i="104"/>
  <c r="S7" i="104"/>
  <c r="U38" i="104"/>
  <c r="U31" i="104"/>
  <c r="V55" i="104"/>
  <c r="X23" i="104"/>
  <c r="W43" i="104"/>
  <c r="V54" i="104"/>
  <c r="X16" i="104"/>
  <c r="U42" i="104"/>
  <c r="X52" i="104"/>
  <c r="V13" i="104"/>
  <c r="W13" i="104" s="1"/>
  <c r="W58" i="104"/>
  <c r="W95" i="104"/>
  <c r="R4" i="104"/>
  <c r="T79" i="104"/>
  <c r="U79" i="104" s="1"/>
  <c r="W47" i="104"/>
  <c r="U22" i="104"/>
  <c r="T45" i="104"/>
  <c r="R37" i="104"/>
  <c r="X62" i="104"/>
  <c r="Y62" i="104" s="1"/>
  <c r="Y32" i="104"/>
  <c r="V28" i="104"/>
  <c r="R15" i="104"/>
  <c r="W26" i="104"/>
  <c r="U40" i="104"/>
  <c r="X56" i="104"/>
  <c r="U12" i="104"/>
  <c r="V67" i="104"/>
  <c r="V63" i="104"/>
  <c r="V65" i="104"/>
  <c r="V30" i="104"/>
  <c r="S39" i="104"/>
  <c r="V50" i="104"/>
  <c r="W50" i="104" s="1"/>
  <c r="U34" i="104"/>
  <c r="R94" i="104"/>
  <c r="T90" i="104"/>
  <c r="W61" i="104"/>
  <c r="X68" i="104"/>
  <c r="T41" i="104"/>
  <c r="T21" i="104"/>
  <c r="R59" i="104"/>
  <c r="U44" i="104"/>
  <c r="S84" i="104"/>
  <c r="R99" i="104"/>
  <c r="V20" i="104"/>
  <c r="S89" i="104"/>
  <c r="X11" i="104"/>
  <c r="U3" i="104"/>
  <c r="U14" i="104"/>
  <c r="S69" i="104"/>
  <c r="S6" i="104"/>
  <c r="U35" i="104"/>
  <c r="V75" i="104"/>
  <c r="U17" i="104"/>
  <c r="S87" i="104"/>
  <c r="S51" i="104"/>
  <c r="R70" i="104"/>
  <c r="S85" i="104"/>
  <c r="U86" i="104"/>
  <c r="U29" i="104"/>
  <c r="S100" i="104"/>
  <c r="T49" i="104"/>
  <c r="V24" i="104"/>
  <c r="R66" i="104"/>
  <c r="Q96" i="104"/>
  <c r="V71" i="104"/>
  <c r="X46" i="104"/>
  <c r="V33" i="104"/>
  <c r="R88" i="104"/>
  <c r="T60" i="104"/>
  <c r="X9" i="104"/>
  <c r="S8" i="104"/>
  <c r="S5" i="104"/>
  <c r="V18" i="104"/>
  <c r="U36" i="104"/>
  <c r="T57" i="104"/>
  <c r="U27" i="104"/>
  <c r="BE60" i="61"/>
  <c r="BE59" i="61"/>
  <c r="BE58" i="61"/>
  <c r="BE56" i="61"/>
  <c r="BE55" i="61"/>
  <c r="BE54" i="61"/>
  <c r="BE53" i="61"/>
  <c r="BE52" i="61"/>
  <c r="BE51" i="61"/>
  <c r="BE50" i="61"/>
  <c r="BE49" i="61"/>
  <c r="BE48" i="61"/>
  <c r="BE47" i="61"/>
  <c r="BE46" i="61"/>
  <c r="BE45" i="61"/>
  <c r="BE44" i="61"/>
  <c r="BE43" i="61"/>
  <c r="BE42" i="61"/>
  <c r="BE41" i="61"/>
  <c r="BE40" i="61"/>
  <c r="BE39" i="61"/>
  <c r="BE38" i="61"/>
  <c r="BE37" i="61"/>
  <c r="BE36" i="61"/>
  <c r="BE35" i="61"/>
  <c r="BE34" i="61"/>
  <c r="BE33" i="61"/>
  <c r="BE32" i="61"/>
  <c r="BE30" i="61"/>
  <c r="BE29" i="61"/>
  <c r="BE27" i="61"/>
  <c r="BE26" i="61"/>
  <c r="BE25" i="61"/>
  <c r="BE24" i="61"/>
  <c r="BE23" i="61"/>
  <c r="BE22" i="61"/>
  <c r="BE20" i="61"/>
  <c r="BE19" i="61"/>
  <c r="BE18" i="61"/>
  <c r="BE17" i="61"/>
  <c r="BS300" i="104" l="1"/>
  <c r="BS302" i="104"/>
  <c r="BS281" i="104"/>
  <c r="BS301" i="104"/>
  <c r="BS297" i="104"/>
  <c r="BS268" i="104"/>
  <c r="BS270" i="104"/>
  <c r="BS271" i="104"/>
  <c r="BS284" i="104"/>
  <c r="BS286" i="104"/>
  <c r="BS287" i="104"/>
  <c r="BS293" i="104"/>
  <c r="BS272" i="104"/>
  <c r="BS288" i="104"/>
  <c r="BS261" i="104"/>
  <c r="BS258" i="104"/>
  <c r="BS274" i="104"/>
  <c r="BS290" i="104"/>
  <c r="BS265" i="104"/>
  <c r="BS259" i="104"/>
  <c r="BS275" i="104"/>
  <c r="BS291" i="104"/>
  <c r="BS260" i="104"/>
  <c r="BS276" i="104"/>
  <c r="BS292" i="104"/>
  <c r="BS273" i="104"/>
  <c r="BS262" i="104"/>
  <c r="BS278" i="104"/>
  <c r="BS294" i="104"/>
  <c r="BS277" i="104"/>
  <c r="BS263" i="104"/>
  <c r="BS279" i="104"/>
  <c r="BS295" i="104"/>
  <c r="BS269" i="104"/>
  <c r="BS264" i="104"/>
  <c r="BS280" i="104"/>
  <c r="BS296" i="104"/>
  <c r="BS285" i="104"/>
  <c r="BS266" i="104"/>
  <c r="BS282" i="104"/>
  <c r="BS298" i="104"/>
  <c r="BS289" i="104"/>
  <c r="BS267" i="104"/>
  <c r="BS283" i="104"/>
  <c r="BS299" i="104"/>
  <c r="BV301" i="104"/>
  <c r="BV273" i="104"/>
  <c r="BV289" i="104"/>
  <c r="BV258" i="104"/>
  <c r="BV296" i="104"/>
  <c r="BV272" i="104"/>
  <c r="BV263" i="104"/>
  <c r="BV278" i="104"/>
  <c r="BV274" i="104"/>
  <c r="BV302" i="104"/>
  <c r="BV264" i="104"/>
  <c r="BV265" i="104"/>
  <c r="BV280" i="104"/>
  <c r="BV299" i="104"/>
  <c r="BV292" i="104"/>
  <c r="BV286" i="104"/>
  <c r="BV262" i="104"/>
  <c r="BV260" i="104"/>
  <c r="BV291" i="104"/>
  <c r="BV276" i="104"/>
  <c r="BV295" i="104"/>
  <c r="BV285" i="104"/>
  <c r="BV268" i="104"/>
  <c r="BV270" i="104"/>
  <c r="BV284" i="104"/>
  <c r="BV261" i="104"/>
  <c r="BV279" i="104"/>
  <c r="BV277" i="104"/>
  <c r="BV293" i="104"/>
  <c r="BV267" i="104"/>
  <c r="BV298" i="104"/>
  <c r="BV271" i="104"/>
  <c r="BV290" i="104"/>
  <c r="BV287" i="104"/>
  <c r="BV266" i="104"/>
  <c r="BV281" i="104"/>
  <c r="BV300" i="104"/>
  <c r="BV297" i="104"/>
  <c r="BV288" i="104"/>
  <c r="BV269" i="104"/>
  <c r="BV282" i="104"/>
  <c r="BV294" i="104"/>
  <c r="BV283" i="104"/>
  <c r="BV259" i="104"/>
  <c r="BV275" i="104"/>
  <c r="BL183" i="104"/>
  <c r="BM183" i="104" s="1"/>
  <c r="BT182" i="104"/>
  <c r="BU182" i="104" s="1"/>
  <c r="BV182" i="104" s="1"/>
  <c r="CB302" i="104"/>
  <c r="CB299" i="104"/>
  <c r="CB278" i="104"/>
  <c r="CB259" i="104"/>
  <c r="CB290" i="104"/>
  <c r="CB284" i="104"/>
  <c r="CB285" i="104"/>
  <c r="CB272" i="104"/>
  <c r="CB286" i="104"/>
  <c r="CB277" i="104"/>
  <c r="CB298" i="104"/>
  <c r="CB279" i="104"/>
  <c r="CB270" i="104"/>
  <c r="CB288" i="104"/>
  <c r="CB262" i="104"/>
  <c r="CB291" i="104"/>
  <c r="CB273" i="104"/>
  <c r="CB296" i="104"/>
  <c r="CB264" i="104"/>
  <c r="CB294" i="104"/>
  <c r="CB271" i="104"/>
  <c r="CB258" i="104"/>
  <c r="CB276" i="104"/>
  <c r="CB275" i="104"/>
  <c r="CB281" i="104"/>
  <c r="CB300" i="104"/>
  <c r="CB280" i="104"/>
  <c r="CB260" i="104"/>
  <c r="CB301" i="104"/>
  <c r="CB292" i="104"/>
  <c r="CB266" i="104"/>
  <c r="CB269" i="104"/>
  <c r="CB261" i="104"/>
  <c r="CB274" i="104"/>
  <c r="CB265" i="104"/>
  <c r="CB287" i="104"/>
  <c r="CB293" i="104"/>
  <c r="CB289" i="104"/>
  <c r="CB297" i="104"/>
  <c r="CB263" i="104"/>
  <c r="CB267" i="104"/>
  <c r="CB295" i="104"/>
  <c r="CB282" i="104"/>
  <c r="CB283" i="104"/>
  <c r="CB268" i="104"/>
  <c r="BE177" i="104"/>
  <c r="BF177" i="104" s="1"/>
  <c r="BG177" i="104" s="1"/>
  <c r="BH177" i="104" s="1"/>
  <c r="BI177" i="104" s="1"/>
  <c r="BJ177" i="104" s="1"/>
  <c r="BK177" i="104" s="1"/>
  <c r="BL177" i="104" s="1"/>
  <c r="BM177" i="104" s="1"/>
  <c r="BD176" i="104"/>
  <c r="BE175" i="104"/>
  <c r="BC174" i="104"/>
  <c r="BB173" i="104"/>
  <c r="BA172" i="104"/>
  <c r="BG171" i="104"/>
  <c r="AX170" i="104"/>
  <c r="AY169" i="104"/>
  <c r="AZ168" i="104"/>
  <c r="BB167" i="104"/>
  <c r="AV166" i="104"/>
  <c r="AV165" i="104"/>
  <c r="AW165" i="104" s="1"/>
  <c r="AT164" i="104"/>
  <c r="AR163" i="104"/>
  <c r="AR162" i="104"/>
  <c r="AO161" i="104"/>
  <c r="AT159" i="104"/>
  <c r="AO160" i="104"/>
  <c r="AP158" i="104"/>
  <c r="AK157" i="104"/>
  <c r="AP155" i="104"/>
  <c r="AO156" i="104"/>
  <c r="AI154" i="104"/>
  <c r="AI114" i="104"/>
  <c r="AK119" i="104"/>
  <c r="AG144" i="104"/>
  <c r="AJ138" i="104"/>
  <c r="AH146" i="104"/>
  <c r="AI149" i="104"/>
  <c r="AF148" i="104"/>
  <c r="AL153" i="104"/>
  <c r="AL135" i="104"/>
  <c r="AK147" i="104"/>
  <c r="AI125" i="104"/>
  <c r="AI143" i="104"/>
  <c r="AJ117" i="104"/>
  <c r="AI129" i="104"/>
  <c r="AH130" i="104"/>
  <c r="AI133" i="104"/>
  <c r="AO123" i="104"/>
  <c r="AI109" i="104"/>
  <c r="AM151" i="104"/>
  <c r="AI107" i="104"/>
  <c r="AG134" i="104"/>
  <c r="AK121" i="104"/>
  <c r="AH122" i="104"/>
  <c r="AJ108" i="104"/>
  <c r="AK112" i="104"/>
  <c r="AL131" i="104"/>
  <c r="AJ142" i="104"/>
  <c r="AJ150" i="104"/>
  <c r="AH116" i="104"/>
  <c r="AN126" i="104"/>
  <c r="AK139" i="104"/>
  <c r="AI113" i="104"/>
  <c r="AI152" i="104"/>
  <c r="AN115" i="104"/>
  <c r="AL136" i="104"/>
  <c r="AK137" i="104"/>
  <c r="AL141" i="104"/>
  <c r="AH120" i="104"/>
  <c r="AM124" i="104"/>
  <c r="AJ111" i="104"/>
  <c r="AH140" i="104"/>
  <c r="AJ145" i="104"/>
  <c r="AK127" i="104"/>
  <c r="AF132" i="104"/>
  <c r="AI110" i="104"/>
  <c r="AJ118" i="104"/>
  <c r="AI106" i="104"/>
  <c r="AL128" i="104"/>
  <c r="V82" i="104"/>
  <c r="W82" i="104" s="1"/>
  <c r="R78" i="104"/>
  <c r="S78" i="104" s="1"/>
  <c r="AI105" i="104"/>
  <c r="AJ105" i="104" s="1"/>
  <c r="T77" i="104"/>
  <c r="U77" i="104" s="1"/>
  <c r="AG104" i="104"/>
  <c r="W97" i="104"/>
  <c r="X97" i="104" s="1"/>
  <c r="S80" i="104"/>
  <c r="W103" i="104"/>
  <c r="T91" i="104"/>
  <c r="U102" i="104"/>
  <c r="V102" i="104" s="1"/>
  <c r="V73" i="104"/>
  <c r="W73" i="104" s="1"/>
  <c r="X73" i="104" s="1"/>
  <c r="X13" i="104"/>
  <c r="W25" i="104"/>
  <c r="W18" i="104"/>
  <c r="V86" i="104"/>
  <c r="Y9" i="104"/>
  <c r="U60" i="104"/>
  <c r="X50" i="104"/>
  <c r="Y46" i="104"/>
  <c r="S66" i="104"/>
  <c r="U49" i="104"/>
  <c r="T100" i="104"/>
  <c r="S70" i="104"/>
  <c r="T6" i="104"/>
  <c r="S99" i="104"/>
  <c r="S59" i="104"/>
  <c r="Y68" i="104"/>
  <c r="T39" i="104"/>
  <c r="W30" i="104"/>
  <c r="W63" i="104"/>
  <c r="V12" i="104"/>
  <c r="X26" i="104"/>
  <c r="S37" i="104"/>
  <c r="U45" i="104"/>
  <c r="V22" i="104"/>
  <c r="X58" i="104"/>
  <c r="Y52" i="104"/>
  <c r="T51" i="104"/>
  <c r="V101" i="104"/>
  <c r="V38" i="104"/>
  <c r="V36" i="104"/>
  <c r="T5" i="104"/>
  <c r="T87" i="104"/>
  <c r="T69" i="104"/>
  <c r="V3" i="104"/>
  <c r="Y11" i="104"/>
  <c r="W20" i="104"/>
  <c r="V44" i="104"/>
  <c r="S15" i="104"/>
  <c r="W28" i="104"/>
  <c r="V79" i="104"/>
  <c r="X43" i="104"/>
  <c r="Y23" i="104"/>
  <c r="V31" i="104"/>
  <c r="Y10" i="104"/>
  <c r="T19" i="104"/>
  <c r="U64" i="104"/>
  <c r="V48" i="104"/>
  <c r="V72" i="104"/>
  <c r="U81" i="104"/>
  <c r="T8" i="104"/>
  <c r="W24" i="104"/>
  <c r="V29" i="104"/>
  <c r="W75" i="104"/>
  <c r="U92" i="104"/>
  <c r="T84" i="104"/>
  <c r="U21" i="104"/>
  <c r="U90" i="104"/>
  <c r="V90" i="104" s="1"/>
  <c r="W67" i="104"/>
  <c r="X93" i="104"/>
  <c r="Z62" i="104"/>
  <c r="S4" i="104"/>
  <c r="X95" i="104"/>
  <c r="V42" i="104"/>
  <c r="W54" i="104"/>
  <c r="V74" i="104"/>
  <c r="V27" i="104"/>
  <c r="U57" i="104"/>
  <c r="S88" i="104"/>
  <c r="W33" i="104"/>
  <c r="R96" i="104"/>
  <c r="X98" i="104"/>
  <c r="W71" i="104"/>
  <c r="V17" i="104"/>
  <c r="V35" i="104"/>
  <c r="V14" i="104"/>
  <c r="T89" i="104"/>
  <c r="U41" i="104"/>
  <c r="X61" i="104"/>
  <c r="S94" i="104"/>
  <c r="V34" i="104"/>
  <c r="W65" i="104"/>
  <c r="Y56" i="104"/>
  <c r="V40" i="104"/>
  <c r="Z32" i="104"/>
  <c r="X47" i="104"/>
  <c r="Y16" i="104"/>
  <c r="W55" i="104"/>
  <c r="T7" i="104"/>
  <c r="W83" i="104"/>
  <c r="T85" i="104"/>
  <c r="X76" i="104"/>
  <c r="W53" i="104"/>
  <c r="BS303" i="104" l="1"/>
  <c r="BV303" i="104"/>
  <c r="CA269" i="104"/>
  <c r="CA264" i="104"/>
  <c r="CA283" i="104"/>
  <c r="CA258" i="104"/>
  <c r="CA262" i="104"/>
  <c r="CA291" i="104"/>
  <c r="CA301" i="104"/>
  <c r="CA265" i="104"/>
  <c r="CA272" i="104"/>
  <c r="CA302" i="104"/>
  <c r="CA300" i="104"/>
  <c r="CA277" i="104"/>
  <c r="CA289" i="104"/>
  <c r="CA297" i="104"/>
  <c r="CA290" i="104"/>
  <c r="CA284" i="104"/>
  <c r="CA295" i="104"/>
  <c r="CA278" i="104"/>
  <c r="CA280" i="104"/>
  <c r="CA279" i="104"/>
  <c r="CA270" i="104"/>
  <c r="CA298" i="104"/>
  <c r="CA276" i="104"/>
  <c r="CA275" i="104"/>
  <c r="CA287" i="104"/>
  <c r="CA268" i="104"/>
  <c r="CA294" i="104"/>
  <c r="CA281" i="104"/>
  <c r="CA271" i="104"/>
  <c r="CA296" i="104"/>
  <c r="CA293" i="104"/>
  <c r="CA299" i="104"/>
  <c r="CA273" i="104"/>
  <c r="CA266" i="104"/>
  <c r="CA288" i="104"/>
  <c r="CA282" i="104"/>
  <c r="CA263" i="104"/>
  <c r="CA260" i="104"/>
  <c r="CA261" i="104"/>
  <c r="CA285" i="104"/>
  <c r="CA259" i="104"/>
  <c r="CA286" i="104"/>
  <c r="CA267" i="104"/>
  <c r="CA292" i="104"/>
  <c r="BN183" i="104"/>
  <c r="BO183" i="104" s="1"/>
  <c r="BP183" i="104" s="1"/>
  <c r="BQ183" i="104" s="1"/>
  <c r="BR183" i="104" s="1"/>
  <c r="BS183" i="104" s="1"/>
  <c r="BT183" i="104" s="1"/>
  <c r="BU183" i="104" s="1"/>
  <c r="BV183" i="104" s="1"/>
  <c r="CB303" i="104"/>
  <c r="BT180" i="104"/>
  <c r="BU180" i="104" s="1"/>
  <c r="BV180" i="104" s="1"/>
  <c r="BI178" i="104"/>
  <c r="BN177" i="104"/>
  <c r="BE176" i="104"/>
  <c r="BF175" i="104"/>
  <c r="BD174" i="104"/>
  <c r="BC173" i="104"/>
  <c r="BB172" i="104"/>
  <c r="BH171" i="104"/>
  <c r="AY170" i="104"/>
  <c r="AZ169" i="104"/>
  <c r="BA168" i="104"/>
  <c r="BC167" i="104"/>
  <c r="AW166" i="104"/>
  <c r="AX165" i="104"/>
  <c r="AS163" i="104"/>
  <c r="AT163" i="104" s="1"/>
  <c r="AU163" i="104" s="1"/>
  <c r="AU164" i="104"/>
  <c r="AS162" i="104"/>
  <c r="AP161" i="104"/>
  <c r="AU159" i="104"/>
  <c r="AV159" i="104" s="1"/>
  <c r="AP160" i="104"/>
  <c r="T78" i="104"/>
  <c r="U78" i="104" s="1"/>
  <c r="AQ158" i="104"/>
  <c r="X82" i="104"/>
  <c r="AL157" i="104"/>
  <c r="AP156" i="104"/>
  <c r="AJ154" i="104"/>
  <c r="AQ155" i="104"/>
  <c r="AK118" i="104"/>
  <c r="AM136" i="104"/>
  <c r="AJ113" i="104"/>
  <c r="AK150" i="104"/>
  <c r="AL112" i="104"/>
  <c r="AL121" i="104"/>
  <c r="AJ109" i="104"/>
  <c r="AJ143" i="104"/>
  <c r="AJ125" i="104"/>
  <c r="AM153" i="104"/>
  <c r="AI146" i="104"/>
  <c r="AG132" i="104"/>
  <c r="AK145" i="104"/>
  <c r="AN124" i="104"/>
  <c r="AM141" i="104"/>
  <c r="AJ152" i="104"/>
  <c r="AL139" i="104"/>
  <c r="AN151" i="104"/>
  <c r="AI130" i="104"/>
  <c r="AJ129" i="104"/>
  <c r="AM135" i="104"/>
  <c r="AH144" i="104"/>
  <c r="AJ114" i="104"/>
  <c r="AJ106" i="104"/>
  <c r="AL127" i="104"/>
  <c r="AK111" i="104"/>
  <c r="AI120" i="104"/>
  <c r="AI116" i="104"/>
  <c r="AK108" i="104"/>
  <c r="AJ133" i="104"/>
  <c r="AG148" i="104"/>
  <c r="AJ149" i="104"/>
  <c r="AM128" i="104"/>
  <c r="AJ110" i="104"/>
  <c r="AI140" i="104"/>
  <c r="AL137" i="104"/>
  <c r="AO115" i="104"/>
  <c r="AO126" i="104"/>
  <c r="AK142" i="104"/>
  <c r="AM131" i="104"/>
  <c r="AI122" i="104"/>
  <c r="AH134" i="104"/>
  <c r="AJ107" i="104"/>
  <c r="AP123" i="104"/>
  <c r="AK117" i="104"/>
  <c r="AL147" i="104"/>
  <c r="AK138" i="104"/>
  <c r="AL119" i="104"/>
  <c r="V77" i="104"/>
  <c r="W77" i="104" s="1"/>
  <c r="X77" i="104" s="1"/>
  <c r="Y97" i="104"/>
  <c r="Z97" i="104" s="1"/>
  <c r="AH104" i="104"/>
  <c r="T80" i="104"/>
  <c r="U80" i="104" s="1"/>
  <c r="X103" i="104"/>
  <c r="U91" i="104"/>
  <c r="V91" i="104" s="1"/>
  <c r="W102" i="104"/>
  <c r="Y73" i="104"/>
  <c r="W90" i="104"/>
  <c r="X53" i="104"/>
  <c r="X83" i="104"/>
  <c r="X65" i="104"/>
  <c r="X71" i="104"/>
  <c r="X33" i="104"/>
  <c r="V57" i="104"/>
  <c r="V81" i="104"/>
  <c r="U19" i="104"/>
  <c r="Z10" i="104"/>
  <c r="T15" i="104"/>
  <c r="U87" i="104"/>
  <c r="Z52" i="104"/>
  <c r="U100" i="104"/>
  <c r="Y50" i="104"/>
  <c r="W86" i="104"/>
  <c r="X25" i="104"/>
  <c r="U85" i="104"/>
  <c r="AA32" i="104"/>
  <c r="W40" i="104"/>
  <c r="T94" i="104"/>
  <c r="W35" i="104"/>
  <c r="Y98" i="104"/>
  <c r="T88" i="104"/>
  <c r="W74" i="104"/>
  <c r="X54" i="104"/>
  <c r="Y93" i="104"/>
  <c r="V21" i="104"/>
  <c r="X24" i="104"/>
  <c r="V64" i="104"/>
  <c r="W31" i="104"/>
  <c r="Y43" i="104"/>
  <c r="W3" i="104"/>
  <c r="U5" i="104"/>
  <c r="W38" i="104"/>
  <c r="W12" i="104"/>
  <c r="T59" i="104"/>
  <c r="V60" i="104"/>
  <c r="Z9" i="104"/>
  <c r="X18" i="104"/>
  <c r="U7" i="104"/>
  <c r="W14" i="104"/>
  <c r="S96" i="104"/>
  <c r="W27" i="104"/>
  <c r="T4" i="104"/>
  <c r="AA62" i="104"/>
  <c r="X67" i="104"/>
  <c r="U84" i="104"/>
  <c r="V92" i="104"/>
  <c r="U8" i="104"/>
  <c r="W48" i="104"/>
  <c r="Z23" i="104"/>
  <c r="X28" i="104"/>
  <c r="W44" i="104"/>
  <c r="U51" i="104"/>
  <c r="V45" i="104"/>
  <c r="T37" i="104"/>
  <c r="Y26" i="104"/>
  <c r="X30" i="104"/>
  <c r="U39" i="104"/>
  <c r="T66" i="104"/>
  <c r="Z46" i="104"/>
  <c r="Z16" i="104"/>
  <c r="Y47" i="104"/>
  <c r="V41" i="104"/>
  <c r="U89" i="104"/>
  <c r="Y76" i="104"/>
  <c r="X55" i="104"/>
  <c r="Z56" i="104"/>
  <c r="W34" i="104"/>
  <c r="Y61" i="104"/>
  <c r="W17" i="104"/>
  <c r="W42" i="104"/>
  <c r="Y95" i="104"/>
  <c r="X75" i="104"/>
  <c r="W29" i="104"/>
  <c r="W72" i="104"/>
  <c r="W79" i="104"/>
  <c r="X20" i="104"/>
  <c r="Z11" i="104"/>
  <c r="U69" i="104"/>
  <c r="W36" i="104"/>
  <c r="W101" i="104"/>
  <c r="Y58" i="104"/>
  <c r="W22" i="104"/>
  <c r="X63" i="104"/>
  <c r="Z68" i="104"/>
  <c r="T99" i="104"/>
  <c r="U6" i="104"/>
  <c r="T70" i="104"/>
  <c r="V49" i="104"/>
  <c r="Y13" i="104"/>
  <c r="EF81" i="97"/>
  <c r="EG81" i="97"/>
  <c r="EH81" i="97"/>
  <c r="EI81" i="97"/>
  <c r="EN81" i="97"/>
  <c r="EO81" i="97"/>
  <c r="EP81" i="97"/>
  <c r="EQ81" i="97"/>
  <c r="ER24" i="97"/>
  <c r="ER23" i="97"/>
  <c r="ER22" i="97"/>
  <c r="ER21" i="97"/>
  <c r="ER20" i="97"/>
  <c r="ER19" i="97"/>
  <c r="ER18" i="97"/>
  <c r="EJ24" i="97"/>
  <c r="EJ23" i="97"/>
  <c r="EJ22" i="97"/>
  <c r="EJ21" i="97"/>
  <c r="EJ20" i="97"/>
  <c r="EJ19" i="97"/>
  <c r="CZ78" i="97"/>
  <c r="DA78" i="97"/>
  <c r="DB78" i="97"/>
  <c r="DD78" i="97"/>
  <c r="DE78" i="97"/>
  <c r="DF78" i="97"/>
  <c r="BR81" i="97"/>
  <c r="BP81" i="97"/>
  <c r="BS81" i="97"/>
  <c r="BT81" i="97"/>
  <c r="BU81" i="97"/>
  <c r="BW81" i="97"/>
  <c r="BX81" i="97"/>
  <c r="BY81" i="97"/>
  <c r="K81" i="97"/>
  <c r="M81" i="97"/>
  <c r="N81" i="97"/>
  <c r="O81" i="97"/>
  <c r="P81" i="97"/>
  <c r="R81" i="97"/>
  <c r="S81" i="97"/>
  <c r="T81" i="97"/>
  <c r="BZ295" i="104" l="1"/>
  <c r="BZ275" i="104"/>
  <c r="BZ283" i="104"/>
  <c r="BZ266" i="104"/>
  <c r="BZ296" i="104"/>
  <c r="BZ281" i="104"/>
  <c r="BZ294" i="104"/>
  <c r="BZ291" i="104"/>
  <c r="BZ280" i="104"/>
  <c r="BZ290" i="104"/>
  <c r="BZ271" i="104"/>
  <c r="BZ293" i="104"/>
  <c r="BZ259" i="104"/>
  <c r="BZ274" i="104"/>
  <c r="BZ268" i="104"/>
  <c r="BZ277" i="104"/>
  <c r="BZ282" i="104"/>
  <c r="BZ263" i="104"/>
  <c r="BZ273" i="104"/>
  <c r="BZ288" i="104"/>
  <c r="BZ292" i="104"/>
  <c r="BZ270" i="104"/>
  <c r="BZ301" i="104"/>
  <c r="BZ276" i="104"/>
  <c r="BZ262" i="104"/>
  <c r="BZ299" i="104"/>
  <c r="BZ289" i="104"/>
  <c r="BZ279" i="104"/>
  <c r="BZ278" i="104"/>
  <c r="BZ298" i="104"/>
  <c r="BZ258" i="104"/>
  <c r="BZ286" i="104"/>
  <c r="BZ264" i="104"/>
  <c r="BZ300" i="104"/>
  <c r="BZ272" i="104"/>
  <c r="BZ267" i="104"/>
  <c r="BZ285" i="104"/>
  <c r="BZ269" i="104"/>
  <c r="BZ297" i="104"/>
  <c r="BZ260" i="104"/>
  <c r="BZ287" i="104"/>
  <c r="BZ261" i="104"/>
  <c r="BZ302" i="104"/>
  <c r="BZ284" i="104"/>
  <c r="BZ265" i="104"/>
  <c r="BM184" i="104"/>
  <c r="CC264" i="104"/>
  <c r="CC262" i="104"/>
  <c r="CC280" i="104"/>
  <c r="CC301" i="104"/>
  <c r="CC302" i="104"/>
  <c r="CC288" i="104"/>
  <c r="CC284" i="104"/>
  <c r="CC261" i="104"/>
  <c r="CC298" i="104"/>
  <c r="CC290" i="104"/>
  <c r="CC278" i="104"/>
  <c r="CC292" i="104"/>
  <c r="CC282" i="104"/>
  <c r="CC285" i="104"/>
  <c r="CC293" i="104"/>
  <c r="CC289" i="104"/>
  <c r="CC273" i="104"/>
  <c r="CC272" i="104"/>
  <c r="CC265" i="104"/>
  <c r="CC268" i="104"/>
  <c r="CC286" i="104"/>
  <c r="CC294" i="104"/>
  <c r="CC277" i="104"/>
  <c r="CC281" i="104"/>
  <c r="CC260" i="104"/>
  <c r="CC266" i="104"/>
  <c r="CC300" i="104"/>
  <c r="CC276" i="104"/>
  <c r="CC270" i="104"/>
  <c r="CC259" i="104"/>
  <c r="CC295" i="104"/>
  <c r="CC274" i="104"/>
  <c r="CC296" i="104"/>
  <c r="CC299" i="104"/>
  <c r="CC297" i="104"/>
  <c r="CC283" i="104"/>
  <c r="CC267" i="104"/>
  <c r="CC269" i="104"/>
  <c r="CC271" i="104"/>
  <c r="CC258" i="104"/>
  <c r="CC263" i="104"/>
  <c r="CC287" i="104"/>
  <c r="CC275" i="104"/>
  <c r="CC279" i="104"/>
  <c r="CC291" i="104"/>
  <c r="BJ178" i="104"/>
  <c r="BK178" i="104" s="1"/>
  <c r="BL178" i="104" s="1"/>
  <c r="BM178" i="104" s="1"/>
  <c r="BN178" i="104" s="1"/>
  <c r="BO177" i="104"/>
  <c r="BF176" i="104"/>
  <c r="BG175" i="104"/>
  <c r="BE174" i="104"/>
  <c r="BD173" i="104"/>
  <c r="BE173" i="104" s="1"/>
  <c r="BC172" i="104"/>
  <c r="BQ81" i="97"/>
  <c r="BI171" i="104"/>
  <c r="AZ170" i="104"/>
  <c r="BA169" i="104"/>
  <c r="BB168" i="104"/>
  <c r="BD167" i="104"/>
  <c r="AX166" i="104"/>
  <c r="AY165" i="104"/>
  <c r="AV164" i="104"/>
  <c r="AV163" i="104"/>
  <c r="AT162" i="104"/>
  <c r="AQ161" i="104"/>
  <c r="AW159" i="104"/>
  <c r="AQ160" i="104"/>
  <c r="Y82" i="104"/>
  <c r="Z82" i="104" s="1"/>
  <c r="AA82" i="104" s="1"/>
  <c r="AR158" i="104"/>
  <c r="AM157" i="104"/>
  <c r="AR155" i="104"/>
  <c r="AQ156" i="104"/>
  <c r="AK154" i="104"/>
  <c r="AI134" i="104"/>
  <c r="AK149" i="104"/>
  <c r="AL108" i="104"/>
  <c r="AO151" i="104"/>
  <c r="AL145" i="104"/>
  <c r="AN153" i="104"/>
  <c r="AK109" i="104"/>
  <c r="AL118" i="104"/>
  <c r="AJ122" i="104"/>
  <c r="AP126" i="104"/>
  <c r="AM137" i="104"/>
  <c r="AJ140" i="104"/>
  <c r="AH148" i="104"/>
  <c r="AJ120" i="104"/>
  <c r="AM127" i="104"/>
  <c r="AK129" i="104"/>
  <c r="AK143" i="104"/>
  <c r="AM112" i="104"/>
  <c r="AN136" i="104"/>
  <c r="AQ123" i="104"/>
  <c r="AP115" i="104"/>
  <c r="AJ116" i="104"/>
  <c r="AK106" i="104"/>
  <c r="AK114" i="104"/>
  <c r="AI144" i="104"/>
  <c r="AN135" i="104"/>
  <c r="AJ130" i="104"/>
  <c r="AM139" i="104"/>
  <c r="AK152" i="104"/>
  <c r="AO124" i="104"/>
  <c r="AL150" i="104"/>
  <c r="AM119" i="104"/>
  <c r="AM147" i="104"/>
  <c r="AN131" i="104"/>
  <c r="AL138" i="104"/>
  <c r="AL117" i="104"/>
  <c r="AK107" i="104"/>
  <c r="AL142" i="104"/>
  <c r="AK110" i="104"/>
  <c r="AN128" i="104"/>
  <c r="AK133" i="104"/>
  <c r="AL111" i="104"/>
  <c r="AN141" i="104"/>
  <c r="AH132" i="104"/>
  <c r="AJ146" i="104"/>
  <c r="AK125" i="104"/>
  <c r="AM121" i="104"/>
  <c r="AK113" i="104"/>
  <c r="AI104" i="104"/>
  <c r="AJ104" i="104" s="1"/>
  <c r="Y77" i="104"/>
  <c r="V80" i="104"/>
  <c r="W80" i="104" s="1"/>
  <c r="Y103" i="104"/>
  <c r="W91" i="104"/>
  <c r="X91" i="104" s="1"/>
  <c r="Y91" i="104" s="1"/>
  <c r="X102" i="104"/>
  <c r="Z73" i="104"/>
  <c r="X101" i="104"/>
  <c r="W49" i="104"/>
  <c r="U70" i="104"/>
  <c r="X22" i="104"/>
  <c r="Z58" i="104"/>
  <c r="AA11" i="104"/>
  <c r="X72" i="104"/>
  <c r="X34" i="104"/>
  <c r="AA56" i="104"/>
  <c r="W45" i="104"/>
  <c r="V8" i="104"/>
  <c r="W92" i="104"/>
  <c r="X14" i="104"/>
  <c r="AA9" i="104"/>
  <c r="W60" i="104"/>
  <c r="V5" i="104"/>
  <c r="Y54" i="104"/>
  <c r="V100" i="104"/>
  <c r="AA10" i="104"/>
  <c r="W81" i="104"/>
  <c r="W57" i="104"/>
  <c r="Y65" i="104"/>
  <c r="Z13" i="104"/>
  <c r="U99" i="104"/>
  <c r="V69" i="104"/>
  <c r="Z95" i="104"/>
  <c r="X17" i="104"/>
  <c r="Y55" i="104"/>
  <c r="Z76" i="104"/>
  <c r="AA16" i="104"/>
  <c r="Z26" i="104"/>
  <c r="X44" i="104"/>
  <c r="Y28" i="104"/>
  <c r="X48" i="104"/>
  <c r="Y67" i="104"/>
  <c r="T96" i="104"/>
  <c r="Y18" i="104"/>
  <c r="X12" i="104"/>
  <c r="X3" i="104"/>
  <c r="W64" i="104"/>
  <c r="Y24" i="104"/>
  <c r="W21" i="104"/>
  <c r="Z93" i="104"/>
  <c r="AB32" i="104"/>
  <c r="Y25" i="104"/>
  <c r="U15" i="104"/>
  <c r="V19" i="104"/>
  <c r="X90" i="104"/>
  <c r="Y75" i="104"/>
  <c r="Z61" i="104"/>
  <c r="AA97" i="104"/>
  <c r="V89" i="104"/>
  <c r="V39" i="104"/>
  <c r="Y30" i="104"/>
  <c r="V7" i="104"/>
  <c r="X38" i="104"/>
  <c r="V78" i="104"/>
  <c r="Z98" i="104"/>
  <c r="X40" i="104"/>
  <c r="Z50" i="104"/>
  <c r="AA52" i="104"/>
  <c r="Y33" i="104"/>
  <c r="Y71" i="104"/>
  <c r="Y53" i="104"/>
  <c r="V6" i="104"/>
  <c r="AA68" i="104"/>
  <c r="Y63" i="104"/>
  <c r="Y20" i="104"/>
  <c r="X36" i="104"/>
  <c r="X79" i="104"/>
  <c r="X29" i="104"/>
  <c r="X42" i="104"/>
  <c r="W41" i="104"/>
  <c r="Z47" i="104"/>
  <c r="AA46" i="104"/>
  <c r="U66" i="104"/>
  <c r="U37" i="104"/>
  <c r="V51" i="104"/>
  <c r="AA23" i="104"/>
  <c r="V84" i="104"/>
  <c r="AB62" i="104"/>
  <c r="U4" i="104"/>
  <c r="X27" i="104"/>
  <c r="U59" i="104"/>
  <c r="Z43" i="104"/>
  <c r="X31" i="104"/>
  <c r="X74" i="104"/>
  <c r="U88" i="104"/>
  <c r="X35" i="104"/>
  <c r="U94" i="104"/>
  <c r="V85" i="104"/>
  <c r="X86" i="104"/>
  <c r="V87" i="104"/>
  <c r="Y83" i="104"/>
  <c r="L81" i="97"/>
  <c r="BV81" i="97"/>
  <c r="CY78" i="97"/>
  <c r="Q81" i="97"/>
  <c r="DC78" i="97"/>
  <c r="EM81" i="97"/>
  <c r="EE81" i="97"/>
  <c r="BZ303" i="104" l="1"/>
  <c r="BN184" i="104"/>
  <c r="BO184" i="104" s="1"/>
  <c r="BP184" i="104" s="1"/>
  <c r="BQ184" i="104" s="1"/>
  <c r="BR184" i="104" s="1"/>
  <c r="CC303" i="104"/>
  <c r="BL179" i="104"/>
  <c r="BG176" i="104"/>
  <c r="BP177" i="104"/>
  <c r="BH175" i="104"/>
  <c r="BF174" i="104"/>
  <c r="BF173" i="104"/>
  <c r="BD172" i="104"/>
  <c r="BJ171" i="104"/>
  <c r="BK171" i="104" s="1"/>
  <c r="BA170" i="104"/>
  <c r="BB169" i="104"/>
  <c r="BC168" i="104"/>
  <c r="BE167" i="104"/>
  <c r="AY166" i="104"/>
  <c r="AZ165" i="104"/>
  <c r="AW163" i="104"/>
  <c r="AX163" i="104" s="1"/>
  <c r="AW164" i="104"/>
  <c r="AU162" i="104"/>
  <c r="X80" i="104"/>
  <c r="Y80" i="104" s="1"/>
  <c r="AR161" i="104"/>
  <c r="AR160" i="104"/>
  <c r="AX159" i="104"/>
  <c r="AY159" i="104" s="1"/>
  <c r="AZ159" i="104" s="1"/>
  <c r="AS158" i="104"/>
  <c r="AN157" i="104"/>
  <c r="AR156" i="104"/>
  <c r="AL154" i="104"/>
  <c r="AS155" i="104"/>
  <c r="AL125" i="104"/>
  <c r="AO141" i="104"/>
  <c r="AO128" i="104"/>
  <c r="AM117" i="104"/>
  <c r="AN147" i="104"/>
  <c r="AM150" i="104"/>
  <c r="AP124" i="104"/>
  <c r="AL152" i="104"/>
  <c r="AK130" i="104"/>
  <c r="AK116" i="104"/>
  <c r="AR123" i="104"/>
  <c r="AN112" i="104"/>
  <c r="AK120" i="104"/>
  <c r="AI148" i="104"/>
  <c r="AM142" i="104"/>
  <c r="AN119" i="104"/>
  <c r="AJ144" i="104"/>
  <c r="AL114" i="104"/>
  <c r="AO136" i="104"/>
  <c r="AN127" i="104"/>
  <c r="AK122" i="104"/>
  <c r="AP151" i="104"/>
  <c r="AM108" i="104"/>
  <c r="AJ134" i="104"/>
  <c r="AL113" i="104"/>
  <c r="AI132" i="104"/>
  <c r="AM111" i="104"/>
  <c r="AL133" i="104"/>
  <c r="AL110" i="104"/>
  <c r="AM138" i="104"/>
  <c r="AO131" i="104"/>
  <c r="AN139" i="104"/>
  <c r="AO135" i="104"/>
  <c r="AL143" i="104"/>
  <c r="AK140" i="104"/>
  <c r="AN137" i="104"/>
  <c r="AQ126" i="104"/>
  <c r="AL109" i="104"/>
  <c r="AO153" i="104"/>
  <c r="AM145" i="104"/>
  <c r="AN121" i="104"/>
  <c r="AK146" i="104"/>
  <c r="AL107" i="104"/>
  <c r="AL106" i="104"/>
  <c r="AQ115" i="104"/>
  <c r="AL129" i="104"/>
  <c r="AM118" i="104"/>
  <c r="AL149" i="104"/>
  <c r="AK104" i="104"/>
  <c r="Z77" i="104"/>
  <c r="Z103" i="104"/>
  <c r="Y102" i="104"/>
  <c r="AA73" i="104"/>
  <c r="AA43" i="104"/>
  <c r="V4" i="104"/>
  <c r="V88" i="104"/>
  <c r="AB82" i="104"/>
  <c r="AC62" i="104"/>
  <c r="V66" i="104"/>
  <c r="AB46" i="104"/>
  <c r="Y42" i="104"/>
  <c r="W6" i="104"/>
  <c r="Z71" i="104"/>
  <c r="AA98" i="104"/>
  <c r="Y38" i="104"/>
  <c r="W7" i="104"/>
  <c r="Z30" i="104"/>
  <c r="Z75" i="104"/>
  <c r="X64" i="104"/>
  <c r="Y3" i="104"/>
  <c r="Z55" i="104"/>
  <c r="W69" i="104"/>
  <c r="Z54" i="104"/>
  <c r="W5" i="104"/>
  <c r="X60" i="104"/>
  <c r="Y34" i="104"/>
  <c r="V70" i="104"/>
  <c r="X49" i="104"/>
  <c r="W87" i="104"/>
  <c r="Y86" i="104"/>
  <c r="Y35" i="104"/>
  <c r="Y31" i="104"/>
  <c r="W84" i="104"/>
  <c r="Y29" i="104"/>
  <c r="Y79" i="104"/>
  <c r="Z53" i="104"/>
  <c r="AA50" i="104"/>
  <c r="Y40" i="104"/>
  <c r="W78" i="104"/>
  <c r="W89" i="104"/>
  <c r="AB97" i="104"/>
  <c r="AA61" i="104"/>
  <c r="AC32" i="104"/>
  <c r="X21" i="104"/>
  <c r="Z24" i="104"/>
  <c r="Z28" i="104"/>
  <c r="Y44" i="104"/>
  <c r="AA26" i="104"/>
  <c r="AA76" i="104"/>
  <c r="AA13" i="104"/>
  <c r="X57" i="104"/>
  <c r="X81" i="104"/>
  <c r="W100" i="104"/>
  <c r="Y14" i="104"/>
  <c r="W8" i="104"/>
  <c r="AB56" i="104"/>
  <c r="Y72" i="104"/>
  <c r="Y101" i="104"/>
  <c r="V59" i="104"/>
  <c r="Z20" i="104"/>
  <c r="Z63" i="104"/>
  <c r="AB68" i="104"/>
  <c r="Z33" i="104"/>
  <c r="AB52" i="104"/>
  <c r="Z91" i="104"/>
  <c r="Y90" i="104"/>
  <c r="V15" i="104"/>
  <c r="Y12" i="104"/>
  <c r="U96" i="104"/>
  <c r="AB16" i="104"/>
  <c r="Y17" i="104"/>
  <c r="AA95" i="104"/>
  <c r="V99" i="104"/>
  <c r="Y22" i="104"/>
  <c r="Z83" i="104"/>
  <c r="Y74" i="104"/>
  <c r="W51" i="104"/>
  <c r="W85" i="104"/>
  <c r="V94" i="104"/>
  <c r="Y27" i="104"/>
  <c r="AB23" i="104"/>
  <c r="V37" i="104"/>
  <c r="AA47" i="104"/>
  <c r="X41" i="104"/>
  <c r="Y36" i="104"/>
  <c r="W39" i="104"/>
  <c r="W19" i="104"/>
  <c r="Z25" i="104"/>
  <c r="AA93" i="104"/>
  <c r="Z18" i="104"/>
  <c r="Z67" i="104"/>
  <c r="Y48" i="104"/>
  <c r="Z65" i="104"/>
  <c r="AB10" i="104"/>
  <c r="AB9" i="104"/>
  <c r="X92" i="104"/>
  <c r="X45" i="104"/>
  <c r="AB11" i="104"/>
  <c r="AA58" i="104"/>
  <c r="EF80" i="97"/>
  <c r="EN80" i="97"/>
  <c r="EG80" i="97"/>
  <c r="EH80" i="97"/>
  <c r="EI80" i="97"/>
  <c r="EO80" i="97"/>
  <c r="EP80" i="97"/>
  <c r="EQ80" i="97"/>
  <c r="CZ77" i="97"/>
  <c r="DA77" i="97"/>
  <c r="DB77" i="97"/>
  <c r="DD77" i="97"/>
  <c r="DE77" i="97"/>
  <c r="DF77" i="97"/>
  <c r="BP80" i="97"/>
  <c r="BR80" i="97"/>
  <c r="BS80" i="97"/>
  <c r="BT80" i="97"/>
  <c r="BU80" i="97"/>
  <c r="BW80" i="97"/>
  <c r="BX80" i="97"/>
  <c r="BY80" i="97"/>
  <c r="K80" i="97"/>
  <c r="M80" i="97"/>
  <c r="N80" i="97"/>
  <c r="O80" i="97"/>
  <c r="P80" i="97"/>
  <c r="R80" i="97"/>
  <c r="S80" i="97"/>
  <c r="T80" i="97"/>
  <c r="BS184" i="104" l="1"/>
  <c r="BT184" i="104" s="1"/>
  <c r="BU184" i="104" s="1"/>
  <c r="BV184" i="104" s="1"/>
  <c r="BM179" i="104"/>
  <c r="BN179" i="104" s="1"/>
  <c r="BQ177" i="104"/>
  <c r="BR177" i="104" s="1"/>
  <c r="BS177" i="104" s="1"/>
  <c r="BH176" i="104"/>
  <c r="BI175" i="104"/>
  <c r="BG174" i="104"/>
  <c r="BH174" i="104" s="1"/>
  <c r="BE172" i="104"/>
  <c r="BL171" i="104"/>
  <c r="BM171" i="104" s="1"/>
  <c r="BB170" i="104"/>
  <c r="BC170" i="104" s="1"/>
  <c r="BC169" i="104"/>
  <c r="BD168" i="104"/>
  <c r="BF167" i="104"/>
  <c r="AZ166" i="104"/>
  <c r="BA165" i="104"/>
  <c r="AY163" i="104"/>
  <c r="AX164" i="104"/>
  <c r="AV162" i="104"/>
  <c r="AS161" i="104"/>
  <c r="BA159" i="104"/>
  <c r="AS160" i="104"/>
  <c r="AT158" i="104"/>
  <c r="AO157" i="104"/>
  <c r="AT155" i="104"/>
  <c r="AS156" i="104"/>
  <c r="AM154" i="104"/>
  <c r="AM113" i="104"/>
  <c r="AL122" i="104"/>
  <c r="AR115" i="104"/>
  <c r="AM107" i="104"/>
  <c r="AO137" i="104"/>
  <c r="AP135" i="104"/>
  <c r="AM133" i="104"/>
  <c r="AN111" i="104"/>
  <c r="AO127" i="104"/>
  <c r="AK144" i="104"/>
  <c r="AO147" i="104"/>
  <c r="AP141" i="104"/>
  <c r="AN145" i="104"/>
  <c r="AM114" i="104"/>
  <c r="AS123" i="104"/>
  <c r="AQ124" i="104"/>
  <c r="AP128" i="104"/>
  <c r="AM106" i="104"/>
  <c r="AL146" i="104"/>
  <c r="AO121" i="104"/>
  <c r="AP153" i="104"/>
  <c r="AR126" i="104"/>
  <c r="AL140" i="104"/>
  <c r="AP131" i="104"/>
  <c r="AQ151" i="104"/>
  <c r="AP136" i="104"/>
  <c r="AO119" i="104"/>
  <c r="AN142" i="104"/>
  <c r="AL120" i="104"/>
  <c r="AO112" i="104"/>
  <c r="AL130" i="104"/>
  <c r="AM152" i="104"/>
  <c r="AM143" i="104"/>
  <c r="AM110" i="104"/>
  <c r="AK134" i="104"/>
  <c r="AN150" i="104"/>
  <c r="AM149" i="104"/>
  <c r="AN118" i="104"/>
  <c r="AM129" i="104"/>
  <c r="AM109" i="104"/>
  <c r="AO139" i="104"/>
  <c r="AN138" i="104"/>
  <c r="AJ132" i="104"/>
  <c r="AN108" i="104"/>
  <c r="AJ148" i="104"/>
  <c r="AL116" i="104"/>
  <c r="AN117" i="104"/>
  <c r="AM125" i="104"/>
  <c r="AK105" i="104"/>
  <c r="AA77" i="104"/>
  <c r="AA103" i="104"/>
  <c r="Z102" i="104"/>
  <c r="AB73" i="104"/>
  <c r="AC10" i="104"/>
  <c r="AB95" i="104"/>
  <c r="Z12" i="104"/>
  <c r="AA20" i="104"/>
  <c r="Y57" i="104"/>
  <c r="AB76" i="104"/>
  <c r="Z31" i="104"/>
  <c r="Z86" i="104"/>
  <c r="X87" i="104"/>
  <c r="Z38" i="104"/>
  <c r="Z42" i="104"/>
  <c r="W66" i="104"/>
  <c r="AC82" i="104"/>
  <c r="Y92" i="104"/>
  <c r="AA65" i="104"/>
  <c r="AA67" i="104"/>
  <c r="AA25" i="104"/>
  <c r="Z36" i="104"/>
  <c r="Y41" i="104"/>
  <c r="AB47" i="104"/>
  <c r="Z27" i="104"/>
  <c r="W94" i="104"/>
  <c r="X85" i="104"/>
  <c r="Z74" i="104"/>
  <c r="W99" i="104"/>
  <c r="V96" i="104"/>
  <c r="Z90" i="104"/>
  <c r="AC52" i="104"/>
  <c r="AA33" i="104"/>
  <c r="Y81" i="104"/>
  <c r="Z44" i="104"/>
  <c r="AB61" i="104"/>
  <c r="X89" i="104"/>
  <c r="X78" i="104"/>
  <c r="AB50" i="104"/>
  <c r="Y60" i="104"/>
  <c r="AA55" i="104"/>
  <c r="Z3" i="104"/>
  <c r="Y64" i="104"/>
  <c r="AA75" i="104"/>
  <c r="AA30" i="104"/>
  <c r="X6" i="104"/>
  <c r="W88" i="104"/>
  <c r="W4" i="104"/>
  <c r="AB58" i="104"/>
  <c r="Y45" i="104"/>
  <c r="AC9" i="104"/>
  <c r="AA18" i="104"/>
  <c r="AB93" i="104"/>
  <c r="X19" i="104"/>
  <c r="Z22" i="104"/>
  <c r="Z17" i="104"/>
  <c r="W15" i="104"/>
  <c r="AA91" i="104"/>
  <c r="AC68" i="104"/>
  <c r="AA63" i="104"/>
  <c r="Z101" i="104"/>
  <c r="AC56" i="104"/>
  <c r="Z14" i="104"/>
  <c r="X100" i="104"/>
  <c r="AB13" i="104"/>
  <c r="AA24" i="104"/>
  <c r="Y21" i="104"/>
  <c r="AD32" i="104"/>
  <c r="AC97" i="104"/>
  <c r="Z40" i="104"/>
  <c r="AA53" i="104"/>
  <c r="Z80" i="104"/>
  <c r="Z35" i="104"/>
  <c r="Y49" i="104"/>
  <c r="W70" i="104"/>
  <c r="X5" i="104"/>
  <c r="AC46" i="104"/>
  <c r="AC11" i="104"/>
  <c r="Z48" i="104"/>
  <c r="X39" i="104"/>
  <c r="W37" i="104"/>
  <c r="AC23" i="104"/>
  <c r="X51" i="104"/>
  <c r="AA83" i="104"/>
  <c r="AC16" i="104"/>
  <c r="W59" i="104"/>
  <c r="Z72" i="104"/>
  <c r="X8" i="104"/>
  <c r="AB26" i="104"/>
  <c r="AA28" i="104"/>
  <c r="Z79" i="104"/>
  <c r="Z29" i="104"/>
  <c r="X84" i="104"/>
  <c r="Z34" i="104"/>
  <c r="AA54" i="104"/>
  <c r="X69" i="104"/>
  <c r="X7" i="104"/>
  <c r="AB98" i="104"/>
  <c r="AA71" i="104"/>
  <c r="AD62" i="104"/>
  <c r="AB43" i="104"/>
  <c r="EM80" i="97"/>
  <c r="EE80" i="97"/>
  <c r="Q80" i="97"/>
  <c r="L80" i="97"/>
  <c r="BV80" i="97"/>
  <c r="BQ80" i="97"/>
  <c r="CY77" i="97"/>
  <c r="DC77" i="97"/>
  <c r="BY279" i="104" l="1"/>
  <c r="BY302" i="104"/>
  <c r="BY261" i="104"/>
  <c r="BY277" i="104"/>
  <c r="BY268" i="104"/>
  <c r="BY275" i="104"/>
  <c r="BY294" i="104"/>
  <c r="BY299" i="104"/>
  <c r="BY284" i="104"/>
  <c r="BY270" i="104"/>
  <c r="BY293" i="104"/>
  <c r="BY283" i="104"/>
  <c r="BY297" i="104"/>
  <c r="BY296" i="104"/>
  <c r="BY276" i="104"/>
  <c r="BY286" i="104"/>
  <c r="BY292" i="104"/>
  <c r="BY281" i="104"/>
  <c r="BY274" i="104"/>
  <c r="BY280" i="104"/>
  <c r="BY265" i="104"/>
  <c r="BY272" i="104"/>
  <c r="BY291" i="104"/>
  <c r="BY266" i="104"/>
  <c r="BY273" i="104"/>
  <c r="BY290" i="104"/>
  <c r="BY262" i="104"/>
  <c r="BY285" i="104"/>
  <c r="BY288" i="104"/>
  <c r="BY260" i="104"/>
  <c r="BY269" i="104"/>
  <c r="BY295" i="104"/>
  <c r="BY301" i="104"/>
  <c r="BY298" i="104"/>
  <c r="BY300" i="104"/>
  <c r="BY264" i="104"/>
  <c r="BY282" i="104"/>
  <c r="BY289" i="104"/>
  <c r="BY267" i="104"/>
  <c r="BY259" i="104"/>
  <c r="BY263" i="104"/>
  <c r="BY278" i="104"/>
  <c r="BY287" i="104"/>
  <c r="BY271" i="104"/>
  <c r="BY258" i="104"/>
  <c r="BO179" i="104"/>
  <c r="BT177" i="104"/>
  <c r="BU177" i="104" s="1"/>
  <c r="BV177" i="104" s="1"/>
  <c r="BI176" i="104"/>
  <c r="BJ176" i="104" s="1"/>
  <c r="BK176" i="104" s="1"/>
  <c r="BL176" i="104" s="1"/>
  <c r="BJ175" i="104"/>
  <c r="BI174" i="104"/>
  <c r="BJ174" i="104" s="1"/>
  <c r="BG173" i="104"/>
  <c r="BF172" i="104"/>
  <c r="BN171" i="104"/>
  <c r="BO171" i="104" s="1"/>
  <c r="BP171" i="104" s="1"/>
  <c r="BQ171" i="104" s="1"/>
  <c r="BR171" i="104" s="1"/>
  <c r="BS171" i="104" s="1"/>
  <c r="BT171" i="104" s="1"/>
  <c r="BU171" i="104" s="1"/>
  <c r="BV171" i="104" s="1"/>
  <c r="BD170" i="104"/>
  <c r="BE170" i="104" s="1"/>
  <c r="BD169" i="104"/>
  <c r="BE168" i="104"/>
  <c r="BG167" i="104"/>
  <c r="BA166" i="104"/>
  <c r="BB165" i="104"/>
  <c r="AZ163" i="104"/>
  <c r="AY164" i="104"/>
  <c r="AW162" i="104"/>
  <c r="AT161" i="104"/>
  <c r="AT160" i="104"/>
  <c r="BB159" i="104"/>
  <c r="AU158" i="104"/>
  <c r="AP157" i="104"/>
  <c r="AU155" i="104"/>
  <c r="AT156" i="104"/>
  <c r="AN154" i="104"/>
  <c r="AO108" i="104"/>
  <c r="AO118" i="104"/>
  <c r="AN110" i="104"/>
  <c r="AN143" i="104"/>
  <c r="AP112" i="104"/>
  <c r="AM146" i="104"/>
  <c r="AL144" i="104"/>
  <c r="AP137" i="104"/>
  <c r="AK148" i="104"/>
  <c r="AK132" i="104"/>
  <c r="AO138" i="104"/>
  <c r="AM120" i="104"/>
  <c r="AO142" i="104"/>
  <c r="AP119" i="104"/>
  <c r="AQ136" i="104"/>
  <c r="AR151" i="104"/>
  <c r="AQ131" i="104"/>
  <c r="AP121" i="104"/>
  <c r="AR124" i="104"/>
  <c r="AP147" i="104"/>
  <c r="AP127" i="104"/>
  <c r="AO111" i="104"/>
  <c r="AQ135" i="104"/>
  <c r="AN107" i="104"/>
  <c r="AS115" i="104"/>
  <c r="AN125" i="104"/>
  <c r="AO117" i="104"/>
  <c r="AM116" i="104"/>
  <c r="AN109" i="104"/>
  <c r="AN129" i="104"/>
  <c r="AO150" i="104"/>
  <c r="AL134" i="104"/>
  <c r="AN152" i="104"/>
  <c r="AM130" i="104"/>
  <c r="AM140" i="104"/>
  <c r="AQ128" i="104"/>
  <c r="AT123" i="104"/>
  <c r="AN114" i="104"/>
  <c r="AQ141" i="104"/>
  <c r="AN113" i="104"/>
  <c r="AP139" i="104"/>
  <c r="AN149" i="104"/>
  <c r="AS126" i="104"/>
  <c r="AQ153" i="104"/>
  <c r="AN106" i="104"/>
  <c r="AO145" i="104"/>
  <c r="AN133" i="104"/>
  <c r="AM122" i="104"/>
  <c r="AL105" i="104"/>
  <c r="AM105" i="104" s="1"/>
  <c r="AB77" i="104"/>
  <c r="AB103" i="104"/>
  <c r="AA102" i="104"/>
  <c r="AC73" i="104"/>
  <c r="AB54" i="104"/>
  <c r="AA29" i="104"/>
  <c r="AC26" i="104"/>
  <c r="Y8" i="104"/>
  <c r="AA72" i="104"/>
  <c r="X59" i="104"/>
  <c r="Y39" i="104"/>
  <c r="AA48" i="104"/>
  <c r="AD46" i="104"/>
  <c r="Z49" i="104"/>
  <c r="Y100" i="104"/>
  <c r="AB63" i="104"/>
  <c r="AB91" i="104"/>
  <c r="X15" i="104"/>
  <c r="AA17" i="104"/>
  <c r="AA22" i="104"/>
  <c r="AB18" i="104"/>
  <c r="AD9" i="104"/>
  <c r="Z45" i="104"/>
  <c r="AB75" i="104"/>
  <c r="Z64" i="104"/>
  <c r="AA3" i="104"/>
  <c r="AC50" i="104"/>
  <c r="X99" i="104"/>
  <c r="Y85" i="104"/>
  <c r="X94" i="104"/>
  <c r="AB67" i="104"/>
  <c r="AB65" i="104"/>
  <c r="AA86" i="104"/>
  <c r="Z57" i="104"/>
  <c r="Y69" i="104"/>
  <c r="Y84" i="104"/>
  <c r="AB28" i="104"/>
  <c r="AB83" i="104"/>
  <c r="Y5" i="104"/>
  <c r="X70" i="104"/>
  <c r="AA80" i="104"/>
  <c r="AD97" i="104"/>
  <c r="AD56" i="104"/>
  <c r="AD68" i="104"/>
  <c r="AC93" i="104"/>
  <c r="AC58" i="104"/>
  <c r="AA44" i="104"/>
  <c r="Z81" i="104"/>
  <c r="W96" i="104"/>
  <c r="AA74" i="104"/>
  <c r="AA27" i="104"/>
  <c r="AC47" i="104"/>
  <c r="Z41" i="104"/>
  <c r="AB25" i="104"/>
  <c r="Z92" i="104"/>
  <c r="Y87" i="104"/>
  <c r="AE62" i="104"/>
  <c r="AB71" i="104"/>
  <c r="AC98" i="104"/>
  <c r="AA34" i="104"/>
  <c r="AD16" i="104"/>
  <c r="Y51" i="104"/>
  <c r="AD23" i="104"/>
  <c r="X37" i="104"/>
  <c r="AA40" i="104"/>
  <c r="AB24" i="104"/>
  <c r="AC13" i="104"/>
  <c r="AA14" i="104"/>
  <c r="AA101" i="104"/>
  <c r="X88" i="104"/>
  <c r="AB30" i="104"/>
  <c r="Z60" i="104"/>
  <c r="Y89" i="104"/>
  <c r="AC61" i="104"/>
  <c r="AA36" i="104"/>
  <c r="X66" i="104"/>
  <c r="AA31" i="104"/>
  <c r="AC76" i="104"/>
  <c r="AD10" i="104"/>
  <c r="AC43" i="104"/>
  <c r="Y7" i="104"/>
  <c r="AA79" i="104"/>
  <c r="AD11" i="104"/>
  <c r="AA35" i="104"/>
  <c r="AB53" i="104"/>
  <c r="AE32" i="104"/>
  <c r="Z21" i="104"/>
  <c r="Y19" i="104"/>
  <c r="X4" i="104"/>
  <c r="Y6" i="104"/>
  <c r="AB55" i="104"/>
  <c r="Y78" i="104"/>
  <c r="AB33" i="104"/>
  <c r="AD52" i="104"/>
  <c r="AA90" i="104"/>
  <c r="AD82" i="104"/>
  <c r="AA42" i="104"/>
  <c r="AA38" i="104"/>
  <c r="AB20" i="104"/>
  <c r="AA12" i="104"/>
  <c r="AC95" i="104"/>
  <c r="BY303" i="104" l="1"/>
  <c r="BP179" i="104"/>
  <c r="BQ179" i="104" s="1"/>
  <c r="CF292" i="104"/>
  <c r="CF301" i="104"/>
  <c r="CF277" i="104"/>
  <c r="CF291" i="104"/>
  <c r="CF294" i="104"/>
  <c r="CF275" i="104"/>
  <c r="CF285" i="104"/>
  <c r="CF276" i="104"/>
  <c r="CF268" i="104"/>
  <c r="CF265" i="104"/>
  <c r="CF290" i="104"/>
  <c r="CF274" i="104"/>
  <c r="CF262" i="104"/>
  <c r="CF266" i="104"/>
  <c r="CF261" i="104"/>
  <c r="CF288" i="104"/>
  <c r="CF260" i="104"/>
  <c r="CF299" i="104"/>
  <c r="CF272" i="104"/>
  <c r="CF281" i="104"/>
  <c r="CF263" i="104"/>
  <c r="CF269" i="104"/>
  <c r="CF293" i="104"/>
  <c r="CF282" i="104"/>
  <c r="CF300" i="104"/>
  <c r="CF283" i="104"/>
  <c r="CF297" i="104"/>
  <c r="CF298" i="104"/>
  <c r="CF287" i="104"/>
  <c r="CF278" i="104"/>
  <c r="CF264" i="104"/>
  <c r="CF259" i="104"/>
  <c r="CF295" i="104"/>
  <c r="CF289" i="104"/>
  <c r="CF258" i="104"/>
  <c r="CF279" i="104"/>
  <c r="CF267" i="104"/>
  <c r="CF302" i="104"/>
  <c r="CF273" i="104"/>
  <c r="CF270" i="104"/>
  <c r="CF280" i="104"/>
  <c r="CF284" i="104"/>
  <c r="CF296" i="104"/>
  <c r="CF271" i="104"/>
  <c r="CF286" i="104"/>
  <c r="BO178" i="104"/>
  <c r="BK175" i="104"/>
  <c r="BH173" i="104"/>
  <c r="BG172" i="104"/>
  <c r="CL286" i="104"/>
  <c r="CL289" i="104"/>
  <c r="CL267" i="104"/>
  <c r="CL266" i="104"/>
  <c r="CL259" i="104"/>
  <c r="CL260" i="104"/>
  <c r="CL284" i="104"/>
  <c r="CL268" i="104"/>
  <c r="CL280" i="104"/>
  <c r="CL283" i="104"/>
  <c r="CL272" i="104"/>
  <c r="CL302" i="104"/>
  <c r="CL301" i="104"/>
  <c r="CL263" i="104"/>
  <c r="CL262" i="104"/>
  <c r="CL287" i="104"/>
  <c r="CL294" i="104"/>
  <c r="CL296" i="104"/>
  <c r="CL298" i="104"/>
  <c r="CL293" i="104"/>
  <c r="CL275" i="104"/>
  <c r="CL300" i="104"/>
  <c r="CL282" i="104"/>
  <c r="CL261" i="104"/>
  <c r="CL274" i="104"/>
  <c r="CL292" i="104"/>
  <c r="CL264" i="104"/>
  <c r="CL276" i="104"/>
  <c r="CL285" i="104"/>
  <c r="CL279" i="104"/>
  <c r="CL297" i="104"/>
  <c r="CL291" i="104"/>
  <c r="CL290" i="104"/>
  <c r="CL265" i="104"/>
  <c r="CL269" i="104"/>
  <c r="CL271" i="104"/>
  <c r="CL295" i="104"/>
  <c r="CL277" i="104"/>
  <c r="CL288" i="104"/>
  <c r="CL273" i="104"/>
  <c r="CL258" i="104"/>
  <c r="CL299" i="104"/>
  <c r="CL278" i="104"/>
  <c r="CL270" i="104"/>
  <c r="CL281" i="104"/>
  <c r="BF170" i="104"/>
  <c r="BE169" i="104"/>
  <c r="BF168" i="104"/>
  <c r="BH167" i="104"/>
  <c r="BB166" i="104"/>
  <c r="BC165" i="104"/>
  <c r="BA163" i="104"/>
  <c r="AZ164" i="104"/>
  <c r="AX162" i="104"/>
  <c r="AU161" i="104"/>
  <c r="BC159" i="104"/>
  <c r="AU160" i="104"/>
  <c r="AV158" i="104"/>
  <c r="AQ157" i="104"/>
  <c r="AU156" i="104"/>
  <c r="AO154" i="104"/>
  <c r="AV155" i="104"/>
  <c r="AO133" i="104"/>
  <c r="AO114" i="104"/>
  <c r="AO109" i="104"/>
  <c r="AQ147" i="104"/>
  <c r="AQ121" i="104"/>
  <c r="AQ119" i="104"/>
  <c r="AN120" i="104"/>
  <c r="AL132" i="104"/>
  <c r="AO110" i="104"/>
  <c r="AR141" i="104"/>
  <c r="AR128" i="104"/>
  <c r="AO152" i="104"/>
  <c r="AO125" i="104"/>
  <c r="AT115" i="104"/>
  <c r="AO107" i="104"/>
  <c r="AR135" i="104"/>
  <c r="AP111" i="104"/>
  <c r="AQ127" i="104"/>
  <c r="AS151" i="104"/>
  <c r="AP142" i="104"/>
  <c r="AL148" i="104"/>
  <c r="AQ137" i="104"/>
  <c r="AM144" i="104"/>
  <c r="AN146" i="104"/>
  <c r="AP118" i="104"/>
  <c r="AP108" i="104"/>
  <c r="AN122" i="104"/>
  <c r="AO106" i="104"/>
  <c r="AT126" i="104"/>
  <c r="AO149" i="104"/>
  <c r="AQ139" i="104"/>
  <c r="AO113" i="104"/>
  <c r="AU123" i="104"/>
  <c r="AN140" i="104"/>
  <c r="AO129" i="104"/>
  <c r="AN116" i="104"/>
  <c r="AP117" i="104"/>
  <c r="AS124" i="104"/>
  <c r="AR136" i="104"/>
  <c r="AP138" i="104"/>
  <c r="AO143" i="104"/>
  <c r="AP145" i="104"/>
  <c r="AR153" i="104"/>
  <c r="AN130" i="104"/>
  <c r="AM134" i="104"/>
  <c r="AP150" i="104"/>
  <c r="AR131" i="104"/>
  <c r="AQ112" i="104"/>
  <c r="AC77" i="104"/>
  <c r="AC103" i="104"/>
  <c r="AB102" i="104"/>
  <c r="AD73" i="104"/>
  <c r="AE73" i="104" s="1"/>
  <c r="AE82" i="104"/>
  <c r="AE52" i="104"/>
  <c r="Z6" i="104"/>
  <c r="AF32" i="104"/>
  <c r="Z7" i="104"/>
  <c r="AE10" i="104"/>
  <c r="AD61" i="104"/>
  <c r="AA60" i="104"/>
  <c r="Y88" i="104"/>
  <c r="AE23" i="104"/>
  <c r="AB74" i="104"/>
  <c r="X96" i="104"/>
  <c r="Y70" i="104"/>
  <c r="AC83" i="104"/>
  <c r="AC28" i="104"/>
  <c r="AB86" i="104"/>
  <c r="Y99" i="104"/>
  <c r="AE9" i="104"/>
  <c r="AB17" i="104"/>
  <c r="Y15" i="104"/>
  <c r="Y59" i="104"/>
  <c r="AD26" i="104"/>
  <c r="AC20" i="104"/>
  <c r="AA21" i="104"/>
  <c r="AB35" i="104"/>
  <c r="AE11" i="104"/>
  <c r="Z89" i="104"/>
  <c r="AC24" i="104"/>
  <c r="AB40" i="104"/>
  <c r="AE16" i="104"/>
  <c r="AC25" i="104"/>
  <c r="AA41" i="104"/>
  <c r="AA81" i="104"/>
  <c r="AD58" i="104"/>
  <c r="AE68" i="104"/>
  <c r="AE56" i="104"/>
  <c r="AC67" i="104"/>
  <c r="AD50" i="104"/>
  <c r="AB22" i="104"/>
  <c r="AA49" i="104"/>
  <c r="AC54" i="104"/>
  <c r="AC33" i="104"/>
  <c r="AC55" i="104"/>
  <c r="Z19" i="104"/>
  <c r="AC53" i="104"/>
  <c r="AD43" i="104"/>
  <c r="AB31" i="104"/>
  <c r="Y66" i="104"/>
  <c r="AB101" i="104"/>
  <c r="AD13" i="104"/>
  <c r="Y37" i="104"/>
  <c r="AD98" i="104"/>
  <c r="AF62" i="104"/>
  <c r="Z87" i="104"/>
  <c r="AA92" i="104"/>
  <c r="AD47" i="104"/>
  <c r="AB27" i="104"/>
  <c r="AB44" i="104"/>
  <c r="AE97" i="104"/>
  <c r="Z84" i="104"/>
  <c r="Z69" i="104"/>
  <c r="AA57" i="104"/>
  <c r="AC65" i="104"/>
  <c r="Z85" i="104"/>
  <c r="AB3" i="104"/>
  <c r="AA45" i="104"/>
  <c r="AC18" i="104"/>
  <c r="AE46" i="104"/>
  <c r="AB48" i="104"/>
  <c r="Z8" i="104"/>
  <c r="AB29" i="104"/>
  <c r="AD95" i="104"/>
  <c r="AB42" i="104"/>
  <c r="Z78" i="104"/>
  <c r="AB12" i="104"/>
  <c r="AB38" i="104"/>
  <c r="AB90" i="104"/>
  <c r="Y4" i="104"/>
  <c r="AB79" i="104"/>
  <c r="AD76" i="104"/>
  <c r="AB36" i="104"/>
  <c r="AC30" i="104"/>
  <c r="AB14" i="104"/>
  <c r="Z51" i="104"/>
  <c r="AB34" i="104"/>
  <c r="AC71" i="104"/>
  <c r="AD93" i="104"/>
  <c r="AB80" i="104"/>
  <c r="Z5" i="104"/>
  <c r="Y94" i="104"/>
  <c r="AA64" i="104"/>
  <c r="AC75" i="104"/>
  <c r="AC91" i="104"/>
  <c r="AC63" i="104"/>
  <c r="Z100" i="104"/>
  <c r="Z39" i="104"/>
  <c r="AB72" i="104"/>
  <c r="BR179" i="104" l="1"/>
  <c r="CF303" i="104"/>
  <c r="BP178" i="104"/>
  <c r="BQ178" i="104" s="1"/>
  <c r="BR178" i="104" s="1"/>
  <c r="BL175" i="104"/>
  <c r="BM175" i="104" s="1"/>
  <c r="BN175" i="104" s="1"/>
  <c r="BO175" i="104" s="1"/>
  <c r="BP175" i="104" s="1"/>
  <c r="BQ175" i="104" s="1"/>
  <c r="BR175" i="104" s="1"/>
  <c r="BS175" i="104" s="1"/>
  <c r="BT175" i="104" s="1"/>
  <c r="BI173" i="104"/>
  <c r="BH172" i="104"/>
  <c r="CL303" i="104"/>
  <c r="BG170" i="104"/>
  <c r="BH170" i="104" s="1"/>
  <c r="BI170" i="104" s="1"/>
  <c r="BJ170" i="104" s="1"/>
  <c r="BK170" i="104" s="1"/>
  <c r="BL170" i="104" s="1"/>
  <c r="BM170" i="104" s="1"/>
  <c r="BN170" i="104" s="1"/>
  <c r="BF169" i="104"/>
  <c r="BG169" i="104" s="1"/>
  <c r="BH169" i="104" s="1"/>
  <c r="BI169" i="104" s="1"/>
  <c r="BJ169" i="104" s="1"/>
  <c r="BK169" i="104" s="1"/>
  <c r="BL169" i="104" s="1"/>
  <c r="BM169" i="104" s="1"/>
  <c r="BN169" i="104" s="1"/>
  <c r="BO169" i="104" s="1"/>
  <c r="BG168" i="104"/>
  <c r="BI167" i="104"/>
  <c r="BC166" i="104"/>
  <c r="BD165" i="104"/>
  <c r="BA164" i="104"/>
  <c r="BB163" i="104"/>
  <c r="AY162" i="104"/>
  <c r="AV161" i="104"/>
  <c r="AV160" i="104"/>
  <c r="BD159" i="104"/>
  <c r="AW158" i="104"/>
  <c r="AV156" i="104"/>
  <c r="AR157" i="104"/>
  <c r="AW155" i="104"/>
  <c r="AP154" i="104"/>
  <c r="AR112" i="104"/>
  <c r="AS136" i="104"/>
  <c r="AQ117" i="104"/>
  <c r="AM148" i="104"/>
  <c r="AQ142" i="104"/>
  <c r="AP107" i="104"/>
  <c r="AM132" i="104"/>
  <c r="AP109" i="104"/>
  <c r="AS131" i="104"/>
  <c r="AO130" i="104"/>
  <c r="AQ145" i="104"/>
  <c r="AQ138" i="104"/>
  <c r="AV123" i="104"/>
  <c r="AP106" i="104"/>
  <c r="AQ118" i="104"/>
  <c r="AT151" i="104"/>
  <c r="AS135" i="104"/>
  <c r="AP125" i="104"/>
  <c r="AP152" i="104"/>
  <c r="AS128" i="104"/>
  <c r="AS141" i="104"/>
  <c r="AR121" i="104"/>
  <c r="AP114" i="104"/>
  <c r="AN134" i="104"/>
  <c r="AP143" i="104"/>
  <c r="AO116" i="104"/>
  <c r="AP129" i="104"/>
  <c r="AP113" i="104"/>
  <c r="AR139" i="104"/>
  <c r="AP149" i="104"/>
  <c r="AU126" i="104"/>
  <c r="AO122" i="104"/>
  <c r="AN144" i="104"/>
  <c r="AR137" i="104"/>
  <c r="AR127" i="104"/>
  <c r="AQ111" i="104"/>
  <c r="AP110" i="104"/>
  <c r="AR119" i="104"/>
  <c r="AP133" i="104"/>
  <c r="AQ150" i="104"/>
  <c r="AS153" i="104"/>
  <c r="AT124" i="104"/>
  <c r="AO140" i="104"/>
  <c r="AQ108" i="104"/>
  <c r="AO146" i="104"/>
  <c r="AU115" i="104"/>
  <c r="AO120" i="104"/>
  <c r="AR147" i="104"/>
  <c r="AN105" i="104"/>
  <c r="AD77" i="104"/>
  <c r="AD103" i="104"/>
  <c r="AC102" i="104"/>
  <c r="AF73" i="104"/>
  <c r="AG73" i="104" s="1"/>
  <c r="AH73" i="104" s="1"/>
  <c r="AC80" i="104"/>
  <c r="AC34" i="104"/>
  <c r="AA51" i="104"/>
  <c r="AC79" i="104"/>
  <c r="AC90" i="104"/>
  <c r="AE95" i="104"/>
  <c r="AC3" i="104"/>
  <c r="AD65" i="104"/>
  <c r="AB57" i="104"/>
  <c r="AA69" i="104"/>
  <c r="AB92" i="104"/>
  <c r="AA87" i="104"/>
  <c r="Z37" i="104"/>
  <c r="AE13" i="104"/>
  <c r="AE50" i="104"/>
  <c r="AF16" i="104"/>
  <c r="AF11" i="104"/>
  <c r="AC35" i="104"/>
  <c r="Z59" i="104"/>
  <c r="Z15" i="104"/>
  <c r="AC17" i="104"/>
  <c r="Z70" i="104"/>
  <c r="AA7" i="104"/>
  <c r="AG32" i="104"/>
  <c r="Z94" i="104"/>
  <c r="AA5" i="104"/>
  <c r="AE76" i="104"/>
  <c r="AC12" i="104"/>
  <c r="AA78" i="104"/>
  <c r="AC29" i="104"/>
  <c r="AA8" i="104"/>
  <c r="AB45" i="104"/>
  <c r="AF97" i="104"/>
  <c r="AC101" i="104"/>
  <c r="AE43" i="104"/>
  <c r="AB49" i="104"/>
  <c r="AD67" i="104"/>
  <c r="AE58" i="104"/>
  <c r="AD25" i="104"/>
  <c r="AC40" i="104"/>
  <c r="AD24" i="104"/>
  <c r="AA89" i="104"/>
  <c r="AE26" i="104"/>
  <c r="AD28" i="104"/>
  <c r="Z88" i="104"/>
  <c r="AB60" i="104"/>
  <c r="AA6" i="104"/>
  <c r="AF52" i="104"/>
  <c r="AC72" i="104"/>
  <c r="AB64" i="104"/>
  <c r="AD91" i="104"/>
  <c r="AD75" i="104"/>
  <c r="AE93" i="104"/>
  <c r="AC36" i="104"/>
  <c r="AC42" i="104"/>
  <c r="AC48" i="104"/>
  <c r="AF46" i="104"/>
  <c r="AA84" i="104"/>
  <c r="AC44" i="104"/>
  <c r="AE47" i="104"/>
  <c r="Z66" i="104"/>
  <c r="AC31" i="104"/>
  <c r="AD53" i="104"/>
  <c r="AA19" i="104"/>
  <c r="AD55" i="104"/>
  <c r="AF56" i="104"/>
  <c r="AF68" i="104"/>
  <c r="AB41" i="104"/>
  <c r="AD20" i="104"/>
  <c r="Z99" i="104"/>
  <c r="AC74" i="104"/>
  <c r="AF23" i="104"/>
  <c r="AE61" i="104"/>
  <c r="AF82" i="104"/>
  <c r="AD63" i="104"/>
  <c r="AA100" i="104"/>
  <c r="AA39" i="104"/>
  <c r="AD71" i="104"/>
  <c r="AC14" i="104"/>
  <c r="AD30" i="104"/>
  <c r="Z4" i="104"/>
  <c r="AC38" i="104"/>
  <c r="AD18" i="104"/>
  <c r="AA85" i="104"/>
  <c r="AC27" i="104"/>
  <c r="AG62" i="104"/>
  <c r="AE98" i="104"/>
  <c r="AD33" i="104"/>
  <c r="AD54" i="104"/>
  <c r="AC22" i="104"/>
  <c r="AB81" i="104"/>
  <c r="AB21" i="104"/>
  <c r="AF9" i="104"/>
  <c r="AC86" i="104"/>
  <c r="AD83" i="104"/>
  <c r="Y96" i="104"/>
  <c r="AF10" i="104"/>
  <c r="EF37" i="97"/>
  <c r="BS179" i="104" l="1"/>
  <c r="BS178" i="104"/>
  <c r="BT178" i="104" s="1"/>
  <c r="BU175" i="104"/>
  <c r="BV175" i="104" s="1"/>
  <c r="BK174" i="104"/>
  <c r="BJ173" i="104"/>
  <c r="BI172" i="104"/>
  <c r="BP169" i="104"/>
  <c r="BQ169" i="104" s="1"/>
  <c r="BH168" i="104"/>
  <c r="BJ167" i="104"/>
  <c r="BD166" i="104"/>
  <c r="BE165" i="104"/>
  <c r="BC163" i="104"/>
  <c r="BB164" i="104"/>
  <c r="AZ162" i="104"/>
  <c r="AW161" i="104"/>
  <c r="BE159" i="104"/>
  <c r="AW160" i="104"/>
  <c r="AX158" i="104"/>
  <c r="AS157" i="104"/>
  <c r="AW156" i="104"/>
  <c r="AX155" i="104"/>
  <c r="AQ154" i="104"/>
  <c r="AR108" i="104"/>
  <c r="AQ149" i="104"/>
  <c r="AS121" i="104"/>
  <c r="AT128" i="104"/>
  <c r="AQ152" i="104"/>
  <c r="AR145" i="104"/>
  <c r="AQ109" i="104"/>
  <c r="AT136" i="104"/>
  <c r="AP120" i="104"/>
  <c r="AU124" i="104"/>
  <c r="AS119" i="104"/>
  <c r="AQ110" i="104"/>
  <c r="AP116" i="104"/>
  <c r="AQ143" i="104"/>
  <c r="AO134" i="104"/>
  <c r="AR117" i="104"/>
  <c r="AS112" i="104"/>
  <c r="AV115" i="104"/>
  <c r="AP140" i="104"/>
  <c r="AT153" i="104"/>
  <c r="AR150" i="104"/>
  <c r="AQ133" i="104"/>
  <c r="AR111" i="104"/>
  <c r="AP122" i="104"/>
  <c r="AS139" i="104"/>
  <c r="AQ113" i="104"/>
  <c r="AQ129" i="104"/>
  <c r="AT135" i="104"/>
  <c r="AR138" i="104"/>
  <c r="AN132" i="104"/>
  <c r="AS147" i="104"/>
  <c r="AO144" i="104"/>
  <c r="AQ114" i="104"/>
  <c r="AT141" i="104"/>
  <c r="AQ125" i="104"/>
  <c r="AU151" i="104"/>
  <c r="AT131" i="104"/>
  <c r="AN148" i="104"/>
  <c r="AP146" i="104"/>
  <c r="AS127" i="104"/>
  <c r="AS137" i="104"/>
  <c r="AV126" i="104"/>
  <c r="AR118" i="104"/>
  <c r="AQ106" i="104"/>
  <c r="AW123" i="104"/>
  <c r="AP130" i="104"/>
  <c r="AQ107" i="104"/>
  <c r="AR142" i="104"/>
  <c r="AO105" i="104"/>
  <c r="AE77" i="104"/>
  <c r="AE103" i="104"/>
  <c r="AD102" i="104"/>
  <c r="AG10" i="104"/>
  <c r="Z96" i="104"/>
  <c r="AE83" i="104"/>
  <c r="AH62" i="104"/>
  <c r="AE18" i="104"/>
  <c r="AG23" i="104"/>
  <c r="AC41" i="104"/>
  <c r="AE53" i="104"/>
  <c r="AD44" i="104"/>
  <c r="AF93" i="104"/>
  <c r="AE75" i="104"/>
  <c r="AD72" i="104"/>
  <c r="AD40" i="104"/>
  <c r="AE67" i="104"/>
  <c r="AC49" i="104"/>
  <c r="AI73" i="104"/>
  <c r="AD12" i="104"/>
  <c r="AB7" i="104"/>
  <c r="AA70" i="104"/>
  <c r="AD17" i="104"/>
  <c r="AC92" i="104"/>
  <c r="AD3" i="104"/>
  <c r="AD90" i="104"/>
  <c r="AB85" i="104"/>
  <c r="AB39" i="104"/>
  <c r="AB100" i="104"/>
  <c r="AF61" i="104"/>
  <c r="AA99" i="104"/>
  <c r="AG68" i="104"/>
  <c r="AG56" i="104"/>
  <c r="AB19" i="104"/>
  <c r="AD31" i="104"/>
  <c r="AA66" i="104"/>
  <c r="AG46" i="104"/>
  <c r="AD48" i="104"/>
  <c r="AB6" i="104"/>
  <c r="AC60" i="104"/>
  <c r="AA88" i="104"/>
  <c r="AF26" i="104"/>
  <c r="AE24" i="104"/>
  <c r="AF58" i="104"/>
  <c r="AD29" i="104"/>
  <c r="AB78" i="104"/>
  <c r="AD35" i="104"/>
  <c r="AF13" i="104"/>
  <c r="AB51" i="104"/>
  <c r="AD34" i="104"/>
  <c r="AG9" i="104"/>
  <c r="AC21" i="104"/>
  <c r="AE33" i="104"/>
  <c r="AF98" i="104"/>
  <c r="AD14" i="104"/>
  <c r="AE71" i="104"/>
  <c r="AE63" i="104"/>
  <c r="AD74" i="104"/>
  <c r="AE20" i="104"/>
  <c r="AB84" i="104"/>
  <c r="AE91" i="104"/>
  <c r="AC64" i="104"/>
  <c r="AE28" i="104"/>
  <c r="AE25" i="104"/>
  <c r="AG97" i="104"/>
  <c r="AB8" i="104"/>
  <c r="AH32" i="104"/>
  <c r="AG16" i="104"/>
  <c r="AF50" i="104"/>
  <c r="AB69" i="104"/>
  <c r="AC57" i="104"/>
  <c r="AF95" i="104"/>
  <c r="AD79" i="104"/>
  <c r="AD86" i="104"/>
  <c r="AC81" i="104"/>
  <c r="AD22" i="104"/>
  <c r="AE54" i="104"/>
  <c r="AD27" i="104"/>
  <c r="AD38" i="104"/>
  <c r="AA4" i="104"/>
  <c r="AE30" i="104"/>
  <c r="AG82" i="104"/>
  <c r="AE55" i="104"/>
  <c r="AF47" i="104"/>
  <c r="AD42" i="104"/>
  <c r="AD36" i="104"/>
  <c r="AG52" i="104"/>
  <c r="AB89" i="104"/>
  <c r="AF43" i="104"/>
  <c r="AD101" i="104"/>
  <c r="AC45" i="104"/>
  <c r="AF76" i="104"/>
  <c r="AB5" i="104"/>
  <c r="AA94" i="104"/>
  <c r="AA15" i="104"/>
  <c r="AA59" i="104"/>
  <c r="AG11" i="104"/>
  <c r="AA37" i="104"/>
  <c r="AB87" i="104"/>
  <c r="AE65" i="104"/>
  <c r="AD80" i="104"/>
  <c r="EF79" i="97"/>
  <c r="EG79" i="97"/>
  <c r="EH79" i="97"/>
  <c r="EI79" i="97"/>
  <c r="EN79" i="97"/>
  <c r="EO79" i="97"/>
  <c r="EP79" i="97"/>
  <c r="EQ79" i="97"/>
  <c r="CZ76" i="97"/>
  <c r="DA76" i="97"/>
  <c r="DB76" i="97"/>
  <c r="DD76" i="97"/>
  <c r="DE76" i="97"/>
  <c r="DF76" i="97"/>
  <c r="BP79" i="97"/>
  <c r="BR79" i="97"/>
  <c r="BS79" i="97"/>
  <c r="BT79" i="97"/>
  <c r="BU79" i="97"/>
  <c r="BW79" i="97"/>
  <c r="BX79" i="97"/>
  <c r="BY79" i="97"/>
  <c r="P79" i="97"/>
  <c r="K79" i="97"/>
  <c r="M79" i="97"/>
  <c r="N79" i="97"/>
  <c r="O79" i="97"/>
  <c r="R79" i="97"/>
  <c r="S79" i="97"/>
  <c r="T79" i="97"/>
  <c r="BT179" i="104" l="1"/>
  <c r="BU179" i="104" s="1"/>
  <c r="BV179" i="104" s="1"/>
  <c r="BU178" i="104"/>
  <c r="BV178" i="104" s="1"/>
  <c r="BM176" i="104"/>
  <c r="CH299" i="104"/>
  <c r="CH281" i="104"/>
  <c r="CH296" i="104"/>
  <c r="CH301" i="104"/>
  <c r="CH283" i="104"/>
  <c r="CH272" i="104"/>
  <c r="CH280" i="104"/>
  <c r="CH294" i="104"/>
  <c r="CH277" i="104"/>
  <c r="CH268" i="104"/>
  <c r="CH284" i="104"/>
  <c r="CH265" i="104"/>
  <c r="CH290" i="104"/>
  <c r="CH274" i="104"/>
  <c r="CH289" i="104"/>
  <c r="CH293" i="104"/>
  <c r="CH267" i="104"/>
  <c r="CH262" i="104"/>
  <c r="CH260" i="104"/>
  <c r="CH298" i="104"/>
  <c r="CH287" i="104"/>
  <c r="CH278" i="104"/>
  <c r="CH300" i="104"/>
  <c r="CH266" i="104"/>
  <c r="CH273" i="104"/>
  <c r="CH291" i="104"/>
  <c r="CH288" i="104"/>
  <c r="CH258" i="104"/>
  <c r="CH286" i="104"/>
  <c r="CH302" i="104"/>
  <c r="CH270" i="104"/>
  <c r="CH285" i="104"/>
  <c r="CH259" i="104"/>
  <c r="CH279" i="104"/>
  <c r="CH295" i="104"/>
  <c r="CH292" i="104"/>
  <c r="CH275" i="104"/>
  <c r="CH282" i="104"/>
  <c r="CH276" i="104"/>
  <c r="CH261" i="104"/>
  <c r="CH271" i="104"/>
  <c r="CH297" i="104"/>
  <c r="CH264" i="104"/>
  <c r="CH263" i="104"/>
  <c r="CH269" i="104"/>
  <c r="BL174" i="104"/>
  <c r="BM174" i="104" s="1"/>
  <c r="BK173" i="104"/>
  <c r="BL173" i="104" s="1"/>
  <c r="BM173" i="104" s="1"/>
  <c r="BN173" i="104" s="1"/>
  <c r="BO173" i="104" s="1"/>
  <c r="BJ172" i="104"/>
  <c r="BR169" i="104"/>
  <c r="BS169" i="104" s="1"/>
  <c r="BI168" i="104"/>
  <c r="BK167" i="104"/>
  <c r="BE166" i="104"/>
  <c r="BF165" i="104"/>
  <c r="BC164" i="104"/>
  <c r="BA162" i="104"/>
  <c r="AX161" i="104"/>
  <c r="AX160" i="104"/>
  <c r="BF159" i="104"/>
  <c r="AY158" i="104"/>
  <c r="AT157" i="104"/>
  <c r="AX156" i="104"/>
  <c r="AR154" i="104"/>
  <c r="AY155" i="104"/>
  <c r="AX123" i="104"/>
  <c r="AW126" i="104"/>
  <c r="AO148" i="104"/>
  <c r="AT147" i="104"/>
  <c r="AU135" i="104"/>
  <c r="AQ122" i="104"/>
  <c r="AU153" i="104"/>
  <c r="AT119" i="104"/>
  <c r="AV124" i="104"/>
  <c r="AU136" i="104"/>
  <c r="AR109" i="104"/>
  <c r="AR149" i="104"/>
  <c r="AS108" i="104"/>
  <c r="AQ130" i="104"/>
  <c r="AS118" i="104"/>
  <c r="AT127" i="104"/>
  <c r="AU131" i="104"/>
  <c r="AV151" i="104"/>
  <c r="AR125" i="104"/>
  <c r="AU141" i="104"/>
  <c r="AO132" i="104"/>
  <c r="AS111" i="104"/>
  <c r="AQ140" i="104"/>
  <c r="AQ116" i="104"/>
  <c r="AQ120" i="104"/>
  <c r="AU128" i="104"/>
  <c r="AT121" i="104"/>
  <c r="AR106" i="104"/>
  <c r="AT137" i="104"/>
  <c r="AS138" i="104"/>
  <c r="AR129" i="104"/>
  <c r="AS150" i="104"/>
  <c r="AW115" i="104"/>
  <c r="AT112" i="104"/>
  <c r="AS117" i="104"/>
  <c r="AR152" i="104"/>
  <c r="AS142" i="104"/>
  <c r="AR107" i="104"/>
  <c r="AQ146" i="104"/>
  <c r="AR114" i="104"/>
  <c r="AP144" i="104"/>
  <c r="AR113" i="104"/>
  <c r="AT139" i="104"/>
  <c r="AR133" i="104"/>
  <c r="AP134" i="104"/>
  <c r="AR143" i="104"/>
  <c r="AR110" i="104"/>
  <c r="AS145" i="104"/>
  <c r="AP105" i="104"/>
  <c r="AF77" i="104"/>
  <c r="AL104" i="104"/>
  <c r="AF103" i="104"/>
  <c r="AE102" i="104"/>
  <c r="AC87" i="104"/>
  <c r="AF30" i="104"/>
  <c r="AE86" i="104"/>
  <c r="AD64" i="104"/>
  <c r="AC78" i="104"/>
  <c r="AB66" i="104"/>
  <c r="AG93" i="104"/>
  <c r="AF65" i="104"/>
  <c r="AB15" i="104"/>
  <c r="AH52" i="104"/>
  <c r="AF54" i="104"/>
  <c r="AD81" i="104"/>
  <c r="AI32" i="104"/>
  <c r="AH97" i="104"/>
  <c r="AF25" i="104"/>
  <c r="AF28" i="104"/>
  <c r="AE74" i="104"/>
  <c r="AC51" i="104"/>
  <c r="AE35" i="104"/>
  <c r="AF24" i="104"/>
  <c r="AB88" i="104"/>
  <c r="AC85" i="104"/>
  <c r="AE90" i="104"/>
  <c r="AB70" i="104"/>
  <c r="AJ73" i="104"/>
  <c r="AF53" i="104"/>
  <c r="AF83" i="104"/>
  <c r="AE80" i="104"/>
  <c r="AB4" i="104"/>
  <c r="AG98" i="104"/>
  <c r="AD60" i="104"/>
  <c r="AH46" i="104"/>
  <c r="AC39" i="104"/>
  <c r="AE72" i="104"/>
  <c r="AC5" i="104"/>
  <c r="AC89" i="104"/>
  <c r="AG47" i="104"/>
  <c r="AD57" i="104"/>
  <c r="AC69" i="104"/>
  <c r="AC8" i="104"/>
  <c r="AF63" i="104"/>
  <c r="AG13" i="104"/>
  <c r="AE29" i="104"/>
  <c r="AG58" i="104"/>
  <c r="AG26" i="104"/>
  <c r="AC6" i="104"/>
  <c r="AC19" i="104"/>
  <c r="AH56" i="104"/>
  <c r="AD92" i="104"/>
  <c r="AE17" i="104"/>
  <c r="AC7" i="104"/>
  <c r="AE12" i="104"/>
  <c r="AE40" i="104"/>
  <c r="AD41" i="104"/>
  <c r="AH23" i="104"/>
  <c r="AF18" i="104"/>
  <c r="AA96" i="104"/>
  <c r="AB37" i="104"/>
  <c r="AG76" i="104"/>
  <c r="AE42" i="104"/>
  <c r="AE27" i="104"/>
  <c r="AH16" i="104"/>
  <c r="AE31" i="104"/>
  <c r="AD49" i="104"/>
  <c r="AF75" i="104"/>
  <c r="AH11" i="104"/>
  <c r="AB59" i="104"/>
  <c r="AB94" i="104"/>
  <c r="AD45" i="104"/>
  <c r="AE101" i="104"/>
  <c r="AG43" i="104"/>
  <c r="AE36" i="104"/>
  <c r="AF55" i="104"/>
  <c r="AH82" i="104"/>
  <c r="AE38" i="104"/>
  <c r="AE22" i="104"/>
  <c r="AE79" i="104"/>
  <c r="AG95" i="104"/>
  <c r="AG50" i="104"/>
  <c r="AF91" i="104"/>
  <c r="AC84" i="104"/>
  <c r="AF20" i="104"/>
  <c r="AF71" i="104"/>
  <c r="AE14" i="104"/>
  <c r="AF33" i="104"/>
  <c r="AD21" i="104"/>
  <c r="AH9" i="104"/>
  <c r="AE34" i="104"/>
  <c r="AE48" i="104"/>
  <c r="AH68" i="104"/>
  <c r="AB99" i="104"/>
  <c r="AG61" i="104"/>
  <c r="AC100" i="104"/>
  <c r="AE3" i="104"/>
  <c r="AF67" i="104"/>
  <c r="AE44" i="104"/>
  <c r="AI62" i="104"/>
  <c r="AH10" i="104"/>
  <c r="EE79" i="97"/>
  <c r="L79" i="97"/>
  <c r="CY76" i="97"/>
  <c r="Q79" i="97"/>
  <c r="BV79" i="97"/>
  <c r="BQ79" i="97"/>
  <c r="DC76" i="97"/>
  <c r="EM79" i="97"/>
  <c r="EN78" i="97"/>
  <c r="EF78" i="97"/>
  <c r="EG78" i="97"/>
  <c r="EH78" i="97"/>
  <c r="EI78" i="97"/>
  <c r="EO78" i="97"/>
  <c r="EP78" i="97"/>
  <c r="EQ78" i="97"/>
  <c r="CZ75" i="97"/>
  <c r="DA75" i="97"/>
  <c r="DB75" i="97"/>
  <c r="DD75" i="97"/>
  <c r="DE75" i="97"/>
  <c r="DF75" i="97"/>
  <c r="BP78" i="97"/>
  <c r="BR78" i="97"/>
  <c r="BS78" i="97"/>
  <c r="BT78" i="97"/>
  <c r="BU78" i="97"/>
  <c r="BW78" i="97"/>
  <c r="BX78" i="97"/>
  <c r="BY78" i="97"/>
  <c r="K78" i="97"/>
  <c r="M78" i="97"/>
  <c r="N78" i="97"/>
  <c r="O78" i="97"/>
  <c r="P78" i="97"/>
  <c r="R78" i="97"/>
  <c r="S78" i="97"/>
  <c r="T78" i="97"/>
  <c r="CD258" i="104" l="1"/>
  <c r="CD298" i="104"/>
  <c r="CD301" i="104"/>
  <c r="CD277" i="104"/>
  <c r="CD264" i="104"/>
  <c r="CD268" i="104"/>
  <c r="CD269" i="104"/>
  <c r="CD278" i="104"/>
  <c r="CD294" i="104"/>
  <c r="CD274" i="104"/>
  <c r="CD293" i="104"/>
  <c r="CD280" i="104"/>
  <c r="CD262" i="104"/>
  <c r="CD286" i="104"/>
  <c r="CD276" i="104"/>
  <c r="CD281" i="104"/>
  <c r="CD265" i="104"/>
  <c r="CD273" i="104"/>
  <c r="CD290" i="104"/>
  <c r="CD302" i="104"/>
  <c r="CD288" i="104"/>
  <c r="CD297" i="104"/>
  <c r="CD296" i="104"/>
  <c r="CD270" i="104"/>
  <c r="CD285" i="104"/>
  <c r="CD284" i="104"/>
  <c r="CD300" i="104"/>
  <c r="CD272" i="104"/>
  <c r="CD266" i="104"/>
  <c r="CD259" i="104"/>
  <c r="CD282" i="104"/>
  <c r="CD299" i="104"/>
  <c r="CD279" i="104"/>
  <c r="CD275" i="104"/>
  <c r="CD283" i="104"/>
  <c r="CD291" i="104"/>
  <c r="CD289" i="104"/>
  <c r="CD287" i="104"/>
  <c r="CD271" i="104"/>
  <c r="CD295" i="104"/>
  <c r="CD260" i="104"/>
  <c r="CD267" i="104"/>
  <c r="CD292" i="104"/>
  <c r="CD263" i="104"/>
  <c r="CD261" i="104"/>
  <c r="CE269" i="104"/>
  <c r="CE302" i="104"/>
  <c r="CE300" i="104"/>
  <c r="CE298" i="104"/>
  <c r="CE290" i="104"/>
  <c r="CE293" i="104"/>
  <c r="CE261" i="104"/>
  <c r="CE296" i="104"/>
  <c r="CE264" i="104"/>
  <c r="CE287" i="104"/>
  <c r="CE278" i="104"/>
  <c r="CE292" i="104"/>
  <c r="CE260" i="104"/>
  <c r="CE285" i="104"/>
  <c r="CE282" i="104"/>
  <c r="CE294" i="104"/>
  <c r="CE270" i="104"/>
  <c r="CE291" i="104"/>
  <c r="CE281" i="104"/>
  <c r="CE288" i="104"/>
  <c r="CE277" i="104"/>
  <c r="CE274" i="104"/>
  <c r="CE280" i="104"/>
  <c r="CE284" i="104"/>
  <c r="CE286" i="104"/>
  <c r="CE273" i="104"/>
  <c r="CE265" i="104"/>
  <c r="CE272" i="104"/>
  <c r="CE276" i="104"/>
  <c r="CE301" i="104"/>
  <c r="CE279" i="104"/>
  <c r="CE289" i="104"/>
  <c r="CE297" i="104"/>
  <c r="CE283" i="104"/>
  <c r="CE268" i="104"/>
  <c r="CE271" i="104"/>
  <c r="CE295" i="104"/>
  <c r="CE259" i="104"/>
  <c r="CE267" i="104"/>
  <c r="CE299" i="104"/>
  <c r="CE263" i="104"/>
  <c r="CE266" i="104"/>
  <c r="CE258" i="104"/>
  <c r="CE275" i="104"/>
  <c r="CE262" i="104"/>
  <c r="BN176" i="104"/>
  <c r="BO176" i="104" s="1"/>
  <c r="BP176" i="104" s="1"/>
  <c r="BQ176" i="104" s="1"/>
  <c r="BR176" i="104" s="1"/>
  <c r="BS176" i="104" s="1"/>
  <c r="CH303" i="104"/>
  <c r="BP173" i="104"/>
  <c r="BK172" i="104"/>
  <c r="BL172" i="104" s="1"/>
  <c r="BM172" i="104" s="1"/>
  <c r="BT169" i="104"/>
  <c r="BU169" i="104" s="1"/>
  <c r="BJ168" i="104"/>
  <c r="BL167" i="104"/>
  <c r="BF166" i="104"/>
  <c r="BG165" i="104"/>
  <c r="BH165" i="104" s="1"/>
  <c r="BI165" i="104" s="1"/>
  <c r="BD164" i="104"/>
  <c r="BB162" i="104"/>
  <c r="AY161" i="104"/>
  <c r="AY160" i="104"/>
  <c r="BG159" i="104"/>
  <c r="AZ158" i="104"/>
  <c r="AY156" i="104"/>
  <c r="AU157" i="104"/>
  <c r="AS154" i="104"/>
  <c r="AZ155" i="104"/>
  <c r="AT145" i="104"/>
  <c r="AS110" i="104"/>
  <c r="AS143" i="104"/>
  <c r="AS113" i="104"/>
  <c r="AS114" i="104"/>
  <c r="AR146" i="104"/>
  <c r="AT138" i="104"/>
  <c r="AV128" i="104"/>
  <c r="AW124" i="104"/>
  <c r="AV153" i="104"/>
  <c r="AU147" i="104"/>
  <c r="AQ134" i="104"/>
  <c r="AQ144" i="104"/>
  <c r="AT117" i="104"/>
  <c r="AT150" i="104"/>
  <c r="AS129" i="104"/>
  <c r="AU121" i="104"/>
  <c r="AR120" i="104"/>
  <c r="AR116" i="104"/>
  <c r="AT111" i="104"/>
  <c r="AV141" i="104"/>
  <c r="AW151" i="104"/>
  <c r="AS149" i="104"/>
  <c r="AV136" i="104"/>
  <c r="AV135" i="104"/>
  <c r="AY123" i="104"/>
  <c r="AS133" i="104"/>
  <c r="AU139" i="104"/>
  <c r="AS107" i="104"/>
  <c r="AU137" i="104"/>
  <c r="AP132" i="104"/>
  <c r="AU127" i="104"/>
  <c r="AT108" i="104"/>
  <c r="AR122" i="104"/>
  <c r="AP148" i="104"/>
  <c r="AX126" i="104"/>
  <c r="AT142" i="104"/>
  <c r="AS152" i="104"/>
  <c r="AU112" i="104"/>
  <c r="AX115" i="104"/>
  <c r="AS106" i="104"/>
  <c r="AR140" i="104"/>
  <c r="AS125" i="104"/>
  <c r="AV131" i="104"/>
  <c r="AT118" i="104"/>
  <c r="AR130" i="104"/>
  <c r="AS109" i="104"/>
  <c r="AU119" i="104"/>
  <c r="AQ105" i="104"/>
  <c r="AM104" i="104"/>
  <c r="AN104" i="104" s="1"/>
  <c r="AG77" i="104"/>
  <c r="AH77" i="104" s="1"/>
  <c r="AG103" i="104"/>
  <c r="AF102" i="104"/>
  <c r="AG67" i="104"/>
  <c r="AI9" i="104"/>
  <c r="AH95" i="104"/>
  <c r="AC94" i="104"/>
  <c r="AI23" i="104"/>
  <c r="AC70" i="104"/>
  <c r="AI97" i="104"/>
  <c r="AG30" i="104"/>
  <c r="AJ62" i="104"/>
  <c r="AF3" i="104"/>
  <c r="AH61" i="104"/>
  <c r="AF48" i="104"/>
  <c r="AF14" i="104"/>
  <c r="AG20" i="104"/>
  <c r="AF22" i="104"/>
  <c r="AH43" i="104"/>
  <c r="AC37" i="104"/>
  <c r="AB96" i="104"/>
  <c r="AF12" i="104"/>
  <c r="AG63" i="104"/>
  <c r="AE57" i="104"/>
  <c r="AH47" i="104"/>
  <c r="AI46" i="104"/>
  <c r="AE60" i="104"/>
  <c r="AD85" i="104"/>
  <c r="AF35" i="104"/>
  <c r="AD51" i="104"/>
  <c r="AJ32" i="104"/>
  <c r="AG54" i="104"/>
  <c r="AG65" i="104"/>
  <c r="AI10" i="104"/>
  <c r="AF44" i="104"/>
  <c r="AD84" i="104"/>
  <c r="AI82" i="104"/>
  <c r="AE49" i="104"/>
  <c r="AF42" i="104"/>
  <c r="AD69" i="104"/>
  <c r="AC4" i="104"/>
  <c r="AF74" i="104"/>
  <c r="AE81" i="104"/>
  <c r="AD100" i="104"/>
  <c r="AF79" i="104"/>
  <c r="AF38" i="104"/>
  <c r="AF36" i="104"/>
  <c r="AE45" i="104"/>
  <c r="AC59" i="104"/>
  <c r="AI16" i="104"/>
  <c r="AH76" i="104"/>
  <c r="AD7" i="104"/>
  <c r="AE92" i="104"/>
  <c r="AI56" i="104"/>
  <c r="AD19" i="104"/>
  <c r="AD89" i="104"/>
  <c r="AD39" i="104"/>
  <c r="AH98" i="104"/>
  <c r="AG83" i="104"/>
  <c r="AG53" i="104"/>
  <c r="AK73" i="104"/>
  <c r="AC88" i="104"/>
  <c r="AG28" i="104"/>
  <c r="AH93" i="104"/>
  <c r="AC66" i="104"/>
  <c r="AF86" i="104"/>
  <c r="AD87" i="104"/>
  <c r="AC99" i="104"/>
  <c r="AE41" i="104"/>
  <c r="AF17" i="104"/>
  <c r="AD8" i="104"/>
  <c r="AI68" i="104"/>
  <c r="AF34" i="104"/>
  <c r="AE21" i="104"/>
  <c r="AG33" i="104"/>
  <c r="AG71" i="104"/>
  <c r="AG91" i="104"/>
  <c r="AH50" i="104"/>
  <c r="AG55" i="104"/>
  <c r="AF101" i="104"/>
  <c r="AI11" i="104"/>
  <c r="AG75" i="104"/>
  <c r="AF31" i="104"/>
  <c r="AF27" i="104"/>
  <c r="AG18" i="104"/>
  <c r="AF40" i="104"/>
  <c r="AD6" i="104"/>
  <c r="AH26" i="104"/>
  <c r="AH58" i="104"/>
  <c r="AF29" i="104"/>
  <c r="AH13" i="104"/>
  <c r="AD5" i="104"/>
  <c r="AF72" i="104"/>
  <c r="AF80" i="104"/>
  <c r="AF90" i="104"/>
  <c r="AG24" i="104"/>
  <c r="AG25" i="104"/>
  <c r="AI52" i="104"/>
  <c r="AC15" i="104"/>
  <c r="AD78" i="104"/>
  <c r="AE64" i="104"/>
  <c r="EM78" i="97"/>
  <c r="L78" i="97"/>
  <c r="CY75" i="97"/>
  <c r="EE78" i="97"/>
  <c r="Q78" i="97"/>
  <c r="BV78" i="97"/>
  <c r="BQ78" i="97"/>
  <c r="DC75" i="97"/>
  <c r="BP77" i="97"/>
  <c r="BR77" i="97"/>
  <c r="BS77" i="97"/>
  <c r="BT77" i="97"/>
  <c r="BU77" i="97"/>
  <c r="BW77" i="97"/>
  <c r="BX77" i="97"/>
  <c r="BY77" i="97"/>
  <c r="K77" i="97"/>
  <c r="M77" i="97"/>
  <c r="N77" i="97"/>
  <c r="O77" i="97"/>
  <c r="P77" i="97"/>
  <c r="R77" i="97"/>
  <c r="S77" i="97"/>
  <c r="T77" i="97"/>
  <c r="EF77" i="97"/>
  <c r="EG77" i="97"/>
  <c r="EH77" i="97"/>
  <c r="EI77" i="97"/>
  <c r="EN77" i="97"/>
  <c r="EO77" i="97"/>
  <c r="EP77" i="97"/>
  <c r="EQ77" i="97"/>
  <c r="CZ74" i="97"/>
  <c r="DA74" i="97"/>
  <c r="DB74" i="97"/>
  <c r="DD74" i="97"/>
  <c r="DE74" i="97"/>
  <c r="DF74" i="97"/>
  <c r="CD303" i="104" l="1"/>
  <c r="CE303" i="104"/>
  <c r="BT176" i="104"/>
  <c r="BU176" i="104" s="1"/>
  <c r="BV176" i="104" s="1"/>
  <c r="BN174" i="104"/>
  <c r="BQ173" i="104"/>
  <c r="BN172" i="104"/>
  <c r="BV169" i="104"/>
  <c r="BK168" i="104"/>
  <c r="BM167" i="104"/>
  <c r="BG166" i="104"/>
  <c r="BJ165" i="104"/>
  <c r="BE164" i="104"/>
  <c r="BC162" i="104"/>
  <c r="AZ161" i="104"/>
  <c r="BH159" i="104"/>
  <c r="BI159" i="104" s="1"/>
  <c r="BJ159" i="104" s="1"/>
  <c r="BK159" i="104" s="1"/>
  <c r="BL159" i="104" s="1"/>
  <c r="BM159" i="104" s="1"/>
  <c r="AZ160" i="104"/>
  <c r="BA158" i="104"/>
  <c r="AV157" i="104"/>
  <c r="AZ156" i="104"/>
  <c r="BA155" i="104"/>
  <c r="AT154" i="104"/>
  <c r="AT109" i="104"/>
  <c r="AW131" i="104"/>
  <c r="AQ148" i="104"/>
  <c r="AS122" i="104"/>
  <c r="AV127" i="104"/>
  <c r="AT133" i="104"/>
  <c r="AS140" i="104"/>
  <c r="AY115" i="104"/>
  <c r="AU142" i="104"/>
  <c r="AY126" i="104"/>
  <c r="AU108" i="104"/>
  <c r="AQ132" i="104"/>
  <c r="AV137" i="104"/>
  <c r="AV139" i="104"/>
  <c r="AS120" i="104"/>
  <c r="AR134" i="104"/>
  <c r="AW153" i="104"/>
  <c r="AX124" i="104"/>
  <c r="AT113" i="104"/>
  <c r="AU118" i="104"/>
  <c r="AZ123" i="104"/>
  <c r="AV119" i="104"/>
  <c r="AT125" i="104"/>
  <c r="AT152" i="104"/>
  <c r="AW136" i="104"/>
  <c r="AU150" i="104"/>
  <c r="AR144" i="104"/>
  <c r="AW128" i="104"/>
  <c r="AT114" i="104"/>
  <c r="AT143" i="104"/>
  <c r="AU145" i="104"/>
  <c r="AT149" i="104"/>
  <c r="AU111" i="104"/>
  <c r="AV121" i="104"/>
  <c r="AT129" i="104"/>
  <c r="AU117" i="104"/>
  <c r="AV147" i="104"/>
  <c r="AU138" i="104"/>
  <c r="AT110" i="104"/>
  <c r="AT107" i="104"/>
  <c r="AS130" i="104"/>
  <c r="AT106" i="104"/>
  <c r="AV112" i="104"/>
  <c r="AW135" i="104"/>
  <c r="AX151" i="104"/>
  <c r="AW141" i="104"/>
  <c r="AS116" i="104"/>
  <c r="AS146" i="104"/>
  <c r="AR105" i="104"/>
  <c r="AI77" i="104"/>
  <c r="AJ77" i="104" s="1"/>
  <c r="AO104" i="104"/>
  <c r="AH103" i="104"/>
  <c r="AG102" i="104"/>
  <c r="AF64" i="104"/>
  <c r="AI58" i="104"/>
  <c r="AH18" i="104"/>
  <c r="AG27" i="104"/>
  <c r="AH71" i="104"/>
  <c r="AF21" i="104"/>
  <c r="AJ68" i="104"/>
  <c r="AE87" i="104"/>
  <c r="AE89" i="104"/>
  <c r="AE19" i="104"/>
  <c r="AF92" i="104"/>
  <c r="AJ16" i="104"/>
  <c r="AF81" i="104"/>
  <c r="AE69" i="104"/>
  <c r="AF49" i="104"/>
  <c r="AI47" i="104"/>
  <c r="AC96" i="104"/>
  <c r="AG22" i="104"/>
  <c r="AJ52" i="104"/>
  <c r="AG40" i="104"/>
  <c r="AH75" i="104"/>
  <c r="AJ11" i="104"/>
  <c r="AG101" i="104"/>
  <c r="AG34" i="104"/>
  <c r="AE8" i="104"/>
  <c r="AD66" i="104"/>
  <c r="AI76" i="104"/>
  <c r="AG38" i="104"/>
  <c r="AD4" i="104"/>
  <c r="AJ10" i="104"/>
  <c r="AH54" i="104"/>
  <c r="AK32" i="104"/>
  <c r="AF60" i="104"/>
  <c r="AG48" i="104"/>
  <c r="AG3" i="104"/>
  <c r="AK62" i="104"/>
  <c r="AD94" i="104"/>
  <c r="AI95" i="104"/>
  <c r="AJ9" i="104"/>
  <c r="AH67" i="104"/>
  <c r="AD15" i="104"/>
  <c r="AE78" i="104"/>
  <c r="AH25" i="104"/>
  <c r="AG80" i="104"/>
  <c r="AG72" i="104"/>
  <c r="AI13" i="104"/>
  <c r="AG31" i="104"/>
  <c r="AH91" i="104"/>
  <c r="AH33" i="104"/>
  <c r="AG17" i="104"/>
  <c r="AD88" i="104"/>
  <c r="AH53" i="104"/>
  <c r="AH83" i="104"/>
  <c r="AI98" i="104"/>
  <c r="AE39" i="104"/>
  <c r="AE7" i="104"/>
  <c r="AD59" i="104"/>
  <c r="AF45" i="104"/>
  <c r="AG74" i="104"/>
  <c r="AG42" i="104"/>
  <c r="AE84" i="104"/>
  <c r="AH65" i="104"/>
  <c r="AF57" i="104"/>
  <c r="AG12" i="104"/>
  <c r="AD37" i="104"/>
  <c r="AI43" i="104"/>
  <c r="AI61" i="104"/>
  <c r="AJ23" i="104"/>
  <c r="AH24" i="104"/>
  <c r="AG90" i="104"/>
  <c r="AE5" i="104"/>
  <c r="AG29" i="104"/>
  <c r="AI26" i="104"/>
  <c r="AE6" i="104"/>
  <c r="AH55" i="104"/>
  <c r="AI50" i="104"/>
  <c r="AF41" i="104"/>
  <c r="AD99" i="104"/>
  <c r="AG86" i="104"/>
  <c r="AI93" i="104"/>
  <c r="AH28" i="104"/>
  <c r="AL73" i="104"/>
  <c r="AJ56" i="104"/>
  <c r="AG36" i="104"/>
  <c r="AG79" i="104"/>
  <c r="AE100" i="104"/>
  <c r="AJ82" i="104"/>
  <c r="AG44" i="104"/>
  <c r="AE51" i="104"/>
  <c r="AG35" i="104"/>
  <c r="AE85" i="104"/>
  <c r="AJ46" i="104"/>
  <c r="AH63" i="104"/>
  <c r="AH20" i="104"/>
  <c r="AG14" i="104"/>
  <c r="AH30" i="104"/>
  <c r="AJ97" i="104"/>
  <c r="AD70" i="104"/>
  <c r="DC74" i="97"/>
  <c r="Q77" i="97"/>
  <c r="L77" i="97"/>
  <c r="BV77" i="97"/>
  <c r="BQ77" i="97"/>
  <c r="CY74" i="97"/>
  <c r="EM77" i="97"/>
  <c r="EE77" i="97"/>
  <c r="CG299" i="104" l="1"/>
  <c r="CG267" i="104"/>
  <c r="CG261" i="104"/>
  <c r="CG291" i="104"/>
  <c r="CG302" i="104"/>
  <c r="CG301" i="104"/>
  <c r="CG287" i="104"/>
  <c r="CG275" i="104"/>
  <c r="CG300" i="104"/>
  <c r="CG264" i="104"/>
  <c r="CG297" i="104"/>
  <c r="CG262" i="104"/>
  <c r="CG295" i="104"/>
  <c r="CG259" i="104"/>
  <c r="CG282" i="104"/>
  <c r="CG274" i="104"/>
  <c r="CG281" i="104"/>
  <c r="CG258" i="104"/>
  <c r="CG265" i="104"/>
  <c r="CG279" i="104"/>
  <c r="CG298" i="104"/>
  <c r="CG280" i="104"/>
  <c r="CG263" i="104"/>
  <c r="CG290" i="104"/>
  <c r="CG294" i="104"/>
  <c r="CG296" i="104"/>
  <c r="CG278" i="104"/>
  <c r="CG271" i="104"/>
  <c r="CG272" i="104"/>
  <c r="CG266" i="104"/>
  <c r="CG268" i="104"/>
  <c r="CG270" i="104"/>
  <c r="CG284" i="104"/>
  <c r="CG260" i="104"/>
  <c r="CG276" i="104"/>
  <c r="CG286" i="104"/>
  <c r="CG283" i="104"/>
  <c r="CG288" i="104"/>
  <c r="CG285" i="104"/>
  <c r="CG293" i="104"/>
  <c r="CG292" i="104"/>
  <c r="CG269" i="104"/>
  <c r="CG277" i="104"/>
  <c r="CG273" i="104"/>
  <c r="CG289" i="104"/>
  <c r="BO174" i="104"/>
  <c r="BR173" i="104"/>
  <c r="BS173" i="104" s="1"/>
  <c r="BT173" i="104" s="1"/>
  <c r="BU173" i="104" s="1"/>
  <c r="BV173" i="104" s="1"/>
  <c r="BO172" i="104"/>
  <c r="BP172" i="104" s="1"/>
  <c r="BQ172" i="104" s="1"/>
  <c r="CN271" i="104"/>
  <c r="CN260" i="104"/>
  <c r="CN302" i="104"/>
  <c r="CN279" i="104"/>
  <c r="CN289" i="104"/>
  <c r="CN261" i="104"/>
  <c r="CN264" i="104"/>
  <c r="CN300" i="104"/>
  <c r="CN258" i="104"/>
  <c r="CN288" i="104"/>
  <c r="CN276" i="104"/>
  <c r="CN295" i="104"/>
  <c r="CN296" i="104"/>
  <c r="CN275" i="104"/>
  <c r="CN287" i="104"/>
  <c r="CN290" i="104"/>
  <c r="CN292" i="104"/>
  <c r="CN283" i="104"/>
  <c r="CN280" i="104"/>
  <c r="CN259" i="104"/>
  <c r="CN278" i="104"/>
  <c r="CN274" i="104"/>
  <c r="CN269" i="104"/>
  <c r="CN263" i="104"/>
  <c r="CN301" i="104"/>
  <c r="CN266" i="104"/>
  <c r="CN293" i="104"/>
  <c r="CN291" i="104"/>
  <c r="CN262" i="104"/>
  <c r="CN277" i="104"/>
  <c r="CN286" i="104"/>
  <c r="CN270" i="104"/>
  <c r="CN272" i="104"/>
  <c r="CN285" i="104"/>
  <c r="CN273" i="104"/>
  <c r="CN299" i="104"/>
  <c r="CN267" i="104"/>
  <c r="CN294" i="104"/>
  <c r="CN284" i="104"/>
  <c r="CN268" i="104"/>
  <c r="CN297" i="104"/>
  <c r="CN281" i="104"/>
  <c r="CN298" i="104"/>
  <c r="CN265" i="104"/>
  <c r="CN282" i="104"/>
  <c r="BL168" i="104"/>
  <c r="BM168" i="104" s="1"/>
  <c r="BN168" i="104" s="1"/>
  <c r="BO168" i="104" s="1"/>
  <c r="BP168" i="104" s="1"/>
  <c r="BQ168" i="104" s="1"/>
  <c r="BR168" i="104" s="1"/>
  <c r="BS168" i="104" s="1"/>
  <c r="BT168" i="104" s="1"/>
  <c r="BN167" i="104"/>
  <c r="BO167" i="104" s="1"/>
  <c r="BP167" i="104" s="1"/>
  <c r="BQ167" i="104" s="1"/>
  <c r="BR167" i="104" s="1"/>
  <c r="BS167" i="104" s="1"/>
  <c r="BT167" i="104" s="1"/>
  <c r="BU167" i="104" s="1"/>
  <c r="BV167" i="104" s="1"/>
  <c r="BH166" i="104"/>
  <c r="BK165" i="104"/>
  <c r="BL165" i="104" s="1"/>
  <c r="BM165" i="104" s="1"/>
  <c r="BN165" i="104" s="1"/>
  <c r="BO165" i="104" s="1"/>
  <c r="BF164" i="104"/>
  <c r="BD163" i="104"/>
  <c r="BD162" i="104"/>
  <c r="BA161" i="104"/>
  <c r="BA160" i="104"/>
  <c r="BB158" i="104"/>
  <c r="BA156" i="104"/>
  <c r="AW157" i="104"/>
  <c r="AU154" i="104"/>
  <c r="BB155" i="104"/>
  <c r="AX141" i="104"/>
  <c r="AU149" i="104"/>
  <c r="AS144" i="104"/>
  <c r="AU125" i="104"/>
  <c r="AW119" i="104"/>
  <c r="BA123" i="104"/>
  <c r="AY124" i="104"/>
  <c r="AS134" i="104"/>
  <c r="AT120" i="104"/>
  <c r="AV142" i="104"/>
  <c r="AZ115" i="104"/>
  <c r="AV111" i="104"/>
  <c r="AV150" i="104"/>
  <c r="AW137" i="104"/>
  <c r="AR132" i="104"/>
  <c r="AU133" i="104"/>
  <c r="AX131" i="104"/>
  <c r="AU109" i="104"/>
  <c r="AT146" i="104"/>
  <c r="AY151" i="104"/>
  <c r="AW112" i="104"/>
  <c r="AU106" i="104"/>
  <c r="AT130" i="104"/>
  <c r="AW147" i="104"/>
  <c r="AV117" i="104"/>
  <c r="AU129" i="104"/>
  <c r="AW121" i="104"/>
  <c r="AV145" i="104"/>
  <c r="AX136" i="104"/>
  <c r="AU152" i="104"/>
  <c r="AV118" i="104"/>
  <c r="AV108" i="104"/>
  <c r="AZ126" i="104"/>
  <c r="AT140" i="104"/>
  <c r="AW127" i="104"/>
  <c r="AT122" i="104"/>
  <c r="AR148" i="104"/>
  <c r="AT116" i="104"/>
  <c r="AX135" i="104"/>
  <c r="AU107" i="104"/>
  <c r="AU110" i="104"/>
  <c r="AV138" i="104"/>
  <c r="AU143" i="104"/>
  <c r="AU114" i="104"/>
  <c r="AX128" i="104"/>
  <c r="AU113" i="104"/>
  <c r="AX153" i="104"/>
  <c r="AW139" i="104"/>
  <c r="AS105" i="104"/>
  <c r="AK77" i="104"/>
  <c r="AL77" i="104" s="1"/>
  <c r="AI103" i="104"/>
  <c r="AH102" i="104"/>
  <c r="AI30" i="104"/>
  <c r="AK46" i="104"/>
  <c r="AH44" i="104"/>
  <c r="AM73" i="104"/>
  <c r="AH86" i="104"/>
  <c r="AG41" i="104"/>
  <c r="AF6" i="104"/>
  <c r="AH29" i="104"/>
  <c r="AK23" i="104"/>
  <c r="AJ43" i="104"/>
  <c r="AI65" i="104"/>
  <c r="AH17" i="104"/>
  <c r="AI33" i="104"/>
  <c r="AH31" i="104"/>
  <c r="AI25" i="104"/>
  <c r="AK9" i="104"/>
  <c r="AE94" i="104"/>
  <c r="AL62" i="104"/>
  <c r="AE4" i="104"/>
  <c r="AH38" i="104"/>
  <c r="AK52" i="104"/>
  <c r="AK16" i="104"/>
  <c r="AG21" i="104"/>
  <c r="AJ58" i="104"/>
  <c r="AK97" i="104"/>
  <c r="AH79" i="104"/>
  <c r="AH36" i="104"/>
  <c r="AF5" i="104"/>
  <c r="AJ61" i="104"/>
  <c r="AE37" i="104"/>
  <c r="AH42" i="104"/>
  <c r="AE59" i="104"/>
  <c r="AJ98" i="104"/>
  <c r="AE88" i="104"/>
  <c r="AH72" i="104"/>
  <c r="AF78" i="104"/>
  <c r="AE15" i="104"/>
  <c r="AH48" i="104"/>
  <c r="AG60" i="104"/>
  <c r="AL32" i="104"/>
  <c r="AK10" i="104"/>
  <c r="AE66" i="104"/>
  <c r="AH101" i="104"/>
  <c r="AK11" i="104"/>
  <c r="AH40" i="104"/>
  <c r="AG49" i="104"/>
  <c r="AF87" i="104"/>
  <c r="AK68" i="104"/>
  <c r="AH27" i="104"/>
  <c r="AI18" i="104"/>
  <c r="AG64" i="104"/>
  <c r="AF51" i="104"/>
  <c r="AK56" i="104"/>
  <c r="AE99" i="104"/>
  <c r="AJ50" i="104"/>
  <c r="AI55" i="104"/>
  <c r="AH90" i="104"/>
  <c r="AG57" i="104"/>
  <c r="AH74" i="104"/>
  <c r="AH80" i="104"/>
  <c r="AI67" i="104"/>
  <c r="AJ95" i="104"/>
  <c r="AH3" i="104"/>
  <c r="AJ76" i="104"/>
  <c r="AG81" i="104"/>
  <c r="AG92" i="104"/>
  <c r="AI71" i="104"/>
  <c r="AE70" i="104"/>
  <c r="AI20" i="104"/>
  <c r="AF85" i="104"/>
  <c r="AH35" i="104"/>
  <c r="AJ93" i="104"/>
  <c r="AH14" i="104"/>
  <c r="AI63" i="104"/>
  <c r="AK82" i="104"/>
  <c r="AF100" i="104"/>
  <c r="AI28" i="104"/>
  <c r="AJ26" i="104"/>
  <c r="AI24" i="104"/>
  <c r="AH12" i="104"/>
  <c r="AF84" i="104"/>
  <c r="AG45" i="104"/>
  <c r="AF7" i="104"/>
  <c r="AF39" i="104"/>
  <c r="AI83" i="104"/>
  <c r="AI53" i="104"/>
  <c r="AI91" i="104"/>
  <c r="AJ13" i="104"/>
  <c r="AI54" i="104"/>
  <c r="AF8" i="104"/>
  <c r="AH34" i="104"/>
  <c r="AI75" i="104"/>
  <c r="AH22" i="104"/>
  <c r="AD96" i="104"/>
  <c r="AJ47" i="104"/>
  <c r="AF69" i="104"/>
  <c r="AF19" i="104"/>
  <c r="AF89" i="104"/>
  <c r="EF76" i="97"/>
  <c r="EG76" i="97"/>
  <c r="EH76" i="97"/>
  <c r="EI76" i="97"/>
  <c r="EN76" i="97"/>
  <c r="EO76" i="97"/>
  <c r="EP76" i="97"/>
  <c r="EQ76" i="97"/>
  <c r="CZ73" i="97"/>
  <c r="DA73" i="97"/>
  <c r="DB73" i="97"/>
  <c r="DD73" i="97"/>
  <c r="DE73" i="97"/>
  <c r="DF73" i="97"/>
  <c r="BP76" i="97"/>
  <c r="BR76" i="97"/>
  <c r="BS76" i="97"/>
  <c r="BT76" i="97"/>
  <c r="BU76" i="97"/>
  <c r="BW76" i="97"/>
  <c r="BX76" i="97"/>
  <c r="BY76" i="97"/>
  <c r="P76" i="97"/>
  <c r="K76" i="97"/>
  <c r="M76" i="97"/>
  <c r="N76" i="97"/>
  <c r="O76" i="97"/>
  <c r="R76" i="97"/>
  <c r="S76" i="97"/>
  <c r="T76" i="97"/>
  <c r="CG303" i="104" l="1"/>
  <c r="BP174" i="104"/>
  <c r="CJ262" i="104"/>
  <c r="CJ291" i="104"/>
  <c r="CJ286" i="104"/>
  <c r="CJ270" i="104"/>
  <c r="CJ292" i="104"/>
  <c r="CJ273" i="104"/>
  <c r="CJ302" i="104"/>
  <c r="CJ268" i="104"/>
  <c r="CJ261" i="104"/>
  <c r="CJ289" i="104"/>
  <c r="CJ282" i="104"/>
  <c r="CJ267" i="104"/>
  <c r="CJ293" i="104"/>
  <c r="CJ277" i="104"/>
  <c r="CJ274" i="104"/>
  <c r="CJ263" i="104"/>
  <c r="CJ271" i="104"/>
  <c r="CJ294" i="104"/>
  <c r="CJ275" i="104"/>
  <c r="CJ266" i="104"/>
  <c r="CJ264" i="104"/>
  <c r="CJ276" i="104"/>
  <c r="CJ299" i="104"/>
  <c r="CJ284" i="104"/>
  <c r="CJ265" i="104"/>
  <c r="CJ258" i="104"/>
  <c r="CJ298" i="104"/>
  <c r="CJ281" i="104"/>
  <c r="CJ283" i="104"/>
  <c r="CJ272" i="104"/>
  <c r="CJ278" i="104"/>
  <c r="CJ300" i="104"/>
  <c r="CJ285" i="104"/>
  <c r="CJ295" i="104"/>
  <c r="CJ269" i="104"/>
  <c r="CJ296" i="104"/>
  <c r="CJ288" i="104"/>
  <c r="CJ290" i="104"/>
  <c r="CJ280" i="104"/>
  <c r="CJ259" i="104"/>
  <c r="CJ297" i="104"/>
  <c r="CJ260" i="104"/>
  <c r="CJ301" i="104"/>
  <c r="CJ287" i="104"/>
  <c r="CJ279" i="104"/>
  <c r="BR172" i="104"/>
  <c r="BS172" i="104" s="1"/>
  <c r="CN303" i="104"/>
  <c r="CP270" i="104"/>
  <c r="CP285" i="104"/>
  <c r="CP299" i="104"/>
  <c r="CP272" i="104"/>
  <c r="CP301" i="104"/>
  <c r="CP287" i="104"/>
  <c r="CP296" i="104"/>
  <c r="CP278" i="104"/>
  <c r="CP295" i="104"/>
  <c r="CP275" i="104"/>
  <c r="CP280" i="104"/>
  <c r="CP274" i="104"/>
  <c r="CP294" i="104"/>
  <c r="CP288" i="104"/>
  <c r="CP282" i="104"/>
  <c r="CP268" i="104"/>
  <c r="CP300" i="104"/>
  <c r="CP293" i="104"/>
  <c r="CP289" i="104"/>
  <c r="CP297" i="104"/>
  <c r="CP292" i="104"/>
  <c r="CP267" i="104"/>
  <c r="CP269" i="104"/>
  <c r="CP279" i="104"/>
  <c r="CP286" i="104"/>
  <c r="CP258" i="104"/>
  <c r="CP291" i="104"/>
  <c r="CP302" i="104"/>
  <c r="CP259" i="104"/>
  <c r="CP290" i="104"/>
  <c r="CP284" i="104"/>
  <c r="CP273" i="104"/>
  <c r="CP260" i="104"/>
  <c r="CP271" i="104"/>
  <c r="CP298" i="104"/>
  <c r="CP277" i="104"/>
  <c r="CP264" i="104"/>
  <c r="CP266" i="104"/>
  <c r="CP283" i="104"/>
  <c r="CP263" i="104"/>
  <c r="CP261" i="104"/>
  <c r="CP276" i="104"/>
  <c r="CP262" i="104"/>
  <c r="CP281" i="104"/>
  <c r="CP265" i="104"/>
  <c r="BI166" i="104"/>
  <c r="BG164" i="104"/>
  <c r="BE163" i="104"/>
  <c r="BE162" i="104"/>
  <c r="BB161" i="104"/>
  <c r="BC161" i="104" s="1"/>
  <c r="BB160" i="104"/>
  <c r="BC158" i="104"/>
  <c r="AX157" i="104"/>
  <c r="BB156" i="104"/>
  <c r="AV154" i="104"/>
  <c r="BC155" i="104"/>
  <c r="AU116" i="104"/>
  <c r="AS148" i="104"/>
  <c r="AX127" i="104"/>
  <c r="AW108" i="104"/>
  <c r="AW118" i="104"/>
  <c r="AV129" i="104"/>
  <c r="AX147" i="104"/>
  <c r="AU146" i="104"/>
  <c r="AY131" i="104"/>
  <c r="BA115" i="104"/>
  <c r="BB123" i="104"/>
  <c r="AV125" i="104"/>
  <c r="AX139" i="104"/>
  <c r="AY153" i="104"/>
  <c r="AV143" i="104"/>
  <c r="AW138" i="104"/>
  <c r="AV110" i="104"/>
  <c r="BA126" i="104"/>
  <c r="AW145" i="104"/>
  <c r="AV106" i="104"/>
  <c r="AU120" i="104"/>
  <c r="AX119" i="104"/>
  <c r="AV113" i="104"/>
  <c r="AU122" i="104"/>
  <c r="AV152" i="104"/>
  <c r="AY136" i="104"/>
  <c r="AX121" i="104"/>
  <c r="AV109" i="104"/>
  <c r="AV133" i="104"/>
  <c r="AX137" i="104"/>
  <c r="AW150" i="104"/>
  <c r="AW142" i="104"/>
  <c r="AZ124" i="104"/>
  <c r="AY128" i="104"/>
  <c r="AV114" i="104"/>
  <c r="AV107" i="104"/>
  <c r="AY135" i="104"/>
  <c r="AU140" i="104"/>
  <c r="AW117" i="104"/>
  <c r="AU130" i="104"/>
  <c r="AX112" i="104"/>
  <c r="AZ151" i="104"/>
  <c r="AS132" i="104"/>
  <c r="AW111" i="104"/>
  <c r="AT134" i="104"/>
  <c r="AT144" i="104"/>
  <c r="AV149" i="104"/>
  <c r="AY141" i="104"/>
  <c r="AT105" i="104"/>
  <c r="AP104" i="104"/>
  <c r="AJ103" i="104"/>
  <c r="AI102" i="104"/>
  <c r="AJ83" i="104"/>
  <c r="AG39" i="104"/>
  <c r="AG7" i="104"/>
  <c r="AL82" i="104"/>
  <c r="AG85" i="104"/>
  <c r="AI74" i="104"/>
  <c r="AL56" i="104"/>
  <c r="AH64" i="104"/>
  <c r="AL11" i="104"/>
  <c r="AH21" i="104"/>
  <c r="AL16" i="104"/>
  <c r="AI17" i="104"/>
  <c r="AJ65" i="104"/>
  <c r="AL23" i="104"/>
  <c r="AH41" i="104"/>
  <c r="AI86" i="104"/>
  <c r="AN73" i="104"/>
  <c r="AE96" i="104"/>
  <c r="AI22" i="104"/>
  <c r="AJ75" i="104"/>
  <c r="AI34" i="104"/>
  <c r="AK13" i="104"/>
  <c r="AJ91" i="104"/>
  <c r="AJ53" i="104"/>
  <c r="AG84" i="104"/>
  <c r="AI12" i="104"/>
  <c r="AK26" i="104"/>
  <c r="AJ63" i="104"/>
  <c r="AF70" i="104"/>
  <c r="AI3" i="104"/>
  <c r="AK95" i="104"/>
  <c r="AJ55" i="104"/>
  <c r="AI27" i="104"/>
  <c r="AL68" i="104"/>
  <c r="AG87" i="104"/>
  <c r="AF66" i="104"/>
  <c r="AM32" i="104"/>
  <c r="AH60" i="104"/>
  <c r="AI48" i="104"/>
  <c r="AG78" i="104"/>
  <c r="AK98" i="104"/>
  <c r="AF59" i="104"/>
  <c r="AI42" i="104"/>
  <c r="AF37" i="104"/>
  <c r="AI79" i="104"/>
  <c r="AI38" i="104"/>
  <c r="AF4" i="104"/>
  <c r="AM62" i="104"/>
  <c r="AI31" i="104"/>
  <c r="AJ33" i="104"/>
  <c r="AM77" i="104"/>
  <c r="AJ30" i="104"/>
  <c r="AG69" i="104"/>
  <c r="AJ24" i="104"/>
  <c r="AG100" i="104"/>
  <c r="AI35" i="104"/>
  <c r="AJ20" i="104"/>
  <c r="AH92" i="104"/>
  <c r="AK76" i="104"/>
  <c r="AJ67" i="104"/>
  <c r="AH57" i="104"/>
  <c r="AF99" i="104"/>
  <c r="AH49" i="104"/>
  <c r="AI40" i="104"/>
  <c r="AI101" i="104"/>
  <c r="AL10" i="104"/>
  <c r="AF88" i="104"/>
  <c r="AK61" i="104"/>
  <c r="AL52" i="104"/>
  <c r="AF94" i="104"/>
  <c r="AL9" i="104"/>
  <c r="AK43" i="104"/>
  <c r="AI29" i="104"/>
  <c r="AG6" i="104"/>
  <c r="AI44" i="104"/>
  <c r="AJ54" i="104"/>
  <c r="AG89" i="104"/>
  <c r="AG19" i="104"/>
  <c r="AK47" i="104"/>
  <c r="AG8" i="104"/>
  <c r="AH45" i="104"/>
  <c r="AJ28" i="104"/>
  <c r="AI14" i="104"/>
  <c r="AK93" i="104"/>
  <c r="AJ71" i="104"/>
  <c r="AH81" i="104"/>
  <c r="AI80" i="104"/>
  <c r="AI90" i="104"/>
  <c r="AK50" i="104"/>
  <c r="AG51" i="104"/>
  <c r="AJ18" i="104"/>
  <c r="AF15" i="104"/>
  <c r="AI72" i="104"/>
  <c r="AG5" i="104"/>
  <c r="AI36" i="104"/>
  <c r="AL97" i="104"/>
  <c r="AK58" i="104"/>
  <c r="AJ25" i="104"/>
  <c r="AL46" i="104"/>
  <c r="Q76" i="97"/>
  <c r="BV76" i="97"/>
  <c r="BQ76" i="97"/>
  <c r="CY73" i="97"/>
  <c r="EM76" i="97"/>
  <c r="EE76" i="97"/>
  <c r="L76" i="97"/>
  <c r="DC73" i="97"/>
  <c r="BQ174" i="104" l="1"/>
  <c r="BR174" i="104" s="1"/>
  <c r="BS174" i="104" s="1"/>
  <c r="BT174" i="104" s="1"/>
  <c r="BU174" i="104" s="1"/>
  <c r="BV174" i="104" s="1"/>
  <c r="CJ303" i="104"/>
  <c r="BT172" i="104"/>
  <c r="BU172" i="104" s="1"/>
  <c r="BV172" i="104" s="1"/>
  <c r="BO170" i="104"/>
  <c r="CP303" i="104"/>
  <c r="BU168" i="104"/>
  <c r="BV168" i="104" s="1"/>
  <c r="BJ166" i="104"/>
  <c r="BH164" i="104"/>
  <c r="BI164" i="104" s="1"/>
  <c r="BJ164" i="104" s="1"/>
  <c r="BK164" i="104" s="1"/>
  <c r="BL164" i="104" s="1"/>
  <c r="BM164" i="104" s="1"/>
  <c r="BN164" i="104" s="1"/>
  <c r="BO164" i="104" s="1"/>
  <c r="BF163" i="104"/>
  <c r="BF162" i="104"/>
  <c r="BC160" i="104"/>
  <c r="BD158" i="104"/>
  <c r="BC156" i="104"/>
  <c r="AY157" i="104"/>
  <c r="BD155" i="104"/>
  <c r="AW154" i="104"/>
  <c r="AW149" i="104"/>
  <c r="AY112" i="104"/>
  <c r="AW107" i="104"/>
  <c r="AW114" i="104"/>
  <c r="AX142" i="104"/>
  <c r="AW133" i="104"/>
  <c r="AZ136" i="104"/>
  <c r="AW106" i="104"/>
  <c r="AW143" i="104"/>
  <c r="AZ131" i="104"/>
  <c r="AV116" i="104"/>
  <c r="AT132" i="104"/>
  <c r="AX117" i="104"/>
  <c r="AZ135" i="104"/>
  <c r="BA124" i="104"/>
  <c r="AW109" i="104"/>
  <c r="AY121" i="104"/>
  <c r="AW113" i="104"/>
  <c r="AZ153" i="104"/>
  <c r="AY139" i="104"/>
  <c r="AW129" i="104"/>
  <c r="AX108" i="104"/>
  <c r="AT148" i="104"/>
  <c r="AU134" i="104"/>
  <c r="BA151" i="104"/>
  <c r="AV140" i="104"/>
  <c r="AZ128" i="104"/>
  <c r="AX150" i="104"/>
  <c r="AV122" i="104"/>
  <c r="AY119" i="104"/>
  <c r="BB126" i="104"/>
  <c r="AW110" i="104"/>
  <c r="AX138" i="104"/>
  <c r="AW125" i="104"/>
  <c r="AZ141" i="104"/>
  <c r="AU144" i="104"/>
  <c r="AX111" i="104"/>
  <c r="AV130" i="104"/>
  <c r="AY137" i="104"/>
  <c r="AW152" i="104"/>
  <c r="AV120" i="104"/>
  <c r="AX145" i="104"/>
  <c r="BC123" i="104"/>
  <c r="BB115" i="104"/>
  <c r="AV146" i="104"/>
  <c r="AY147" i="104"/>
  <c r="AX118" i="104"/>
  <c r="AY127" i="104"/>
  <c r="AU105" i="104"/>
  <c r="AV105" i="104" s="1"/>
  <c r="AQ104" i="104"/>
  <c r="AK103" i="104"/>
  <c r="AL103" i="104" s="1"/>
  <c r="AM103" i="104" s="1"/>
  <c r="AN103" i="104" s="1"/>
  <c r="AJ102" i="104"/>
  <c r="AM46" i="104"/>
  <c r="AM97" i="104"/>
  <c r="AK18" i="104"/>
  <c r="AL50" i="104"/>
  <c r="AL93" i="104"/>
  <c r="AL47" i="104"/>
  <c r="AH19" i="104"/>
  <c r="AH89" i="104"/>
  <c r="AL43" i="104"/>
  <c r="AL61" i="104"/>
  <c r="AG88" i="104"/>
  <c r="AM10" i="104"/>
  <c r="AI92" i="104"/>
  <c r="AK24" i="104"/>
  <c r="AK30" i="104"/>
  <c r="AJ31" i="104"/>
  <c r="AJ38" i="104"/>
  <c r="AG37" i="104"/>
  <c r="AK63" i="104"/>
  <c r="AJ22" i="104"/>
  <c r="AJ86" i="104"/>
  <c r="AK65" i="104"/>
  <c r="AJ17" i="104"/>
  <c r="AI64" i="104"/>
  <c r="AJ74" i="104"/>
  <c r="AH39" i="104"/>
  <c r="AK25" i="104"/>
  <c r="AH5" i="104"/>
  <c r="AG15" i="104"/>
  <c r="AH8" i="104"/>
  <c r="AM52" i="104"/>
  <c r="AI49" i="104"/>
  <c r="AN77" i="104"/>
  <c r="AJ79" i="104"/>
  <c r="AK55" i="104"/>
  <c r="AG70" i="104"/>
  <c r="AK91" i="104"/>
  <c r="AJ34" i="104"/>
  <c r="AK75" i="104"/>
  <c r="AF96" i="104"/>
  <c r="AM16" i="104"/>
  <c r="AL58" i="104"/>
  <c r="AK71" i="104"/>
  <c r="AJ14" i="104"/>
  <c r="AK28" i="104"/>
  <c r="AK54" i="104"/>
  <c r="AJ44" i="104"/>
  <c r="AM9" i="104"/>
  <c r="AG94" i="104"/>
  <c r="AJ40" i="104"/>
  <c r="AI57" i="104"/>
  <c r="AK67" i="104"/>
  <c r="AK33" i="104"/>
  <c r="AN62" i="104"/>
  <c r="AG4" i="104"/>
  <c r="AI60" i="104"/>
  <c r="AN32" i="104"/>
  <c r="AM68" i="104"/>
  <c r="AL95" i="104"/>
  <c r="AJ3" i="104"/>
  <c r="AL26" i="104"/>
  <c r="AJ12" i="104"/>
  <c r="AK53" i="104"/>
  <c r="AI21" i="104"/>
  <c r="AM11" i="104"/>
  <c r="AM82" i="104"/>
  <c r="AH7" i="104"/>
  <c r="AJ90" i="104"/>
  <c r="AJ80" i="104"/>
  <c r="AI81" i="104"/>
  <c r="AJ36" i="104"/>
  <c r="AJ72" i="104"/>
  <c r="AH51" i="104"/>
  <c r="AI45" i="104"/>
  <c r="AH6" i="104"/>
  <c r="AJ29" i="104"/>
  <c r="AJ101" i="104"/>
  <c r="AG99" i="104"/>
  <c r="AL76" i="104"/>
  <c r="AK20" i="104"/>
  <c r="AJ35" i="104"/>
  <c r="AH100" i="104"/>
  <c r="AH69" i="104"/>
  <c r="AJ42" i="104"/>
  <c r="AG59" i="104"/>
  <c r="AL98" i="104"/>
  <c r="AH78" i="104"/>
  <c r="AJ48" i="104"/>
  <c r="AG66" i="104"/>
  <c r="AH87" i="104"/>
  <c r="AJ27" i="104"/>
  <c r="AH84" i="104"/>
  <c r="AL13" i="104"/>
  <c r="AO73" i="104"/>
  <c r="AI41" i="104"/>
  <c r="AM23" i="104"/>
  <c r="AM56" i="104"/>
  <c r="AH85" i="104"/>
  <c r="AK83" i="104"/>
  <c r="EN75" i="97"/>
  <c r="EO75" i="97"/>
  <c r="EP75" i="97"/>
  <c r="EQ75" i="97"/>
  <c r="EF75" i="97"/>
  <c r="EG75" i="97"/>
  <c r="EH75" i="97"/>
  <c r="EI75" i="97"/>
  <c r="CZ72" i="97"/>
  <c r="DA72" i="97"/>
  <c r="DB72" i="97"/>
  <c r="DD72" i="97"/>
  <c r="DE72" i="97"/>
  <c r="DF72" i="97"/>
  <c r="BU36" i="97"/>
  <c r="BP75" i="97"/>
  <c r="BR75" i="97"/>
  <c r="BS75" i="97"/>
  <c r="BT75" i="97"/>
  <c r="BU75" i="97"/>
  <c r="BW75" i="97"/>
  <c r="BX75" i="97"/>
  <c r="BY75" i="97"/>
  <c r="K75" i="97"/>
  <c r="M75" i="97"/>
  <c r="N75" i="97"/>
  <c r="O75" i="97"/>
  <c r="P75" i="97"/>
  <c r="R75" i="97"/>
  <c r="S75" i="97"/>
  <c r="T75" i="97"/>
  <c r="CI295" i="104" l="1"/>
  <c r="CI259" i="104"/>
  <c r="CI269" i="104"/>
  <c r="CI285" i="104"/>
  <c r="CI286" i="104"/>
  <c r="CI272" i="104"/>
  <c r="CI293" i="104"/>
  <c r="CI289" i="104"/>
  <c r="CI261" i="104"/>
  <c r="CI299" i="104"/>
  <c r="CI277" i="104"/>
  <c r="CI281" i="104"/>
  <c r="CI300" i="104"/>
  <c r="CI266" i="104"/>
  <c r="CI275" i="104"/>
  <c r="CI283" i="104"/>
  <c r="CI278" i="104"/>
  <c r="CI265" i="104"/>
  <c r="CI280" i="104"/>
  <c r="CI288" i="104"/>
  <c r="CI271" i="104"/>
  <c r="CI258" i="104"/>
  <c r="CI301" i="104"/>
  <c r="CI298" i="104"/>
  <c r="CI296" i="104"/>
  <c r="CI279" i="104"/>
  <c r="CI292" i="104"/>
  <c r="CI294" i="104"/>
  <c r="CI273" i="104"/>
  <c r="CI282" i="104"/>
  <c r="CI268" i="104"/>
  <c r="CI276" i="104"/>
  <c r="CI302" i="104"/>
  <c r="CI264" i="104"/>
  <c r="CI270" i="104"/>
  <c r="CI274" i="104"/>
  <c r="CI267" i="104"/>
  <c r="CI262" i="104"/>
  <c r="CI263" i="104"/>
  <c r="CI291" i="104"/>
  <c r="CI287" i="104"/>
  <c r="CI284" i="104"/>
  <c r="CI297" i="104"/>
  <c r="CI290" i="104"/>
  <c r="CI260" i="104"/>
  <c r="CK302" i="104"/>
  <c r="CK283" i="104"/>
  <c r="CK301" i="104"/>
  <c r="CK290" i="104"/>
  <c r="CK284" i="104"/>
  <c r="CK259" i="104"/>
  <c r="CK277" i="104"/>
  <c r="CK281" i="104"/>
  <c r="CK296" i="104"/>
  <c r="CK272" i="104"/>
  <c r="CK286" i="104"/>
  <c r="CK278" i="104"/>
  <c r="CK287" i="104"/>
  <c r="CK268" i="104"/>
  <c r="CK274" i="104"/>
  <c r="CK262" i="104"/>
  <c r="CK275" i="104"/>
  <c r="CK292" i="104"/>
  <c r="CK299" i="104"/>
  <c r="CK289" i="104"/>
  <c r="CK265" i="104"/>
  <c r="CK298" i="104"/>
  <c r="CK295" i="104"/>
  <c r="CK294" i="104"/>
  <c r="CK266" i="104"/>
  <c r="CK276" i="104"/>
  <c r="CK273" i="104"/>
  <c r="CK261" i="104"/>
  <c r="CK297" i="104"/>
  <c r="CK260" i="104"/>
  <c r="CK267" i="104"/>
  <c r="CK282" i="104"/>
  <c r="CK288" i="104"/>
  <c r="CK263" i="104"/>
  <c r="CK300" i="104"/>
  <c r="CK258" i="104"/>
  <c r="CK269" i="104"/>
  <c r="CK291" i="104"/>
  <c r="CK279" i="104"/>
  <c r="CK270" i="104"/>
  <c r="CK293" i="104"/>
  <c r="CK280" i="104"/>
  <c r="CK264" i="104"/>
  <c r="CK271" i="104"/>
  <c r="CK285" i="104"/>
  <c r="BP170" i="104"/>
  <c r="BQ170" i="104" s="1"/>
  <c r="CO300" i="104"/>
  <c r="CO265" i="104"/>
  <c r="CO275" i="104"/>
  <c r="CO290" i="104"/>
  <c r="CO291" i="104"/>
  <c r="CO278" i="104"/>
  <c r="CO298" i="104"/>
  <c r="CO261" i="104"/>
  <c r="CO281" i="104"/>
  <c r="CO259" i="104"/>
  <c r="CO267" i="104"/>
  <c r="CO282" i="104"/>
  <c r="CO287" i="104"/>
  <c r="CO288" i="104"/>
  <c r="CO258" i="104"/>
  <c r="CO272" i="104"/>
  <c r="CO296" i="104"/>
  <c r="CO289" i="104"/>
  <c r="CO284" i="104"/>
  <c r="CO293" i="104"/>
  <c r="CO301" i="104"/>
  <c r="CO268" i="104"/>
  <c r="CO271" i="104"/>
  <c r="CO285" i="104"/>
  <c r="CO279" i="104"/>
  <c r="CO262" i="104"/>
  <c r="CO270" i="104"/>
  <c r="CO295" i="104"/>
  <c r="CO276" i="104"/>
  <c r="CO283" i="104"/>
  <c r="CO299" i="104"/>
  <c r="CO274" i="104"/>
  <c r="CO273" i="104"/>
  <c r="CO264" i="104"/>
  <c r="CO266" i="104"/>
  <c r="CO260" i="104"/>
  <c r="CO277" i="104"/>
  <c r="CO302" i="104"/>
  <c r="CO269" i="104"/>
  <c r="CO263" i="104"/>
  <c r="CO294" i="104"/>
  <c r="CO297" i="104"/>
  <c r="CO286" i="104"/>
  <c r="CO280" i="104"/>
  <c r="CO292" i="104"/>
  <c r="BK166" i="104"/>
  <c r="BP165" i="104"/>
  <c r="BG163" i="104"/>
  <c r="BG162" i="104"/>
  <c r="BD161" i="104"/>
  <c r="BD160" i="104"/>
  <c r="BE158" i="104"/>
  <c r="AZ157" i="104"/>
  <c r="BD156" i="104"/>
  <c r="BE155" i="104"/>
  <c r="AX154" i="104"/>
  <c r="AZ127" i="104"/>
  <c r="AY118" i="104"/>
  <c r="BC115" i="104"/>
  <c r="BD123" i="104"/>
  <c r="AZ137" i="104"/>
  <c r="BA141" i="104"/>
  <c r="AX125" i="104"/>
  <c r="AY150" i="104"/>
  <c r="AV134" i="104"/>
  <c r="AZ139" i="104"/>
  <c r="BA153" i="104"/>
  <c r="BA135" i="104"/>
  <c r="AU132" i="104"/>
  <c r="AX106" i="104"/>
  <c r="AZ112" i="104"/>
  <c r="AW120" i="104"/>
  <c r="AW130" i="104"/>
  <c r="AY111" i="104"/>
  <c r="BC126" i="104"/>
  <c r="AW140" i="104"/>
  <c r="AY142" i="104"/>
  <c r="AX107" i="104"/>
  <c r="AX149" i="104"/>
  <c r="AZ147" i="104"/>
  <c r="AW146" i="104"/>
  <c r="AY145" i="104"/>
  <c r="AX152" i="104"/>
  <c r="BB151" i="104"/>
  <c r="AX129" i="104"/>
  <c r="AX113" i="104"/>
  <c r="AX109" i="104"/>
  <c r="AX133" i="104"/>
  <c r="AV144" i="104"/>
  <c r="AY138" i="104"/>
  <c r="AX110" i="104"/>
  <c r="AZ119" i="104"/>
  <c r="AW122" i="104"/>
  <c r="BA128" i="104"/>
  <c r="AU148" i="104"/>
  <c r="AY108" i="104"/>
  <c r="AZ121" i="104"/>
  <c r="BB124" i="104"/>
  <c r="AY117" i="104"/>
  <c r="AW116" i="104"/>
  <c r="BA131" i="104"/>
  <c r="AX143" i="104"/>
  <c r="BA136" i="104"/>
  <c r="AX114" i="104"/>
  <c r="AW105" i="104"/>
  <c r="AR104" i="104"/>
  <c r="AO103" i="104"/>
  <c r="AK102" i="104"/>
  <c r="AP73" i="104"/>
  <c r="AN56" i="104"/>
  <c r="AJ41" i="104"/>
  <c r="AK48" i="104"/>
  <c r="AI78" i="104"/>
  <c r="AM98" i="104"/>
  <c r="AH59" i="104"/>
  <c r="AK42" i="104"/>
  <c r="AI100" i="104"/>
  <c r="AK35" i="104"/>
  <c r="AK29" i="104"/>
  <c r="AK90" i="104"/>
  <c r="AI7" i="104"/>
  <c r="AL53" i="104"/>
  <c r="AN68" i="104"/>
  <c r="AK14" i="104"/>
  <c r="AL71" i="104"/>
  <c r="AN52" i="104"/>
  <c r="AI8" i="104"/>
  <c r="AI39" i="104"/>
  <c r="AK86" i="104"/>
  <c r="AH88" i="104"/>
  <c r="AI89" i="104"/>
  <c r="AI19" i="104"/>
  <c r="AM50" i="104"/>
  <c r="AN97" i="104"/>
  <c r="AL83" i="104"/>
  <c r="AI85" i="104"/>
  <c r="AN23" i="104"/>
  <c r="AI84" i="104"/>
  <c r="AI87" i="104"/>
  <c r="AI6" i="104"/>
  <c r="AJ45" i="104"/>
  <c r="AI51" i="104"/>
  <c r="AK36" i="104"/>
  <c r="AJ21" i="104"/>
  <c r="AK12" i="104"/>
  <c r="AO32" i="104"/>
  <c r="AN9" i="104"/>
  <c r="AL28" i="104"/>
  <c r="AM58" i="104"/>
  <c r="AK34" i="104"/>
  <c r="AL91" i="104"/>
  <c r="AH70" i="104"/>
  <c r="AK79" i="104"/>
  <c r="AJ49" i="104"/>
  <c r="AI5" i="104"/>
  <c r="AK74" i="104"/>
  <c r="AJ64" i="104"/>
  <c r="AL30" i="104"/>
  <c r="AM61" i="104"/>
  <c r="AM43" i="104"/>
  <c r="AM47" i="104"/>
  <c r="AM93" i="104"/>
  <c r="AL18" i="104"/>
  <c r="AN46" i="104"/>
  <c r="AH99" i="104"/>
  <c r="AK72" i="104"/>
  <c r="AJ81" i="104"/>
  <c r="AK80" i="104"/>
  <c r="AN11" i="104"/>
  <c r="AK3" i="104"/>
  <c r="AM95" i="104"/>
  <c r="AJ60" i="104"/>
  <c r="AH4" i="104"/>
  <c r="AO62" i="104"/>
  <c r="AJ57" i="104"/>
  <c r="AK40" i="104"/>
  <c r="AH94" i="104"/>
  <c r="AL54" i="104"/>
  <c r="AN16" i="104"/>
  <c r="AL75" i="104"/>
  <c r="AL55" i="104"/>
  <c r="AO77" i="104"/>
  <c r="AL25" i="104"/>
  <c r="AL65" i="104"/>
  <c r="AL63" i="104"/>
  <c r="AK31" i="104"/>
  <c r="AJ92" i="104"/>
  <c r="AN10" i="104"/>
  <c r="AK27" i="104"/>
  <c r="AH66" i="104"/>
  <c r="AM13" i="104"/>
  <c r="AI69" i="104"/>
  <c r="AL20" i="104"/>
  <c r="AM76" i="104"/>
  <c r="AK101" i="104"/>
  <c r="AN82" i="104"/>
  <c r="AM26" i="104"/>
  <c r="AL33" i="104"/>
  <c r="AL67" i="104"/>
  <c r="AK44" i="104"/>
  <c r="AG96" i="104"/>
  <c r="AH15" i="104"/>
  <c r="AK17" i="104"/>
  <c r="AK22" i="104"/>
  <c r="AH37" i="104"/>
  <c r="AK38" i="104"/>
  <c r="AL24" i="104"/>
  <c r="BQ75" i="97"/>
  <c r="EE75" i="97"/>
  <c r="Q75" i="97"/>
  <c r="L75" i="97"/>
  <c r="BV75" i="97"/>
  <c r="CY72" i="97"/>
  <c r="DC72" i="97"/>
  <c r="EM75" i="97"/>
  <c r="CI303" i="104" l="1"/>
  <c r="CK303" i="104"/>
  <c r="BR170" i="104"/>
  <c r="BS170" i="104" s="1"/>
  <c r="CO303" i="104"/>
  <c r="BL166" i="104"/>
  <c r="BQ165" i="104"/>
  <c r="BH163" i="104"/>
  <c r="BH162" i="104"/>
  <c r="BE161" i="104"/>
  <c r="BE160" i="104"/>
  <c r="BF158" i="104"/>
  <c r="BE156" i="104"/>
  <c r="BA157" i="104"/>
  <c r="AY154" i="104"/>
  <c r="BF155" i="104"/>
  <c r="AZ117" i="104"/>
  <c r="BC151" i="104"/>
  <c r="AY152" i="104"/>
  <c r="AZ145" i="104"/>
  <c r="AY149" i="104"/>
  <c r="AY107" i="104"/>
  <c r="AX120" i="104"/>
  <c r="BA139" i="104"/>
  <c r="BC124" i="104"/>
  <c r="BA121" i="104"/>
  <c r="BB128" i="104"/>
  <c r="AY129" i="104"/>
  <c r="AX146" i="104"/>
  <c r="BA147" i="104"/>
  <c r="AX140" i="104"/>
  <c r="BD126" i="104"/>
  <c r="BA112" i="104"/>
  <c r="BB135" i="104"/>
  <c r="AZ150" i="104"/>
  <c r="BA127" i="104"/>
  <c r="BA119" i="104"/>
  <c r="AY110" i="104"/>
  <c r="AY133" i="104"/>
  <c r="AY109" i="104"/>
  <c r="AY113" i="104"/>
  <c r="AX130" i="104"/>
  <c r="AV132" i="104"/>
  <c r="BB153" i="104"/>
  <c r="AW134" i="104"/>
  <c r="AY125" i="104"/>
  <c r="BE123" i="104"/>
  <c r="AZ118" i="104"/>
  <c r="AY114" i="104"/>
  <c r="BB136" i="104"/>
  <c r="AY143" i="104"/>
  <c r="BB131" i="104"/>
  <c r="AX116" i="104"/>
  <c r="AZ108" i="104"/>
  <c r="AV148" i="104"/>
  <c r="AX122" i="104"/>
  <c r="AZ138" i="104"/>
  <c r="AW144" i="104"/>
  <c r="AZ142" i="104"/>
  <c r="AZ111" i="104"/>
  <c r="AY106" i="104"/>
  <c r="BB141" i="104"/>
  <c r="BA137" i="104"/>
  <c r="BD115" i="104"/>
  <c r="AX105" i="104"/>
  <c r="AS104" i="104"/>
  <c r="AP103" i="104"/>
  <c r="AL102" i="104"/>
  <c r="AL38" i="104"/>
  <c r="AL17" i="104"/>
  <c r="AH96" i="104"/>
  <c r="AO82" i="104"/>
  <c r="AM20" i="104"/>
  <c r="AK92" i="104"/>
  <c r="AL31" i="104"/>
  <c r="AP77" i="104"/>
  <c r="AM54" i="104"/>
  <c r="AN95" i="104"/>
  <c r="AK81" i="104"/>
  <c r="AO46" i="104"/>
  <c r="AM18" i="104"/>
  <c r="AN43" i="104"/>
  <c r="AM30" i="104"/>
  <c r="AN58" i="104"/>
  <c r="AL12" i="104"/>
  <c r="AK21" i="104"/>
  <c r="AJ85" i="104"/>
  <c r="AO97" i="104"/>
  <c r="AJ89" i="104"/>
  <c r="AL14" i="104"/>
  <c r="AM53" i="104"/>
  <c r="AJ7" i="104"/>
  <c r="AJ78" i="104"/>
  <c r="AK41" i="104"/>
  <c r="AO56" i="104"/>
  <c r="AM24" i="104"/>
  <c r="AL22" i="104"/>
  <c r="AM67" i="104"/>
  <c r="AN76" i="104"/>
  <c r="AN13" i="104"/>
  <c r="AM63" i="104"/>
  <c r="AM65" i="104"/>
  <c r="AM55" i="104"/>
  <c r="AI94" i="104"/>
  <c r="AL40" i="104"/>
  <c r="AN61" i="104"/>
  <c r="AJ5" i="104"/>
  <c r="AK49" i="104"/>
  <c r="AL34" i="104"/>
  <c r="AP32" i="104"/>
  <c r="AK45" i="104"/>
  <c r="AM83" i="104"/>
  <c r="AL86" i="104"/>
  <c r="AJ8" i="104"/>
  <c r="AL29" i="104"/>
  <c r="AJ100" i="104"/>
  <c r="AL42" i="104"/>
  <c r="AL48" i="104"/>
  <c r="AL44" i="104"/>
  <c r="AN26" i="104"/>
  <c r="AI66" i="104"/>
  <c r="AM25" i="104"/>
  <c r="AM75" i="104"/>
  <c r="AO16" i="104"/>
  <c r="AK57" i="104"/>
  <c r="AI4" i="104"/>
  <c r="AK60" i="104"/>
  <c r="AL80" i="104"/>
  <c r="AL72" i="104"/>
  <c r="AK64" i="104"/>
  <c r="AM91" i="104"/>
  <c r="AO9" i="104"/>
  <c r="AJ51" i="104"/>
  <c r="AJ6" i="104"/>
  <c r="AJ87" i="104"/>
  <c r="AI88" i="104"/>
  <c r="AM71" i="104"/>
  <c r="AI59" i="104"/>
  <c r="AI15" i="104"/>
  <c r="AL101" i="104"/>
  <c r="AI37" i="104"/>
  <c r="AM33" i="104"/>
  <c r="AJ69" i="104"/>
  <c r="AL27" i="104"/>
  <c r="AO10" i="104"/>
  <c r="AP62" i="104"/>
  <c r="AL3" i="104"/>
  <c r="AO11" i="104"/>
  <c r="AI99" i="104"/>
  <c r="AN93" i="104"/>
  <c r="AN47" i="104"/>
  <c r="AL74" i="104"/>
  <c r="AL79" i="104"/>
  <c r="AI70" i="104"/>
  <c r="AM28" i="104"/>
  <c r="AL36" i="104"/>
  <c r="AJ84" i="104"/>
  <c r="AO23" i="104"/>
  <c r="AN50" i="104"/>
  <c r="AJ19" i="104"/>
  <c r="AJ39" i="104"/>
  <c r="AO52" i="104"/>
  <c r="AO68" i="104"/>
  <c r="AL90" i="104"/>
  <c r="AL35" i="104"/>
  <c r="AN98" i="104"/>
  <c r="AQ73" i="104"/>
  <c r="BT170" i="104" l="1"/>
  <c r="BU170" i="104" s="1"/>
  <c r="BV170" i="104" s="1"/>
  <c r="BM166" i="104"/>
  <c r="BR165" i="104"/>
  <c r="BI163" i="104"/>
  <c r="BI162" i="104"/>
  <c r="BJ162" i="104" s="1"/>
  <c r="BK162" i="104" s="1"/>
  <c r="BL162" i="104" s="1"/>
  <c r="BM162" i="104" s="1"/>
  <c r="BN162" i="104" s="1"/>
  <c r="BO162" i="104" s="1"/>
  <c r="BP162" i="104" s="1"/>
  <c r="BQ162" i="104" s="1"/>
  <c r="BR162" i="104" s="1"/>
  <c r="BF161" i="104"/>
  <c r="BF160" i="104"/>
  <c r="BN159" i="104"/>
  <c r="BG158" i="104"/>
  <c r="BF156" i="104"/>
  <c r="BB157" i="104"/>
  <c r="BG155" i="104"/>
  <c r="AZ154" i="104"/>
  <c r="BA142" i="104"/>
  <c r="AY116" i="104"/>
  <c r="BC141" i="104"/>
  <c r="AZ106" i="104"/>
  <c r="AZ114" i="104"/>
  <c r="AW132" i="104"/>
  <c r="BE126" i="104"/>
  <c r="AY146" i="104"/>
  <c r="AZ129" i="104"/>
  <c r="BC128" i="104"/>
  <c r="BB121" i="104"/>
  <c r="BB139" i="104"/>
  <c r="AZ152" i="104"/>
  <c r="BC131" i="104"/>
  <c r="AX134" i="104"/>
  <c r="BB127" i="104"/>
  <c r="AY140" i="104"/>
  <c r="AX144" i="104"/>
  <c r="AY122" i="104"/>
  <c r="AW148" i="104"/>
  <c r="BA108" i="104"/>
  <c r="AZ113" i="104"/>
  <c r="AZ109" i="104"/>
  <c r="AZ110" i="104"/>
  <c r="BA150" i="104"/>
  <c r="BB112" i="104"/>
  <c r="BB147" i="104"/>
  <c r="AY120" i="104"/>
  <c r="BA145" i="104"/>
  <c r="BA117" i="104"/>
  <c r="BA138" i="104"/>
  <c r="BC136" i="104"/>
  <c r="BB119" i="104"/>
  <c r="BC135" i="104"/>
  <c r="BE115" i="104"/>
  <c r="BB137" i="104"/>
  <c r="BA111" i="104"/>
  <c r="AZ143" i="104"/>
  <c r="BA118" i="104"/>
  <c r="BF123" i="104"/>
  <c r="AZ125" i="104"/>
  <c r="BC153" i="104"/>
  <c r="AY130" i="104"/>
  <c r="AZ133" i="104"/>
  <c r="BD124" i="104"/>
  <c r="AZ107" i="104"/>
  <c r="AZ149" i="104"/>
  <c r="BD151" i="104"/>
  <c r="AT104" i="104"/>
  <c r="AQ103" i="104"/>
  <c r="AM102" i="104"/>
  <c r="AM35" i="104"/>
  <c r="AP52" i="104"/>
  <c r="AM74" i="104"/>
  <c r="AJ70" i="104"/>
  <c r="AO93" i="104"/>
  <c r="AM3" i="104"/>
  <c r="AK51" i="104"/>
  <c r="AP16" i="104"/>
  <c r="AM44" i="104"/>
  <c r="AQ32" i="104"/>
  <c r="AM34" i="104"/>
  <c r="AN63" i="104"/>
  <c r="AO13" i="104"/>
  <c r="AO76" i="104"/>
  <c r="AM22" i="104"/>
  <c r="AL41" i="104"/>
  <c r="AK78" i="104"/>
  <c r="AO43" i="104"/>
  <c r="AP82" i="104"/>
  <c r="AI96" i="104"/>
  <c r="AO50" i="104"/>
  <c r="AK84" i="104"/>
  <c r="AM36" i="104"/>
  <c r="AO47" i="104"/>
  <c r="AJ99" i="104"/>
  <c r="AJ37" i="104"/>
  <c r="AJ88" i="104"/>
  <c r="AK87" i="104"/>
  <c r="AP9" i="104"/>
  <c r="AN75" i="104"/>
  <c r="AN25" i="104"/>
  <c r="AM29" i="104"/>
  <c r="AM86" i="104"/>
  <c r="AL45" i="104"/>
  <c r="AO61" i="104"/>
  <c r="AM40" i="104"/>
  <c r="AN65" i="104"/>
  <c r="AN67" i="104"/>
  <c r="AN24" i="104"/>
  <c r="AP56" i="104"/>
  <c r="AK7" i="104"/>
  <c r="AN53" i="104"/>
  <c r="AM14" i="104"/>
  <c r="AL21" i="104"/>
  <c r="AN30" i="104"/>
  <c r="AP46" i="104"/>
  <c r="AO95" i="104"/>
  <c r="AM17" i="104"/>
  <c r="AK39" i="104"/>
  <c r="AP10" i="104"/>
  <c r="AN33" i="104"/>
  <c r="AM101" i="104"/>
  <c r="AN71" i="104"/>
  <c r="AN91" i="104"/>
  <c r="AL64" i="104"/>
  <c r="AM72" i="104"/>
  <c r="AM80" i="104"/>
  <c r="AL60" i="104"/>
  <c r="AJ4" i="104"/>
  <c r="AL57" i="104"/>
  <c r="AJ66" i="104"/>
  <c r="AM48" i="104"/>
  <c r="AM42" i="104"/>
  <c r="AK100" i="104"/>
  <c r="AK8" i="104"/>
  <c r="AK89" i="104"/>
  <c r="AK85" i="104"/>
  <c r="AO58" i="104"/>
  <c r="AL81" i="104"/>
  <c r="AN54" i="104"/>
  <c r="AL92" i="104"/>
  <c r="AM38" i="104"/>
  <c r="AM90" i="104"/>
  <c r="AP68" i="104"/>
  <c r="AQ62" i="104"/>
  <c r="AM27" i="104"/>
  <c r="AR73" i="104"/>
  <c r="AO98" i="104"/>
  <c r="AK19" i="104"/>
  <c r="AP23" i="104"/>
  <c r="AN28" i="104"/>
  <c r="AM79" i="104"/>
  <c r="AP11" i="104"/>
  <c r="AK69" i="104"/>
  <c r="AJ15" i="104"/>
  <c r="AJ59" i="104"/>
  <c r="AK6" i="104"/>
  <c r="AO26" i="104"/>
  <c r="AN83" i="104"/>
  <c r="AL49" i="104"/>
  <c r="AK5" i="104"/>
  <c r="AJ94" i="104"/>
  <c r="AN55" i="104"/>
  <c r="AP97" i="104"/>
  <c r="AM12" i="104"/>
  <c r="AN18" i="104"/>
  <c r="AQ77" i="104"/>
  <c r="AM31" i="104"/>
  <c r="AN20" i="104"/>
  <c r="CM300" i="104" l="1"/>
  <c r="CM272" i="104"/>
  <c r="CM297" i="104"/>
  <c r="CM267" i="104"/>
  <c r="CM299" i="104"/>
  <c r="CM273" i="104"/>
  <c r="CM293" i="104"/>
  <c r="CM290" i="104"/>
  <c r="CM263" i="104"/>
  <c r="CM276" i="104"/>
  <c r="CM262" i="104"/>
  <c r="CM281" i="104"/>
  <c r="CM275" i="104"/>
  <c r="CM288" i="104"/>
  <c r="CM285" i="104"/>
  <c r="CM302" i="104"/>
  <c r="CM284" i="104"/>
  <c r="CM264" i="104"/>
  <c r="CM279" i="104"/>
  <c r="CM265" i="104"/>
  <c r="CM286" i="104"/>
  <c r="CM282" i="104"/>
  <c r="CM296" i="104"/>
  <c r="CM301" i="104"/>
  <c r="CM278" i="104"/>
  <c r="CM260" i="104"/>
  <c r="CM283" i="104"/>
  <c r="CM295" i="104"/>
  <c r="CM298" i="104"/>
  <c r="CM287" i="104"/>
  <c r="CM294" i="104"/>
  <c r="CM261" i="104"/>
  <c r="CM258" i="104"/>
  <c r="CM291" i="104"/>
  <c r="CM292" i="104"/>
  <c r="CM268" i="104"/>
  <c r="CM280" i="104"/>
  <c r="CM269" i="104"/>
  <c r="CM266" i="104"/>
  <c r="CM289" i="104"/>
  <c r="CM277" i="104"/>
  <c r="CM259" i="104"/>
  <c r="CM271" i="104"/>
  <c r="CM274" i="104"/>
  <c r="CM270" i="104"/>
  <c r="BN166" i="104"/>
  <c r="BO166" i="104" s="1"/>
  <c r="BP166" i="104" s="1"/>
  <c r="BQ166" i="104" s="1"/>
  <c r="BR166" i="104" s="1"/>
  <c r="BS166" i="104" s="1"/>
  <c r="BT166" i="104" s="1"/>
  <c r="BS165" i="104"/>
  <c r="BT165" i="104" s="1"/>
  <c r="BJ163" i="104"/>
  <c r="BS162" i="104"/>
  <c r="BT162" i="104" s="1"/>
  <c r="BG161" i="104"/>
  <c r="BO159" i="104"/>
  <c r="BG160" i="104"/>
  <c r="BH158" i="104"/>
  <c r="BG156" i="104"/>
  <c r="BC157" i="104"/>
  <c r="BH155" i="104"/>
  <c r="BA154" i="104"/>
  <c r="AZ130" i="104"/>
  <c r="BA107" i="104"/>
  <c r="BG123" i="104"/>
  <c r="BB111" i="104"/>
  <c r="BC119" i="104"/>
  <c r="BD136" i="104"/>
  <c r="BB108" i="104"/>
  <c r="AX148" i="104"/>
  <c r="AZ140" i="104"/>
  <c r="BA152" i="104"/>
  <c r="AZ146" i="104"/>
  <c r="BF126" i="104"/>
  <c r="BA114" i="104"/>
  <c r="BB142" i="104"/>
  <c r="BE151" i="104"/>
  <c r="BD153" i="104"/>
  <c r="BA125" i="104"/>
  <c r="BC137" i="104"/>
  <c r="BB138" i="104"/>
  <c r="BC147" i="104"/>
  <c r="BA109" i="104"/>
  <c r="AZ122" i="104"/>
  <c r="AY134" i="104"/>
  <c r="BD131" i="104"/>
  <c r="BD128" i="104"/>
  <c r="BA106" i="104"/>
  <c r="BA149" i="104"/>
  <c r="BE124" i="104"/>
  <c r="BA133" i="104"/>
  <c r="BB118" i="104"/>
  <c r="BF115" i="104"/>
  <c r="BD135" i="104"/>
  <c r="AZ120" i="104"/>
  <c r="BC112" i="104"/>
  <c r="BC127" i="104"/>
  <c r="BA129" i="104"/>
  <c r="AX132" i="104"/>
  <c r="BD141" i="104"/>
  <c r="BA143" i="104"/>
  <c r="BB117" i="104"/>
  <c r="BB145" i="104"/>
  <c r="BB150" i="104"/>
  <c r="BA110" i="104"/>
  <c r="BA113" i="104"/>
  <c r="AY144" i="104"/>
  <c r="BC139" i="104"/>
  <c r="BC121" i="104"/>
  <c r="AZ116" i="104"/>
  <c r="AY105" i="104"/>
  <c r="AU104" i="104"/>
  <c r="AR103" i="104"/>
  <c r="AS103" i="104" s="1"/>
  <c r="AN102" i="104"/>
  <c r="AO20" i="104"/>
  <c r="AM49" i="104"/>
  <c r="AL6" i="104"/>
  <c r="AO28" i="104"/>
  <c r="AQ23" i="104"/>
  <c r="AN38" i="104"/>
  <c r="AO54" i="104"/>
  <c r="AL8" i="104"/>
  <c r="AL100" i="104"/>
  <c r="AM60" i="104"/>
  <c r="AQ10" i="104"/>
  <c r="AQ46" i="104"/>
  <c r="AO30" i="104"/>
  <c r="AN14" i="104"/>
  <c r="AO24" i="104"/>
  <c r="AM45" i="104"/>
  <c r="AO75" i="104"/>
  <c r="AQ9" i="104"/>
  <c r="AL87" i="104"/>
  <c r="AK88" i="104"/>
  <c r="AK37" i="104"/>
  <c r="AP50" i="104"/>
  <c r="AJ96" i="104"/>
  <c r="AN22" i="104"/>
  <c r="AO63" i="104"/>
  <c r="AN34" i="104"/>
  <c r="AL51" i="104"/>
  <c r="AP93" i="104"/>
  <c r="AN35" i="104"/>
  <c r="AL5" i="104"/>
  <c r="AK15" i="104"/>
  <c r="AL69" i="104"/>
  <c r="AQ11" i="104"/>
  <c r="AN79" i="104"/>
  <c r="AP98" i="104"/>
  <c r="AN27" i="104"/>
  <c r="AP58" i="104"/>
  <c r="AL85" i="104"/>
  <c r="AM57" i="104"/>
  <c r="AK4" i="104"/>
  <c r="AO71" i="104"/>
  <c r="AN101" i="104"/>
  <c r="AO33" i="104"/>
  <c r="AP95" i="104"/>
  <c r="AM21" i="104"/>
  <c r="AO53" i="104"/>
  <c r="AQ56" i="104"/>
  <c r="AN40" i="104"/>
  <c r="AN36" i="104"/>
  <c r="AQ82" i="104"/>
  <c r="AL78" i="104"/>
  <c r="AP13" i="104"/>
  <c r="AK70" i="104"/>
  <c r="AQ52" i="104"/>
  <c r="AR77" i="104"/>
  <c r="AR62" i="104"/>
  <c r="AQ68" i="104"/>
  <c r="AN90" i="104"/>
  <c r="AM81" i="104"/>
  <c r="AL89" i="104"/>
  <c r="AN48" i="104"/>
  <c r="AK66" i="104"/>
  <c r="AN80" i="104"/>
  <c r="AN72" i="104"/>
  <c r="AL39" i="104"/>
  <c r="AL7" i="104"/>
  <c r="AO67" i="104"/>
  <c r="AO65" i="104"/>
  <c r="AN29" i="104"/>
  <c r="AO25" i="104"/>
  <c r="AK99" i="104"/>
  <c r="AP47" i="104"/>
  <c r="AM41" i="104"/>
  <c r="AP76" i="104"/>
  <c r="AN44" i="104"/>
  <c r="AQ16" i="104"/>
  <c r="AN3" i="104"/>
  <c r="AN74" i="104"/>
  <c r="AN31" i="104"/>
  <c r="AN12" i="104"/>
  <c r="AO83" i="104"/>
  <c r="AK59" i="104"/>
  <c r="AO18" i="104"/>
  <c r="AQ97" i="104"/>
  <c r="AO55" i="104"/>
  <c r="AK94" i="104"/>
  <c r="AP26" i="104"/>
  <c r="AL19" i="104"/>
  <c r="AS73" i="104"/>
  <c r="AM92" i="104"/>
  <c r="AN42" i="104"/>
  <c r="AM64" i="104"/>
  <c r="AO91" i="104"/>
  <c r="AN17" i="104"/>
  <c r="AP61" i="104"/>
  <c r="AN86" i="104"/>
  <c r="AL84" i="104"/>
  <c r="AP43" i="104"/>
  <c r="AR32" i="104"/>
  <c r="K74" i="97"/>
  <c r="M74" i="97"/>
  <c r="N74" i="97"/>
  <c r="O74" i="97"/>
  <c r="P74" i="97"/>
  <c r="R74" i="97"/>
  <c r="S74" i="97"/>
  <c r="T74" i="97"/>
  <c r="BP74" i="97"/>
  <c r="BR74" i="97"/>
  <c r="BS74" i="97"/>
  <c r="BT74" i="97"/>
  <c r="BU74" i="97"/>
  <c r="BW74" i="97"/>
  <c r="BX74" i="97"/>
  <c r="BY74" i="97"/>
  <c r="EF74" i="97"/>
  <c r="EG74" i="97"/>
  <c r="EH74" i="97"/>
  <c r="EI74" i="97"/>
  <c r="EN74" i="97"/>
  <c r="EO74" i="97"/>
  <c r="EP74" i="97"/>
  <c r="EQ74" i="97"/>
  <c r="CZ71" i="97"/>
  <c r="DA71" i="97"/>
  <c r="DB71" i="97"/>
  <c r="DD71" i="97"/>
  <c r="DE71" i="97"/>
  <c r="DF71" i="97"/>
  <c r="AD59" i="61"/>
  <c r="CM303" i="104" l="1"/>
  <c r="BU166" i="104"/>
  <c r="BV166" i="104" s="1"/>
  <c r="BU165" i="104"/>
  <c r="BV165" i="104" s="1"/>
  <c r="BK163" i="104"/>
  <c r="BL163" i="104" s="1"/>
  <c r="BU162" i="104"/>
  <c r="BV162" i="104" s="1"/>
  <c r="BH161" i="104"/>
  <c r="BH160" i="104"/>
  <c r="BP159" i="104"/>
  <c r="BI158" i="104"/>
  <c r="BH156" i="104"/>
  <c r="BD157" i="104"/>
  <c r="BI155" i="104"/>
  <c r="BB154" i="104"/>
  <c r="BD121" i="104"/>
  <c r="BB113" i="104"/>
  <c r="BC150" i="104"/>
  <c r="BA120" i="104"/>
  <c r="BC118" i="104"/>
  <c r="BB133" i="104"/>
  <c r="BF124" i="104"/>
  <c r="BE128" i="104"/>
  <c r="BD147" i="104"/>
  <c r="BD137" i="104"/>
  <c r="BE153" i="104"/>
  <c r="BF151" i="104"/>
  <c r="BC142" i="104"/>
  <c r="BG126" i="104"/>
  <c r="BB152" i="104"/>
  <c r="AY148" i="104"/>
  <c r="BE136" i="104"/>
  <c r="BA116" i="104"/>
  <c r="BB110" i="104"/>
  <c r="BE141" i="104"/>
  <c r="BD127" i="104"/>
  <c r="BB106" i="104"/>
  <c r="BB125" i="104"/>
  <c r="BB114" i="104"/>
  <c r="BC145" i="104"/>
  <c r="BB143" i="104"/>
  <c r="AY132" i="104"/>
  <c r="BD112" i="104"/>
  <c r="BE135" i="104"/>
  <c r="BG115" i="104"/>
  <c r="BB149" i="104"/>
  <c r="AZ134" i="104"/>
  <c r="BB109" i="104"/>
  <c r="BC108" i="104"/>
  <c r="BD119" i="104"/>
  <c r="BH123" i="104"/>
  <c r="BB107" i="104"/>
  <c r="BA130" i="104"/>
  <c r="BD139" i="104"/>
  <c r="AZ144" i="104"/>
  <c r="BC117" i="104"/>
  <c r="BB129" i="104"/>
  <c r="BE131" i="104"/>
  <c r="BA122" i="104"/>
  <c r="BC138" i="104"/>
  <c r="BA146" i="104"/>
  <c r="BA140" i="104"/>
  <c r="BC111" i="104"/>
  <c r="AZ105" i="104"/>
  <c r="AV104" i="104"/>
  <c r="AT103" i="104"/>
  <c r="AU103" i="104" s="1"/>
  <c r="AO102" i="104"/>
  <c r="AQ43" i="104"/>
  <c r="AM84" i="104"/>
  <c r="AQ61" i="104"/>
  <c r="AT73" i="104"/>
  <c r="AO74" i="104"/>
  <c r="AL99" i="104"/>
  <c r="AP65" i="104"/>
  <c r="AP67" i="104"/>
  <c r="AM39" i="104"/>
  <c r="AO80" i="104"/>
  <c r="AN81" i="104"/>
  <c r="AO90" i="104"/>
  <c r="AR68" i="104"/>
  <c r="AS77" i="104"/>
  <c r="AR52" i="104"/>
  <c r="AQ13" i="104"/>
  <c r="AM78" i="104"/>
  <c r="AR56" i="104"/>
  <c r="AM5" i="104"/>
  <c r="AO35" i="104"/>
  <c r="AQ93" i="104"/>
  <c r="AM87" i="104"/>
  <c r="AP24" i="104"/>
  <c r="AO38" i="104"/>
  <c r="AP91" i="104"/>
  <c r="AN64" i="104"/>
  <c r="AL94" i="104"/>
  <c r="AR97" i="104"/>
  <c r="AP83" i="104"/>
  <c r="AR16" i="104"/>
  <c r="AQ76" i="104"/>
  <c r="AM7" i="104"/>
  <c r="AM89" i="104"/>
  <c r="AR82" i="104"/>
  <c r="AN21" i="104"/>
  <c r="AL4" i="104"/>
  <c r="AM85" i="104"/>
  <c r="AM51" i="104"/>
  <c r="AO34" i="104"/>
  <c r="AO22" i="104"/>
  <c r="AR46" i="104"/>
  <c r="AP54" i="104"/>
  <c r="AR23" i="104"/>
  <c r="AP28" i="104"/>
  <c r="AN49" i="104"/>
  <c r="AO17" i="104"/>
  <c r="AN92" i="104"/>
  <c r="AM19" i="104"/>
  <c r="AQ26" i="104"/>
  <c r="AO12" i="104"/>
  <c r="AO44" i="104"/>
  <c r="AN41" i="104"/>
  <c r="AQ47" i="104"/>
  <c r="AO40" i="104"/>
  <c r="AP53" i="104"/>
  <c r="AO101" i="104"/>
  <c r="AP71" i="104"/>
  <c r="AN57" i="104"/>
  <c r="AO27" i="104"/>
  <c r="AR11" i="104"/>
  <c r="AM69" i="104"/>
  <c r="AL15" i="104"/>
  <c r="AP63" i="104"/>
  <c r="AQ50" i="104"/>
  <c r="AL37" i="104"/>
  <c r="AL88" i="104"/>
  <c r="AP75" i="104"/>
  <c r="AN45" i="104"/>
  <c r="AP30" i="104"/>
  <c r="AP20" i="104"/>
  <c r="AS32" i="104"/>
  <c r="AO86" i="104"/>
  <c r="AO42" i="104"/>
  <c r="AP55" i="104"/>
  <c r="AP18" i="104"/>
  <c r="AL59" i="104"/>
  <c r="AO31" i="104"/>
  <c r="AO3" i="104"/>
  <c r="AP25" i="104"/>
  <c r="AO29" i="104"/>
  <c r="AO72" i="104"/>
  <c r="AL66" i="104"/>
  <c r="AO48" i="104"/>
  <c r="AS62" i="104"/>
  <c r="AL70" i="104"/>
  <c r="AO36" i="104"/>
  <c r="AQ95" i="104"/>
  <c r="AP33" i="104"/>
  <c r="AQ58" i="104"/>
  <c r="AQ98" i="104"/>
  <c r="AO79" i="104"/>
  <c r="AK96" i="104"/>
  <c r="AR9" i="104"/>
  <c r="AO14" i="104"/>
  <c r="AR10" i="104"/>
  <c r="AN60" i="104"/>
  <c r="AM100" i="104"/>
  <c r="AM8" i="104"/>
  <c r="AM6" i="104"/>
  <c r="BV74" i="97"/>
  <c r="CY71" i="97"/>
  <c r="EE74" i="97"/>
  <c r="DC71" i="97"/>
  <c r="EM74" i="97"/>
  <c r="BQ74" i="97"/>
  <c r="L74" i="97"/>
  <c r="Q74" i="97"/>
  <c r="CQ295" i="104" l="1"/>
  <c r="CQ273" i="104"/>
  <c r="CQ260" i="104"/>
  <c r="CQ298" i="104"/>
  <c r="CQ272" i="104"/>
  <c r="CQ258" i="104"/>
  <c r="CQ285" i="104"/>
  <c r="CQ274" i="104"/>
  <c r="CQ279" i="104"/>
  <c r="CQ289" i="104"/>
  <c r="CQ262" i="104"/>
  <c r="CQ263" i="104"/>
  <c r="CQ271" i="104"/>
  <c r="CQ287" i="104"/>
  <c r="CQ269" i="104"/>
  <c r="CQ299" i="104"/>
  <c r="CQ265" i="104"/>
  <c r="CQ302" i="104"/>
  <c r="CQ267" i="104"/>
  <c r="CQ270" i="104"/>
  <c r="CQ284" i="104"/>
  <c r="CQ283" i="104"/>
  <c r="CQ278" i="104"/>
  <c r="CQ292" i="104"/>
  <c r="CQ293" i="104"/>
  <c r="CQ277" i="104"/>
  <c r="CQ259" i="104"/>
  <c r="CQ281" i="104"/>
  <c r="CQ294" i="104"/>
  <c r="CQ290" i="104"/>
  <c r="CQ286" i="104"/>
  <c r="CQ288" i="104"/>
  <c r="CQ300" i="104"/>
  <c r="CQ276" i="104"/>
  <c r="CQ296" i="104"/>
  <c r="CQ264" i="104"/>
  <c r="CQ275" i="104"/>
  <c r="CQ297" i="104"/>
  <c r="CQ282" i="104"/>
  <c r="CQ268" i="104"/>
  <c r="CQ301" i="104"/>
  <c r="CQ291" i="104"/>
  <c r="CQ266" i="104"/>
  <c r="CQ280" i="104"/>
  <c r="CQ261" i="104"/>
  <c r="CR265" i="104"/>
  <c r="CR280" i="104"/>
  <c r="CR260" i="104"/>
  <c r="CR272" i="104"/>
  <c r="CR285" i="104"/>
  <c r="CR297" i="104"/>
  <c r="CR292" i="104"/>
  <c r="CR259" i="104"/>
  <c r="CR269" i="104"/>
  <c r="CR261" i="104"/>
  <c r="CR264" i="104"/>
  <c r="CR288" i="104"/>
  <c r="CR301" i="104"/>
  <c r="CR279" i="104"/>
  <c r="CR282" i="104"/>
  <c r="CR277" i="104"/>
  <c r="CR275" i="104"/>
  <c r="CR300" i="104"/>
  <c r="CR299" i="104"/>
  <c r="CR286" i="104"/>
  <c r="CR296" i="104"/>
  <c r="CR298" i="104"/>
  <c r="CR281" i="104"/>
  <c r="CR302" i="104"/>
  <c r="CR276" i="104"/>
  <c r="CR270" i="104"/>
  <c r="CR267" i="104"/>
  <c r="CR262" i="104"/>
  <c r="CR290" i="104"/>
  <c r="CR273" i="104"/>
  <c r="CR294" i="104"/>
  <c r="CR295" i="104"/>
  <c r="CR266" i="104"/>
  <c r="CR278" i="104"/>
  <c r="CR291" i="104"/>
  <c r="CR283" i="104"/>
  <c r="CR284" i="104"/>
  <c r="CR258" i="104"/>
  <c r="CR289" i="104"/>
  <c r="CR271" i="104"/>
  <c r="CR268" i="104"/>
  <c r="CR293" i="104"/>
  <c r="CR287" i="104"/>
  <c r="CR263" i="104"/>
  <c r="CR274" i="104"/>
  <c r="BM163" i="104"/>
  <c r="CU299" i="104"/>
  <c r="CU262" i="104"/>
  <c r="CU297" i="104"/>
  <c r="CU302" i="104"/>
  <c r="CU290" i="104"/>
  <c r="CU296" i="104"/>
  <c r="CU269" i="104"/>
  <c r="CU278" i="104"/>
  <c r="CU292" i="104"/>
  <c r="CU289" i="104"/>
  <c r="CU286" i="104"/>
  <c r="CU268" i="104"/>
  <c r="CU300" i="104"/>
  <c r="CU301" i="104"/>
  <c r="CU276" i="104"/>
  <c r="CU288" i="104"/>
  <c r="CU294" i="104"/>
  <c r="CU263" i="104"/>
  <c r="CU275" i="104"/>
  <c r="CU291" i="104"/>
  <c r="CU295" i="104"/>
  <c r="CU277" i="104"/>
  <c r="CU258" i="104"/>
  <c r="CU283" i="104"/>
  <c r="CU270" i="104"/>
  <c r="CU298" i="104"/>
  <c r="CU264" i="104"/>
  <c r="CU281" i="104"/>
  <c r="CU274" i="104"/>
  <c r="CU259" i="104"/>
  <c r="CU293" i="104"/>
  <c r="CU285" i="104"/>
  <c r="CU267" i="104"/>
  <c r="CU287" i="104"/>
  <c r="CU279" i="104"/>
  <c r="CU265" i="104"/>
  <c r="CU282" i="104"/>
  <c r="CU273" i="104"/>
  <c r="CU272" i="104"/>
  <c r="CU261" i="104"/>
  <c r="CU266" i="104"/>
  <c r="CU284" i="104"/>
  <c r="CU271" i="104"/>
  <c r="CU260" i="104"/>
  <c r="CU280" i="104"/>
  <c r="BI161" i="104"/>
  <c r="BJ161" i="104" s="1"/>
  <c r="BQ159" i="104"/>
  <c r="BR159" i="104" s="1"/>
  <c r="BS159" i="104" s="1"/>
  <c r="BT159" i="104" s="1"/>
  <c r="BI160" i="104"/>
  <c r="BJ160" i="104" s="1"/>
  <c r="BK160" i="104" s="1"/>
  <c r="BL160" i="104" s="1"/>
  <c r="BM160" i="104" s="1"/>
  <c r="BN160" i="104" s="1"/>
  <c r="BO160" i="104" s="1"/>
  <c r="BJ158" i="104"/>
  <c r="BK158" i="104" s="1"/>
  <c r="BL158" i="104" s="1"/>
  <c r="BM158" i="104" s="1"/>
  <c r="BI156" i="104"/>
  <c r="BE157" i="104"/>
  <c r="BJ155" i="104"/>
  <c r="BC154" i="104"/>
  <c r="BC109" i="104"/>
  <c r="BC149" i="104"/>
  <c r="BC114" i="104"/>
  <c r="BC125" i="104"/>
  <c r="BE127" i="104"/>
  <c r="BB116" i="104"/>
  <c r="BG151" i="104"/>
  <c r="BD150" i="104"/>
  <c r="BE121" i="104"/>
  <c r="BD138" i="104"/>
  <c r="BF131" i="104"/>
  <c r="BE119" i="104"/>
  <c r="BE139" i="104"/>
  <c r="BB130" i="104"/>
  <c r="BE112" i="104"/>
  <c r="BC143" i="104"/>
  <c r="BD145" i="104"/>
  <c r="BC106" i="104"/>
  <c r="BC110" i="104"/>
  <c r="BF136" i="104"/>
  <c r="BH126" i="104"/>
  <c r="BF128" i="104"/>
  <c r="BC133" i="104"/>
  <c r="BB122" i="104"/>
  <c r="BD111" i="104"/>
  <c r="BC129" i="104"/>
  <c r="BI123" i="104"/>
  <c r="BD108" i="104"/>
  <c r="BA134" i="104"/>
  <c r="BF135" i="104"/>
  <c r="BC152" i="104"/>
  <c r="BD142" i="104"/>
  <c r="BB120" i="104"/>
  <c r="BB140" i="104"/>
  <c r="BB146" i="104"/>
  <c r="BD117" i="104"/>
  <c r="BA144" i="104"/>
  <c r="BC107" i="104"/>
  <c r="BH115" i="104"/>
  <c r="AZ132" i="104"/>
  <c r="BF141" i="104"/>
  <c r="AZ148" i="104"/>
  <c r="BF153" i="104"/>
  <c r="BE137" i="104"/>
  <c r="BE147" i="104"/>
  <c r="BG124" i="104"/>
  <c r="BD118" i="104"/>
  <c r="BC113" i="104"/>
  <c r="BA105" i="104"/>
  <c r="AW104" i="104"/>
  <c r="AV103" i="104"/>
  <c r="AP102" i="104"/>
  <c r="AS9" i="104"/>
  <c r="AN8" i="104"/>
  <c r="AP86" i="104"/>
  <c r="AM15" i="104"/>
  <c r="AP27" i="104"/>
  <c r="AO57" i="104"/>
  <c r="AQ71" i="104"/>
  <c r="AP101" i="104"/>
  <c r="AP40" i="104"/>
  <c r="AO41" i="104"/>
  <c r="AR26" i="104"/>
  <c r="AQ28" i="104"/>
  <c r="AN51" i="104"/>
  <c r="AN85" i="104"/>
  <c r="AM4" i="104"/>
  <c r="AS82" i="104"/>
  <c r="AN7" i="104"/>
  <c r="AQ83" i="104"/>
  <c r="AS97" i="104"/>
  <c r="AQ91" i="104"/>
  <c r="AN5" i="104"/>
  <c r="AN78" i="104"/>
  <c r="AP90" i="104"/>
  <c r="AO81" i="104"/>
  <c r="AQ65" i="104"/>
  <c r="AN100" i="104"/>
  <c r="AO60" i="104"/>
  <c r="AL96" i="104"/>
  <c r="AQ33" i="104"/>
  <c r="AR95" i="104"/>
  <c r="AM70" i="104"/>
  <c r="AQ25" i="104"/>
  <c r="AQ18" i="104"/>
  <c r="AP42" i="104"/>
  <c r="AQ75" i="104"/>
  <c r="AM88" i="104"/>
  <c r="AR50" i="104"/>
  <c r="AQ53" i="104"/>
  <c r="AR47" i="104"/>
  <c r="AO92" i="104"/>
  <c r="AS23" i="104"/>
  <c r="AS46" i="104"/>
  <c r="AN89" i="104"/>
  <c r="AS16" i="104"/>
  <c r="AM94" i="104"/>
  <c r="AP38" i="104"/>
  <c r="AS56" i="104"/>
  <c r="AS68" i="104"/>
  <c r="AM99" i="104"/>
  <c r="AP74" i="104"/>
  <c r="AR43" i="104"/>
  <c r="AN6" i="104"/>
  <c r="AP48" i="104"/>
  <c r="AP29" i="104"/>
  <c r="AQ55" i="104"/>
  <c r="AO45" i="104"/>
  <c r="AM37" i="104"/>
  <c r="AS11" i="104"/>
  <c r="AP44" i="104"/>
  <c r="AN19" i="104"/>
  <c r="AP17" i="104"/>
  <c r="AO49" i="104"/>
  <c r="AQ54" i="104"/>
  <c r="AP22" i="104"/>
  <c r="AP34" i="104"/>
  <c r="AO21" i="104"/>
  <c r="AR76" i="104"/>
  <c r="AO64" i="104"/>
  <c r="AQ24" i="104"/>
  <c r="AP35" i="104"/>
  <c r="AT77" i="104"/>
  <c r="AN39" i="104"/>
  <c r="AU73" i="104"/>
  <c r="AR61" i="104"/>
  <c r="AN84" i="104"/>
  <c r="AP14" i="104"/>
  <c r="AR98" i="104"/>
  <c r="AR58" i="104"/>
  <c r="AM66" i="104"/>
  <c r="AP31" i="104"/>
  <c r="AS10" i="104"/>
  <c r="AP79" i="104"/>
  <c r="AP36" i="104"/>
  <c r="AT62" i="104"/>
  <c r="AP72" i="104"/>
  <c r="AP3" i="104"/>
  <c r="AM59" i="104"/>
  <c r="AT32" i="104"/>
  <c r="AQ20" i="104"/>
  <c r="AQ30" i="104"/>
  <c r="AQ63" i="104"/>
  <c r="AN69" i="104"/>
  <c r="AP12" i="104"/>
  <c r="AN87" i="104"/>
  <c r="AR93" i="104"/>
  <c r="AR13" i="104"/>
  <c r="AS52" i="104"/>
  <c r="AP80" i="104"/>
  <c r="AQ67" i="104"/>
  <c r="EF73" i="97"/>
  <c r="EG73" i="97"/>
  <c r="EH73" i="97"/>
  <c r="EI73" i="97"/>
  <c r="EN73" i="97"/>
  <c r="EO73" i="97"/>
  <c r="EP73" i="97"/>
  <c r="EQ73" i="97"/>
  <c r="BP73" i="97"/>
  <c r="BR73" i="97"/>
  <c r="BS73" i="97"/>
  <c r="BT73" i="97"/>
  <c r="BU73" i="97"/>
  <c r="BW73" i="97"/>
  <c r="BX73" i="97"/>
  <c r="BY73" i="97"/>
  <c r="K73" i="97"/>
  <c r="M73" i="97"/>
  <c r="N73" i="97"/>
  <c r="O73" i="97"/>
  <c r="P73" i="97"/>
  <c r="R73" i="97"/>
  <c r="S73" i="97"/>
  <c r="T73" i="97"/>
  <c r="CZ70" i="97"/>
  <c r="DA70" i="97"/>
  <c r="DB70" i="97"/>
  <c r="DD70" i="97"/>
  <c r="DE70" i="97"/>
  <c r="DF70" i="97"/>
  <c r="EF72" i="97"/>
  <c r="EG72" i="97"/>
  <c r="EH72" i="97"/>
  <c r="EI72" i="97"/>
  <c r="EN72" i="97"/>
  <c r="EO72" i="97"/>
  <c r="EP72" i="97"/>
  <c r="EQ72" i="97"/>
  <c r="BP72" i="97"/>
  <c r="BR72" i="97"/>
  <c r="BS72" i="97"/>
  <c r="BT72" i="97"/>
  <c r="BU72" i="97"/>
  <c r="BW72" i="97"/>
  <c r="BX72" i="97"/>
  <c r="BY72" i="97"/>
  <c r="K72" i="97"/>
  <c r="M72" i="97"/>
  <c r="N72" i="97"/>
  <c r="O72" i="97"/>
  <c r="P72" i="97"/>
  <c r="R72" i="97"/>
  <c r="S72" i="97"/>
  <c r="T72" i="97"/>
  <c r="DF69" i="97"/>
  <c r="DE69" i="97"/>
  <c r="DD69" i="97"/>
  <c r="DB69" i="97"/>
  <c r="DA69" i="97"/>
  <c r="CZ69" i="97"/>
  <c r="EN71" i="97"/>
  <c r="EF71" i="97"/>
  <c r="EG71" i="97"/>
  <c r="EH71" i="97"/>
  <c r="EI71" i="97"/>
  <c r="EO71" i="97"/>
  <c r="EP71" i="97"/>
  <c r="EQ71" i="97"/>
  <c r="BP71" i="97"/>
  <c r="BR71" i="97"/>
  <c r="BS71" i="97"/>
  <c r="BT71" i="97"/>
  <c r="BU71" i="97"/>
  <c r="BW71" i="97"/>
  <c r="BX71" i="97"/>
  <c r="BY71" i="97"/>
  <c r="K71" i="97"/>
  <c r="M71" i="97"/>
  <c r="N71" i="97"/>
  <c r="O71" i="97"/>
  <c r="P71" i="97"/>
  <c r="R71" i="97"/>
  <c r="S71" i="97"/>
  <c r="T71" i="97"/>
  <c r="DD68" i="97"/>
  <c r="CZ68" i="97"/>
  <c r="DA68" i="97"/>
  <c r="DB68" i="97"/>
  <c r="DE68" i="97"/>
  <c r="DF68" i="97"/>
  <c r="CR303" i="104" l="1"/>
  <c r="CQ303" i="104"/>
  <c r="BN163" i="104"/>
  <c r="BP164" i="104"/>
  <c r="BU159" i="104"/>
  <c r="BV159" i="104" s="1"/>
  <c r="BP160" i="104"/>
  <c r="BN158" i="104"/>
  <c r="BO158" i="104" s="1"/>
  <c r="BP158" i="104" s="1"/>
  <c r="BQ158" i="104" s="1"/>
  <c r="BR158" i="104" s="1"/>
  <c r="BS158" i="104" s="1"/>
  <c r="BF157" i="104"/>
  <c r="BJ156" i="104"/>
  <c r="BK155" i="104"/>
  <c r="BD154" i="104"/>
  <c r="BJ123" i="104"/>
  <c r="BD129" i="104"/>
  <c r="BD110" i="104"/>
  <c r="BF112" i="104"/>
  <c r="BF139" i="104"/>
  <c r="BD125" i="104"/>
  <c r="BD149" i="104"/>
  <c r="BA132" i="104"/>
  <c r="BD152" i="104"/>
  <c r="BE108" i="104"/>
  <c r="BC122" i="104"/>
  <c r="BD143" i="104"/>
  <c r="BF119" i="104"/>
  <c r="BF147" i="104"/>
  <c r="BE118" i="104"/>
  <c r="BB144" i="104"/>
  <c r="BC140" i="104"/>
  <c r="BH124" i="104"/>
  <c r="BI124" i="104" s="1"/>
  <c r="BJ124" i="104" s="1"/>
  <c r="BK124" i="104" s="1"/>
  <c r="BL124" i="104" s="1"/>
  <c r="BM124" i="104" s="1"/>
  <c r="BN124" i="104" s="1"/>
  <c r="BO124" i="104" s="1"/>
  <c r="BP124" i="104" s="1"/>
  <c r="BQ124" i="104" s="1"/>
  <c r="BR124" i="104" s="1"/>
  <c r="BG141" i="104"/>
  <c r="BE142" i="104"/>
  <c r="BB134" i="104"/>
  <c r="BD113" i="104"/>
  <c r="BG153" i="104"/>
  <c r="BH153" i="104" s="1"/>
  <c r="BI153" i="104" s="1"/>
  <c r="BJ153" i="104" s="1"/>
  <c r="BK153" i="104" s="1"/>
  <c r="BL153" i="104" s="1"/>
  <c r="BM153" i="104" s="1"/>
  <c r="BN153" i="104" s="1"/>
  <c r="BO153" i="104" s="1"/>
  <c r="BP153" i="104" s="1"/>
  <c r="BI115" i="104"/>
  <c r="BD107" i="104"/>
  <c r="BE117" i="104"/>
  <c r="BE111" i="104"/>
  <c r="BG128" i="104"/>
  <c r="BG136" i="104"/>
  <c r="BH136" i="104" s="1"/>
  <c r="BI136" i="104" s="1"/>
  <c r="BJ136" i="104" s="1"/>
  <c r="BK136" i="104" s="1"/>
  <c r="BL136" i="104" s="1"/>
  <c r="BM136" i="104" s="1"/>
  <c r="BN136" i="104" s="1"/>
  <c r="BO136" i="104" s="1"/>
  <c r="BP136" i="104" s="1"/>
  <c r="BQ136" i="104" s="1"/>
  <c r="BR136" i="104" s="1"/>
  <c r="BD106" i="104"/>
  <c r="BE150" i="104"/>
  <c r="BH151" i="104"/>
  <c r="BC116" i="104"/>
  <c r="BF127" i="104"/>
  <c r="BD114" i="104"/>
  <c r="BF137" i="104"/>
  <c r="BA148" i="104"/>
  <c r="BC146" i="104"/>
  <c r="BC120" i="104"/>
  <c r="BG135" i="104"/>
  <c r="BD133" i="104"/>
  <c r="BI126" i="104"/>
  <c r="BE145" i="104"/>
  <c r="BC130" i="104"/>
  <c r="BG131" i="104"/>
  <c r="BE138" i="104"/>
  <c r="BF121" i="104"/>
  <c r="BD109" i="104"/>
  <c r="BB105" i="104"/>
  <c r="AX104" i="104"/>
  <c r="AW103" i="104"/>
  <c r="AQ102" i="104"/>
  <c r="AR102" i="104" s="1"/>
  <c r="AQ12" i="104"/>
  <c r="AO69" i="104"/>
  <c r="AQ36" i="104"/>
  <c r="AN66" i="104"/>
  <c r="AS98" i="104"/>
  <c r="AO84" i="104"/>
  <c r="AS61" i="104"/>
  <c r="AV73" i="104"/>
  <c r="AR24" i="104"/>
  <c r="AR54" i="104"/>
  <c r="AQ17" i="104"/>
  <c r="AP45" i="104"/>
  <c r="AQ48" i="104"/>
  <c r="AN99" i="104"/>
  <c r="AT56" i="104"/>
  <c r="AQ38" i="104"/>
  <c r="AT16" i="104"/>
  <c r="AR53" i="104"/>
  <c r="AR75" i="104"/>
  <c r="AN70" i="104"/>
  <c r="AO100" i="104"/>
  <c r="AR65" i="104"/>
  <c r="AR83" i="104"/>
  <c r="AR28" i="104"/>
  <c r="AQ101" i="104"/>
  <c r="AR71" i="104"/>
  <c r="AO8" i="104"/>
  <c r="AT9" i="104"/>
  <c r="AR67" i="104"/>
  <c r="AQ80" i="104"/>
  <c r="AS13" i="104"/>
  <c r="AQ31" i="104"/>
  <c r="AS58" i="104"/>
  <c r="AS76" i="104"/>
  <c r="AQ34" i="104"/>
  <c r="AO19" i="104"/>
  <c r="AQ44" i="104"/>
  <c r="AT11" i="104"/>
  <c r="AR55" i="104"/>
  <c r="AT46" i="104"/>
  <c r="AS47" i="104"/>
  <c r="AN88" i="104"/>
  <c r="AQ42" i="104"/>
  <c r="AS95" i="104"/>
  <c r="AM96" i="104"/>
  <c r="AP60" i="104"/>
  <c r="AP81" i="104"/>
  <c r="AO78" i="104"/>
  <c r="AO5" i="104"/>
  <c r="AO85" i="104"/>
  <c r="AS26" i="104"/>
  <c r="AP41" i="104"/>
  <c r="AQ40" i="104"/>
  <c r="AQ27" i="104"/>
  <c r="AN15" i="104"/>
  <c r="AR30" i="104"/>
  <c r="AR20" i="104"/>
  <c r="AN59" i="104"/>
  <c r="AT10" i="104"/>
  <c r="AU77" i="104"/>
  <c r="AP49" i="104"/>
  <c r="AN37" i="104"/>
  <c r="AQ29" i="104"/>
  <c r="AO6" i="104"/>
  <c r="AS43" i="104"/>
  <c r="AT68" i="104"/>
  <c r="AN94" i="104"/>
  <c r="AP92" i="104"/>
  <c r="AS50" i="104"/>
  <c r="AR18" i="104"/>
  <c r="AR25" i="104"/>
  <c r="AQ90" i="104"/>
  <c r="AT97" i="104"/>
  <c r="AN4" i="104"/>
  <c r="AT52" i="104"/>
  <c r="AS93" i="104"/>
  <c r="AO87" i="104"/>
  <c r="AR63" i="104"/>
  <c r="AU32" i="104"/>
  <c r="AQ3" i="104"/>
  <c r="AQ72" i="104"/>
  <c r="AU62" i="104"/>
  <c r="AQ79" i="104"/>
  <c r="AQ14" i="104"/>
  <c r="AO39" i="104"/>
  <c r="AQ35" i="104"/>
  <c r="AP64" i="104"/>
  <c r="AP21" i="104"/>
  <c r="AQ22" i="104"/>
  <c r="AQ74" i="104"/>
  <c r="AO89" i="104"/>
  <c r="AT23" i="104"/>
  <c r="AR33" i="104"/>
  <c r="AR91" i="104"/>
  <c r="AO7" i="104"/>
  <c r="AT82" i="104"/>
  <c r="AO51" i="104"/>
  <c r="AP57" i="104"/>
  <c r="AQ86" i="104"/>
  <c r="CY69" i="97"/>
  <c r="DC69" i="97"/>
  <c r="Q71" i="97"/>
  <c r="L72" i="97"/>
  <c r="DC68" i="97"/>
  <c r="EM71" i="97"/>
  <c r="EE71" i="97"/>
  <c r="CY68" i="97"/>
  <c r="BV72" i="97"/>
  <c r="BQ72" i="97"/>
  <c r="EM72" i="97"/>
  <c r="CY70" i="97"/>
  <c r="BV73" i="97"/>
  <c r="BQ73" i="97"/>
  <c r="EM73" i="97"/>
  <c r="EE73" i="97"/>
  <c r="L71" i="97"/>
  <c r="BV71" i="97"/>
  <c r="BQ71" i="97"/>
  <c r="Q72" i="97"/>
  <c r="EE72" i="97"/>
  <c r="DC70" i="97"/>
  <c r="Q73" i="97"/>
  <c r="L73" i="97"/>
  <c r="BO163" i="104" l="1"/>
  <c r="BP163" i="104" s="1"/>
  <c r="BQ164" i="104"/>
  <c r="BR164" i="104" s="1"/>
  <c r="BS164" i="104" s="1"/>
  <c r="BT164" i="104" s="1"/>
  <c r="BU164" i="104" s="1"/>
  <c r="BV164" i="104" s="1"/>
  <c r="BT158" i="104"/>
  <c r="BU158" i="104" s="1"/>
  <c r="BV158" i="104" s="1"/>
  <c r="BK161" i="104"/>
  <c r="CX298" i="104"/>
  <c r="CX295" i="104"/>
  <c r="CX274" i="104"/>
  <c r="CX291" i="104"/>
  <c r="CX299" i="104"/>
  <c r="CX272" i="104"/>
  <c r="CX285" i="104"/>
  <c r="CX271" i="104"/>
  <c r="CX277" i="104"/>
  <c r="CX281" i="104"/>
  <c r="CX289" i="104"/>
  <c r="CX284" i="104"/>
  <c r="CX258" i="104"/>
  <c r="CX302" i="104"/>
  <c r="CX260" i="104"/>
  <c r="CX265" i="104"/>
  <c r="CX264" i="104"/>
  <c r="CX294" i="104"/>
  <c r="CX266" i="104"/>
  <c r="CX282" i="104"/>
  <c r="CX296" i="104"/>
  <c r="CX269" i="104"/>
  <c r="CX278" i="104"/>
  <c r="CX280" i="104"/>
  <c r="CX301" i="104"/>
  <c r="CX276" i="104"/>
  <c r="CX261" i="104"/>
  <c r="CX286" i="104"/>
  <c r="CX259" i="104"/>
  <c r="CX275" i="104"/>
  <c r="CX297" i="104"/>
  <c r="CX290" i="104"/>
  <c r="CX292" i="104"/>
  <c r="CX262" i="104"/>
  <c r="CX300" i="104"/>
  <c r="CX288" i="104"/>
  <c r="CX270" i="104"/>
  <c r="CX293" i="104"/>
  <c r="CX287" i="104"/>
  <c r="CX263" i="104"/>
  <c r="CX268" i="104"/>
  <c r="CX279" i="104"/>
  <c r="CX273" i="104"/>
  <c r="CX267" i="104"/>
  <c r="CX283" i="104"/>
  <c r="BQ160" i="104"/>
  <c r="BR160" i="104" s="1"/>
  <c r="BS160" i="104" s="1"/>
  <c r="BG157" i="104"/>
  <c r="BH157" i="104" s="1"/>
  <c r="BI157" i="104" s="1"/>
  <c r="BK156" i="104"/>
  <c r="BL155" i="104"/>
  <c r="BM155" i="104" s="1"/>
  <c r="BN155" i="104" s="1"/>
  <c r="BE154" i="104"/>
  <c r="BQ153" i="104"/>
  <c r="BR153" i="104" s="1"/>
  <c r="BS136" i="104"/>
  <c r="BT136" i="104" s="1"/>
  <c r="BH131" i="104"/>
  <c r="BI131" i="104" s="1"/>
  <c r="BJ131" i="104" s="1"/>
  <c r="BK131" i="104" s="1"/>
  <c r="BL131" i="104" s="1"/>
  <c r="BM131" i="104" s="1"/>
  <c r="BN131" i="104" s="1"/>
  <c r="BO131" i="104" s="1"/>
  <c r="BD116" i="104"/>
  <c r="BE106" i="104"/>
  <c r="BF117" i="104"/>
  <c r="BE107" i="104"/>
  <c r="BS124" i="104"/>
  <c r="BT124" i="104" s="1"/>
  <c r="BC144" i="104"/>
  <c r="BF118" i="104"/>
  <c r="BG147" i="104"/>
  <c r="BD122" i="104"/>
  <c r="BF108" i="104"/>
  <c r="BK123" i="104"/>
  <c r="BL123" i="104" s="1"/>
  <c r="BM123" i="104" s="1"/>
  <c r="BN123" i="104" s="1"/>
  <c r="BO123" i="104" s="1"/>
  <c r="BP123" i="104" s="1"/>
  <c r="BQ123" i="104" s="1"/>
  <c r="BR123" i="104" s="1"/>
  <c r="BS123" i="104" s="1"/>
  <c r="BE109" i="104"/>
  <c r="BG121" i="104"/>
  <c r="BF145" i="104"/>
  <c r="BJ126" i="104"/>
  <c r="BE133" i="104"/>
  <c r="BE114" i="104"/>
  <c r="BE113" i="104"/>
  <c r="BH141" i="104"/>
  <c r="BD140" i="104"/>
  <c r="BG119" i="104"/>
  <c r="BB132" i="104"/>
  <c r="BE149" i="104"/>
  <c r="BE125" i="104"/>
  <c r="BG139" i="104"/>
  <c r="BE129" i="104"/>
  <c r="BD120" i="104"/>
  <c r="BD146" i="104"/>
  <c r="BG127" i="104"/>
  <c r="BI151" i="104"/>
  <c r="BF150" i="104"/>
  <c r="BH128" i="104"/>
  <c r="BC134" i="104"/>
  <c r="BE143" i="104"/>
  <c r="BE152" i="104"/>
  <c r="BG112" i="104"/>
  <c r="BE110" i="104"/>
  <c r="BF138" i="104"/>
  <c r="BD130" i="104"/>
  <c r="BH135" i="104"/>
  <c r="BB148" i="104"/>
  <c r="BG137" i="104"/>
  <c r="BF111" i="104"/>
  <c r="BJ115" i="104"/>
  <c r="BF142" i="104"/>
  <c r="BC105" i="104"/>
  <c r="AY104" i="104"/>
  <c r="AX103" i="104"/>
  <c r="AS102" i="104"/>
  <c r="AT102" i="104" s="1"/>
  <c r="AP7" i="104"/>
  <c r="AS33" i="104"/>
  <c r="AR22" i="104"/>
  <c r="AR35" i="104"/>
  <c r="AR79" i="104"/>
  <c r="AV62" i="104"/>
  <c r="AR72" i="104"/>
  <c r="AR3" i="104"/>
  <c r="AU97" i="104"/>
  <c r="AR90" i="104"/>
  <c r="AP85" i="104"/>
  <c r="AQ81" i="104"/>
  <c r="AN96" i="104"/>
  <c r="AR42" i="104"/>
  <c r="AS55" i="104"/>
  <c r="AU11" i="104"/>
  <c r="AR34" i="104"/>
  <c r="AT76" i="104"/>
  <c r="AT13" i="104"/>
  <c r="AS67" i="104"/>
  <c r="AU16" i="104"/>
  <c r="AR38" i="104"/>
  <c r="AO99" i="104"/>
  <c r="AQ45" i="104"/>
  <c r="AS24" i="104"/>
  <c r="AO66" i="104"/>
  <c r="AP69" i="104"/>
  <c r="AP51" i="104"/>
  <c r="AU23" i="104"/>
  <c r="AP89" i="104"/>
  <c r="AR74" i="104"/>
  <c r="AT93" i="104"/>
  <c r="AU52" i="104"/>
  <c r="AO4" i="104"/>
  <c r="AT50" i="104"/>
  <c r="AQ92" i="104"/>
  <c r="AR29" i="104"/>
  <c r="AO59" i="104"/>
  <c r="AS30" i="104"/>
  <c r="AO15" i="104"/>
  <c r="AR27" i="104"/>
  <c r="AR40" i="104"/>
  <c r="AT47" i="104"/>
  <c r="AU46" i="104"/>
  <c r="AR31" i="104"/>
  <c r="AR101" i="104"/>
  <c r="AS28" i="104"/>
  <c r="AP100" i="104"/>
  <c r="AT98" i="104"/>
  <c r="AR12" i="104"/>
  <c r="AP39" i="104"/>
  <c r="AV32" i="104"/>
  <c r="AS63" i="104"/>
  <c r="AS18" i="104"/>
  <c r="AU68" i="104"/>
  <c r="AP6" i="104"/>
  <c r="AO37" i="104"/>
  <c r="AQ49" i="104"/>
  <c r="AU10" i="104"/>
  <c r="AS20" i="104"/>
  <c r="AQ41" i="104"/>
  <c r="AT26" i="104"/>
  <c r="AQ60" i="104"/>
  <c r="AT95" i="104"/>
  <c r="AS83" i="104"/>
  <c r="AS65" i="104"/>
  <c r="AS53" i="104"/>
  <c r="AU56" i="104"/>
  <c r="AR17" i="104"/>
  <c r="AS54" i="104"/>
  <c r="AT61" i="104"/>
  <c r="AP84" i="104"/>
  <c r="AR36" i="104"/>
  <c r="AR86" i="104"/>
  <c r="AQ57" i="104"/>
  <c r="AS91" i="104"/>
  <c r="AQ64" i="104"/>
  <c r="AU82" i="104"/>
  <c r="AQ21" i="104"/>
  <c r="AR14" i="104"/>
  <c r="AP87" i="104"/>
  <c r="AS25" i="104"/>
  <c r="AO94" i="104"/>
  <c r="AT43" i="104"/>
  <c r="AV77" i="104"/>
  <c r="AP5" i="104"/>
  <c r="AP78" i="104"/>
  <c r="AO88" i="104"/>
  <c r="AR44" i="104"/>
  <c r="AP19" i="104"/>
  <c r="AT58" i="104"/>
  <c r="AR80" i="104"/>
  <c r="AU9" i="104"/>
  <c r="AP8" i="104"/>
  <c r="AS71" i="104"/>
  <c r="AO70" i="104"/>
  <c r="AS75" i="104"/>
  <c r="AR48" i="104"/>
  <c r="AW73" i="104"/>
  <c r="EG70" i="97"/>
  <c r="EF70" i="97"/>
  <c r="EH70" i="97"/>
  <c r="EI70" i="97"/>
  <c r="EN70" i="97"/>
  <c r="EO70" i="97"/>
  <c r="EP70" i="97"/>
  <c r="EQ70" i="97"/>
  <c r="CZ67" i="97"/>
  <c r="DA67" i="97"/>
  <c r="DB67" i="97"/>
  <c r="DD67" i="97"/>
  <c r="DE67" i="97"/>
  <c r="DF67" i="97"/>
  <c r="BS70" i="97"/>
  <c r="BX70" i="97"/>
  <c r="BU70" i="97"/>
  <c r="BP70" i="97"/>
  <c r="BR70" i="97"/>
  <c r="BT70" i="97"/>
  <c r="BW70" i="97"/>
  <c r="BY70" i="97"/>
  <c r="K70" i="97"/>
  <c r="M70" i="97"/>
  <c r="N70" i="97"/>
  <c r="O70" i="97"/>
  <c r="P70" i="97"/>
  <c r="R70" i="97"/>
  <c r="S70" i="97"/>
  <c r="T70" i="97"/>
  <c r="K69" i="97"/>
  <c r="BS153" i="104" l="1"/>
  <c r="BT153" i="104" s="1"/>
  <c r="BQ163" i="104"/>
  <c r="BR163" i="104" s="1"/>
  <c r="BS163" i="104" s="1"/>
  <c r="BT163" i="104" s="1"/>
  <c r="BU163" i="104" s="1"/>
  <c r="CS294" i="104"/>
  <c r="CS265" i="104"/>
  <c r="CS285" i="104"/>
  <c r="CS261" i="104"/>
  <c r="CS266" i="104"/>
  <c r="CS268" i="104"/>
  <c r="CS293" i="104"/>
  <c r="CS287" i="104"/>
  <c r="CS270" i="104"/>
  <c r="CS296" i="104"/>
  <c r="CS283" i="104"/>
  <c r="CS284" i="104"/>
  <c r="CS264" i="104"/>
  <c r="CS271" i="104"/>
  <c r="CS300" i="104"/>
  <c r="CS259" i="104"/>
  <c r="CS280" i="104"/>
  <c r="CS262" i="104"/>
  <c r="CS272" i="104"/>
  <c r="CS289" i="104"/>
  <c r="CS260" i="104"/>
  <c r="CS298" i="104"/>
  <c r="CS277" i="104"/>
  <c r="CS276" i="104"/>
  <c r="CS288" i="104"/>
  <c r="CS290" i="104"/>
  <c r="CS274" i="104"/>
  <c r="CS291" i="104"/>
  <c r="CS299" i="104"/>
  <c r="CS275" i="104"/>
  <c r="CS302" i="104"/>
  <c r="CS258" i="104"/>
  <c r="CS278" i="104"/>
  <c r="CS269" i="104"/>
  <c r="CS273" i="104"/>
  <c r="CS292" i="104"/>
  <c r="CS282" i="104"/>
  <c r="CS267" i="104"/>
  <c r="CS295" i="104"/>
  <c r="CS263" i="104"/>
  <c r="CS281" i="104"/>
  <c r="CS297" i="104"/>
  <c r="CS286" i="104"/>
  <c r="CS279" i="104"/>
  <c r="CS301" i="104"/>
  <c r="BL161" i="104"/>
  <c r="BT160" i="104"/>
  <c r="BU160" i="104" s="1"/>
  <c r="CW303" i="104"/>
  <c r="BU124" i="104"/>
  <c r="BV124" i="104" s="1"/>
  <c r="CY258" i="104"/>
  <c r="CY295" i="104"/>
  <c r="CY302" i="104"/>
  <c r="CY283" i="104"/>
  <c r="CY273" i="104"/>
  <c r="CY301" i="104"/>
  <c r="CY285" i="104"/>
  <c r="CY291" i="104"/>
  <c r="CY261" i="104"/>
  <c r="CY293" i="104"/>
  <c r="CY288" i="104"/>
  <c r="CY274" i="104"/>
  <c r="CY262" i="104"/>
  <c r="CY279" i="104"/>
  <c r="CY271" i="104"/>
  <c r="CY260" i="104"/>
  <c r="CY294" i="104"/>
  <c r="CY269" i="104"/>
  <c r="CY277" i="104"/>
  <c r="CY284" i="104"/>
  <c r="CY270" i="104"/>
  <c r="CY286" i="104"/>
  <c r="CY268" i="104"/>
  <c r="CY289" i="104"/>
  <c r="CY299" i="104"/>
  <c r="CY281" i="104"/>
  <c r="CY275" i="104"/>
  <c r="CY276" i="104"/>
  <c r="CY292" i="104"/>
  <c r="CY278" i="104"/>
  <c r="CY265" i="104"/>
  <c r="CY300" i="104"/>
  <c r="CY287" i="104"/>
  <c r="CY280" i="104"/>
  <c r="CY290" i="104"/>
  <c r="CY296" i="104"/>
  <c r="CY264" i="104"/>
  <c r="CY297" i="104"/>
  <c r="CY272" i="104"/>
  <c r="CY266" i="104"/>
  <c r="CY267" i="104"/>
  <c r="CY263" i="104"/>
  <c r="CY259" i="104"/>
  <c r="CY282" i="104"/>
  <c r="CY298" i="104"/>
  <c r="BL156" i="104"/>
  <c r="BU136" i="104"/>
  <c r="BV136" i="104" s="1"/>
  <c r="BF154" i="104"/>
  <c r="BP131" i="104"/>
  <c r="BQ131" i="104" s="1"/>
  <c r="BT123" i="104"/>
  <c r="BU123" i="104" s="1"/>
  <c r="BV123" i="104" s="1"/>
  <c r="BH112" i="104"/>
  <c r="BF152" i="104"/>
  <c r="BD134" i="104"/>
  <c r="BI128" i="104"/>
  <c r="BH139" i="104"/>
  <c r="BF133" i="104"/>
  <c r="BK126" i="104"/>
  <c r="BL126" i="104" s="1"/>
  <c r="BM126" i="104" s="1"/>
  <c r="BN126" i="104" s="1"/>
  <c r="BO126" i="104" s="1"/>
  <c r="BP126" i="104" s="1"/>
  <c r="BQ126" i="104" s="1"/>
  <c r="BR126" i="104" s="1"/>
  <c r="BS126" i="104" s="1"/>
  <c r="BG118" i="104"/>
  <c r="BE116" i="104"/>
  <c r="BK115" i="104"/>
  <c r="BE130" i="104"/>
  <c r="BG138" i="104"/>
  <c r="BF110" i="104"/>
  <c r="BJ151" i="104"/>
  <c r="BK151" i="104" s="1"/>
  <c r="BL151" i="104" s="1"/>
  <c r="BM151" i="104" s="1"/>
  <c r="BN151" i="104" s="1"/>
  <c r="BO151" i="104" s="1"/>
  <c r="BP151" i="104" s="1"/>
  <c r="BQ151" i="104" s="1"/>
  <c r="BR151" i="104" s="1"/>
  <c r="BE146" i="104"/>
  <c r="BC132" i="104"/>
  <c r="BH119" i="104"/>
  <c r="BF113" i="104"/>
  <c r="BF114" i="104"/>
  <c r="BG108" i="104"/>
  <c r="BH147" i="104"/>
  <c r="BG117" i="104"/>
  <c r="BG142" i="104"/>
  <c r="BG111" i="104"/>
  <c r="BG150" i="104"/>
  <c r="BE120" i="104"/>
  <c r="BF125" i="104"/>
  <c r="BD144" i="104"/>
  <c r="BH137" i="104"/>
  <c r="BI137" i="104" s="1"/>
  <c r="BJ137" i="104" s="1"/>
  <c r="BK137" i="104" s="1"/>
  <c r="BL137" i="104" s="1"/>
  <c r="BM137" i="104" s="1"/>
  <c r="BN137" i="104" s="1"/>
  <c r="BO137" i="104" s="1"/>
  <c r="BP137" i="104" s="1"/>
  <c r="BC148" i="104"/>
  <c r="BI135" i="104"/>
  <c r="BJ135" i="104" s="1"/>
  <c r="BK135" i="104" s="1"/>
  <c r="BL135" i="104" s="1"/>
  <c r="BM135" i="104" s="1"/>
  <c r="BN135" i="104" s="1"/>
  <c r="BO135" i="104" s="1"/>
  <c r="BP135" i="104" s="1"/>
  <c r="BQ135" i="104" s="1"/>
  <c r="BF143" i="104"/>
  <c r="BH127" i="104"/>
  <c r="BF129" i="104"/>
  <c r="BF149" i="104"/>
  <c r="BE140" i="104"/>
  <c r="BI141" i="104"/>
  <c r="BJ141" i="104" s="1"/>
  <c r="BK141" i="104" s="1"/>
  <c r="BL141" i="104" s="1"/>
  <c r="BM141" i="104" s="1"/>
  <c r="BN141" i="104" s="1"/>
  <c r="BO141" i="104" s="1"/>
  <c r="BP141" i="104" s="1"/>
  <c r="BG145" i="104"/>
  <c r="BH145" i="104" s="1"/>
  <c r="BI145" i="104" s="1"/>
  <c r="BJ145" i="104" s="1"/>
  <c r="BK145" i="104" s="1"/>
  <c r="BL145" i="104" s="1"/>
  <c r="BM145" i="104" s="1"/>
  <c r="BN145" i="104" s="1"/>
  <c r="BH121" i="104"/>
  <c r="BF109" i="104"/>
  <c r="BE122" i="104"/>
  <c r="BF107" i="104"/>
  <c r="BF106" i="104"/>
  <c r="BD105" i="104"/>
  <c r="BE105" i="104" s="1"/>
  <c r="AZ104" i="104"/>
  <c r="AY103" i="104"/>
  <c r="AU102" i="104"/>
  <c r="AT71" i="104"/>
  <c r="AS80" i="104"/>
  <c r="AP88" i="104"/>
  <c r="AQ5" i="104"/>
  <c r="AR21" i="104"/>
  <c r="AT91" i="104"/>
  <c r="AQ84" i="104"/>
  <c r="AU95" i="104"/>
  <c r="AR41" i="104"/>
  <c r="AV10" i="104"/>
  <c r="AR49" i="104"/>
  <c r="AP37" i="104"/>
  <c r="AQ6" i="104"/>
  <c r="AU98" i="104"/>
  <c r="AT28" i="104"/>
  <c r="AS29" i="104"/>
  <c r="AR92" i="104"/>
  <c r="AS74" i="104"/>
  <c r="AV23" i="104"/>
  <c r="AP66" i="104"/>
  <c r="AT67" i="104"/>
  <c r="AS34" i="104"/>
  <c r="AQ85" i="104"/>
  <c r="AX73" i="104"/>
  <c r="AP70" i="104"/>
  <c r="AV9" i="104"/>
  <c r="AQ19" i="104"/>
  <c r="AS44" i="104"/>
  <c r="AQ78" i="104"/>
  <c r="AW77" i="104"/>
  <c r="AT25" i="104"/>
  <c r="AR57" i="104"/>
  <c r="AU61" i="104"/>
  <c r="AT53" i="104"/>
  <c r="AT65" i="104"/>
  <c r="AT83" i="104"/>
  <c r="AR60" i="104"/>
  <c r="AW32" i="104"/>
  <c r="AQ100" i="104"/>
  <c r="AS31" i="104"/>
  <c r="AS27" i="104"/>
  <c r="AT30" i="104"/>
  <c r="AQ51" i="104"/>
  <c r="AP99" i="104"/>
  <c r="AU76" i="104"/>
  <c r="AR81" i="104"/>
  <c r="AS3" i="104"/>
  <c r="AW62" i="104"/>
  <c r="AS35" i="104"/>
  <c r="AT33" i="104"/>
  <c r="AQ7" i="104"/>
  <c r="AS48" i="104"/>
  <c r="AT75" i="104"/>
  <c r="AQ8" i="104"/>
  <c r="AU43" i="104"/>
  <c r="AQ87" i="104"/>
  <c r="AV82" i="104"/>
  <c r="AR64" i="104"/>
  <c r="AS36" i="104"/>
  <c r="AT54" i="104"/>
  <c r="AV56" i="104"/>
  <c r="AU26" i="104"/>
  <c r="AT20" i="104"/>
  <c r="AT18" i="104"/>
  <c r="AS12" i="104"/>
  <c r="AV46" i="104"/>
  <c r="AU47" i="104"/>
  <c r="AS40" i="104"/>
  <c r="AP59" i="104"/>
  <c r="AP4" i="104"/>
  <c r="AQ89" i="104"/>
  <c r="AQ69" i="104"/>
  <c r="AT24" i="104"/>
  <c r="AR45" i="104"/>
  <c r="AS38" i="104"/>
  <c r="AV16" i="104"/>
  <c r="AS42" i="104"/>
  <c r="AV97" i="104"/>
  <c r="AS22" i="104"/>
  <c r="AU58" i="104"/>
  <c r="AP94" i="104"/>
  <c r="AS14" i="104"/>
  <c r="AS86" i="104"/>
  <c r="AS17" i="104"/>
  <c r="AV68" i="104"/>
  <c r="AT63" i="104"/>
  <c r="AQ39" i="104"/>
  <c r="AS101" i="104"/>
  <c r="AP15" i="104"/>
  <c r="AU50" i="104"/>
  <c r="AV52" i="104"/>
  <c r="AU93" i="104"/>
  <c r="AU13" i="104"/>
  <c r="AV11" i="104"/>
  <c r="AT55" i="104"/>
  <c r="AO96" i="104"/>
  <c r="AS90" i="104"/>
  <c r="AS72" i="104"/>
  <c r="AS79" i="104"/>
  <c r="BV70" i="97"/>
  <c r="BQ70" i="97"/>
  <c r="CY67" i="97"/>
  <c r="EE70" i="97"/>
  <c r="Q70" i="97"/>
  <c r="L70" i="97"/>
  <c r="DC67" i="97"/>
  <c r="EM70" i="97"/>
  <c r="EQ38" i="97"/>
  <c r="EQ39" i="97"/>
  <c r="EQ40" i="97"/>
  <c r="EQ41" i="97"/>
  <c r="EQ42" i="97"/>
  <c r="EQ43" i="97"/>
  <c r="EQ44" i="97"/>
  <c r="EQ45" i="97"/>
  <c r="EQ46" i="97"/>
  <c r="EQ47" i="97"/>
  <c r="EQ48" i="97"/>
  <c r="EQ49" i="97"/>
  <c r="EQ50" i="97"/>
  <c r="EQ51" i="97"/>
  <c r="EQ52" i="97"/>
  <c r="EQ53" i="97"/>
  <c r="EQ54" i="97"/>
  <c r="EQ55" i="97"/>
  <c r="EQ56" i="97"/>
  <c r="EQ57" i="97"/>
  <c r="EQ58" i="97"/>
  <c r="EQ59" i="97"/>
  <c r="EQ60" i="97"/>
  <c r="EQ61" i="97"/>
  <c r="EQ62" i="97"/>
  <c r="EQ63" i="97"/>
  <c r="EQ64" i="97"/>
  <c r="EQ65" i="97"/>
  <c r="EQ66" i="97"/>
  <c r="EQ67" i="97"/>
  <c r="EQ68" i="97"/>
  <c r="EQ69" i="97"/>
  <c r="EQ37" i="97"/>
  <c r="EP38" i="97"/>
  <c r="EP39" i="97"/>
  <c r="EP40" i="97"/>
  <c r="EP41" i="97"/>
  <c r="EP42" i="97"/>
  <c r="EP43" i="97"/>
  <c r="EP44" i="97"/>
  <c r="EP45" i="97"/>
  <c r="EP46" i="97"/>
  <c r="EP47" i="97"/>
  <c r="EP48" i="97"/>
  <c r="EP49" i="97"/>
  <c r="EP50" i="97"/>
  <c r="EP51" i="97"/>
  <c r="EP52" i="97"/>
  <c r="EP53" i="97"/>
  <c r="EP54" i="97"/>
  <c r="EP55" i="97"/>
  <c r="EP56" i="97"/>
  <c r="EP57" i="97"/>
  <c r="EP58" i="97"/>
  <c r="EP59" i="97"/>
  <c r="EP60" i="97"/>
  <c r="EP61" i="97"/>
  <c r="EP62" i="97"/>
  <c r="EP63" i="97"/>
  <c r="EP64" i="97"/>
  <c r="EP65" i="97"/>
  <c r="EP66" i="97"/>
  <c r="EP67" i="97"/>
  <c r="EP68" i="97"/>
  <c r="EP69" i="97"/>
  <c r="EP37" i="97"/>
  <c r="EO38" i="97"/>
  <c r="EO39" i="97"/>
  <c r="EO40" i="97"/>
  <c r="EO41" i="97"/>
  <c r="EO42" i="97"/>
  <c r="EO43" i="97"/>
  <c r="EO44" i="97"/>
  <c r="EO45" i="97"/>
  <c r="EO46" i="97"/>
  <c r="EO47" i="97"/>
  <c r="EO48" i="97"/>
  <c r="EO49" i="97"/>
  <c r="EO50" i="97"/>
  <c r="EO51" i="97"/>
  <c r="EO52" i="97"/>
  <c r="EO53" i="97"/>
  <c r="EO54" i="97"/>
  <c r="EO55" i="97"/>
  <c r="EO56" i="97"/>
  <c r="EO57" i="97"/>
  <c r="EO58" i="97"/>
  <c r="EO59" i="97"/>
  <c r="EO60" i="97"/>
  <c r="EO61" i="97"/>
  <c r="EO62" i="97"/>
  <c r="EO63" i="97"/>
  <c r="EO64" i="97"/>
  <c r="EO65" i="97"/>
  <c r="EO66" i="97"/>
  <c r="EO67" i="97"/>
  <c r="EO68" i="97"/>
  <c r="EO69" i="97"/>
  <c r="EO37" i="97"/>
  <c r="EN38" i="97"/>
  <c r="EN39" i="97"/>
  <c r="EN40" i="97"/>
  <c r="EN41" i="97"/>
  <c r="EN42" i="97"/>
  <c r="EN43" i="97"/>
  <c r="EN44" i="97"/>
  <c r="EN45" i="97"/>
  <c r="EN46" i="97"/>
  <c r="EN47" i="97"/>
  <c r="EN48" i="97"/>
  <c r="EN49" i="97"/>
  <c r="EN50" i="97"/>
  <c r="EN51" i="97"/>
  <c r="EN52" i="97"/>
  <c r="EN53" i="97"/>
  <c r="EN54" i="97"/>
  <c r="EN55" i="97"/>
  <c r="EN56" i="97"/>
  <c r="EN57" i="97"/>
  <c r="EN58" i="97"/>
  <c r="EN59" i="97"/>
  <c r="EN60" i="97"/>
  <c r="EN61" i="97"/>
  <c r="EN62" i="97"/>
  <c r="EN63" i="97"/>
  <c r="EN64" i="97"/>
  <c r="EN65" i="97"/>
  <c r="EN66" i="97"/>
  <c r="EN67" i="97"/>
  <c r="EN68" i="97"/>
  <c r="EN69" i="97"/>
  <c r="EN37" i="97"/>
  <c r="EI38" i="97"/>
  <c r="EI39" i="97"/>
  <c r="EI40" i="97"/>
  <c r="EI41" i="97"/>
  <c r="EI42" i="97"/>
  <c r="EI43" i="97"/>
  <c r="EI44" i="97"/>
  <c r="EI45" i="97"/>
  <c r="EI46" i="97"/>
  <c r="EI47" i="97"/>
  <c r="EI48" i="97"/>
  <c r="EI49" i="97"/>
  <c r="EI50" i="97"/>
  <c r="EI51" i="97"/>
  <c r="EI52" i="97"/>
  <c r="EI53" i="97"/>
  <c r="EI54" i="97"/>
  <c r="EI55" i="97"/>
  <c r="EI56" i="97"/>
  <c r="EI57" i="97"/>
  <c r="EI58" i="97"/>
  <c r="EI59" i="97"/>
  <c r="EI60" i="97"/>
  <c r="EI61" i="97"/>
  <c r="EI62" i="97"/>
  <c r="EI63" i="97"/>
  <c r="EI64" i="97"/>
  <c r="EI65" i="97"/>
  <c r="EI66" i="97"/>
  <c r="EI67" i="97"/>
  <c r="EI68" i="97"/>
  <c r="EI69" i="97"/>
  <c r="EI37" i="97"/>
  <c r="EH38" i="97"/>
  <c r="EH39" i="97"/>
  <c r="EH40" i="97"/>
  <c r="EH41" i="97"/>
  <c r="EH42" i="97"/>
  <c r="EH43" i="97"/>
  <c r="EH44" i="97"/>
  <c r="EH45" i="97"/>
  <c r="EH46" i="97"/>
  <c r="EH47" i="97"/>
  <c r="EH48" i="97"/>
  <c r="EH49" i="97"/>
  <c r="EH50" i="97"/>
  <c r="EH51" i="97"/>
  <c r="EH52" i="97"/>
  <c r="EH53" i="97"/>
  <c r="EH54" i="97"/>
  <c r="EH55" i="97"/>
  <c r="EH56" i="97"/>
  <c r="EH57" i="97"/>
  <c r="EH58" i="97"/>
  <c r="EH59" i="97"/>
  <c r="EH60" i="97"/>
  <c r="EH61" i="97"/>
  <c r="EH62" i="97"/>
  <c r="EH63" i="97"/>
  <c r="EH64" i="97"/>
  <c r="EH65" i="97"/>
  <c r="EH66" i="97"/>
  <c r="EH67" i="97"/>
  <c r="EH68" i="97"/>
  <c r="EH69" i="97"/>
  <c r="EH37" i="97"/>
  <c r="EG38" i="97"/>
  <c r="EG39" i="97"/>
  <c r="EG40" i="97"/>
  <c r="EG41" i="97"/>
  <c r="EG42" i="97"/>
  <c r="EG43" i="97"/>
  <c r="EG44" i="97"/>
  <c r="EG45" i="97"/>
  <c r="EG46" i="97"/>
  <c r="EG47" i="97"/>
  <c r="EG48" i="97"/>
  <c r="EG49" i="97"/>
  <c r="EG50" i="97"/>
  <c r="EG51" i="97"/>
  <c r="EG52" i="97"/>
  <c r="EG53" i="97"/>
  <c r="EG54" i="97"/>
  <c r="EG55" i="97"/>
  <c r="EG56" i="97"/>
  <c r="EG57" i="97"/>
  <c r="EG58" i="97"/>
  <c r="EG59" i="97"/>
  <c r="EG60" i="97"/>
  <c r="EG61" i="97"/>
  <c r="EG62" i="97"/>
  <c r="EG63" i="97"/>
  <c r="EG64" i="97"/>
  <c r="EG65" i="97"/>
  <c r="EG66" i="97"/>
  <c r="EG67" i="97"/>
  <c r="EG68" i="97"/>
  <c r="EG69" i="97"/>
  <c r="EG37" i="97"/>
  <c r="EF38" i="97"/>
  <c r="EF39" i="97"/>
  <c r="EF40" i="97"/>
  <c r="EF41" i="97"/>
  <c r="EF42" i="97"/>
  <c r="EF43" i="97"/>
  <c r="EF44" i="97"/>
  <c r="EF45" i="97"/>
  <c r="EF46" i="97"/>
  <c r="EF47" i="97"/>
  <c r="EF48" i="97"/>
  <c r="EF49" i="97"/>
  <c r="EF50" i="97"/>
  <c r="EF51" i="97"/>
  <c r="EF52" i="97"/>
  <c r="EF53" i="97"/>
  <c r="EF54" i="97"/>
  <c r="EF55" i="97"/>
  <c r="EF56" i="97"/>
  <c r="EF57" i="97"/>
  <c r="EF58" i="97"/>
  <c r="EF59" i="97"/>
  <c r="EF60" i="97"/>
  <c r="EF61" i="97"/>
  <c r="EF62" i="97"/>
  <c r="EF63" i="97"/>
  <c r="EF64" i="97"/>
  <c r="EF65" i="97"/>
  <c r="EF66" i="97"/>
  <c r="EF67" i="97"/>
  <c r="EF68" i="97"/>
  <c r="EF69" i="97"/>
  <c r="DF37" i="97"/>
  <c r="DF38" i="97"/>
  <c r="DF39" i="97"/>
  <c r="DF40" i="97"/>
  <c r="DF41" i="97"/>
  <c r="DF42" i="97"/>
  <c r="DF43" i="97"/>
  <c r="DF44" i="97"/>
  <c r="DF45" i="97"/>
  <c r="DF46" i="97"/>
  <c r="DF47" i="97"/>
  <c r="DF48" i="97"/>
  <c r="DF49" i="97"/>
  <c r="DF50" i="97"/>
  <c r="DF51" i="97"/>
  <c r="DF52" i="97"/>
  <c r="DF53" i="97"/>
  <c r="DF54" i="97"/>
  <c r="DF55" i="97"/>
  <c r="DF56" i="97"/>
  <c r="DF57" i="97"/>
  <c r="DF58" i="97"/>
  <c r="DF59" i="97"/>
  <c r="DF60" i="97"/>
  <c r="DF61" i="97"/>
  <c r="DF62" i="97"/>
  <c r="DF63" i="97"/>
  <c r="DF64" i="97"/>
  <c r="DF65" i="97"/>
  <c r="DF66" i="97"/>
  <c r="DF36" i="97"/>
  <c r="DE37" i="97"/>
  <c r="DE38" i="97"/>
  <c r="DE39" i="97"/>
  <c r="DE40" i="97"/>
  <c r="DE41" i="97"/>
  <c r="DE42" i="97"/>
  <c r="DE43" i="97"/>
  <c r="DE44" i="97"/>
  <c r="DE45" i="97"/>
  <c r="DE46" i="97"/>
  <c r="DE47" i="97"/>
  <c r="DE48" i="97"/>
  <c r="DE49" i="97"/>
  <c r="DE50" i="97"/>
  <c r="DE51" i="97"/>
  <c r="DE52" i="97"/>
  <c r="DE53" i="97"/>
  <c r="DE54" i="97"/>
  <c r="DE55" i="97"/>
  <c r="DE56" i="97"/>
  <c r="DE57" i="97"/>
  <c r="DE58" i="97"/>
  <c r="DE59" i="97"/>
  <c r="DE60" i="97"/>
  <c r="DE61" i="97"/>
  <c r="DE62" i="97"/>
  <c r="DE63" i="97"/>
  <c r="DE64" i="97"/>
  <c r="DE65" i="97"/>
  <c r="DE66" i="97"/>
  <c r="DE36" i="97"/>
  <c r="DD37" i="97"/>
  <c r="DD38" i="97"/>
  <c r="DD39" i="97"/>
  <c r="DD40" i="97"/>
  <c r="DD41" i="97"/>
  <c r="DD42" i="97"/>
  <c r="DD43" i="97"/>
  <c r="DD44" i="97"/>
  <c r="DD45" i="97"/>
  <c r="DD46" i="97"/>
  <c r="DD47" i="97"/>
  <c r="DD48" i="97"/>
  <c r="DD49" i="97"/>
  <c r="DD50" i="97"/>
  <c r="DD51" i="97"/>
  <c r="DD52" i="97"/>
  <c r="DD53" i="97"/>
  <c r="DD54" i="97"/>
  <c r="DD55" i="97"/>
  <c r="DD56" i="97"/>
  <c r="DD57" i="97"/>
  <c r="DD58" i="97"/>
  <c r="DD59" i="97"/>
  <c r="DD60" i="97"/>
  <c r="DD61" i="97"/>
  <c r="DD62" i="97"/>
  <c r="DD63" i="97"/>
  <c r="DD64" i="97"/>
  <c r="DD65" i="97"/>
  <c r="DD66" i="97"/>
  <c r="DD36" i="97"/>
  <c r="DB37" i="97"/>
  <c r="DB38" i="97"/>
  <c r="DB39" i="97"/>
  <c r="DB40" i="97"/>
  <c r="DB41" i="97"/>
  <c r="DB42" i="97"/>
  <c r="DB43" i="97"/>
  <c r="DB44" i="97"/>
  <c r="DB45" i="97"/>
  <c r="DB46" i="97"/>
  <c r="DB47" i="97"/>
  <c r="DB48" i="97"/>
  <c r="DB49" i="97"/>
  <c r="DB50" i="97"/>
  <c r="DB51" i="97"/>
  <c r="DB52" i="97"/>
  <c r="DB53" i="97"/>
  <c r="DB54" i="97"/>
  <c r="DB55" i="97"/>
  <c r="DB56" i="97"/>
  <c r="DB57" i="97"/>
  <c r="DB58" i="97"/>
  <c r="DB59" i="97"/>
  <c r="DB60" i="97"/>
  <c r="DB61" i="97"/>
  <c r="DB62" i="97"/>
  <c r="DB63" i="97"/>
  <c r="DB64" i="97"/>
  <c r="DB65" i="97"/>
  <c r="DB66" i="97"/>
  <c r="DB36" i="97"/>
  <c r="DA37" i="97"/>
  <c r="DA38" i="97"/>
  <c r="DA39" i="97"/>
  <c r="DA40" i="97"/>
  <c r="DA41" i="97"/>
  <c r="DA42" i="97"/>
  <c r="DA43" i="97"/>
  <c r="DA44" i="97"/>
  <c r="DA45" i="97"/>
  <c r="DA46" i="97"/>
  <c r="DA47" i="97"/>
  <c r="DA48" i="97"/>
  <c r="DA49" i="97"/>
  <c r="DA50" i="97"/>
  <c r="DA51" i="97"/>
  <c r="DA52" i="97"/>
  <c r="DA53" i="97"/>
  <c r="DA54" i="97"/>
  <c r="DA55" i="97"/>
  <c r="DA56" i="97"/>
  <c r="DA57" i="97"/>
  <c r="DA58" i="97"/>
  <c r="DA59" i="97"/>
  <c r="DA60" i="97"/>
  <c r="DA61" i="97"/>
  <c r="DA62" i="97"/>
  <c r="DA63" i="97"/>
  <c r="DA64" i="97"/>
  <c r="DA65" i="97"/>
  <c r="DA66" i="97"/>
  <c r="DA36" i="97"/>
  <c r="CZ37" i="97"/>
  <c r="CZ38" i="97"/>
  <c r="CZ39" i="97"/>
  <c r="CZ40" i="97"/>
  <c r="CZ41" i="97"/>
  <c r="CZ42" i="97"/>
  <c r="CZ43" i="97"/>
  <c r="CZ44" i="97"/>
  <c r="CZ45" i="97"/>
  <c r="CZ46" i="97"/>
  <c r="CZ47" i="97"/>
  <c r="CZ48" i="97"/>
  <c r="CZ49" i="97"/>
  <c r="CZ50" i="97"/>
  <c r="CZ51" i="97"/>
  <c r="CZ52" i="97"/>
  <c r="CZ53" i="97"/>
  <c r="CZ54" i="97"/>
  <c r="CZ55" i="97"/>
  <c r="CZ56" i="97"/>
  <c r="CZ57" i="97"/>
  <c r="CZ58" i="97"/>
  <c r="CZ59" i="97"/>
  <c r="CZ60" i="97"/>
  <c r="CZ61" i="97"/>
  <c r="CZ62" i="97"/>
  <c r="CZ63" i="97"/>
  <c r="CZ64" i="97"/>
  <c r="CZ65" i="97"/>
  <c r="CZ66" i="97"/>
  <c r="CZ36" i="97"/>
  <c r="BY37" i="97"/>
  <c r="BY38" i="97"/>
  <c r="BY39" i="97"/>
  <c r="BY40" i="97"/>
  <c r="BY41" i="97"/>
  <c r="BY42" i="97"/>
  <c r="BY43" i="97"/>
  <c r="BY44" i="97"/>
  <c r="BY45" i="97"/>
  <c r="BY46" i="97"/>
  <c r="BY47" i="97"/>
  <c r="BY48" i="97"/>
  <c r="BY49" i="97"/>
  <c r="BY50" i="97"/>
  <c r="BY51" i="97"/>
  <c r="BY52" i="97"/>
  <c r="BY53" i="97"/>
  <c r="BY54" i="97"/>
  <c r="BY55" i="97"/>
  <c r="BY56" i="97"/>
  <c r="BY57" i="97"/>
  <c r="BY58" i="97"/>
  <c r="BY59" i="97"/>
  <c r="BY60" i="97"/>
  <c r="BY61" i="97"/>
  <c r="BY62" i="97"/>
  <c r="BY63" i="97"/>
  <c r="BY64" i="97"/>
  <c r="BY65" i="97"/>
  <c r="BY66" i="97"/>
  <c r="BY67" i="97"/>
  <c r="BY68" i="97"/>
  <c r="BY69" i="97"/>
  <c r="BY36" i="97"/>
  <c r="BX37" i="97"/>
  <c r="BX38" i="97"/>
  <c r="BX39" i="97"/>
  <c r="BX40" i="97"/>
  <c r="BX41" i="97"/>
  <c r="BX42" i="97"/>
  <c r="BX43" i="97"/>
  <c r="BX44" i="97"/>
  <c r="BX45" i="97"/>
  <c r="BX46" i="97"/>
  <c r="BX47" i="97"/>
  <c r="BX48" i="97"/>
  <c r="BX49" i="97"/>
  <c r="BX50" i="97"/>
  <c r="BX51" i="97"/>
  <c r="BX52" i="97"/>
  <c r="BX53" i="97"/>
  <c r="BX54" i="97"/>
  <c r="BX55" i="97"/>
  <c r="BX56" i="97"/>
  <c r="BX57" i="97"/>
  <c r="BX58" i="97"/>
  <c r="BX59" i="97"/>
  <c r="BX60" i="97"/>
  <c r="BX61" i="97"/>
  <c r="BX62" i="97"/>
  <c r="BX63" i="97"/>
  <c r="BX64" i="97"/>
  <c r="BX65" i="97"/>
  <c r="BX66" i="97"/>
  <c r="BX67" i="97"/>
  <c r="BX68" i="97"/>
  <c r="BX69" i="97"/>
  <c r="BX36" i="97"/>
  <c r="BW37" i="97"/>
  <c r="BW38" i="97"/>
  <c r="BV38" i="97" s="1"/>
  <c r="BW39" i="97"/>
  <c r="BW40" i="97"/>
  <c r="BW41" i="97"/>
  <c r="BW42" i="97"/>
  <c r="BV42" i="97" s="1"/>
  <c r="BW43" i="97"/>
  <c r="BW44" i="97"/>
  <c r="BW45" i="97"/>
  <c r="BW46" i="97"/>
  <c r="BV46" i="97" s="1"/>
  <c r="BW47" i="97"/>
  <c r="BW48" i="97"/>
  <c r="BW49" i="97"/>
  <c r="BW50" i="97"/>
  <c r="BV50" i="97" s="1"/>
  <c r="BW51" i="97"/>
  <c r="BW52" i="97"/>
  <c r="BW53" i="97"/>
  <c r="BW54" i="97"/>
  <c r="BV54" i="97" s="1"/>
  <c r="BW55" i="97"/>
  <c r="BW56" i="97"/>
  <c r="BV56" i="97" s="1"/>
  <c r="BW57" i="97"/>
  <c r="BV57" i="97" s="1"/>
  <c r="BW58" i="97"/>
  <c r="BV58" i="97" s="1"/>
  <c r="BW59" i="97"/>
  <c r="BW60" i="97"/>
  <c r="BW61" i="97"/>
  <c r="BV61" i="97" s="1"/>
  <c r="BW62" i="97"/>
  <c r="BV62" i="97" s="1"/>
  <c r="BW63" i="97"/>
  <c r="BW64" i="97"/>
  <c r="BV64" i="97" s="1"/>
  <c r="BW65" i="97"/>
  <c r="BV65" i="97" s="1"/>
  <c r="BW66" i="97"/>
  <c r="BV66" i="97" s="1"/>
  <c r="BW67" i="97"/>
  <c r="BW68" i="97"/>
  <c r="BW69" i="97"/>
  <c r="BV69" i="97" s="1"/>
  <c r="BW36" i="97"/>
  <c r="BU38" i="97"/>
  <c r="BU37" i="97"/>
  <c r="BU39" i="97"/>
  <c r="BU40" i="97"/>
  <c r="BU41" i="97"/>
  <c r="BU42" i="97"/>
  <c r="BU43" i="97"/>
  <c r="BU44" i="97"/>
  <c r="BU45" i="97"/>
  <c r="BU46" i="97"/>
  <c r="BU47" i="97"/>
  <c r="BU48" i="97"/>
  <c r="BU49" i="97"/>
  <c r="BU50" i="97"/>
  <c r="BU51" i="97"/>
  <c r="BU52" i="97"/>
  <c r="BU53" i="97"/>
  <c r="BU54" i="97"/>
  <c r="BU55" i="97"/>
  <c r="BU56" i="97"/>
  <c r="BU57" i="97"/>
  <c r="BU58" i="97"/>
  <c r="BU59" i="97"/>
  <c r="BU60" i="97"/>
  <c r="BU61" i="97"/>
  <c r="BU62" i="97"/>
  <c r="BU63" i="97"/>
  <c r="BU64" i="97"/>
  <c r="BU65" i="97"/>
  <c r="BU66" i="97"/>
  <c r="BU67" i="97"/>
  <c r="BU68" i="97"/>
  <c r="BU69" i="97"/>
  <c r="BV60" i="97"/>
  <c r="BV53" i="97"/>
  <c r="BV51" i="97"/>
  <c r="BV49" i="97"/>
  <c r="BV47" i="97"/>
  <c r="BV45" i="97"/>
  <c r="BV43" i="97"/>
  <c r="BV41" i="97"/>
  <c r="BV39" i="97"/>
  <c r="BV37" i="97"/>
  <c r="BT37" i="97"/>
  <c r="BT38" i="97"/>
  <c r="BT39" i="97"/>
  <c r="BT40" i="97"/>
  <c r="BT41" i="97"/>
  <c r="BT42" i="97"/>
  <c r="BT43" i="97"/>
  <c r="BT44" i="97"/>
  <c r="BT45" i="97"/>
  <c r="BT46" i="97"/>
  <c r="BT47" i="97"/>
  <c r="BT48" i="97"/>
  <c r="BT49" i="97"/>
  <c r="BT50" i="97"/>
  <c r="BT51" i="97"/>
  <c r="BT52" i="97"/>
  <c r="BT53" i="97"/>
  <c r="BT54" i="97"/>
  <c r="BT55" i="97"/>
  <c r="BT56" i="97"/>
  <c r="BT57" i="97"/>
  <c r="BT58" i="97"/>
  <c r="BT59" i="97"/>
  <c r="BT60" i="97"/>
  <c r="BT61" i="97"/>
  <c r="BT62" i="97"/>
  <c r="BT63" i="97"/>
  <c r="BT64" i="97"/>
  <c r="BT65" i="97"/>
  <c r="BT66" i="97"/>
  <c r="BT67" i="97"/>
  <c r="BT68" i="97"/>
  <c r="BT69" i="97"/>
  <c r="BT36" i="97"/>
  <c r="BS37" i="97"/>
  <c r="BS38" i="97"/>
  <c r="BS39" i="97"/>
  <c r="BS40" i="97"/>
  <c r="BS41" i="97"/>
  <c r="BS42" i="97"/>
  <c r="BS43" i="97"/>
  <c r="BS44" i="97"/>
  <c r="BS45" i="97"/>
  <c r="BS46" i="97"/>
  <c r="BS47" i="97"/>
  <c r="BS48" i="97"/>
  <c r="BS49" i="97"/>
  <c r="BS50" i="97"/>
  <c r="BS51" i="97"/>
  <c r="BS52" i="97"/>
  <c r="BS53" i="97"/>
  <c r="BS54" i="97"/>
  <c r="BS55" i="97"/>
  <c r="BS56" i="97"/>
  <c r="BS57" i="97"/>
  <c r="BS58" i="97"/>
  <c r="BS59" i="97"/>
  <c r="BS60" i="97"/>
  <c r="BS61" i="97"/>
  <c r="BS62" i="97"/>
  <c r="BS63" i="97"/>
  <c r="BS64" i="97"/>
  <c r="BS65" i="97"/>
  <c r="BS66" i="97"/>
  <c r="BS67" i="97"/>
  <c r="BS68" i="97"/>
  <c r="BS69" i="97"/>
  <c r="BS36" i="97"/>
  <c r="BR37" i="97"/>
  <c r="BQ37" i="97" s="1"/>
  <c r="BR38" i="97"/>
  <c r="BQ38" i="97" s="1"/>
  <c r="BR39" i="97"/>
  <c r="BQ39" i="97" s="1"/>
  <c r="BR40" i="97"/>
  <c r="BR41" i="97"/>
  <c r="BQ41" i="97" s="1"/>
  <c r="BR42" i="97"/>
  <c r="BQ42" i="97" s="1"/>
  <c r="BR43" i="97"/>
  <c r="BQ43" i="97" s="1"/>
  <c r="BR44" i="97"/>
  <c r="BR45" i="97"/>
  <c r="BQ45" i="97" s="1"/>
  <c r="BR46" i="97"/>
  <c r="BQ46" i="97" s="1"/>
  <c r="BR47" i="97"/>
  <c r="BQ47" i="97" s="1"/>
  <c r="BR48" i="97"/>
  <c r="BR49" i="97"/>
  <c r="BQ49" i="97" s="1"/>
  <c r="BR50" i="97"/>
  <c r="BQ50" i="97" s="1"/>
  <c r="BR51" i="97"/>
  <c r="BQ51" i="97" s="1"/>
  <c r="BR52" i="97"/>
  <c r="BR53" i="97"/>
  <c r="BQ53" i="97" s="1"/>
  <c r="BR54" i="97"/>
  <c r="BQ54" i="97" s="1"/>
  <c r="BR55" i="97"/>
  <c r="BQ55" i="97" s="1"/>
  <c r="BR56" i="97"/>
  <c r="BR57" i="97"/>
  <c r="BQ57" i="97" s="1"/>
  <c r="BR58" i="97"/>
  <c r="BQ58" i="97" s="1"/>
  <c r="BR59" i="97"/>
  <c r="BQ59" i="97" s="1"/>
  <c r="BR60" i="97"/>
  <c r="BR61" i="97"/>
  <c r="BQ61" i="97" s="1"/>
  <c r="BR62" i="97"/>
  <c r="BQ62" i="97" s="1"/>
  <c r="BR63" i="97"/>
  <c r="BQ63" i="97" s="1"/>
  <c r="BR64" i="97"/>
  <c r="BR65" i="97"/>
  <c r="BQ65" i="97" s="1"/>
  <c r="BR66" i="97"/>
  <c r="BQ66" i="97" s="1"/>
  <c r="BR67" i="97"/>
  <c r="BQ67" i="97" s="1"/>
  <c r="BR68" i="97"/>
  <c r="BR69" i="97"/>
  <c r="BQ69" i="97" s="1"/>
  <c r="BR36" i="97"/>
  <c r="BQ36" i="97" s="1"/>
  <c r="BP38" i="97"/>
  <c r="BP37" i="97"/>
  <c r="BP39" i="97"/>
  <c r="BP40" i="97"/>
  <c r="BP41" i="97"/>
  <c r="BP42" i="97"/>
  <c r="BP43" i="97"/>
  <c r="BP44" i="97"/>
  <c r="BP45" i="97"/>
  <c r="BP46" i="97"/>
  <c r="BP47" i="97"/>
  <c r="BP48" i="97"/>
  <c r="BP49" i="97"/>
  <c r="BP50" i="97"/>
  <c r="BP51" i="97"/>
  <c r="BP52" i="97"/>
  <c r="BP53" i="97"/>
  <c r="BP54" i="97"/>
  <c r="BP55" i="97"/>
  <c r="BP56" i="97"/>
  <c r="BP57" i="97"/>
  <c r="BP58" i="97"/>
  <c r="BP59" i="97"/>
  <c r="BP60" i="97"/>
  <c r="BP61" i="97"/>
  <c r="BP62" i="97"/>
  <c r="BP63" i="97"/>
  <c r="BP64" i="97"/>
  <c r="BP65" i="97"/>
  <c r="BP66" i="97"/>
  <c r="BP67" i="97"/>
  <c r="BP68" i="97"/>
  <c r="BP69" i="97"/>
  <c r="BP36" i="97"/>
  <c r="R39" i="97"/>
  <c r="P39" i="97"/>
  <c r="P38" i="97"/>
  <c r="T37" i="97"/>
  <c r="T38" i="97"/>
  <c r="T39" i="97"/>
  <c r="T40" i="97"/>
  <c r="T41" i="97"/>
  <c r="T42" i="97"/>
  <c r="T43" i="97"/>
  <c r="T44" i="97"/>
  <c r="T45" i="97"/>
  <c r="T46" i="97"/>
  <c r="T47" i="97"/>
  <c r="T48" i="97"/>
  <c r="T49" i="97"/>
  <c r="T50" i="97"/>
  <c r="T51" i="97"/>
  <c r="T52" i="97"/>
  <c r="T53" i="97"/>
  <c r="T54" i="97"/>
  <c r="T55" i="97"/>
  <c r="T56" i="97"/>
  <c r="T57" i="97"/>
  <c r="T58" i="97"/>
  <c r="T59" i="97"/>
  <c r="T60" i="97"/>
  <c r="T61" i="97"/>
  <c r="T62" i="97"/>
  <c r="T63" i="97"/>
  <c r="T64" i="97"/>
  <c r="T65" i="97"/>
  <c r="T66" i="97"/>
  <c r="T67" i="97"/>
  <c r="T68" i="97"/>
  <c r="T69" i="97"/>
  <c r="T36" i="97"/>
  <c r="S37" i="97"/>
  <c r="S38" i="97"/>
  <c r="S39" i="97"/>
  <c r="S40" i="97"/>
  <c r="S41" i="97"/>
  <c r="S42" i="97"/>
  <c r="S43" i="97"/>
  <c r="S44" i="97"/>
  <c r="S45" i="97"/>
  <c r="S46" i="97"/>
  <c r="S47" i="97"/>
  <c r="S48" i="97"/>
  <c r="S49" i="97"/>
  <c r="S50" i="97"/>
  <c r="S51" i="97"/>
  <c r="S52" i="97"/>
  <c r="S53" i="97"/>
  <c r="S54" i="97"/>
  <c r="S55" i="97"/>
  <c r="S56" i="97"/>
  <c r="S57" i="97"/>
  <c r="S58" i="97"/>
  <c r="S59" i="97"/>
  <c r="S60" i="97"/>
  <c r="S61" i="97"/>
  <c r="S62" i="97"/>
  <c r="S63" i="97"/>
  <c r="S64" i="97"/>
  <c r="S65" i="97"/>
  <c r="S66" i="97"/>
  <c r="S67" i="97"/>
  <c r="S68" i="97"/>
  <c r="S69" i="97"/>
  <c r="S36" i="97"/>
  <c r="R37" i="97"/>
  <c r="R38" i="97"/>
  <c r="R40" i="97"/>
  <c r="R41" i="97"/>
  <c r="R42" i="97"/>
  <c r="R43" i="97"/>
  <c r="R44" i="97"/>
  <c r="R45" i="97"/>
  <c r="R46" i="97"/>
  <c r="R47" i="97"/>
  <c r="R48" i="97"/>
  <c r="R49" i="97"/>
  <c r="R50" i="97"/>
  <c r="R51" i="97"/>
  <c r="R52" i="97"/>
  <c r="R53" i="97"/>
  <c r="R54" i="97"/>
  <c r="R55" i="97"/>
  <c r="R56" i="97"/>
  <c r="R57" i="97"/>
  <c r="R58" i="97"/>
  <c r="R59" i="97"/>
  <c r="R60" i="97"/>
  <c r="R61" i="97"/>
  <c r="R62" i="97"/>
  <c r="R63" i="97"/>
  <c r="R64" i="97"/>
  <c r="R65" i="97"/>
  <c r="R66" i="97"/>
  <c r="R67" i="97"/>
  <c r="R68" i="97"/>
  <c r="R69" i="97"/>
  <c r="R36" i="97"/>
  <c r="P37" i="97"/>
  <c r="P40" i="97"/>
  <c r="P41" i="97"/>
  <c r="P42" i="97"/>
  <c r="P43" i="97"/>
  <c r="P44" i="97"/>
  <c r="P45" i="97"/>
  <c r="P46" i="97"/>
  <c r="P47" i="97"/>
  <c r="P48" i="97"/>
  <c r="P49" i="97"/>
  <c r="P50" i="97"/>
  <c r="P51" i="97"/>
  <c r="P52" i="97"/>
  <c r="P53" i="97"/>
  <c r="P54" i="97"/>
  <c r="P55" i="97"/>
  <c r="P56" i="97"/>
  <c r="P57" i="97"/>
  <c r="P58" i="97"/>
  <c r="P59" i="97"/>
  <c r="P60" i="97"/>
  <c r="P61" i="97"/>
  <c r="P62" i="97"/>
  <c r="P63" i="97"/>
  <c r="P64" i="97"/>
  <c r="P65" i="97"/>
  <c r="P66" i="97"/>
  <c r="P67" i="97"/>
  <c r="P68" i="97"/>
  <c r="P69" i="97"/>
  <c r="P36" i="97"/>
  <c r="O37" i="97"/>
  <c r="O38" i="97"/>
  <c r="O39" i="97"/>
  <c r="O40" i="97"/>
  <c r="O41" i="97"/>
  <c r="O42" i="97"/>
  <c r="O43" i="97"/>
  <c r="O44" i="97"/>
  <c r="O45" i="97"/>
  <c r="O46" i="97"/>
  <c r="O47" i="97"/>
  <c r="O48" i="97"/>
  <c r="O49" i="97"/>
  <c r="O50" i="97"/>
  <c r="O51" i="97"/>
  <c r="O52" i="97"/>
  <c r="O53" i="97"/>
  <c r="O54" i="97"/>
  <c r="O55" i="97"/>
  <c r="O56" i="97"/>
  <c r="O57" i="97"/>
  <c r="O58" i="97"/>
  <c r="O59" i="97"/>
  <c r="O60" i="97"/>
  <c r="O61" i="97"/>
  <c r="O62" i="97"/>
  <c r="O63" i="97"/>
  <c r="O64" i="97"/>
  <c r="O65" i="97"/>
  <c r="O66" i="97"/>
  <c r="O67" i="97"/>
  <c r="O68" i="97"/>
  <c r="O69" i="97"/>
  <c r="O36" i="97"/>
  <c r="N37" i="97"/>
  <c r="N38" i="97"/>
  <c r="N39" i="97"/>
  <c r="N40" i="97"/>
  <c r="N41" i="97"/>
  <c r="N42" i="97"/>
  <c r="N43" i="97"/>
  <c r="N44" i="97"/>
  <c r="N45" i="97"/>
  <c r="N46" i="97"/>
  <c r="N47" i="97"/>
  <c r="N48" i="97"/>
  <c r="N49" i="97"/>
  <c r="N50" i="97"/>
  <c r="N51" i="97"/>
  <c r="N52" i="97"/>
  <c r="N53" i="97"/>
  <c r="N54" i="97"/>
  <c r="N55" i="97"/>
  <c r="N56" i="97"/>
  <c r="N57" i="97"/>
  <c r="N58" i="97"/>
  <c r="N59" i="97"/>
  <c r="N60" i="97"/>
  <c r="N61" i="97"/>
  <c r="N62" i="97"/>
  <c r="N63" i="97"/>
  <c r="N64" i="97"/>
  <c r="N65" i="97"/>
  <c r="N66" i="97"/>
  <c r="N67" i="97"/>
  <c r="N68" i="97"/>
  <c r="N69" i="97"/>
  <c r="N36" i="97"/>
  <c r="M37" i="97"/>
  <c r="M38" i="97"/>
  <c r="M39" i="97"/>
  <c r="L39" i="97" s="1"/>
  <c r="M40" i="97"/>
  <c r="M41" i="97"/>
  <c r="M42" i="97"/>
  <c r="M43" i="97"/>
  <c r="L43" i="97" s="1"/>
  <c r="M44" i="97"/>
  <c r="M45" i="97"/>
  <c r="M46" i="97"/>
  <c r="M47" i="97"/>
  <c r="L47" i="97" s="1"/>
  <c r="M48" i="97"/>
  <c r="M49" i="97"/>
  <c r="M50" i="97"/>
  <c r="M51" i="97"/>
  <c r="L51" i="97" s="1"/>
  <c r="M52" i="97"/>
  <c r="M53" i="97"/>
  <c r="M54" i="97"/>
  <c r="M55" i="97"/>
  <c r="L55" i="97" s="1"/>
  <c r="M56" i="97"/>
  <c r="M57" i="97"/>
  <c r="M58" i="97"/>
  <c r="M59" i="97"/>
  <c r="L59" i="97" s="1"/>
  <c r="M60" i="97"/>
  <c r="M61" i="97"/>
  <c r="M62" i="97"/>
  <c r="M63" i="97"/>
  <c r="L63" i="97" s="1"/>
  <c r="M64" i="97"/>
  <c r="M65" i="97"/>
  <c r="M66" i="97"/>
  <c r="M67" i="97"/>
  <c r="L67" i="97" s="1"/>
  <c r="M68" i="97"/>
  <c r="M69" i="97"/>
  <c r="M36" i="97"/>
  <c r="K37" i="97"/>
  <c r="K38" i="97"/>
  <c r="K39" i="97"/>
  <c r="K40" i="97"/>
  <c r="K41" i="97"/>
  <c r="K42" i="97"/>
  <c r="K43" i="97"/>
  <c r="K44" i="97"/>
  <c r="K45" i="97"/>
  <c r="K46" i="97"/>
  <c r="K47" i="97"/>
  <c r="K48" i="97"/>
  <c r="K49" i="97"/>
  <c r="K50" i="97"/>
  <c r="K51" i="97"/>
  <c r="K52" i="97"/>
  <c r="K53" i="97"/>
  <c r="K54" i="97"/>
  <c r="K55" i="97"/>
  <c r="K56" i="97"/>
  <c r="K57" i="97"/>
  <c r="K58" i="97"/>
  <c r="K59" i="97"/>
  <c r="K60" i="97"/>
  <c r="K61" i="97"/>
  <c r="K62" i="97"/>
  <c r="K63" i="97"/>
  <c r="K64" i="97"/>
  <c r="K65" i="97"/>
  <c r="K66" i="97"/>
  <c r="K67" i="97"/>
  <c r="K68" i="97"/>
  <c r="K36" i="97"/>
  <c r="BU153" i="104" l="1"/>
  <c r="BV153" i="104" s="1"/>
  <c r="BV163" i="104"/>
  <c r="CT301" i="104" s="1"/>
  <c r="L41" i="97"/>
  <c r="L37" i="97"/>
  <c r="BV68" i="97"/>
  <c r="L36" i="97"/>
  <c r="L66" i="97"/>
  <c r="L62" i="97"/>
  <c r="L58" i="97"/>
  <c r="L54" i="97"/>
  <c r="L50" i="97"/>
  <c r="L46" i="97"/>
  <c r="L42" i="97"/>
  <c r="L38" i="97"/>
  <c r="BV67" i="97"/>
  <c r="BV63" i="97"/>
  <c r="BV59" i="97"/>
  <c r="BV55" i="97"/>
  <c r="L69" i="97"/>
  <c r="L65" i="97"/>
  <c r="L61" i="97"/>
  <c r="L57" i="97"/>
  <c r="L53" i="97"/>
  <c r="L49" i="97"/>
  <c r="L45" i="97"/>
  <c r="Q38" i="97"/>
  <c r="EM60" i="97"/>
  <c r="EM56" i="97"/>
  <c r="EM52" i="97"/>
  <c r="EM48" i="97"/>
  <c r="EM44" i="97"/>
  <c r="EM40" i="97"/>
  <c r="L68" i="97"/>
  <c r="L56" i="97"/>
  <c r="L48" i="97"/>
  <c r="Q37" i="97"/>
  <c r="BQ68" i="97"/>
  <c r="BQ64" i="97"/>
  <c r="BQ60" i="97"/>
  <c r="BQ56" i="97"/>
  <c r="BQ52" i="97"/>
  <c r="BQ26" i="97" s="1"/>
  <c r="BQ48" i="97"/>
  <c r="BQ44" i="97"/>
  <c r="BQ40" i="97"/>
  <c r="BV52" i="97"/>
  <c r="BV48" i="97"/>
  <c r="BV44" i="97"/>
  <c r="BV40" i="97"/>
  <c r="CZ17" i="97"/>
  <c r="CZ13" i="97"/>
  <c r="CZ9" i="97"/>
  <c r="CZ15" i="97"/>
  <c r="CZ11" i="97"/>
  <c r="CZ7" i="97"/>
  <c r="CZ12" i="97"/>
  <c r="CZ14" i="97"/>
  <c r="CZ10" i="97"/>
  <c r="CZ16" i="97"/>
  <c r="CZ8" i="97"/>
  <c r="EV37" i="97"/>
  <c r="EV50" i="97"/>
  <c r="EV46" i="97"/>
  <c r="EV42" i="97"/>
  <c r="EV38" i="97"/>
  <c r="EV49" i="97"/>
  <c r="EV48" i="97"/>
  <c r="EV44" i="97"/>
  <c r="EV40" i="97"/>
  <c r="EV45" i="97"/>
  <c r="EV47" i="97"/>
  <c r="EV43" i="97"/>
  <c r="EV39" i="97"/>
  <c r="EV41" i="97"/>
  <c r="L64" i="97"/>
  <c r="L60" i="97"/>
  <c r="L52" i="97"/>
  <c r="L44" i="97"/>
  <c r="L40" i="97"/>
  <c r="EE42" i="97"/>
  <c r="EV18" i="97"/>
  <c r="EM37" i="97"/>
  <c r="EM66" i="97"/>
  <c r="EM62" i="97"/>
  <c r="EM58" i="97"/>
  <c r="EM54" i="97"/>
  <c r="EM50" i="97"/>
  <c r="EM46" i="97"/>
  <c r="EM42" i="97"/>
  <c r="EM38" i="97"/>
  <c r="CS303" i="104"/>
  <c r="CT278" i="104"/>
  <c r="CT298" i="104"/>
  <c r="CT274" i="104"/>
  <c r="CT263" i="104"/>
  <c r="CT279" i="104"/>
  <c r="BM161" i="104"/>
  <c r="BN161" i="104" s="1"/>
  <c r="BV160" i="104"/>
  <c r="CX303" i="104"/>
  <c r="BJ157" i="104"/>
  <c r="BM156" i="104"/>
  <c r="BN156" i="104" s="1"/>
  <c r="BO156" i="104" s="1"/>
  <c r="BP156" i="104" s="1"/>
  <c r="BQ156" i="104" s="1"/>
  <c r="BR156" i="104" s="1"/>
  <c r="BS156" i="104" s="1"/>
  <c r="BT156" i="104" s="1"/>
  <c r="BU156" i="104" s="1"/>
  <c r="BV156" i="104" s="1"/>
  <c r="BG154" i="104"/>
  <c r="BO145" i="104"/>
  <c r="BP145" i="104" s="1"/>
  <c r="BQ145" i="104" s="1"/>
  <c r="BO155" i="104"/>
  <c r="BQ141" i="104"/>
  <c r="BR141" i="104" s="1"/>
  <c r="BR135" i="104"/>
  <c r="BS135" i="104" s="1"/>
  <c r="BS151" i="104"/>
  <c r="BT151" i="104" s="1"/>
  <c r="BT126" i="104"/>
  <c r="BU126" i="104" s="1"/>
  <c r="BV126" i="104" s="1"/>
  <c r="BI139" i="104"/>
  <c r="BJ139" i="104" s="1"/>
  <c r="BK139" i="104" s="1"/>
  <c r="BL139" i="104" s="1"/>
  <c r="BM139" i="104" s="1"/>
  <c r="BN139" i="104" s="1"/>
  <c r="BO139" i="104" s="1"/>
  <c r="BP139" i="104" s="1"/>
  <c r="BQ139" i="104" s="1"/>
  <c r="BR139" i="104" s="1"/>
  <c r="BG152" i="104"/>
  <c r="BF122" i="104"/>
  <c r="BI121" i="104"/>
  <c r="BF140" i="104"/>
  <c r="BG129" i="104"/>
  <c r="BI127" i="104"/>
  <c r="BJ127" i="104" s="1"/>
  <c r="BK127" i="104" s="1"/>
  <c r="BL127" i="104" s="1"/>
  <c r="BM127" i="104" s="1"/>
  <c r="BN127" i="104" s="1"/>
  <c r="BO127" i="104" s="1"/>
  <c r="BP127" i="104" s="1"/>
  <c r="BQ127" i="104" s="1"/>
  <c r="BR127" i="104" s="1"/>
  <c r="BS127" i="104" s="1"/>
  <c r="BE144" i="104"/>
  <c r="BF120" i="104"/>
  <c r="BH150" i="104"/>
  <c r="BG114" i="104"/>
  <c r="BI119" i="104"/>
  <c r="BD132" i="104"/>
  <c r="BF146" i="104"/>
  <c r="BH118" i="104"/>
  <c r="BI118" i="104" s="1"/>
  <c r="BJ118" i="104" s="1"/>
  <c r="BK118" i="104" s="1"/>
  <c r="BL118" i="104" s="1"/>
  <c r="BM118" i="104" s="1"/>
  <c r="BN118" i="104" s="1"/>
  <c r="BO118" i="104" s="1"/>
  <c r="BP118" i="104" s="1"/>
  <c r="BG133" i="104"/>
  <c r="BH111" i="104"/>
  <c r="BI111" i="104" s="1"/>
  <c r="BJ111" i="104" s="1"/>
  <c r="BK111" i="104" s="1"/>
  <c r="BL111" i="104" s="1"/>
  <c r="BM111" i="104" s="1"/>
  <c r="BN111" i="104" s="1"/>
  <c r="BO111" i="104" s="1"/>
  <c r="BP111" i="104" s="1"/>
  <c r="BQ111" i="104" s="1"/>
  <c r="BH108" i="104"/>
  <c r="BI108" i="104" s="1"/>
  <c r="BJ108" i="104" s="1"/>
  <c r="BK108" i="104" s="1"/>
  <c r="BL108" i="104" s="1"/>
  <c r="BM108" i="104" s="1"/>
  <c r="BN108" i="104" s="1"/>
  <c r="BO108" i="104" s="1"/>
  <c r="BP108" i="104" s="1"/>
  <c r="BG106" i="104"/>
  <c r="BG107" i="104"/>
  <c r="BD148" i="104"/>
  <c r="BG110" i="104"/>
  <c r="BR131" i="104"/>
  <c r="BS131" i="104" s="1"/>
  <c r="BT131" i="104" s="1"/>
  <c r="BF116" i="104"/>
  <c r="BE134" i="104"/>
  <c r="BG109" i="104"/>
  <c r="BG143" i="104"/>
  <c r="BH143" i="104" s="1"/>
  <c r="BI143" i="104" s="1"/>
  <c r="BJ143" i="104" s="1"/>
  <c r="BK143" i="104" s="1"/>
  <c r="BL143" i="104" s="1"/>
  <c r="BM143" i="104" s="1"/>
  <c r="BN143" i="104" s="1"/>
  <c r="BO143" i="104" s="1"/>
  <c r="BP143" i="104" s="1"/>
  <c r="BG125" i="104"/>
  <c r="BH125" i="104" s="1"/>
  <c r="BI125" i="104" s="1"/>
  <c r="BJ125" i="104" s="1"/>
  <c r="BK125" i="104" s="1"/>
  <c r="BL125" i="104" s="1"/>
  <c r="BM125" i="104" s="1"/>
  <c r="BN125" i="104" s="1"/>
  <c r="BO125" i="104" s="1"/>
  <c r="BH142" i="104"/>
  <c r="BI142" i="104" s="1"/>
  <c r="BJ142" i="104" s="1"/>
  <c r="BK142" i="104" s="1"/>
  <c r="BL142" i="104" s="1"/>
  <c r="BM142" i="104" s="1"/>
  <c r="BN142" i="104" s="1"/>
  <c r="BO142" i="104" s="1"/>
  <c r="BP142" i="104" s="1"/>
  <c r="BG113" i="104"/>
  <c r="BH113" i="104" s="1"/>
  <c r="BI113" i="104" s="1"/>
  <c r="BJ113" i="104" s="1"/>
  <c r="BK113" i="104" s="1"/>
  <c r="BL113" i="104" s="1"/>
  <c r="BM113" i="104" s="1"/>
  <c r="BN113" i="104" s="1"/>
  <c r="BO113" i="104" s="1"/>
  <c r="BP113" i="104" s="1"/>
  <c r="BF130" i="104"/>
  <c r="BJ128" i="104"/>
  <c r="BK128" i="104" s="1"/>
  <c r="BL128" i="104" s="1"/>
  <c r="BM128" i="104" s="1"/>
  <c r="BN128" i="104" s="1"/>
  <c r="BO128" i="104" s="1"/>
  <c r="BP128" i="104" s="1"/>
  <c r="BG149" i="104"/>
  <c r="BQ137" i="104"/>
  <c r="BR137" i="104" s="1"/>
  <c r="BH117" i="104"/>
  <c r="BI147" i="104"/>
  <c r="BH138" i="104"/>
  <c r="BL115" i="104"/>
  <c r="BI112" i="104"/>
  <c r="BA104" i="104"/>
  <c r="AZ103" i="104"/>
  <c r="H41" i="97"/>
  <c r="H46" i="97"/>
  <c r="H38" i="97"/>
  <c r="BQ23" i="97"/>
  <c r="BQ21" i="97"/>
  <c r="BQ19" i="97"/>
  <c r="BQ17" i="97"/>
  <c r="BQ15" i="97"/>
  <c r="BQ13" i="97"/>
  <c r="BQ11" i="97"/>
  <c r="BQ22" i="97"/>
  <c r="BQ20" i="97"/>
  <c r="BQ18" i="97"/>
  <c r="BQ16" i="97"/>
  <c r="BQ14" i="97"/>
  <c r="BQ12" i="97"/>
  <c r="BV23" i="97"/>
  <c r="BV19" i="97"/>
  <c r="BV15" i="97"/>
  <c r="BV11" i="97"/>
  <c r="BV20" i="97"/>
  <c r="BV16" i="97"/>
  <c r="BV12" i="97"/>
  <c r="BV21" i="97"/>
  <c r="BV17" i="97"/>
  <c r="BV13" i="97"/>
  <c r="BV22" i="97"/>
  <c r="BV18" i="97"/>
  <c r="BV14" i="97"/>
  <c r="AV102" i="104"/>
  <c r="AW102" i="104" s="1"/>
  <c r="AX102" i="104" s="1"/>
  <c r="AT79" i="104"/>
  <c r="AT90" i="104"/>
  <c r="AV50" i="104"/>
  <c r="AT86" i="104"/>
  <c r="AQ59" i="104"/>
  <c r="AT40" i="104"/>
  <c r="AU18" i="104"/>
  <c r="AU20" i="104"/>
  <c r="AW82" i="104"/>
  <c r="AR8" i="104"/>
  <c r="AQ99" i="104"/>
  <c r="AT31" i="104"/>
  <c r="AU83" i="104"/>
  <c r="AU65" i="104"/>
  <c r="AS57" i="104"/>
  <c r="AU25" i="104"/>
  <c r="AR19" i="104"/>
  <c r="AS92" i="104"/>
  <c r="AW10" i="104"/>
  <c r="AV93" i="104"/>
  <c r="AW52" i="104"/>
  <c r="AQ15" i="104"/>
  <c r="AR39" i="104"/>
  <c r="AU63" i="104"/>
  <c r="AW68" i="104"/>
  <c r="AT38" i="104"/>
  <c r="AS45" i="104"/>
  <c r="AR69" i="104"/>
  <c r="AV47" i="104"/>
  <c r="AV26" i="104"/>
  <c r="AW56" i="104"/>
  <c r="AU54" i="104"/>
  <c r="AS64" i="104"/>
  <c r="AV43" i="104"/>
  <c r="AR7" i="104"/>
  <c r="AT35" i="104"/>
  <c r="AT3" i="104"/>
  <c r="AS81" i="104"/>
  <c r="AV76" i="104"/>
  <c r="AS60" i="104"/>
  <c r="AV61" i="104"/>
  <c r="AR78" i="104"/>
  <c r="AT34" i="104"/>
  <c r="AU67" i="104"/>
  <c r="AT29" i="104"/>
  <c r="AR6" i="104"/>
  <c r="AS41" i="104"/>
  <c r="AV95" i="104"/>
  <c r="AR84" i="104"/>
  <c r="AR5" i="104"/>
  <c r="AT80" i="104"/>
  <c r="AU55" i="104"/>
  <c r="AW11" i="104"/>
  <c r="AT101" i="104"/>
  <c r="AT14" i="104"/>
  <c r="AQ94" i="104"/>
  <c r="AT22" i="104"/>
  <c r="AT42" i="104"/>
  <c r="AW16" i="104"/>
  <c r="AR89" i="104"/>
  <c r="AQ4" i="104"/>
  <c r="AW46" i="104"/>
  <c r="AT12" i="104"/>
  <c r="AT36" i="104"/>
  <c r="AR87" i="104"/>
  <c r="AR51" i="104"/>
  <c r="AU30" i="104"/>
  <c r="AX32" i="104"/>
  <c r="AU53" i="104"/>
  <c r="AX77" i="104"/>
  <c r="AT44" i="104"/>
  <c r="AQ70" i="104"/>
  <c r="AR85" i="104"/>
  <c r="AT74" i="104"/>
  <c r="AV98" i="104"/>
  <c r="AQ88" i="104"/>
  <c r="AU71" i="104"/>
  <c r="AT72" i="104"/>
  <c r="AP96" i="104"/>
  <c r="AV13" i="104"/>
  <c r="AT17" i="104"/>
  <c r="AV58" i="104"/>
  <c r="AW97" i="104"/>
  <c r="AU24" i="104"/>
  <c r="AU75" i="104"/>
  <c r="AT48" i="104"/>
  <c r="AU33" i="104"/>
  <c r="AX62" i="104"/>
  <c r="AT27" i="104"/>
  <c r="AR100" i="104"/>
  <c r="AW9" i="104"/>
  <c r="AY73" i="104"/>
  <c r="AQ66" i="104"/>
  <c r="AW23" i="104"/>
  <c r="AU28" i="104"/>
  <c r="AQ37" i="104"/>
  <c r="AS49" i="104"/>
  <c r="AU91" i="104"/>
  <c r="AS21" i="104"/>
  <c r="BQ30" i="97"/>
  <c r="BQ29" i="97"/>
  <c r="DC44" i="97"/>
  <c r="EV31" i="97"/>
  <c r="EV26" i="97"/>
  <c r="EV21" i="97"/>
  <c r="EV30" i="97"/>
  <c r="EV25" i="97"/>
  <c r="EV20" i="97"/>
  <c r="EV23" i="97"/>
  <c r="EV29" i="97"/>
  <c r="EV24" i="97"/>
  <c r="EV19" i="97"/>
  <c r="EV27" i="97"/>
  <c r="EV22" i="97"/>
  <c r="EM69" i="97"/>
  <c r="EM65" i="97"/>
  <c r="EE37" i="97"/>
  <c r="EM43" i="97"/>
  <c r="EM41" i="97"/>
  <c r="Q36" i="97"/>
  <c r="Q68" i="97"/>
  <c r="Q66" i="97"/>
  <c r="Q64" i="97"/>
  <c r="Q62" i="97"/>
  <c r="Q60" i="97"/>
  <c r="Q58" i="97"/>
  <c r="Q56" i="97"/>
  <c r="Q54" i="97"/>
  <c r="Q52" i="97"/>
  <c r="Q50" i="97"/>
  <c r="Q48" i="97"/>
  <c r="Q46" i="97"/>
  <c r="Q44" i="97"/>
  <c r="Q42" i="97"/>
  <c r="Q40" i="97"/>
  <c r="Q39" i="97"/>
  <c r="DC54" i="97"/>
  <c r="CY36" i="97"/>
  <c r="CY65" i="97"/>
  <c r="CY63" i="97"/>
  <c r="CY61" i="97"/>
  <c r="CY59" i="97"/>
  <c r="CY57" i="97"/>
  <c r="CY55" i="97"/>
  <c r="CY53" i="97"/>
  <c r="CY51" i="97"/>
  <c r="CY49" i="97"/>
  <c r="CY47" i="97"/>
  <c r="CY45" i="97"/>
  <c r="CY43" i="97"/>
  <c r="CY41" i="97"/>
  <c r="CY39" i="97"/>
  <c r="CY37" i="97"/>
  <c r="DC48" i="97"/>
  <c r="DC40" i="97"/>
  <c r="H30" i="97"/>
  <c r="H23" i="97"/>
  <c r="H33" i="97"/>
  <c r="H31" i="97"/>
  <c r="H28" i="97"/>
  <c r="H26" i="97"/>
  <c r="H24" i="97"/>
  <c r="H32" i="97"/>
  <c r="H29" i="97"/>
  <c r="H27" i="97"/>
  <c r="H25" i="97"/>
  <c r="H22" i="97"/>
  <c r="E33" i="97"/>
  <c r="E31" i="97"/>
  <c r="E29" i="97"/>
  <c r="E27" i="97"/>
  <c r="E25" i="97"/>
  <c r="E23" i="97"/>
  <c r="E32" i="97"/>
  <c r="E30" i="97"/>
  <c r="E28" i="97"/>
  <c r="E26" i="97"/>
  <c r="E24" i="97"/>
  <c r="E22" i="97"/>
  <c r="EM39" i="97"/>
  <c r="EV28" i="97"/>
  <c r="DC36" i="97"/>
  <c r="DC65" i="97"/>
  <c r="DC61" i="97"/>
  <c r="DC59" i="97"/>
  <c r="DC57" i="97"/>
  <c r="DC55" i="97"/>
  <c r="DC53" i="97"/>
  <c r="DC51" i="97"/>
  <c r="DC49" i="97"/>
  <c r="DC47" i="97"/>
  <c r="DC45" i="97"/>
  <c r="DC43" i="97"/>
  <c r="DC41" i="97"/>
  <c r="DC39" i="97"/>
  <c r="DC37" i="97"/>
  <c r="DC64" i="97"/>
  <c r="DC56" i="97"/>
  <c r="DC52" i="97"/>
  <c r="DC50" i="97"/>
  <c r="DC46" i="97"/>
  <c r="DC42" i="97"/>
  <c r="DC38" i="97"/>
  <c r="EE69" i="97"/>
  <c r="EE67" i="97"/>
  <c r="EE65" i="97"/>
  <c r="EE63" i="97"/>
  <c r="EE61" i="97"/>
  <c r="EE59" i="97"/>
  <c r="EE57" i="97"/>
  <c r="EE55" i="97"/>
  <c r="EE53" i="97"/>
  <c r="EE51" i="97"/>
  <c r="EE49" i="97"/>
  <c r="EE47" i="97"/>
  <c r="EE45" i="97"/>
  <c r="EE43" i="97"/>
  <c r="EE41" i="97"/>
  <c r="EE39" i="97"/>
  <c r="Q69" i="97"/>
  <c r="Q67" i="97"/>
  <c r="Q65" i="97"/>
  <c r="Q63" i="97"/>
  <c r="Q61" i="97"/>
  <c r="Q59" i="97"/>
  <c r="Q57" i="97"/>
  <c r="Q55" i="97"/>
  <c r="Q53" i="97"/>
  <c r="Q51" i="97"/>
  <c r="Q49" i="97"/>
  <c r="Q47" i="97"/>
  <c r="Q45" i="97"/>
  <c r="Q43" i="97"/>
  <c r="Q41" i="97"/>
  <c r="CY66" i="97"/>
  <c r="CY64" i="97"/>
  <c r="CY62" i="97"/>
  <c r="CY60" i="97"/>
  <c r="CY58" i="97"/>
  <c r="CY56" i="97"/>
  <c r="CY54" i="97"/>
  <c r="CY52" i="97"/>
  <c r="CY50" i="97"/>
  <c r="CY48" i="97"/>
  <c r="CY46" i="97"/>
  <c r="CY44" i="97"/>
  <c r="CY42" i="97"/>
  <c r="CY40" i="97"/>
  <c r="CY38" i="97"/>
  <c r="DC60" i="97"/>
  <c r="EE68" i="97"/>
  <c r="EE66" i="97"/>
  <c r="EE64" i="97"/>
  <c r="EE62" i="97"/>
  <c r="EE60" i="97"/>
  <c r="EE58" i="97"/>
  <c r="EE56" i="97"/>
  <c r="EE54" i="97"/>
  <c r="EE52" i="97"/>
  <c r="EE50" i="97"/>
  <c r="EE48" i="97"/>
  <c r="EE46" i="97"/>
  <c r="EE44" i="97"/>
  <c r="EE40" i="97"/>
  <c r="EE38" i="97"/>
  <c r="EM63" i="97"/>
  <c r="EM61" i="97"/>
  <c r="EM59" i="97"/>
  <c r="EM57" i="97"/>
  <c r="EM55" i="97"/>
  <c r="EM53" i="97"/>
  <c r="EM51" i="97"/>
  <c r="EM49" i="97"/>
  <c r="EM47" i="97"/>
  <c r="EM45" i="97"/>
  <c r="ER25" i="97"/>
  <c r="ES25" i="97" s="1"/>
  <c r="DC58" i="97"/>
  <c r="DC63" i="97"/>
  <c r="EM68" i="97"/>
  <c r="EM64" i="97"/>
  <c r="EM67" i="97"/>
  <c r="DC66" i="97"/>
  <c r="DC62" i="97"/>
  <c r="BV36" i="97"/>
  <c r="EJ25" i="97"/>
  <c r="EK25" i="97" s="1"/>
  <c r="CT285" i="104" l="1"/>
  <c r="CT265" i="104"/>
  <c r="CT284" i="104"/>
  <c r="CT288" i="104"/>
  <c r="CT258" i="104"/>
  <c r="CT270" i="104"/>
  <c r="CT272" i="104"/>
  <c r="CT283" i="104"/>
  <c r="CT286" i="104"/>
  <c r="CT281" i="104"/>
  <c r="CT296" i="104"/>
  <c r="CT280" i="104"/>
  <c r="CT292" i="104"/>
  <c r="CT268" i="104"/>
  <c r="CT294" i="104"/>
  <c r="CT287" i="104"/>
  <c r="CT269" i="104"/>
  <c r="CT295" i="104"/>
  <c r="CT275" i="104"/>
  <c r="CT271" i="104"/>
  <c r="CT293" i="104"/>
  <c r="CT276" i="104"/>
  <c r="CT289" i="104"/>
  <c r="CT260" i="104"/>
  <c r="CT259" i="104"/>
  <c r="CT290" i="104"/>
  <c r="CT300" i="104"/>
  <c r="CT267" i="104"/>
  <c r="CT291" i="104"/>
  <c r="CT302" i="104"/>
  <c r="CT262" i="104"/>
  <c r="CT282" i="104"/>
  <c r="CT261" i="104"/>
  <c r="CT277" i="104"/>
  <c r="CT266" i="104"/>
  <c r="CT297" i="104"/>
  <c r="CT273" i="104"/>
  <c r="CT299" i="104"/>
  <c r="CT264" i="104"/>
  <c r="H45" i="97"/>
  <c r="DD25" i="97"/>
  <c r="DD21" i="97"/>
  <c r="CZ29" i="97"/>
  <c r="CZ25" i="97"/>
  <c r="BQ28" i="97"/>
  <c r="H44" i="97"/>
  <c r="H39" i="97"/>
  <c r="H47" i="97"/>
  <c r="EN25" i="97"/>
  <c r="CZ18" i="97"/>
  <c r="DA18" i="97" s="1"/>
  <c r="BV29" i="97"/>
  <c r="BQ31" i="97"/>
  <c r="BQ32" i="97"/>
  <c r="H40" i="97"/>
  <c r="H48" i="97"/>
  <c r="H43" i="97"/>
  <c r="BQ27" i="97"/>
  <c r="DA14" i="97"/>
  <c r="DA15" i="97"/>
  <c r="EF29" i="97"/>
  <c r="EF23" i="97"/>
  <c r="DA11" i="97"/>
  <c r="H42" i="97"/>
  <c r="H37" i="97"/>
  <c r="DA8" i="97"/>
  <c r="DA12" i="97"/>
  <c r="DA9" i="97"/>
  <c r="CW269" i="104"/>
  <c r="CW280" i="104"/>
  <c r="CW301" i="104"/>
  <c r="CW292" i="104"/>
  <c r="CW277" i="104"/>
  <c r="CW273" i="104"/>
  <c r="CW293" i="104"/>
  <c r="CW266" i="104"/>
  <c r="CW297" i="104"/>
  <c r="CW299" i="104"/>
  <c r="CW302" i="104"/>
  <c r="CW287" i="104"/>
  <c r="CW291" i="104"/>
  <c r="CW296" i="104"/>
  <c r="CW265" i="104"/>
  <c r="CW288" i="104"/>
  <c r="CW284" i="104"/>
  <c r="CW289" i="104"/>
  <c r="CW275" i="104"/>
  <c r="CW279" i="104"/>
  <c r="CW261" i="104"/>
  <c r="CW286" i="104"/>
  <c r="CW281" i="104"/>
  <c r="CW290" i="104"/>
  <c r="CW264" i="104"/>
  <c r="CW282" i="104"/>
  <c r="CW283" i="104"/>
  <c r="CW295" i="104"/>
  <c r="CW270" i="104"/>
  <c r="CW274" i="104"/>
  <c r="CW267" i="104"/>
  <c r="CW262" i="104"/>
  <c r="CW285" i="104"/>
  <c r="CW260" i="104"/>
  <c r="CW298" i="104"/>
  <c r="CW278" i="104"/>
  <c r="CW300" i="104"/>
  <c r="CW268" i="104"/>
  <c r="CW272" i="104"/>
  <c r="CW276" i="104"/>
  <c r="CW271" i="104"/>
  <c r="CW259" i="104"/>
  <c r="CW258" i="104"/>
  <c r="CW294" i="104"/>
  <c r="CW263" i="104"/>
  <c r="BO161" i="104"/>
  <c r="BK157" i="104"/>
  <c r="DA299" i="104"/>
  <c r="DA298" i="104"/>
  <c r="DA302" i="104"/>
  <c r="DA265" i="104"/>
  <c r="DA274" i="104"/>
  <c r="DA301" i="104"/>
  <c r="DA271" i="104"/>
  <c r="DA261" i="104"/>
  <c r="DA277" i="104"/>
  <c r="DA259" i="104"/>
  <c r="DA275" i="104"/>
  <c r="DA287" i="104"/>
  <c r="DA264" i="104"/>
  <c r="DA292" i="104"/>
  <c r="DA286" i="104"/>
  <c r="DA272" i="104"/>
  <c r="DA262" i="104"/>
  <c r="DA267" i="104"/>
  <c r="DA276" i="104"/>
  <c r="DA285" i="104"/>
  <c r="DA268" i="104"/>
  <c r="DA297" i="104"/>
  <c r="DA296" i="104"/>
  <c r="DA260" i="104"/>
  <c r="DA269" i="104"/>
  <c r="DA279" i="104"/>
  <c r="DA288" i="104"/>
  <c r="DA290" i="104"/>
  <c r="DA291" i="104"/>
  <c r="DA280" i="104"/>
  <c r="DA295" i="104"/>
  <c r="DA293" i="104"/>
  <c r="DA270" i="104"/>
  <c r="DA281" i="104"/>
  <c r="DA258" i="104"/>
  <c r="DA282" i="104"/>
  <c r="DA294" i="104"/>
  <c r="DA263" i="104"/>
  <c r="DA278" i="104"/>
  <c r="DA284" i="104"/>
  <c r="DA266" i="104"/>
  <c r="DA300" i="104"/>
  <c r="DA273" i="104"/>
  <c r="DA289" i="104"/>
  <c r="DA283" i="104"/>
  <c r="BQ128" i="104"/>
  <c r="BR128" i="104" s="1"/>
  <c r="BS128" i="104" s="1"/>
  <c r="BU151" i="104"/>
  <c r="BV151" i="104" s="1"/>
  <c r="BR145" i="104"/>
  <c r="BS145" i="104" s="1"/>
  <c r="BT127" i="104"/>
  <c r="BU127" i="104" s="1"/>
  <c r="BQ142" i="104"/>
  <c r="BR142" i="104" s="1"/>
  <c r="BS142" i="104" s="1"/>
  <c r="BS141" i="104"/>
  <c r="BT141" i="104" s="1"/>
  <c r="BP155" i="104"/>
  <c r="BQ155" i="104" s="1"/>
  <c r="BH154" i="104"/>
  <c r="BT135" i="104"/>
  <c r="BU135" i="104" s="1"/>
  <c r="BV135" i="104" s="1"/>
  <c r="BQ118" i="104"/>
  <c r="BR118" i="104" s="1"/>
  <c r="BS118" i="104" s="1"/>
  <c r="BT118" i="104" s="1"/>
  <c r="BS139" i="104"/>
  <c r="BT139" i="104" s="1"/>
  <c r="BU139" i="104" s="1"/>
  <c r="BR111" i="104"/>
  <c r="BS111" i="104" s="1"/>
  <c r="BT111" i="104" s="1"/>
  <c r="BQ108" i="104"/>
  <c r="BR108" i="104" s="1"/>
  <c r="BS108" i="104" s="1"/>
  <c r="BT108" i="104" s="1"/>
  <c r="BU108" i="104" s="1"/>
  <c r="BP125" i="104"/>
  <c r="BQ125" i="104" s="1"/>
  <c r="BQ113" i="104"/>
  <c r="BR113" i="104" s="1"/>
  <c r="BI117" i="104"/>
  <c r="BG130" i="104"/>
  <c r="BG116" i="104"/>
  <c r="BH114" i="104"/>
  <c r="BG120" i="104"/>
  <c r="BH129" i="104"/>
  <c r="BJ121" i="104"/>
  <c r="BJ147" i="104"/>
  <c r="BQ143" i="104"/>
  <c r="BI150" i="104"/>
  <c r="BF144" i="104"/>
  <c r="BI138" i="104"/>
  <c r="BJ138" i="104" s="1"/>
  <c r="BK138" i="104" s="1"/>
  <c r="BL138" i="104" s="1"/>
  <c r="BM138" i="104" s="1"/>
  <c r="BN138" i="104" s="1"/>
  <c r="BO138" i="104" s="1"/>
  <c r="BP138" i="104" s="1"/>
  <c r="BQ138" i="104" s="1"/>
  <c r="BR138" i="104" s="1"/>
  <c r="BH149" i="104"/>
  <c r="BI149" i="104" s="1"/>
  <c r="BJ149" i="104" s="1"/>
  <c r="BK149" i="104" s="1"/>
  <c r="BL149" i="104" s="1"/>
  <c r="BM149" i="104" s="1"/>
  <c r="BN149" i="104" s="1"/>
  <c r="BO149" i="104" s="1"/>
  <c r="BP149" i="104" s="1"/>
  <c r="BQ149" i="104" s="1"/>
  <c r="BH109" i="104"/>
  <c r="BF134" i="104"/>
  <c r="BH110" i="104"/>
  <c r="BS137" i="104"/>
  <c r="BT137" i="104" s="1"/>
  <c r="BH107" i="104"/>
  <c r="BJ112" i="104"/>
  <c r="BM115" i="104"/>
  <c r="BN115" i="104" s="1"/>
  <c r="BO115" i="104" s="1"/>
  <c r="BP115" i="104" s="1"/>
  <c r="BQ115" i="104" s="1"/>
  <c r="BR115" i="104" s="1"/>
  <c r="BS115" i="104" s="1"/>
  <c r="BT115" i="104" s="1"/>
  <c r="BU131" i="104"/>
  <c r="BV131" i="104" s="1"/>
  <c r="BE148" i="104"/>
  <c r="BH106" i="104"/>
  <c r="BH133" i="104"/>
  <c r="BG146" i="104"/>
  <c r="BE132" i="104"/>
  <c r="BJ119" i="104"/>
  <c r="BG140" i="104"/>
  <c r="BG122" i="104"/>
  <c r="BH152" i="104"/>
  <c r="BF105" i="104"/>
  <c r="BB104" i="104"/>
  <c r="EN26" i="97"/>
  <c r="E39" i="97"/>
  <c r="E37" i="97"/>
  <c r="E47" i="97"/>
  <c r="E45" i="97"/>
  <c r="E43" i="97"/>
  <c r="E41" i="97"/>
  <c r="E40" i="97"/>
  <c r="E38" i="97"/>
  <c r="E48" i="97"/>
  <c r="E46" i="97"/>
  <c r="E44" i="97"/>
  <c r="E42" i="97"/>
  <c r="BV24" i="97"/>
  <c r="BQ24" i="97"/>
  <c r="BR21" i="97" s="1"/>
  <c r="AY102" i="104"/>
  <c r="AT49" i="104"/>
  <c r="AX23" i="104"/>
  <c r="AU48" i="104"/>
  <c r="AX97" i="104"/>
  <c r="AU17" i="104"/>
  <c r="AR88" i="104"/>
  <c r="AU36" i="104"/>
  <c r="AX46" i="104"/>
  <c r="AU14" i="104"/>
  <c r="AU29" i="104"/>
  <c r="AS78" i="104"/>
  <c r="AS7" i="104"/>
  <c r="AT64" i="104"/>
  <c r="AX56" i="104"/>
  <c r="AT45" i="104"/>
  <c r="AU38" i="104"/>
  <c r="AV63" i="104"/>
  <c r="AS39" i="104"/>
  <c r="AR15" i="104"/>
  <c r="AX10" i="104"/>
  <c r="AT92" i="104"/>
  <c r="AR59" i="104"/>
  <c r="AU79" i="104"/>
  <c r="AT21" i="104"/>
  <c r="AY62" i="104"/>
  <c r="AV33" i="104"/>
  <c r="AW58" i="104"/>
  <c r="AW98" i="104"/>
  <c r="AR70" i="104"/>
  <c r="AS51" i="104"/>
  <c r="AU12" i="104"/>
  <c r="AX16" i="104"/>
  <c r="AU42" i="104"/>
  <c r="AX11" i="104"/>
  <c r="AV55" i="104"/>
  <c r="AS5" i="104"/>
  <c r="AV67" i="104"/>
  <c r="AT60" i="104"/>
  <c r="AW76" i="104"/>
  <c r="AV25" i="104"/>
  <c r="AV65" i="104"/>
  <c r="AV83" i="104"/>
  <c r="AX82" i="104"/>
  <c r="AV20" i="104"/>
  <c r="AU40" i="104"/>
  <c r="AR37" i="104"/>
  <c r="AS100" i="104"/>
  <c r="AU27" i="104"/>
  <c r="AW13" i="104"/>
  <c r="AQ96" i="104"/>
  <c r="AV71" i="104"/>
  <c r="AS85" i="104"/>
  <c r="AY77" i="104"/>
  <c r="AV53" i="104"/>
  <c r="AV30" i="104"/>
  <c r="AR4" i="104"/>
  <c r="AS89" i="104"/>
  <c r="AU22" i="104"/>
  <c r="AU80" i="104"/>
  <c r="AS84" i="104"/>
  <c r="AW95" i="104"/>
  <c r="AU34" i="104"/>
  <c r="AT81" i="104"/>
  <c r="AW47" i="104"/>
  <c r="AX68" i="104"/>
  <c r="AX52" i="104"/>
  <c r="AS19" i="104"/>
  <c r="AS8" i="104"/>
  <c r="AV18" i="104"/>
  <c r="AU86" i="104"/>
  <c r="AW50" i="104"/>
  <c r="AV91" i="104"/>
  <c r="AV28" i="104"/>
  <c r="AR66" i="104"/>
  <c r="AZ73" i="104"/>
  <c r="AX9" i="104"/>
  <c r="AV75" i="104"/>
  <c r="AV24" i="104"/>
  <c r="AU72" i="104"/>
  <c r="AU74" i="104"/>
  <c r="AU44" i="104"/>
  <c r="AY32" i="104"/>
  <c r="AS87" i="104"/>
  <c r="AR94" i="104"/>
  <c r="AU101" i="104"/>
  <c r="AT41" i="104"/>
  <c r="AS6" i="104"/>
  <c r="AW61" i="104"/>
  <c r="AU3" i="104"/>
  <c r="AU35" i="104"/>
  <c r="AW43" i="104"/>
  <c r="AV54" i="104"/>
  <c r="AW26" i="104"/>
  <c r="AS69" i="104"/>
  <c r="AW93" i="104"/>
  <c r="AT57" i="104"/>
  <c r="AU31" i="104"/>
  <c r="AR99" i="104"/>
  <c r="AU90" i="104"/>
  <c r="BV32" i="97"/>
  <c r="BV30" i="97"/>
  <c r="BV28" i="97"/>
  <c r="BV26" i="97"/>
  <c r="BV31" i="97"/>
  <c r="BV27" i="97"/>
  <c r="DD31" i="97"/>
  <c r="DD29" i="97"/>
  <c r="DD27" i="97"/>
  <c r="DD23" i="97"/>
  <c r="DD30" i="97"/>
  <c r="DD28" i="97"/>
  <c r="DD26" i="97"/>
  <c r="DD24" i="97"/>
  <c r="DD22" i="97"/>
  <c r="EF31" i="97"/>
  <c r="EF28" i="97"/>
  <c r="EF24" i="97"/>
  <c r="EF20" i="97"/>
  <c r="EF25" i="97"/>
  <c r="EF21" i="97"/>
  <c r="EF30" i="97"/>
  <c r="EF26" i="97"/>
  <c r="EF22" i="97"/>
  <c r="EF18" i="97"/>
  <c r="EF27" i="97"/>
  <c r="EF19" i="97"/>
  <c r="EN23" i="97"/>
  <c r="EN31" i="97"/>
  <c r="EN24" i="97"/>
  <c r="EN21" i="97"/>
  <c r="EN29" i="97"/>
  <c r="EN22" i="97"/>
  <c r="EN30" i="97"/>
  <c r="CZ30" i="97"/>
  <c r="CZ28" i="97"/>
  <c r="CZ26" i="97"/>
  <c r="CZ24" i="97"/>
  <c r="CZ22" i="97"/>
  <c r="CZ31" i="97"/>
  <c r="CZ27" i="97"/>
  <c r="CZ23" i="97"/>
  <c r="CZ21" i="97"/>
  <c r="EN19" i="97"/>
  <c r="EN27" i="97"/>
  <c r="EN20" i="97"/>
  <c r="EN28" i="97"/>
  <c r="EN18" i="97"/>
  <c r="H34" i="97"/>
  <c r="I34" i="97" s="1"/>
  <c r="EV51" i="97"/>
  <c r="EW51" i="97" s="1"/>
  <c r="EV32" i="97"/>
  <c r="EW32" i="97" s="1"/>
  <c r="BR24" i="97"/>
  <c r="ES24" i="97"/>
  <c r="ES22" i="97"/>
  <c r="ES19" i="97"/>
  <c r="ES20" i="97"/>
  <c r="ES18" i="97"/>
  <c r="ES23" i="97"/>
  <c r="ES21" i="97"/>
  <c r="H49" i="97"/>
  <c r="E34" i="97"/>
  <c r="F32" i="97" s="1"/>
  <c r="BR17" i="97"/>
  <c r="CT303" i="104" l="1"/>
  <c r="DA13" i="97"/>
  <c r="DA17" i="97"/>
  <c r="DA16" i="97"/>
  <c r="DA7" i="97"/>
  <c r="DA10" i="97"/>
  <c r="BV127" i="104"/>
  <c r="BT145" i="104"/>
  <c r="BU145" i="104" s="1"/>
  <c r="CV303" i="104"/>
  <c r="BP161" i="104"/>
  <c r="BQ161" i="104" s="1"/>
  <c r="BL157" i="104"/>
  <c r="BM157" i="104" s="1"/>
  <c r="BN157" i="104" s="1"/>
  <c r="BO157" i="104" s="1"/>
  <c r="BP157" i="104" s="1"/>
  <c r="BU141" i="104"/>
  <c r="BV141" i="104" s="1"/>
  <c r="BU115" i="104"/>
  <c r="BV115" i="104" s="1"/>
  <c r="BT142" i="104"/>
  <c r="BU142" i="104" s="1"/>
  <c r="BV142" i="104" s="1"/>
  <c r="CZ303" i="104"/>
  <c r="BT128" i="104"/>
  <c r="BU128" i="104" s="1"/>
  <c r="BU137" i="104"/>
  <c r="BV137" i="104" s="1"/>
  <c r="BR155" i="104"/>
  <c r="BS155" i="104" s="1"/>
  <c r="BT155" i="104" s="1"/>
  <c r="BU155" i="104" s="1"/>
  <c r="BV155" i="104" s="1"/>
  <c r="BR125" i="104"/>
  <c r="BS125" i="104" s="1"/>
  <c r="BS113" i="104"/>
  <c r="BT113" i="104" s="1"/>
  <c r="BU113" i="104" s="1"/>
  <c r="BV113" i="104" s="1"/>
  <c r="BI154" i="104"/>
  <c r="BR149" i="104"/>
  <c r="BS149" i="104" s="1"/>
  <c r="BH122" i="104"/>
  <c r="BK119" i="104"/>
  <c r="BL119" i="104" s="1"/>
  <c r="BM119" i="104" s="1"/>
  <c r="BN119" i="104" s="1"/>
  <c r="BO119" i="104" s="1"/>
  <c r="BP119" i="104" s="1"/>
  <c r="BQ119" i="104" s="1"/>
  <c r="BR119" i="104" s="1"/>
  <c r="BS119" i="104" s="1"/>
  <c r="BT119" i="104" s="1"/>
  <c r="BH146" i="104"/>
  <c r="BI129" i="104"/>
  <c r="BH130" i="104"/>
  <c r="BR143" i="104"/>
  <c r="BS143" i="104" s="1"/>
  <c r="BT143" i="104" s="1"/>
  <c r="BU143" i="104" s="1"/>
  <c r="BI152" i="104"/>
  <c r="BJ152" i="104" s="1"/>
  <c r="BK152" i="104" s="1"/>
  <c r="BL152" i="104" s="1"/>
  <c r="BM152" i="104" s="1"/>
  <c r="BN152" i="104" s="1"/>
  <c r="BO152" i="104" s="1"/>
  <c r="BP152" i="104" s="1"/>
  <c r="BQ152" i="104" s="1"/>
  <c r="BI133" i="104"/>
  <c r="BJ133" i="104" s="1"/>
  <c r="BK133" i="104" s="1"/>
  <c r="BL133" i="104" s="1"/>
  <c r="BM133" i="104" s="1"/>
  <c r="BN133" i="104" s="1"/>
  <c r="BO133" i="104" s="1"/>
  <c r="BP133" i="104" s="1"/>
  <c r="BQ133" i="104" s="1"/>
  <c r="BF148" i="104"/>
  <c r="BV108" i="104"/>
  <c r="BI107" i="104"/>
  <c r="BI110" i="104"/>
  <c r="BI109" i="104"/>
  <c r="BJ150" i="104"/>
  <c r="BK150" i="104" s="1"/>
  <c r="BL150" i="104" s="1"/>
  <c r="BM150" i="104" s="1"/>
  <c r="BN150" i="104" s="1"/>
  <c r="BO150" i="104" s="1"/>
  <c r="BP150" i="104" s="1"/>
  <c r="BQ150" i="104" s="1"/>
  <c r="BR150" i="104" s="1"/>
  <c r="BS150" i="104" s="1"/>
  <c r="BT150" i="104" s="1"/>
  <c r="BK121" i="104"/>
  <c r="BI114" i="104"/>
  <c r="BJ117" i="104"/>
  <c r="BK117" i="104" s="1"/>
  <c r="BL117" i="104" s="1"/>
  <c r="BM117" i="104" s="1"/>
  <c r="BN117" i="104" s="1"/>
  <c r="BO117" i="104" s="1"/>
  <c r="BP117" i="104" s="1"/>
  <c r="BQ117" i="104" s="1"/>
  <c r="BR117" i="104" s="1"/>
  <c r="BS117" i="104" s="1"/>
  <c r="BF132" i="104"/>
  <c r="BI106" i="104"/>
  <c r="BG134" i="104"/>
  <c r="BG144" i="104"/>
  <c r="BK147" i="104"/>
  <c r="BH120" i="104"/>
  <c r="BV139" i="104"/>
  <c r="BH140" i="104"/>
  <c r="BK112" i="104"/>
  <c r="BU111" i="104"/>
  <c r="BV111" i="104" s="1"/>
  <c r="BS138" i="104"/>
  <c r="BT138" i="104" s="1"/>
  <c r="BU118" i="104"/>
  <c r="BV118" i="104" s="1"/>
  <c r="BH116" i="104"/>
  <c r="BG105" i="104"/>
  <c r="BH105" i="104" s="1"/>
  <c r="BC104" i="104"/>
  <c r="BR20" i="97"/>
  <c r="BA103" i="104"/>
  <c r="EW45" i="97"/>
  <c r="AZ102" i="104"/>
  <c r="BR23" i="97"/>
  <c r="AT69" i="104"/>
  <c r="AX26" i="104"/>
  <c r="AV35" i="104"/>
  <c r="AT6" i="104"/>
  <c r="AV101" i="104"/>
  <c r="AZ32" i="104"/>
  <c r="AV74" i="104"/>
  <c r="AX50" i="104"/>
  <c r="AT8" i="104"/>
  <c r="AY52" i="104"/>
  <c r="AU81" i="104"/>
  <c r="AT84" i="104"/>
  <c r="AT89" i="104"/>
  <c r="AW53" i="104"/>
  <c r="AZ77" i="104"/>
  <c r="AT85" i="104"/>
  <c r="AW71" i="104"/>
  <c r="AR96" i="104"/>
  <c r="AX13" i="104"/>
  <c r="AT100" i="104"/>
  <c r="AS37" i="104"/>
  <c r="AV40" i="104"/>
  <c r="AY82" i="104"/>
  <c r="AW83" i="104"/>
  <c r="AX76" i="104"/>
  <c r="AW55" i="104"/>
  <c r="AZ62" i="104"/>
  <c r="AU21" i="104"/>
  <c r="AV79" i="104"/>
  <c r="AY10" i="104"/>
  <c r="AV48" i="104"/>
  <c r="AS94" i="104"/>
  <c r="AT87" i="104"/>
  <c r="AV44" i="104"/>
  <c r="AS66" i="104"/>
  <c r="AW28" i="104"/>
  <c r="AW18" i="104"/>
  <c r="AX47" i="104"/>
  <c r="AV34" i="104"/>
  <c r="AX95" i="104"/>
  <c r="AW20" i="104"/>
  <c r="AW25" i="104"/>
  <c r="AU60" i="104"/>
  <c r="AV12" i="104"/>
  <c r="AT51" i="104"/>
  <c r="AS59" i="104"/>
  <c r="AT39" i="104"/>
  <c r="AU45" i="104"/>
  <c r="AY56" i="104"/>
  <c r="AU64" i="104"/>
  <c r="AT7" i="104"/>
  <c r="AT78" i="104"/>
  <c r="AV29" i="104"/>
  <c r="AV14" i="104"/>
  <c r="AY46" i="104"/>
  <c r="AV36" i="104"/>
  <c r="AS88" i="104"/>
  <c r="AV17" i="104"/>
  <c r="AY23" i="104"/>
  <c r="AW54" i="104"/>
  <c r="AX61" i="104"/>
  <c r="AU41" i="104"/>
  <c r="BA73" i="104"/>
  <c r="AT19" i="104"/>
  <c r="AY68" i="104"/>
  <c r="AV22" i="104"/>
  <c r="AV27" i="104"/>
  <c r="AT5" i="104"/>
  <c r="AY11" i="104"/>
  <c r="AV42" i="104"/>
  <c r="AY16" i="104"/>
  <c r="AX98" i="104"/>
  <c r="AV38" i="104"/>
  <c r="AY97" i="104"/>
  <c r="AS99" i="104"/>
  <c r="AU57" i="104"/>
  <c r="AV90" i="104"/>
  <c r="AV31" i="104"/>
  <c r="AX93" i="104"/>
  <c r="AX43" i="104"/>
  <c r="AV3" i="104"/>
  <c r="AV72" i="104"/>
  <c r="AW24" i="104"/>
  <c r="AW75" i="104"/>
  <c r="AY9" i="104"/>
  <c r="AW91" i="104"/>
  <c r="AV86" i="104"/>
  <c r="AV80" i="104"/>
  <c r="AS4" i="104"/>
  <c r="AW30" i="104"/>
  <c r="AW65" i="104"/>
  <c r="AW67" i="104"/>
  <c r="AS70" i="104"/>
  <c r="AX58" i="104"/>
  <c r="AW33" i="104"/>
  <c r="AU92" i="104"/>
  <c r="AS15" i="104"/>
  <c r="AW63" i="104"/>
  <c r="AU49" i="104"/>
  <c r="EW43" i="97"/>
  <c r="BR18" i="97"/>
  <c r="BR15" i="97"/>
  <c r="BR14" i="97"/>
  <c r="BR11" i="97"/>
  <c r="BR19" i="97"/>
  <c r="BR12" i="97"/>
  <c r="BR22" i="97"/>
  <c r="EW44" i="97"/>
  <c r="I30" i="97"/>
  <c r="I33" i="97"/>
  <c r="I31" i="97"/>
  <c r="EW38" i="97"/>
  <c r="EW48" i="97"/>
  <c r="EW39" i="97"/>
  <c r="EW47" i="97"/>
  <c r="I25" i="97"/>
  <c r="I32" i="97"/>
  <c r="I27" i="97"/>
  <c r="I24" i="97"/>
  <c r="I26" i="97"/>
  <c r="I23" i="97"/>
  <c r="I22" i="97"/>
  <c r="I29" i="97"/>
  <c r="I28" i="97"/>
  <c r="EW19" i="97"/>
  <c r="EW18" i="97"/>
  <c r="EW27" i="97"/>
  <c r="EW20" i="97"/>
  <c r="EW31" i="97"/>
  <c r="EW25" i="97"/>
  <c r="EW30" i="97"/>
  <c r="EW26" i="97"/>
  <c r="EW46" i="97"/>
  <c r="EW49" i="97"/>
  <c r="EW40" i="97"/>
  <c r="EW23" i="97"/>
  <c r="EW28" i="97"/>
  <c r="EW22" i="97"/>
  <c r="EW29" i="97"/>
  <c r="EW21" i="97"/>
  <c r="EW24" i="97"/>
  <c r="EW37" i="97"/>
  <c r="EW50" i="97"/>
  <c r="EW41" i="97"/>
  <c r="EW42" i="97"/>
  <c r="E49" i="97"/>
  <c r="F43" i="97" s="1"/>
  <c r="EN32" i="97"/>
  <c r="EO32" i="97" s="1"/>
  <c r="BV33" i="97"/>
  <c r="BW33" i="97" s="1"/>
  <c r="DD32" i="97"/>
  <c r="DE32" i="97" s="1"/>
  <c r="BW24" i="97"/>
  <c r="BW13" i="97"/>
  <c r="BW23" i="97"/>
  <c r="BW19" i="97"/>
  <c r="BW11" i="97"/>
  <c r="BW16" i="97"/>
  <c r="BW21" i="97"/>
  <c r="BW14" i="97"/>
  <c r="BW22" i="97"/>
  <c r="BW12" i="97"/>
  <c r="BW15" i="97"/>
  <c r="BW17" i="97"/>
  <c r="BW20" i="97"/>
  <c r="BW18" i="97"/>
  <c r="F28" i="97"/>
  <c r="F30" i="97"/>
  <c r="F25" i="97"/>
  <c r="F31" i="97"/>
  <c r="F24" i="97"/>
  <c r="F26" i="97"/>
  <c r="F27" i="97"/>
  <c r="F33" i="97"/>
  <c r="F23" i="97"/>
  <c r="F34" i="97"/>
  <c r="F29" i="97"/>
  <c r="F22" i="97"/>
  <c r="BV145" i="104" l="1"/>
  <c r="BV128" i="104"/>
  <c r="BR161" i="104"/>
  <c r="BS161" i="104" s="1"/>
  <c r="BT161" i="104" s="1"/>
  <c r="BU161" i="104" s="1"/>
  <c r="BV161" i="104" s="1"/>
  <c r="DB299" i="104"/>
  <c r="DB300" i="104"/>
  <c r="DB264" i="104"/>
  <c r="DB297" i="104"/>
  <c r="DB290" i="104"/>
  <c r="DB294" i="104"/>
  <c r="DB273" i="104"/>
  <c r="DB286" i="104"/>
  <c r="DB302" i="104"/>
  <c r="DB276" i="104"/>
  <c r="DB275" i="104"/>
  <c r="DB301" i="104"/>
  <c r="DB280" i="104"/>
  <c r="DB262" i="104"/>
  <c r="DB267" i="104"/>
  <c r="DB284" i="104"/>
  <c r="DB281" i="104"/>
  <c r="DB292" i="104"/>
  <c r="DB289" i="104"/>
  <c r="DB287" i="104"/>
  <c r="DB293" i="104"/>
  <c r="DB274" i="104"/>
  <c r="DB271" i="104"/>
  <c r="DB266" i="104"/>
  <c r="DB277" i="104"/>
  <c r="DB278" i="104"/>
  <c r="DB260" i="104"/>
  <c r="DB285" i="104"/>
  <c r="DB282" i="104"/>
  <c r="DB269" i="104"/>
  <c r="DB258" i="104"/>
  <c r="DB295" i="104"/>
  <c r="DB291" i="104"/>
  <c r="DB283" i="104"/>
  <c r="DB261" i="104"/>
  <c r="DB263" i="104"/>
  <c r="DB279" i="104"/>
  <c r="DB298" i="104"/>
  <c r="DB288" i="104"/>
  <c r="DB259" i="104"/>
  <c r="DB270" i="104"/>
  <c r="DB265" i="104"/>
  <c r="DB296" i="104"/>
  <c r="DB272" i="104"/>
  <c r="DB268" i="104"/>
  <c r="BJ154" i="104"/>
  <c r="BU138" i="104"/>
  <c r="BV138" i="104" s="1"/>
  <c r="BR152" i="104"/>
  <c r="BS152" i="104" s="1"/>
  <c r="BT152" i="104" s="1"/>
  <c r="BI140" i="104"/>
  <c r="BJ140" i="104" s="1"/>
  <c r="BK140" i="104" s="1"/>
  <c r="BL140" i="104" s="1"/>
  <c r="BM140" i="104" s="1"/>
  <c r="BN140" i="104" s="1"/>
  <c r="BO140" i="104" s="1"/>
  <c r="BP140" i="104" s="1"/>
  <c r="BQ140" i="104" s="1"/>
  <c r="BG132" i="104"/>
  <c r="BJ114" i="104"/>
  <c r="BJ110" i="104"/>
  <c r="BR133" i="104"/>
  <c r="BU119" i="104"/>
  <c r="BV119" i="104" s="1"/>
  <c r="BI122" i="104"/>
  <c r="BI116" i="104"/>
  <c r="BL112" i="104"/>
  <c r="BL147" i="104"/>
  <c r="BM147" i="104" s="1"/>
  <c r="BN147" i="104" s="1"/>
  <c r="BO147" i="104" s="1"/>
  <c r="BP147" i="104" s="1"/>
  <c r="BQ147" i="104" s="1"/>
  <c r="BR147" i="104" s="1"/>
  <c r="BS147" i="104" s="1"/>
  <c r="BT147" i="104" s="1"/>
  <c r="BU147" i="104" s="1"/>
  <c r="BH144" i="104"/>
  <c r="BJ109" i="104"/>
  <c r="BK109" i="104" s="1"/>
  <c r="BL109" i="104" s="1"/>
  <c r="BM109" i="104" s="1"/>
  <c r="BN109" i="104" s="1"/>
  <c r="BO109" i="104" s="1"/>
  <c r="BP109" i="104" s="1"/>
  <c r="BQ109" i="104" s="1"/>
  <c r="BR109" i="104" s="1"/>
  <c r="BS109" i="104" s="1"/>
  <c r="BV143" i="104"/>
  <c r="BJ106" i="104"/>
  <c r="BT117" i="104"/>
  <c r="BU117" i="104" s="1"/>
  <c r="BU150" i="104"/>
  <c r="BV150" i="104" s="1"/>
  <c r="BJ107" i="104"/>
  <c r="BT149" i="104"/>
  <c r="BU149" i="104" s="1"/>
  <c r="BV149" i="104" s="1"/>
  <c r="BI120" i="104"/>
  <c r="BJ120" i="104" s="1"/>
  <c r="BK120" i="104" s="1"/>
  <c r="BL120" i="104" s="1"/>
  <c r="BM120" i="104" s="1"/>
  <c r="BN120" i="104" s="1"/>
  <c r="BO120" i="104" s="1"/>
  <c r="BP120" i="104" s="1"/>
  <c r="BH134" i="104"/>
  <c r="BL121" i="104"/>
  <c r="BM121" i="104" s="1"/>
  <c r="BN121" i="104" s="1"/>
  <c r="BO121" i="104" s="1"/>
  <c r="BP121" i="104" s="1"/>
  <c r="BQ121" i="104" s="1"/>
  <c r="BR121" i="104" s="1"/>
  <c r="BS121" i="104" s="1"/>
  <c r="BG148" i="104"/>
  <c r="BI130" i="104"/>
  <c r="BJ130" i="104" s="1"/>
  <c r="BK130" i="104" s="1"/>
  <c r="BL130" i="104" s="1"/>
  <c r="BM130" i="104" s="1"/>
  <c r="BN130" i="104" s="1"/>
  <c r="BO130" i="104" s="1"/>
  <c r="BP130" i="104" s="1"/>
  <c r="BQ130" i="104" s="1"/>
  <c r="BR130" i="104" s="1"/>
  <c r="BJ129" i="104"/>
  <c r="BK129" i="104" s="1"/>
  <c r="BL129" i="104" s="1"/>
  <c r="BM129" i="104" s="1"/>
  <c r="BN129" i="104" s="1"/>
  <c r="BO129" i="104" s="1"/>
  <c r="BP129" i="104" s="1"/>
  <c r="BQ129" i="104" s="1"/>
  <c r="BR129" i="104" s="1"/>
  <c r="BS129" i="104" s="1"/>
  <c r="BT129" i="104" s="1"/>
  <c r="BU129" i="104" s="1"/>
  <c r="BI146" i="104"/>
  <c r="BT125" i="104"/>
  <c r="BU125" i="104" s="1"/>
  <c r="BD104" i="104"/>
  <c r="EO20" i="97"/>
  <c r="BB103" i="104"/>
  <c r="EO29" i="97"/>
  <c r="BA102" i="104"/>
  <c r="F44" i="97"/>
  <c r="AY58" i="104"/>
  <c r="AT70" i="104"/>
  <c r="AX67" i="104"/>
  <c r="AW80" i="104"/>
  <c r="AX24" i="104"/>
  <c r="AW72" i="104"/>
  <c r="AY93" i="104"/>
  <c r="AV57" i="104"/>
  <c r="AT99" i="104"/>
  <c r="AZ97" i="104"/>
  <c r="AW38" i="104"/>
  <c r="AZ16" i="104"/>
  <c r="AZ23" i="104"/>
  <c r="AW36" i="104"/>
  <c r="AZ46" i="104"/>
  <c r="AW29" i="104"/>
  <c r="AU78" i="104"/>
  <c r="AZ56" i="104"/>
  <c r="AU39" i="104"/>
  <c r="AV60" i="104"/>
  <c r="AU87" i="104"/>
  <c r="AW79" i="104"/>
  <c r="AV21" i="104"/>
  <c r="AX71" i="104"/>
  <c r="AU85" i="104"/>
  <c r="AV81" i="104"/>
  <c r="AZ52" i="104"/>
  <c r="AU8" i="104"/>
  <c r="BA32" i="104"/>
  <c r="AU6" i="104"/>
  <c r="AY26" i="104"/>
  <c r="AX63" i="104"/>
  <c r="AV92" i="104"/>
  <c r="AX65" i="104"/>
  <c r="AT4" i="104"/>
  <c r="AX91" i="104"/>
  <c r="AY43" i="104"/>
  <c r="AW90" i="104"/>
  <c r="AW27" i="104"/>
  <c r="AW22" i="104"/>
  <c r="AZ68" i="104"/>
  <c r="AV41" i="104"/>
  <c r="AW17" i="104"/>
  <c r="AU7" i="104"/>
  <c r="AV45" i="104"/>
  <c r="AW12" i="104"/>
  <c r="AX18" i="104"/>
  <c r="AX28" i="104"/>
  <c r="AT66" i="104"/>
  <c r="AX83" i="104"/>
  <c r="AT37" i="104"/>
  <c r="AU89" i="104"/>
  <c r="AU84" i="104"/>
  <c r="AV49" i="104"/>
  <c r="AX33" i="104"/>
  <c r="AW86" i="104"/>
  <c r="AX75" i="104"/>
  <c r="AW3" i="104"/>
  <c r="AW31" i="104"/>
  <c r="AY61" i="104"/>
  <c r="AW14" i="104"/>
  <c r="AV64" i="104"/>
  <c r="AU51" i="104"/>
  <c r="AX20" i="104"/>
  <c r="AW34" i="104"/>
  <c r="AY47" i="104"/>
  <c r="AW44" i="104"/>
  <c r="AT94" i="104"/>
  <c r="AW48" i="104"/>
  <c r="AY76" i="104"/>
  <c r="AW40" i="104"/>
  <c r="AX53" i="104"/>
  <c r="AW74" i="104"/>
  <c r="AW101" i="104"/>
  <c r="AW35" i="104"/>
  <c r="AU69" i="104"/>
  <c r="AX30" i="104"/>
  <c r="AT15" i="104"/>
  <c r="AZ9" i="104"/>
  <c r="AY98" i="104"/>
  <c r="AW42" i="104"/>
  <c r="AZ11" i="104"/>
  <c r="AU5" i="104"/>
  <c r="AU19" i="104"/>
  <c r="BB73" i="104"/>
  <c r="AX54" i="104"/>
  <c r="AT88" i="104"/>
  <c r="AT59" i="104"/>
  <c r="AX25" i="104"/>
  <c r="AY95" i="104"/>
  <c r="AZ10" i="104"/>
  <c r="BA62" i="104"/>
  <c r="AX55" i="104"/>
  <c r="AZ82" i="104"/>
  <c r="AU100" i="104"/>
  <c r="AY13" i="104"/>
  <c r="AS96" i="104"/>
  <c r="BA77" i="104"/>
  <c r="AY50" i="104"/>
  <c r="EO28" i="97"/>
  <c r="EO23" i="97"/>
  <c r="EO22" i="97"/>
  <c r="EO19" i="97"/>
  <c r="EO26" i="97"/>
  <c r="EO21" i="97"/>
  <c r="EO31" i="97"/>
  <c r="EO27" i="97"/>
  <c r="EO25" i="97"/>
  <c r="F37" i="97"/>
  <c r="F39" i="97"/>
  <c r="F41" i="97"/>
  <c r="F45" i="97"/>
  <c r="F42" i="97"/>
  <c r="F48" i="97"/>
  <c r="F46" i="97"/>
  <c r="F40" i="97"/>
  <c r="F49" i="97"/>
  <c r="F38" i="97"/>
  <c r="F47" i="97"/>
  <c r="EO18" i="97"/>
  <c r="EO24" i="97"/>
  <c r="BW28" i="97"/>
  <c r="BW26" i="97"/>
  <c r="EO30" i="97"/>
  <c r="BW29" i="97"/>
  <c r="BW30" i="97"/>
  <c r="BW27" i="97"/>
  <c r="BW32" i="97"/>
  <c r="BW31" i="97"/>
  <c r="DE31" i="97"/>
  <c r="DE24" i="97"/>
  <c r="DE25" i="97"/>
  <c r="DE23" i="97"/>
  <c r="DE30" i="97"/>
  <c r="DE22" i="97"/>
  <c r="DE28" i="97"/>
  <c r="DE26" i="97"/>
  <c r="DE21" i="97"/>
  <c r="DE29" i="97"/>
  <c r="DE27" i="97"/>
  <c r="CV302" i="104" l="1"/>
  <c r="CV289" i="104"/>
  <c r="CV259" i="104"/>
  <c r="CV279" i="104"/>
  <c r="CV294" i="104"/>
  <c r="CV299" i="104"/>
  <c r="CV283" i="104"/>
  <c r="CV276" i="104"/>
  <c r="CV298" i="104"/>
  <c r="CV270" i="104"/>
  <c r="CV258" i="104"/>
  <c r="CV262" i="104"/>
  <c r="CV261" i="104"/>
  <c r="CV275" i="104"/>
  <c r="CV286" i="104"/>
  <c r="CV274" i="104"/>
  <c r="CV281" i="104"/>
  <c r="CV301" i="104"/>
  <c r="CV277" i="104"/>
  <c r="CV278" i="104"/>
  <c r="CV291" i="104"/>
  <c r="CV285" i="104"/>
  <c r="CV297" i="104"/>
  <c r="CV271" i="104"/>
  <c r="CV260" i="104"/>
  <c r="CV267" i="104"/>
  <c r="CV265" i="104"/>
  <c r="CV293" i="104"/>
  <c r="CV282" i="104"/>
  <c r="CV290" i="104"/>
  <c r="CV287" i="104"/>
  <c r="CV264" i="104"/>
  <c r="CV268" i="104"/>
  <c r="CV266" i="104"/>
  <c r="CV296" i="104"/>
  <c r="CV280" i="104"/>
  <c r="CV273" i="104"/>
  <c r="CV300" i="104"/>
  <c r="CV295" i="104"/>
  <c r="CV263" i="104"/>
  <c r="CV272" i="104"/>
  <c r="CV269" i="104"/>
  <c r="CV288" i="104"/>
  <c r="CV292" i="104"/>
  <c r="CV284" i="104"/>
  <c r="BQ120" i="104"/>
  <c r="BR120" i="104" s="1"/>
  <c r="DA303" i="104"/>
  <c r="BR140" i="104"/>
  <c r="BS140" i="104" s="1"/>
  <c r="BT140" i="104" s="1"/>
  <c r="BT121" i="104"/>
  <c r="BU121" i="104" s="1"/>
  <c r="BV121" i="104" s="1"/>
  <c r="BK154" i="104"/>
  <c r="BU152" i="104"/>
  <c r="BV152" i="104" s="1"/>
  <c r="BS130" i="104"/>
  <c r="BT130" i="104" s="1"/>
  <c r="BM112" i="104"/>
  <c r="BN112" i="104" s="1"/>
  <c r="BO112" i="104" s="1"/>
  <c r="BP112" i="104" s="1"/>
  <c r="BQ112" i="104" s="1"/>
  <c r="BR112" i="104" s="1"/>
  <c r="BS112" i="104" s="1"/>
  <c r="BT112" i="104" s="1"/>
  <c r="BU112" i="104" s="1"/>
  <c r="BV112" i="104" s="1"/>
  <c r="BJ116" i="104"/>
  <c r="BV125" i="104"/>
  <c r="BJ146" i="104"/>
  <c r="BK146" i="104" s="1"/>
  <c r="BL146" i="104" s="1"/>
  <c r="BM146" i="104" s="1"/>
  <c r="BN146" i="104" s="1"/>
  <c r="BO146" i="104" s="1"/>
  <c r="BP146" i="104" s="1"/>
  <c r="BQ146" i="104" s="1"/>
  <c r="BR146" i="104" s="1"/>
  <c r="BS146" i="104" s="1"/>
  <c r="BT146" i="104" s="1"/>
  <c r="BK107" i="104"/>
  <c r="BL107" i="104" s="1"/>
  <c r="BM107" i="104" s="1"/>
  <c r="BN107" i="104" s="1"/>
  <c r="BO107" i="104" s="1"/>
  <c r="BP107" i="104" s="1"/>
  <c r="BQ107" i="104" s="1"/>
  <c r="BR107" i="104" s="1"/>
  <c r="BS107" i="104" s="1"/>
  <c r="BT107" i="104" s="1"/>
  <c r="BV117" i="104"/>
  <c r="BK114" i="104"/>
  <c r="BL114" i="104" s="1"/>
  <c r="BM114" i="104" s="1"/>
  <c r="BN114" i="104" s="1"/>
  <c r="BO114" i="104" s="1"/>
  <c r="BP114" i="104" s="1"/>
  <c r="BQ114" i="104" s="1"/>
  <c r="BR114" i="104" s="1"/>
  <c r="BS114" i="104" s="1"/>
  <c r="BT114" i="104" s="1"/>
  <c r="BI134" i="104"/>
  <c r="BT109" i="104"/>
  <c r="BI144" i="104"/>
  <c r="BV129" i="104"/>
  <c r="BS133" i="104"/>
  <c r="BT133" i="104" s="1"/>
  <c r="BH132" i="104"/>
  <c r="BI132" i="104" s="1"/>
  <c r="BJ132" i="104" s="1"/>
  <c r="BK132" i="104" s="1"/>
  <c r="BL132" i="104" s="1"/>
  <c r="BM132" i="104" s="1"/>
  <c r="BN132" i="104" s="1"/>
  <c r="BO132" i="104" s="1"/>
  <c r="BP132" i="104" s="1"/>
  <c r="BH148" i="104"/>
  <c r="BI148" i="104" s="1"/>
  <c r="BJ148" i="104" s="1"/>
  <c r="BK148" i="104" s="1"/>
  <c r="BL148" i="104" s="1"/>
  <c r="BM148" i="104" s="1"/>
  <c r="BN148" i="104" s="1"/>
  <c r="BO148" i="104" s="1"/>
  <c r="BP148" i="104" s="1"/>
  <c r="BQ148" i="104" s="1"/>
  <c r="BR148" i="104" s="1"/>
  <c r="BS148" i="104" s="1"/>
  <c r="BK106" i="104"/>
  <c r="BL106" i="104" s="1"/>
  <c r="BM106" i="104" s="1"/>
  <c r="BN106" i="104" s="1"/>
  <c r="BO106" i="104" s="1"/>
  <c r="BP106" i="104" s="1"/>
  <c r="BQ106" i="104" s="1"/>
  <c r="BR106" i="104" s="1"/>
  <c r="BV147" i="104"/>
  <c r="BJ122" i="104"/>
  <c r="BK110" i="104"/>
  <c r="BI105" i="104"/>
  <c r="BE104" i="104"/>
  <c r="BC103" i="104"/>
  <c r="BB102" i="104"/>
  <c r="BB77" i="104"/>
  <c r="AT96" i="104"/>
  <c r="AV100" i="104"/>
  <c r="BA82" i="104"/>
  <c r="AY25" i="104"/>
  <c r="BA9" i="104"/>
  <c r="AV69" i="104"/>
  <c r="AX35" i="104"/>
  <c r="AX101" i="104"/>
  <c r="AU94" i="104"/>
  <c r="AX3" i="104"/>
  <c r="AY18" i="104"/>
  <c r="AW45" i="104"/>
  <c r="AX22" i="104"/>
  <c r="AY65" i="104"/>
  <c r="AZ26" i="104"/>
  <c r="BB32" i="104"/>
  <c r="BA52" i="104"/>
  <c r="AW21" i="104"/>
  <c r="AW60" i="104"/>
  <c r="AV39" i="104"/>
  <c r="AV78" i="104"/>
  <c r="BA46" i="104"/>
  <c r="BA16" i="104"/>
  <c r="AX38" i="104"/>
  <c r="AY24" i="104"/>
  <c r="AX80" i="104"/>
  <c r="AU70" i="104"/>
  <c r="AZ58" i="104"/>
  <c r="AZ13" i="104"/>
  <c r="AY55" i="104"/>
  <c r="BA10" i="104"/>
  <c r="AU59" i="104"/>
  <c r="BC73" i="104"/>
  <c r="AZ76" i="104"/>
  <c r="AY20" i="104"/>
  <c r="AV51" i="104"/>
  <c r="AW49" i="104"/>
  <c r="AV89" i="104"/>
  <c r="AY83" i="104"/>
  <c r="AY28" i="104"/>
  <c r="AX12" i="104"/>
  <c r="AW41" i="104"/>
  <c r="BA68" i="104"/>
  <c r="AY91" i="104"/>
  <c r="AW92" i="104"/>
  <c r="AY63" i="104"/>
  <c r="AW81" i="104"/>
  <c r="AV87" i="104"/>
  <c r="BA23" i="104"/>
  <c r="AZ93" i="104"/>
  <c r="AY67" i="104"/>
  <c r="BB62" i="104"/>
  <c r="AU88" i="104"/>
  <c r="AY54" i="104"/>
  <c r="AV5" i="104"/>
  <c r="AX42" i="104"/>
  <c r="AX48" i="104"/>
  <c r="AX44" i="104"/>
  <c r="AX34" i="104"/>
  <c r="AW64" i="104"/>
  <c r="AX14" i="104"/>
  <c r="AZ61" i="104"/>
  <c r="AX31" i="104"/>
  <c r="AY75" i="104"/>
  <c r="AX86" i="104"/>
  <c r="AY33" i="104"/>
  <c r="AX27" i="104"/>
  <c r="AX90" i="104"/>
  <c r="AZ43" i="104"/>
  <c r="AV85" i="104"/>
  <c r="AY71" i="104"/>
  <c r="BA56" i="104"/>
  <c r="AX29" i="104"/>
  <c r="AU99" i="104"/>
  <c r="AW57" i="104"/>
  <c r="AX72" i="104"/>
  <c r="AZ50" i="104"/>
  <c r="BA11" i="104"/>
  <c r="AZ95" i="104"/>
  <c r="AV19" i="104"/>
  <c r="AZ98" i="104"/>
  <c r="AU15" i="104"/>
  <c r="AY30" i="104"/>
  <c r="AX74" i="104"/>
  <c r="AY53" i="104"/>
  <c r="AX40" i="104"/>
  <c r="AZ47" i="104"/>
  <c r="AV84" i="104"/>
  <c r="AU37" i="104"/>
  <c r="AU66" i="104"/>
  <c r="AV7" i="104"/>
  <c r="AX17" i="104"/>
  <c r="AU4" i="104"/>
  <c r="AV6" i="104"/>
  <c r="AV8" i="104"/>
  <c r="AX79" i="104"/>
  <c r="AX36" i="104"/>
  <c r="BA97" i="104"/>
  <c r="CU303" i="104" l="1"/>
  <c r="BS120" i="104"/>
  <c r="BT120" i="104" s="1"/>
  <c r="BU120" i="104" s="1"/>
  <c r="BV120" i="104" s="1"/>
  <c r="BU140" i="104"/>
  <c r="BV140" i="104" s="1"/>
  <c r="BL154" i="104"/>
  <c r="BU130" i="104"/>
  <c r="BV130" i="104" s="1"/>
  <c r="BS106" i="104"/>
  <c r="BT106" i="104" s="1"/>
  <c r="BU106" i="104" s="1"/>
  <c r="BV106" i="104" s="1"/>
  <c r="BU133" i="104"/>
  <c r="BV133" i="104" s="1"/>
  <c r="BQ132" i="104"/>
  <c r="BR132" i="104" s="1"/>
  <c r="BS132" i="104" s="1"/>
  <c r="BK122" i="104"/>
  <c r="BJ144" i="104"/>
  <c r="BK144" i="104" s="1"/>
  <c r="BL144" i="104" s="1"/>
  <c r="BM144" i="104" s="1"/>
  <c r="BN144" i="104" s="1"/>
  <c r="BO144" i="104" s="1"/>
  <c r="BP144" i="104" s="1"/>
  <c r="BQ144" i="104" s="1"/>
  <c r="BR144" i="104" s="1"/>
  <c r="BS144" i="104" s="1"/>
  <c r="BU109" i="104"/>
  <c r="BV109" i="104" s="1"/>
  <c r="BU107" i="104"/>
  <c r="BV107" i="104" s="1"/>
  <c r="BU146" i="104"/>
  <c r="BV146" i="104" s="1"/>
  <c r="BT148" i="104"/>
  <c r="BU148" i="104" s="1"/>
  <c r="BL110" i="104"/>
  <c r="BJ134" i="104"/>
  <c r="BK134" i="104" s="1"/>
  <c r="BL134" i="104" s="1"/>
  <c r="BM134" i="104" s="1"/>
  <c r="BN134" i="104" s="1"/>
  <c r="BO134" i="104" s="1"/>
  <c r="BP134" i="104" s="1"/>
  <c r="BQ134" i="104" s="1"/>
  <c r="BR134" i="104" s="1"/>
  <c r="BU114" i="104"/>
  <c r="BV114" i="104" s="1"/>
  <c r="BK116" i="104"/>
  <c r="BJ105" i="104"/>
  <c r="BF104" i="104"/>
  <c r="BD103" i="104"/>
  <c r="BC102" i="104"/>
  <c r="BB97" i="104"/>
  <c r="AY36" i="104"/>
  <c r="AW8" i="104"/>
  <c r="AW84" i="104"/>
  <c r="AY40" i="104"/>
  <c r="AZ30" i="104"/>
  <c r="BA95" i="104"/>
  <c r="BA50" i="104"/>
  <c r="AX57" i="104"/>
  <c r="BB56" i="104"/>
  <c r="AY86" i="104"/>
  <c r="AY34" i="104"/>
  <c r="AZ54" i="104"/>
  <c r="AV88" i="104"/>
  <c r="AZ63" i="104"/>
  <c r="AY12" i="104"/>
  <c r="AX49" i="104"/>
  <c r="AW51" i="104"/>
  <c r="BA76" i="104"/>
  <c r="AV59" i="104"/>
  <c r="AY38" i="104"/>
  <c r="BB16" i="104"/>
  <c r="AW78" i="104"/>
  <c r="BA26" i="104"/>
  <c r="AX45" i="104"/>
  <c r="AZ18" i="104"/>
  <c r="AY3" i="104"/>
  <c r="AY35" i="104"/>
  <c r="AW69" i="104"/>
  <c r="BB9" i="104"/>
  <c r="AV66" i="104"/>
  <c r="AV37" i="104"/>
  <c r="BA47" i="104"/>
  <c r="AV15" i="104"/>
  <c r="AV99" i="104"/>
  <c r="AY29" i="104"/>
  <c r="BA43" i="104"/>
  <c r="AZ33" i="104"/>
  <c r="BA61" i="104"/>
  <c r="AY14" i="104"/>
  <c r="BC62" i="104"/>
  <c r="AZ67" i="104"/>
  <c r="AW87" i="104"/>
  <c r="AX81" i="104"/>
  <c r="BB68" i="104"/>
  <c r="AX41" i="104"/>
  <c r="AW89" i="104"/>
  <c r="AZ20" i="104"/>
  <c r="BD73" i="104"/>
  <c r="BB10" i="104"/>
  <c r="BB52" i="104"/>
  <c r="AY22" i="104"/>
  <c r="AV94" i="104"/>
  <c r="AY101" i="104"/>
  <c r="BA98" i="104"/>
  <c r="AZ71" i="104"/>
  <c r="AW85" i="104"/>
  <c r="AY27" i="104"/>
  <c r="AY31" i="104"/>
  <c r="AX64" i="104"/>
  <c r="AY42" i="104"/>
  <c r="BB23" i="104"/>
  <c r="AZ91" i="104"/>
  <c r="AZ83" i="104"/>
  <c r="AZ55" i="104"/>
  <c r="AV70" i="104"/>
  <c r="AY80" i="104"/>
  <c r="BB46" i="104"/>
  <c r="AW39" i="104"/>
  <c r="BC32" i="104"/>
  <c r="AZ65" i="104"/>
  <c r="AZ25" i="104"/>
  <c r="BB82" i="104"/>
  <c r="AW100" i="104"/>
  <c r="AU96" i="104"/>
  <c r="AW7" i="104"/>
  <c r="AY79" i="104"/>
  <c r="AW6" i="104"/>
  <c r="AV4" i="104"/>
  <c r="AY17" i="104"/>
  <c r="AZ53" i="104"/>
  <c r="AY74" i="104"/>
  <c r="AW19" i="104"/>
  <c r="BB11" i="104"/>
  <c r="AY72" i="104"/>
  <c r="AY90" i="104"/>
  <c r="AZ75" i="104"/>
  <c r="AY44" i="104"/>
  <c r="AY48" i="104"/>
  <c r="AW5" i="104"/>
  <c r="BA93" i="104"/>
  <c r="AX92" i="104"/>
  <c r="AZ28" i="104"/>
  <c r="BA13" i="104"/>
  <c r="BA58" i="104"/>
  <c r="AZ24" i="104"/>
  <c r="AX60" i="104"/>
  <c r="AX21" i="104"/>
  <c r="BC77" i="104"/>
  <c r="BQ157" i="104" l="1"/>
  <c r="BR157" i="104" s="1"/>
  <c r="BS157" i="104" s="1"/>
  <c r="BT157" i="104" s="1"/>
  <c r="BU157" i="104" s="1"/>
  <c r="BV157" i="104" s="1"/>
  <c r="BM154" i="104"/>
  <c r="BT132" i="104"/>
  <c r="BT144" i="104"/>
  <c r="BL122" i="104"/>
  <c r="BM122" i="104" s="1"/>
  <c r="BN122" i="104" s="1"/>
  <c r="BO122" i="104" s="1"/>
  <c r="BP122" i="104" s="1"/>
  <c r="BQ122" i="104" s="1"/>
  <c r="BR122" i="104" s="1"/>
  <c r="BS122" i="104" s="1"/>
  <c r="BT122" i="104" s="1"/>
  <c r="BL116" i="104"/>
  <c r="BM116" i="104" s="1"/>
  <c r="BN116" i="104" s="1"/>
  <c r="BO116" i="104" s="1"/>
  <c r="BP116" i="104" s="1"/>
  <c r="BQ116" i="104" s="1"/>
  <c r="BR116" i="104" s="1"/>
  <c r="BS116" i="104" s="1"/>
  <c r="BT116" i="104" s="1"/>
  <c r="BS134" i="104"/>
  <c r="BT134" i="104" s="1"/>
  <c r="BU134" i="104" s="1"/>
  <c r="BV134" i="104" s="1"/>
  <c r="BM110" i="104"/>
  <c r="BN110" i="104" s="1"/>
  <c r="BO110" i="104" s="1"/>
  <c r="BP110" i="104" s="1"/>
  <c r="BQ110" i="104" s="1"/>
  <c r="BR110" i="104" s="1"/>
  <c r="BS110" i="104" s="1"/>
  <c r="BT110" i="104" s="1"/>
  <c r="BU110" i="104" s="1"/>
  <c r="BV110" i="104" s="1"/>
  <c r="BV148" i="104"/>
  <c r="BK105" i="104"/>
  <c r="BG104" i="104"/>
  <c r="BE103" i="104"/>
  <c r="BB13" i="104"/>
  <c r="BB93" i="104"/>
  <c r="AZ90" i="104"/>
  <c r="AX19" i="104"/>
  <c r="BA53" i="104"/>
  <c r="AZ17" i="104"/>
  <c r="AX7" i="104"/>
  <c r="AX100" i="104"/>
  <c r="BD32" i="104"/>
  <c r="BA55" i="104"/>
  <c r="AY64" i="104"/>
  <c r="BA71" i="104"/>
  <c r="AW94" i="104"/>
  <c r="AZ22" i="104"/>
  <c r="BC10" i="104"/>
  <c r="AX87" i="104"/>
  <c r="AZ14" i="104"/>
  <c r="BA33" i="104"/>
  <c r="AZ29" i="104"/>
  <c r="AW15" i="104"/>
  <c r="AW37" i="104"/>
  <c r="AW66" i="104"/>
  <c r="AZ3" i="104"/>
  <c r="BA18" i="104"/>
  <c r="AZ12" i="104"/>
  <c r="BA63" i="104"/>
  <c r="BA54" i="104"/>
  <c r="AZ34" i="104"/>
  <c r="AY57" i="104"/>
  <c r="AX8" i="104"/>
  <c r="BD77" i="104"/>
  <c r="AX5" i="104"/>
  <c r="AZ44" i="104"/>
  <c r="BA75" i="104"/>
  <c r="BC11" i="104"/>
  <c r="AZ74" i="104"/>
  <c r="AZ79" i="104"/>
  <c r="BA83" i="104"/>
  <c r="BC23" i="104"/>
  <c r="AZ42" i="104"/>
  <c r="AZ27" i="104"/>
  <c r="AX85" i="104"/>
  <c r="BB98" i="104"/>
  <c r="BA20" i="104"/>
  <c r="AX89" i="104"/>
  <c r="BD62" i="104"/>
  <c r="BB43" i="104"/>
  <c r="BB47" i="104"/>
  <c r="BC9" i="104"/>
  <c r="AX69" i="104"/>
  <c r="BB26" i="104"/>
  <c r="BB76" i="104"/>
  <c r="AX84" i="104"/>
  <c r="AY21" i="104"/>
  <c r="AZ48" i="104"/>
  <c r="BC82" i="104"/>
  <c r="BA25" i="104"/>
  <c r="AX39" i="104"/>
  <c r="BC46" i="104"/>
  <c r="AW70" i="104"/>
  <c r="BC52" i="104"/>
  <c r="BE73" i="104"/>
  <c r="AY41" i="104"/>
  <c r="BC68" i="104"/>
  <c r="AY81" i="104"/>
  <c r="BA67" i="104"/>
  <c r="BB61" i="104"/>
  <c r="AZ35" i="104"/>
  <c r="AY45" i="104"/>
  <c r="AX78" i="104"/>
  <c r="AW59" i="104"/>
  <c r="AY49" i="104"/>
  <c r="AW88" i="104"/>
  <c r="AZ40" i="104"/>
  <c r="BC97" i="104"/>
  <c r="AY60" i="104"/>
  <c r="BA24" i="104"/>
  <c r="BB58" i="104"/>
  <c r="AY92" i="104"/>
  <c r="AZ72" i="104"/>
  <c r="BA28" i="104"/>
  <c r="AW4" i="104"/>
  <c r="AX6" i="104"/>
  <c r="AV96" i="104"/>
  <c r="BA65" i="104"/>
  <c r="AZ80" i="104"/>
  <c r="BA91" i="104"/>
  <c r="AZ31" i="104"/>
  <c r="AZ101" i="104"/>
  <c r="AW99" i="104"/>
  <c r="BC16" i="104"/>
  <c r="AZ38" i="104"/>
  <c r="AX51" i="104"/>
  <c r="AZ86" i="104"/>
  <c r="BC56" i="104"/>
  <c r="BB50" i="104"/>
  <c r="BB95" i="104"/>
  <c r="BA30" i="104"/>
  <c r="AZ36" i="104"/>
  <c r="BN154" i="104" l="1"/>
  <c r="BU132" i="104"/>
  <c r="BV132" i="104" s="1"/>
  <c r="BU122" i="104"/>
  <c r="BV122" i="104" s="1"/>
  <c r="BU116" i="104"/>
  <c r="BV116" i="104" s="1"/>
  <c r="BU144" i="104"/>
  <c r="BV144" i="104" s="1"/>
  <c r="BL105" i="104"/>
  <c r="BM105" i="104" s="1"/>
  <c r="BN105" i="104" s="1"/>
  <c r="BO105" i="104" s="1"/>
  <c r="BP105" i="104" s="1"/>
  <c r="BQ105" i="104" s="1"/>
  <c r="BR105" i="104" s="1"/>
  <c r="BS105" i="104" s="1"/>
  <c r="BH104" i="104"/>
  <c r="BF103" i="104"/>
  <c r="BA36" i="104"/>
  <c r="BD16" i="104"/>
  <c r="BA31" i="104"/>
  <c r="BB65" i="104"/>
  <c r="AY6" i="104"/>
  <c r="AX4" i="104"/>
  <c r="AX88" i="104"/>
  <c r="AX59" i="104"/>
  <c r="BD52" i="104"/>
  <c r="BD46" i="104"/>
  <c r="BD82" i="104"/>
  <c r="BA48" i="104"/>
  <c r="AY84" i="104"/>
  <c r="BC47" i="104"/>
  <c r="BA27" i="104"/>
  <c r="BA42" i="104"/>
  <c r="AY5" i="104"/>
  <c r="BA34" i="104"/>
  <c r="BA22" i="104"/>
  <c r="BC50" i="104"/>
  <c r="BA86" i="104"/>
  <c r="AY51" i="104"/>
  <c r="BA101" i="104"/>
  <c r="BA80" i="104"/>
  <c r="AZ92" i="104"/>
  <c r="AZ60" i="104"/>
  <c r="BD97" i="104"/>
  <c r="BA40" i="104"/>
  <c r="AZ49" i="104"/>
  <c r="BA35" i="104"/>
  <c r="AZ41" i="104"/>
  <c r="BB25" i="104"/>
  <c r="AY85" i="104"/>
  <c r="BD23" i="104"/>
  <c r="BA74" i="104"/>
  <c r="BD11" i="104"/>
  <c r="BA44" i="104"/>
  <c r="BA12" i="104"/>
  <c r="BA3" i="104"/>
  <c r="AX37" i="104"/>
  <c r="BA14" i="104"/>
  <c r="AY87" i="104"/>
  <c r="AY7" i="104"/>
  <c r="BB53" i="104"/>
  <c r="BB91" i="104"/>
  <c r="BC58" i="104"/>
  <c r="AY78" i="104"/>
  <c r="AZ45" i="104"/>
  <c r="BD68" i="104"/>
  <c r="BF73" i="104"/>
  <c r="AX70" i="104"/>
  <c r="AY39" i="104"/>
  <c r="AZ21" i="104"/>
  <c r="BC26" i="104"/>
  <c r="AY69" i="104"/>
  <c r="BD9" i="104"/>
  <c r="AY89" i="104"/>
  <c r="BC98" i="104"/>
  <c r="BA79" i="104"/>
  <c r="BE77" i="104"/>
  <c r="AY8" i="104"/>
  <c r="BB54" i="104"/>
  <c r="BB18" i="104"/>
  <c r="BB33" i="104"/>
  <c r="BD10" i="104"/>
  <c r="BB71" i="104"/>
  <c r="AZ64" i="104"/>
  <c r="BE32" i="104"/>
  <c r="AY100" i="104"/>
  <c r="BA17" i="104"/>
  <c r="AY19" i="104"/>
  <c r="BC93" i="104"/>
  <c r="BC13" i="104"/>
  <c r="BB30" i="104"/>
  <c r="AX99" i="104"/>
  <c r="BC95" i="104"/>
  <c r="BD56" i="104"/>
  <c r="BA38" i="104"/>
  <c r="AW96" i="104"/>
  <c r="BB28" i="104"/>
  <c r="BA72" i="104"/>
  <c r="BB24" i="104"/>
  <c r="BC61" i="104"/>
  <c r="BB67" i="104"/>
  <c r="AZ81" i="104"/>
  <c r="BC76" i="104"/>
  <c r="BC43" i="104"/>
  <c r="BE62" i="104"/>
  <c r="BB20" i="104"/>
  <c r="BB83" i="104"/>
  <c r="BB75" i="104"/>
  <c r="AZ57" i="104"/>
  <c r="BB63" i="104"/>
  <c r="AX66" i="104"/>
  <c r="AX15" i="104"/>
  <c r="BA29" i="104"/>
  <c r="AX94" i="104"/>
  <c r="BB55" i="104"/>
  <c r="BA90" i="104"/>
  <c r="CZ266" i="104" l="1"/>
  <c r="CZ269" i="104"/>
  <c r="CZ278" i="104"/>
  <c r="CZ282" i="104"/>
  <c r="CZ268" i="104"/>
  <c r="CZ270" i="104"/>
  <c r="CZ292" i="104"/>
  <c r="CZ264" i="104"/>
  <c r="CZ274" i="104"/>
  <c r="CZ289" i="104"/>
  <c r="CZ280" i="104"/>
  <c r="CZ298" i="104"/>
  <c r="CZ300" i="104"/>
  <c r="CZ265" i="104"/>
  <c r="CZ263" i="104"/>
  <c r="CZ286" i="104"/>
  <c r="CZ267" i="104"/>
  <c r="CZ287" i="104"/>
  <c r="CZ284" i="104"/>
  <c r="CZ291" i="104"/>
  <c r="CZ279" i="104"/>
  <c r="CZ295" i="104"/>
  <c r="CZ297" i="104"/>
  <c r="CZ293" i="104"/>
  <c r="CZ283" i="104"/>
  <c r="CZ301" i="104"/>
  <c r="CZ281" i="104"/>
  <c r="CZ272" i="104"/>
  <c r="CZ288" i="104"/>
  <c r="CZ302" i="104"/>
  <c r="CZ258" i="104"/>
  <c r="CZ259" i="104"/>
  <c r="CZ294" i="104"/>
  <c r="CZ273" i="104"/>
  <c r="CZ276" i="104"/>
  <c r="CZ296" i="104"/>
  <c r="CZ271" i="104"/>
  <c r="CZ261" i="104"/>
  <c r="CZ260" i="104"/>
  <c r="CZ275" i="104"/>
  <c r="CZ290" i="104"/>
  <c r="CZ285" i="104"/>
  <c r="CZ299" i="104"/>
  <c r="CZ262" i="104"/>
  <c r="CZ277" i="104"/>
  <c r="BO154" i="104"/>
  <c r="BI104" i="104"/>
  <c r="BG103" i="104"/>
  <c r="BH103" i="104" s="1"/>
  <c r="BI103" i="104" s="1"/>
  <c r="BC55" i="104"/>
  <c r="AY94" i="104"/>
  <c r="AY66" i="104"/>
  <c r="BC24" i="104"/>
  <c r="BB38" i="104"/>
  <c r="BD95" i="104"/>
  <c r="BB17" i="104"/>
  <c r="BC33" i="104"/>
  <c r="BE9" i="104"/>
  <c r="BD26" i="104"/>
  <c r="AZ39" i="104"/>
  <c r="AY70" i="104"/>
  <c r="BA45" i="104"/>
  <c r="BC91" i="104"/>
  <c r="BB3" i="104"/>
  <c r="BB12" i="104"/>
  <c r="BE11" i="104"/>
  <c r="BC25" i="104"/>
  <c r="BA60" i="104"/>
  <c r="BB34" i="104"/>
  <c r="BE46" i="104"/>
  <c r="AY59" i="104"/>
  <c r="AY88" i="104"/>
  <c r="BB31" i="104"/>
  <c r="BE16" i="104"/>
  <c r="BB36" i="104"/>
  <c r="BB90" i="104"/>
  <c r="BD43" i="104"/>
  <c r="BB72" i="104"/>
  <c r="AX96" i="104"/>
  <c r="BC30" i="104"/>
  <c r="BF32" i="104"/>
  <c r="BA64" i="104"/>
  <c r="BC71" i="104"/>
  <c r="BF77" i="104"/>
  <c r="AZ89" i="104"/>
  <c r="BG73" i="104"/>
  <c r="AZ7" i="104"/>
  <c r="BB14" i="104"/>
  <c r="AY37" i="104"/>
  <c r="BB80" i="104"/>
  <c r="BB101" i="104"/>
  <c r="BD50" i="104"/>
  <c r="BE52" i="104"/>
  <c r="BC20" i="104"/>
  <c r="BD61" i="104"/>
  <c r="BD93" i="104"/>
  <c r="BC54" i="104"/>
  <c r="BD98" i="104"/>
  <c r="AZ69" i="104"/>
  <c r="BE68" i="104"/>
  <c r="BD58" i="104"/>
  <c r="BB44" i="104"/>
  <c r="BA49" i="104"/>
  <c r="BE97" i="104"/>
  <c r="BB86" i="104"/>
  <c r="AZ5" i="104"/>
  <c r="BB48" i="104"/>
  <c r="AY4" i="104"/>
  <c r="AY15" i="104"/>
  <c r="BA57" i="104"/>
  <c r="BC75" i="104"/>
  <c r="BB29" i="104"/>
  <c r="BC63" i="104"/>
  <c r="BC83" i="104"/>
  <c r="BF62" i="104"/>
  <c r="BD76" i="104"/>
  <c r="BA81" i="104"/>
  <c r="BC67" i="104"/>
  <c r="BC28" i="104"/>
  <c r="BE56" i="104"/>
  <c r="AY99" i="104"/>
  <c r="BD13" i="104"/>
  <c r="AZ19" i="104"/>
  <c r="AZ100" i="104"/>
  <c r="BE10" i="104"/>
  <c r="BC18" i="104"/>
  <c r="AZ8" i="104"/>
  <c r="BB79" i="104"/>
  <c r="BA21" i="104"/>
  <c r="AZ78" i="104"/>
  <c r="BC53" i="104"/>
  <c r="AZ87" i="104"/>
  <c r="BB74" i="104"/>
  <c r="BE23" i="104"/>
  <c r="AZ85" i="104"/>
  <c r="BA41" i="104"/>
  <c r="BB35" i="104"/>
  <c r="BB40" i="104"/>
  <c r="BA92" i="104"/>
  <c r="AZ51" i="104"/>
  <c r="BB22" i="104"/>
  <c r="BB42" i="104"/>
  <c r="BB27" i="104"/>
  <c r="BD47" i="104"/>
  <c r="AZ84" i="104"/>
  <c r="BE82" i="104"/>
  <c r="AZ6" i="104"/>
  <c r="BC65" i="104"/>
  <c r="CY303" i="104" l="1"/>
  <c r="BP154" i="104"/>
  <c r="BT105" i="104"/>
  <c r="BU105" i="104" s="1"/>
  <c r="BV105" i="104" s="1"/>
  <c r="BJ104" i="104"/>
  <c r="BK104" i="104" s="1"/>
  <c r="BL104" i="104" s="1"/>
  <c r="BE47" i="104"/>
  <c r="BC42" i="104"/>
  <c r="BA78" i="104"/>
  <c r="BB21" i="104"/>
  <c r="BA8" i="104"/>
  <c r="BA19" i="104"/>
  <c r="BF56" i="104"/>
  <c r="BB81" i="104"/>
  <c r="BG62" i="104"/>
  <c r="BB49" i="104"/>
  <c r="BE50" i="104"/>
  <c r="BC80" i="104"/>
  <c r="BC14" i="104"/>
  <c r="BG77" i="104"/>
  <c r="BD71" i="104"/>
  <c r="BD30" i="104"/>
  <c r="AZ59" i="104"/>
  <c r="BC34" i="104"/>
  <c r="BD25" i="104"/>
  <c r="BF11" i="104"/>
  <c r="BC3" i="104"/>
  <c r="BD91" i="104"/>
  <c r="BB45" i="104"/>
  <c r="BE26" i="104"/>
  <c r="AZ66" i="104"/>
  <c r="AZ94" i="104"/>
  <c r="BD55" i="104"/>
  <c r="BC27" i="104"/>
  <c r="BC22" i="104"/>
  <c r="BA51" i="104"/>
  <c r="BC74" i="104"/>
  <c r="BA87" i="104"/>
  <c r="BC79" i="104"/>
  <c r="BD18" i="104"/>
  <c r="AZ99" i="104"/>
  <c r="BD75" i="104"/>
  <c r="AZ4" i="104"/>
  <c r="BC48" i="104"/>
  <c r="BF97" i="104"/>
  <c r="BA69" i="104"/>
  <c r="BE61" i="104"/>
  <c r="BF52" i="104"/>
  <c r="BB64" i="104"/>
  <c r="BG32" i="104"/>
  <c r="BE43" i="104"/>
  <c r="BB60" i="104"/>
  <c r="BC38" i="104"/>
  <c r="BD24" i="104"/>
  <c r="BD65" i="104"/>
  <c r="BF82" i="104"/>
  <c r="BC40" i="104"/>
  <c r="BF23" i="104"/>
  <c r="BD53" i="104"/>
  <c r="BF10" i="104"/>
  <c r="BE13" i="104"/>
  <c r="BD67" i="104"/>
  <c r="AZ15" i="104"/>
  <c r="BC86" i="104"/>
  <c r="BE98" i="104"/>
  <c r="BC101" i="104"/>
  <c r="AZ37" i="104"/>
  <c r="BC72" i="104"/>
  <c r="BC90" i="104"/>
  <c r="BC36" i="104"/>
  <c r="BF16" i="104"/>
  <c r="BC31" i="104"/>
  <c r="AZ88" i="104"/>
  <c r="BC12" i="104"/>
  <c r="BA39" i="104"/>
  <c r="BD33" i="104"/>
  <c r="BC17" i="104"/>
  <c r="BB92" i="104"/>
  <c r="BA6" i="104"/>
  <c r="BA84" i="104"/>
  <c r="BC35" i="104"/>
  <c r="BB41" i="104"/>
  <c r="BA85" i="104"/>
  <c r="BA100" i="104"/>
  <c r="BD28" i="104"/>
  <c r="BE76" i="104"/>
  <c r="BD83" i="104"/>
  <c r="BD63" i="104"/>
  <c r="BC29" i="104"/>
  <c r="BB57" i="104"/>
  <c r="BA5" i="104"/>
  <c r="BC44" i="104"/>
  <c r="BE58" i="104"/>
  <c r="BF68" i="104"/>
  <c r="BD54" i="104"/>
  <c r="BE93" i="104"/>
  <c r="BD20" i="104"/>
  <c r="BA7" i="104"/>
  <c r="BH73" i="104"/>
  <c r="BA89" i="104"/>
  <c r="AY96" i="104"/>
  <c r="BF46" i="104"/>
  <c r="AZ70" i="104"/>
  <c r="BF9" i="104"/>
  <c r="BE95" i="104"/>
  <c r="BQ154" i="104" l="1"/>
  <c r="BD102" i="104"/>
  <c r="BE20" i="104"/>
  <c r="BF95" i="104"/>
  <c r="BB89" i="104"/>
  <c r="BI73" i="104"/>
  <c r="BB5" i="104"/>
  <c r="BD29" i="104"/>
  <c r="BD90" i="104"/>
  <c r="BD86" i="104"/>
  <c r="BA15" i="104"/>
  <c r="BF13" i="104"/>
  <c r="BE53" i="104"/>
  <c r="BG23" i="104"/>
  <c r="BG82" i="104"/>
  <c r="BE65" i="104"/>
  <c r="BE24" i="104"/>
  <c r="BF61" i="104"/>
  <c r="BB69" i="104"/>
  <c r="BE75" i="104"/>
  <c r="BA99" i="104"/>
  <c r="BD74" i="104"/>
  <c r="BD22" i="104"/>
  <c r="BA94" i="104"/>
  <c r="BD3" i="104"/>
  <c r="BD34" i="104"/>
  <c r="BE30" i="104"/>
  <c r="BF50" i="104"/>
  <c r="BH62" i="104"/>
  <c r="BC81" i="104"/>
  <c r="BA70" i="104"/>
  <c r="BG46" i="104"/>
  <c r="AZ96" i="104"/>
  <c r="BF93" i="104"/>
  <c r="BE54" i="104"/>
  <c r="BC57" i="104"/>
  <c r="BB100" i="104"/>
  <c r="BB85" i="104"/>
  <c r="BC41" i="104"/>
  <c r="BE33" i="104"/>
  <c r="BA88" i="104"/>
  <c r="BC60" i="104"/>
  <c r="BG52" i="104"/>
  <c r="BD48" i="104"/>
  <c r="BD27" i="104"/>
  <c r="BA66" i="104"/>
  <c r="BF26" i="104"/>
  <c r="BE91" i="104"/>
  <c r="BG11" i="104"/>
  <c r="BH11" i="104" s="1"/>
  <c r="BI11" i="104" s="1"/>
  <c r="BJ11" i="104" s="1"/>
  <c r="BK11" i="104" s="1"/>
  <c r="BL11" i="104" s="1"/>
  <c r="BM11" i="104" s="1"/>
  <c r="BN11" i="104" s="1"/>
  <c r="BO11" i="104" s="1"/>
  <c r="BP11" i="104" s="1"/>
  <c r="BA59" i="104"/>
  <c r="BC21" i="104"/>
  <c r="BG9" i="104"/>
  <c r="BF58" i="104"/>
  <c r="BE83" i="104"/>
  <c r="BE28" i="104"/>
  <c r="BD35" i="104"/>
  <c r="BD17" i="104"/>
  <c r="BB39" i="104"/>
  <c r="BD31" i="104"/>
  <c r="BD36" i="104"/>
  <c r="BA37" i="104"/>
  <c r="BD101" i="104"/>
  <c r="BF98" i="104"/>
  <c r="BE67" i="104"/>
  <c r="BC64" i="104"/>
  <c r="BG97" i="104"/>
  <c r="BA4" i="104"/>
  <c r="BB87" i="104"/>
  <c r="BB51" i="104"/>
  <c r="BE55" i="104"/>
  <c r="BC45" i="104"/>
  <c r="BE25" i="104"/>
  <c r="BC49" i="104"/>
  <c r="BB19" i="104"/>
  <c r="BB8" i="104"/>
  <c r="BD42" i="104"/>
  <c r="BF47" i="104"/>
  <c r="BG68" i="104"/>
  <c r="BH68" i="104" s="1"/>
  <c r="BI68" i="104" s="1"/>
  <c r="BJ68" i="104" s="1"/>
  <c r="BK68" i="104" s="1"/>
  <c r="BL68" i="104" s="1"/>
  <c r="BM68" i="104" s="1"/>
  <c r="BN68" i="104" s="1"/>
  <c r="BD44" i="104"/>
  <c r="BE63" i="104"/>
  <c r="BF76" i="104"/>
  <c r="BB7" i="104"/>
  <c r="BB84" i="104"/>
  <c r="BB6" i="104"/>
  <c r="BC92" i="104"/>
  <c r="BD12" i="104"/>
  <c r="BG16" i="104"/>
  <c r="BD72" i="104"/>
  <c r="BG10" i="104"/>
  <c r="BD40" i="104"/>
  <c r="BD38" i="104"/>
  <c r="BF43" i="104"/>
  <c r="BH32" i="104"/>
  <c r="BE18" i="104"/>
  <c r="BD79" i="104"/>
  <c r="BE71" i="104"/>
  <c r="BH77" i="104"/>
  <c r="BD14" i="104"/>
  <c r="BD80" i="104"/>
  <c r="BG56" i="104"/>
  <c r="BB78" i="104"/>
  <c r="BR154" i="104" l="1"/>
  <c r="BJ103" i="104"/>
  <c r="BE102" i="104"/>
  <c r="BO68" i="104"/>
  <c r="BP68" i="104" s="1"/>
  <c r="BC78" i="104"/>
  <c r="BI77" i="104"/>
  <c r="BE40" i="104"/>
  <c r="BH16" i="104"/>
  <c r="BG47" i="104"/>
  <c r="BC8" i="104"/>
  <c r="BC19" i="104"/>
  <c r="BD49" i="104"/>
  <c r="BF25" i="104"/>
  <c r="BC87" i="104"/>
  <c r="BB4" i="104"/>
  <c r="BH97" i="104"/>
  <c r="BB37" i="104"/>
  <c r="BG26" i="104"/>
  <c r="BB66" i="104"/>
  <c r="BF54" i="104"/>
  <c r="BA96" i="104"/>
  <c r="BH46" i="104"/>
  <c r="BB70" i="104"/>
  <c r="BF75" i="104"/>
  <c r="BC69" i="104"/>
  <c r="BG61" i="104"/>
  <c r="BF24" i="104"/>
  <c r="BC89" i="104"/>
  <c r="BF71" i="104"/>
  <c r="BE79" i="104"/>
  <c r="BI32" i="104"/>
  <c r="BJ32" i="104" s="1"/>
  <c r="BK32" i="104" s="1"/>
  <c r="BL32" i="104" s="1"/>
  <c r="BM32" i="104" s="1"/>
  <c r="BN32" i="104" s="1"/>
  <c r="BO32" i="104" s="1"/>
  <c r="BP32" i="104" s="1"/>
  <c r="BH10" i="104"/>
  <c r="BI10" i="104" s="1"/>
  <c r="BJ10" i="104" s="1"/>
  <c r="BK10" i="104" s="1"/>
  <c r="BL10" i="104" s="1"/>
  <c r="BM10" i="104" s="1"/>
  <c r="BN10" i="104" s="1"/>
  <c r="BO10" i="104" s="1"/>
  <c r="BP10" i="104" s="1"/>
  <c r="BC7" i="104"/>
  <c r="BG76" i="104"/>
  <c r="BE44" i="104"/>
  <c r="BD64" i="104"/>
  <c r="BF28" i="104"/>
  <c r="BG58" i="104"/>
  <c r="BB59" i="104"/>
  <c r="BQ11" i="104"/>
  <c r="BH52" i="104"/>
  <c r="BF33" i="104"/>
  <c r="BC100" i="104"/>
  <c r="BD57" i="104"/>
  <c r="BD81" i="104"/>
  <c r="BE22" i="104"/>
  <c r="BB99" i="104"/>
  <c r="BH23" i="104"/>
  <c r="BI23" i="104" s="1"/>
  <c r="BJ23" i="104" s="1"/>
  <c r="BK23" i="104" s="1"/>
  <c r="BL23" i="104" s="1"/>
  <c r="BM23" i="104" s="1"/>
  <c r="BN23" i="104" s="1"/>
  <c r="BO23" i="104" s="1"/>
  <c r="BP23" i="104" s="1"/>
  <c r="BQ23" i="104" s="1"/>
  <c r="BE86" i="104"/>
  <c r="BC5" i="104"/>
  <c r="BF20" i="104"/>
  <c r="BE12" i="104"/>
  <c r="BD92" i="104"/>
  <c r="BF55" i="104"/>
  <c r="BC51" i="104"/>
  <c r="BE36" i="104"/>
  <c r="BE31" i="104"/>
  <c r="BC39" i="104"/>
  <c r="BF91" i="104"/>
  <c r="BE27" i="104"/>
  <c r="BE48" i="104"/>
  <c r="BB88" i="104"/>
  <c r="BD41" i="104"/>
  <c r="BC85" i="104"/>
  <c r="BG93" i="104"/>
  <c r="BI62" i="104"/>
  <c r="BG50" i="104"/>
  <c r="BH82" i="104"/>
  <c r="BG13" i="104"/>
  <c r="BB15" i="104"/>
  <c r="BE90" i="104"/>
  <c r="BE29" i="104"/>
  <c r="BG95" i="104"/>
  <c r="BH56" i="104"/>
  <c r="BE80" i="104"/>
  <c r="BE14" i="104"/>
  <c r="BF18" i="104"/>
  <c r="BG43" i="104"/>
  <c r="BE38" i="104"/>
  <c r="BE72" i="104"/>
  <c r="BC6" i="104"/>
  <c r="BC84" i="104"/>
  <c r="BF63" i="104"/>
  <c r="BE42" i="104"/>
  <c r="BD45" i="104"/>
  <c r="BF67" i="104"/>
  <c r="BG98" i="104"/>
  <c r="BE101" i="104"/>
  <c r="BE17" i="104"/>
  <c r="BE35" i="104"/>
  <c r="BF83" i="104"/>
  <c r="BH9" i="104"/>
  <c r="BD21" i="104"/>
  <c r="BD60" i="104"/>
  <c r="BF30" i="104"/>
  <c r="BE34" i="104"/>
  <c r="BE3" i="104"/>
  <c r="BB94" i="104"/>
  <c r="BE74" i="104"/>
  <c r="BF65" i="104"/>
  <c r="BF53" i="104"/>
  <c r="BJ73" i="104"/>
  <c r="BS154" i="104" l="1"/>
  <c r="BM104" i="104"/>
  <c r="BK103" i="104"/>
  <c r="BL103" i="104" s="1"/>
  <c r="BQ68" i="104"/>
  <c r="BR68" i="104" s="1"/>
  <c r="BF102" i="104"/>
  <c r="BQ32" i="104"/>
  <c r="BR32" i="104" s="1"/>
  <c r="BS32" i="104" s="1"/>
  <c r="BQ10" i="104"/>
  <c r="BR10" i="104" s="1"/>
  <c r="BF74" i="104"/>
  <c r="BC94" i="104"/>
  <c r="BE21" i="104"/>
  <c r="BF17" i="104"/>
  <c r="BG63" i="104"/>
  <c r="BD6" i="104"/>
  <c r="BF72" i="104"/>
  <c r="BH43" i="104"/>
  <c r="BF80" i="104"/>
  <c r="BI56" i="104"/>
  <c r="BH13" i="104"/>
  <c r="BC88" i="104"/>
  <c r="BG91" i="104"/>
  <c r="BD39" i="104"/>
  <c r="BD51" i="104"/>
  <c r="BE92" i="104"/>
  <c r="BD100" i="104"/>
  <c r="BD89" i="104"/>
  <c r="BD69" i="104"/>
  <c r="BC70" i="104"/>
  <c r="BB96" i="104"/>
  <c r="BH26" i="104"/>
  <c r="BD78" i="104"/>
  <c r="BF3" i="104"/>
  <c r="BH98" i="104"/>
  <c r="BI98" i="104" s="1"/>
  <c r="BJ98" i="104" s="1"/>
  <c r="BK98" i="104" s="1"/>
  <c r="BL98" i="104" s="1"/>
  <c r="BM98" i="104" s="1"/>
  <c r="BN98" i="104" s="1"/>
  <c r="BO98" i="104" s="1"/>
  <c r="BG67" i="104"/>
  <c r="BH67" i="104" s="1"/>
  <c r="BI67" i="104" s="1"/>
  <c r="BJ67" i="104" s="1"/>
  <c r="BK67" i="104" s="1"/>
  <c r="BL67" i="104" s="1"/>
  <c r="BM67" i="104" s="1"/>
  <c r="BN67" i="104" s="1"/>
  <c r="BO67" i="104" s="1"/>
  <c r="BE45" i="104"/>
  <c r="BG18" i="104"/>
  <c r="BH18" i="104" s="1"/>
  <c r="BI18" i="104" s="1"/>
  <c r="BJ18" i="104" s="1"/>
  <c r="BK18" i="104" s="1"/>
  <c r="BL18" i="104" s="1"/>
  <c r="BM18" i="104" s="1"/>
  <c r="BN18" i="104" s="1"/>
  <c r="BF29" i="104"/>
  <c r="BH50" i="104"/>
  <c r="BH93" i="104"/>
  <c r="BE41" i="104"/>
  <c r="BF48" i="104"/>
  <c r="BE57" i="104"/>
  <c r="BH58" i="104"/>
  <c r="BH76" i="104"/>
  <c r="BG24" i="104"/>
  <c r="BH24" i="104" s="1"/>
  <c r="BI24" i="104" s="1"/>
  <c r="BJ24" i="104" s="1"/>
  <c r="BK24" i="104" s="1"/>
  <c r="BL24" i="104" s="1"/>
  <c r="BM24" i="104" s="1"/>
  <c r="BN24" i="104" s="1"/>
  <c r="BO24" i="104" s="1"/>
  <c r="BG75" i="104"/>
  <c r="BC4" i="104"/>
  <c r="BR11" i="104"/>
  <c r="BH95" i="104"/>
  <c r="BC15" i="104"/>
  <c r="BJ62" i="104"/>
  <c r="BF27" i="104"/>
  <c r="BD5" i="104"/>
  <c r="BC99" i="104"/>
  <c r="BF22" i="104"/>
  <c r="BG33" i="104"/>
  <c r="BH33" i="104" s="1"/>
  <c r="BI33" i="104" s="1"/>
  <c r="BJ33" i="104" s="1"/>
  <c r="BK33" i="104" s="1"/>
  <c r="BL33" i="104" s="1"/>
  <c r="BM33" i="104" s="1"/>
  <c r="BN33" i="104" s="1"/>
  <c r="BO33" i="104" s="1"/>
  <c r="BC59" i="104"/>
  <c r="BF44" i="104"/>
  <c r="BD7" i="104"/>
  <c r="BF79" i="104"/>
  <c r="BG71" i="104"/>
  <c r="BH61" i="104"/>
  <c r="BG54" i="104"/>
  <c r="BC66" i="104"/>
  <c r="BC37" i="104"/>
  <c r="BI97" i="104"/>
  <c r="BD87" i="104"/>
  <c r="BG25" i="104"/>
  <c r="BE49" i="104"/>
  <c r="BD19" i="104"/>
  <c r="BF40" i="104"/>
  <c r="BK73" i="104"/>
  <c r="BL73" i="104" s="1"/>
  <c r="BM73" i="104" s="1"/>
  <c r="BN73" i="104" s="1"/>
  <c r="BO73" i="104" s="1"/>
  <c r="BP73" i="104" s="1"/>
  <c r="BQ73" i="104" s="1"/>
  <c r="BR73" i="104" s="1"/>
  <c r="BS73" i="104" s="1"/>
  <c r="BE60" i="104"/>
  <c r="BD84" i="104"/>
  <c r="BG53" i="104"/>
  <c r="BG65" i="104"/>
  <c r="BF34" i="104"/>
  <c r="BG30" i="104"/>
  <c r="BI9" i="104"/>
  <c r="BG83" i="104"/>
  <c r="BF35" i="104"/>
  <c r="BF101" i="104"/>
  <c r="BF42" i="104"/>
  <c r="BF38" i="104"/>
  <c r="BF14" i="104"/>
  <c r="BF90" i="104"/>
  <c r="BI82" i="104"/>
  <c r="BD85" i="104"/>
  <c r="BF31" i="104"/>
  <c r="BF36" i="104"/>
  <c r="BG55" i="104"/>
  <c r="BF12" i="104"/>
  <c r="BG20" i="104"/>
  <c r="BF86" i="104"/>
  <c r="BR23" i="104"/>
  <c r="BE81" i="104"/>
  <c r="BI52" i="104"/>
  <c r="BG28" i="104"/>
  <c r="BE64" i="104"/>
  <c r="BT32" i="104"/>
  <c r="BI46" i="104"/>
  <c r="BD8" i="104"/>
  <c r="BH47" i="104"/>
  <c r="BI16" i="104"/>
  <c r="BJ77" i="104"/>
  <c r="BT154" i="104" l="1"/>
  <c r="BN104" i="104"/>
  <c r="BM103" i="104"/>
  <c r="BO18" i="104"/>
  <c r="BP18" i="104" s="1"/>
  <c r="BQ18" i="104" s="1"/>
  <c r="BG102" i="104"/>
  <c r="BH102" i="104" s="1"/>
  <c r="BS23" i="104"/>
  <c r="BT23" i="104" s="1"/>
  <c r="BU23" i="104" s="1"/>
  <c r="BV23" i="104" s="1"/>
  <c r="BP98" i="104"/>
  <c r="BQ98" i="104" s="1"/>
  <c r="BR98" i="104" s="1"/>
  <c r="BP33" i="104"/>
  <c r="BP67" i="104"/>
  <c r="BQ67" i="104" s="1"/>
  <c r="BR67" i="104" s="1"/>
  <c r="BS67" i="104" s="1"/>
  <c r="BT73" i="104"/>
  <c r="BU73" i="104" s="1"/>
  <c r="BV73" i="104" s="1"/>
  <c r="BG36" i="104"/>
  <c r="BG14" i="104"/>
  <c r="BG101" i="104"/>
  <c r="BG35" i="104"/>
  <c r="BS68" i="104"/>
  <c r="BE19" i="104"/>
  <c r="BJ97" i="104"/>
  <c r="BD37" i="104"/>
  <c r="BH71" i="104"/>
  <c r="BD59" i="104"/>
  <c r="BE5" i="104"/>
  <c r="BG27" i="104"/>
  <c r="BF57" i="104"/>
  <c r="BG3" i="104"/>
  <c r="BE69" i="104"/>
  <c r="BE89" i="104"/>
  <c r="BD88" i="104"/>
  <c r="BE6" i="104"/>
  <c r="BH63" i="104"/>
  <c r="BF81" i="104"/>
  <c r="BG86" i="104"/>
  <c r="BH86" i="104" s="1"/>
  <c r="BI86" i="104" s="1"/>
  <c r="BJ86" i="104" s="1"/>
  <c r="BK86" i="104" s="1"/>
  <c r="BL86" i="104" s="1"/>
  <c r="BM86" i="104" s="1"/>
  <c r="BN86" i="104" s="1"/>
  <c r="BO86" i="104" s="1"/>
  <c r="BP86" i="104" s="1"/>
  <c r="BG12" i="104"/>
  <c r="BH12" i="104" s="1"/>
  <c r="BI12" i="104" s="1"/>
  <c r="BJ12" i="104" s="1"/>
  <c r="BK12" i="104" s="1"/>
  <c r="BL12" i="104" s="1"/>
  <c r="BM12" i="104" s="1"/>
  <c r="BN12" i="104" s="1"/>
  <c r="BJ82" i="104"/>
  <c r="BK82" i="104" s="1"/>
  <c r="BL82" i="104" s="1"/>
  <c r="BM82" i="104" s="1"/>
  <c r="BN82" i="104" s="1"/>
  <c r="BO82" i="104" s="1"/>
  <c r="BP82" i="104" s="1"/>
  <c r="BQ82" i="104" s="1"/>
  <c r="BR82" i="104" s="1"/>
  <c r="BG42" i="104"/>
  <c r="BH42" i="104" s="1"/>
  <c r="BI42" i="104" s="1"/>
  <c r="BJ42" i="104" s="1"/>
  <c r="BK42" i="104" s="1"/>
  <c r="BL42" i="104" s="1"/>
  <c r="BM42" i="104" s="1"/>
  <c r="BN42" i="104" s="1"/>
  <c r="BE84" i="104"/>
  <c r="BG40" i="104"/>
  <c r="BH40" i="104" s="1"/>
  <c r="BI40" i="104" s="1"/>
  <c r="BJ40" i="104" s="1"/>
  <c r="BK40" i="104" s="1"/>
  <c r="BL40" i="104" s="1"/>
  <c r="BM40" i="104" s="1"/>
  <c r="BN40" i="104" s="1"/>
  <c r="BO40" i="104" s="1"/>
  <c r="BF49" i="104"/>
  <c r="BI61" i="104"/>
  <c r="BE7" i="104"/>
  <c r="BI76" i="104"/>
  <c r="BG48" i="104"/>
  <c r="BI50" i="104"/>
  <c r="BE78" i="104"/>
  <c r="BI26" i="104"/>
  <c r="BD70" i="104"/>
  <c r="BE100" i="104"/>
  <c r="BI13" i="104"/>
  <c r="BJ13" i="104" s="1"/>
  <c r="BK13" i="104" s="1"/>
  <c r="BL13" i="104" s="1"/>
  <c r="BM13" i="104" s="1"/>
  <c r="BN13" i="104" s="1"/>
  <c r="BO13" i="104" s="1"/>
  <c r="BP13" i="104" s="1"/>
  <c r="BQ13" i="104" s="1"/>
  <c r="BG80" i="104"/>
  <c r="BH80" i="104" s="1"/>
  <c r="BI80" i="104" s="1"/>
  <c r="BJ80" i="104" s="1"/>
  <c r="BK80" i="104" s="1"/>
  <c r="BL80" i="104" s="1"/>
  <c r="BM80" i="104" s="1"/>
  <c r="BN80" i="104" s="1"/>
  <c r="BO80" i="104" s="1"/>
  <c r="BP80" i="104" s="1"/>
  <c r="BG17" i="104"/>
  <c r="BH17" i="104" s="1"/>
  <c r="BI17" i="104" s="1"/>
  <c r="BJ17" i="104" s="1"/>
  <c r="BK17" i="104" s="1"/>
  <c r="BL17" i="104" s="1"/>
  <c r="BM17" i="104" s="1"/>
  <c r="BN17" i="104" s="1"/>
  <c r="BO17" i="104" s="1"/>
  <c r="BD94" i="104"/>
  <c r="BG74" i="104"/>
  <c r="BK77" i="104"/>
  <c r="BH28" i="104"/>
  <c r="BG90" i="104"/>
  <c r="BH90" i="104" s="1"/>
  <c r="BI90" i="104" s="1"/>
  <c r="BJ90" i="104" s="1"/>
  <c r="BK90" i="104" s="1"/>
  <c r="BL90" i="104" s="1"/>
  <c r="BM90" i="104" s="1"/>
  <c r="BN90" i="104" s="1"/>
  <c r="BG38" i="104"/>
  <c r="BJ9" i="104"/>
  <c r="BH30" i="104"/>
  <c r="BH25" i="104"/>
  <c r="BD66" i="104"/>
  <c r="BG79" i="104"/>
  <c r="BK62" i="104"/>
  <c r="BD15" i="104"/>
  <c r="BS11" i="104"/>
  <c r="BT11" i="104" s="1"/>
  <c r="BU11" i="104" s="1"/>
  <c r="BS10" i="104"/>
  <c r="BT10" i="104" s="1"/>
  <c r="BU10" i="104" s="1"/>
  <c r="BV10" i="104" s="1"/>
  <c r="BI58" i="104"/>
  <c r="BF41" i="104"/>
  <c r="BG29" i="104"/>
  <c r="BU32" i="104"/>
  <c r="BV32" i="104" s="1"/>
  <c r="BF92" i="104"/>
  <c r="BE51" i="104"/>
  <c r="BE39" i="104"/>
  <c r="BI43" i="104"/>
  <c r="BG72" i="104"/>
  <c r="BJ16" i="104"/>
  <c r="BE8" i="104"/>
  <c r="BJ46" i="104"/>
  <c r="BJ52" i="104"/>
  <c r="BH20" i="104"/>
  <c r="BI47" i="104"/>
  <c r="BF64" i="104"/>
  <c r="BH55" i="104"/>
  <c r="BG31" i="104"/>
  <c r="BE85" i="104"/>
  <c r="BH83" i="104"/>
  <c r="BG34" i="104"/>
  <c r="BH65" i="104"/>
  <c r="BH53" i="104"/>
  <c r="BF60" i="104"/>
  <c r="BE87" i="104"/>
  <c r="BH54" i="104"/>
  <c r="BG44" i="104"/>
  <c r="BQ33" i="104"/>
  <c r="BG22" i="104"/>
  <c r="BD99" i="104"/>
  <c r="BI95" i="104"/>
  <c r="BD4" i="104"/>
  <c r="BH75" i="104"/>
  <c r="BP24" i="104"/>
  <c r="BI93" i="104"/>
  <c r="BF45" i="104"/>
  <c r="BC96" i="104"/>
  <c r="BH91" i="104"/>
  <c r="BJ56" i="104"/>
  <c r="BR18" i="104"/>
  <c r="BF21" i="104"/>
  <c r="I48" i="97"/>
  <c r="BU154" i="104" l="1"/>
  <c r="BV154" i="104" s="1"/>
  <c r="BO104" i="104"/>
  <c r="BP104" i="104" s="1"/>
  <c r="BQ104" i="104" s="1"/>
  <c r="BR104" i="104" s="1"/>
  <c r="BN103" i="104"/>
  <c r="BO103" i="104" s="1"/>
  <c r="BP103" i="104" s="1"/>
  <c r="BQ103" i="104" s="1"/>
  <c r="BR103" i="104" s="1"/>
  <c r="BS103" i="104" s="1"/>
  <c r="BT103" i="104" s="1"/>
  <c r="BI102" i="104"/>
  <c r="BO12" i="104"/>
  <c r="BP12" i="104" s="1"/>
  <c r="BP17" i="104"/>
  <c r="BQ17" i="104" s="1"/>
  <c r="BO42" i="104"/>
  <c r="BP42" i="104" s="1"/>
  <c r="BO90" i="104"/>
  <c r="BP90" i="104" s="1"/>
  <c r="BQ90" i="104" s="1"/>
  <c r="BR90" i="104" s="1"/>
  <c r="BQ80" i="104"/>
  <c r="BR80" i="104" s="1"/>
  <c r="BI91" i="104"/>
  <c r="BD96" i="104"/>
  <c r="BE4" i="104"/>
  <c r="BH44" i="104"/>
  <c r="BF87" i="104"/>
  <c r="BI83" i="104"/>
  <c r="BJ83" i="104" s="1"/>
  <c r="BK83" i="104" s="1"/>
  <c r="BL83" i="104" s="1"/>
  <c r="BM83" i="104" s="1"/>
  <c r="BN83" i="104" s="1"/>
  <c r="BO83" i="104" s="1"/>
  <c r="BH31" i="104"/>
  <c r="BJ47" i="104"/>
  <c r="BK47" i="104" s="1"/>
  <c r="BL47" i="104" s="1"/>
  <c r="BM47" i="104" s="1"/>
  <c r="BN47" i="104" s="1"/>
  <c r="BO47" i="104" s="1"/>
  <c r="BP47" i="104" s="1"/>
  <c r="BQ47" i="104" s="1"/>
  <c r="BR47" i="104" s="1"/>
  <c r="BJ43" i="104"/>
  <c r="BS98" i="104"/>
  <c r="BT98" i="104" s="1"/>
  <c r="BU98" i="104" s="1"/>
  <c r="BV98" i="104" s="1"/>
  <c r="BR33" i="104"/>
  <c r="BS33" i="104" s="1"/>
  <c r="BT33" i="104" s="1"/>
  <c r="BU33" i="104" s="1"/>
  <c r="BI28" i="104"/>
  <c r="BE70" i="104"/>
  <c r="BF78" i="104"/>
  <c r="BH48" i="104"/>
  <c r="BG81" i="104"/>
  <c r="BF89" i="104"/>
  <c r="BH3" i="104"/>
  <c r="BH27" i="104"/>
  <c r="BF5" i="104"/>
  <c r="BF19" i="104"/>
  <c r="BT68" i="104"/>
  <c r="BU68" i="104" s="1"/>
  <c r="BV68" i="104" s="1"/>
  <c r="BQ24" i="104"/>
  <c r="BR24" i="104" s="1"/>
  <c r="BE99" i="104"/>
  <c r="BI65" i="104"/>
  <c r="BI55" i="104"/>
  <c r="BJ55" i="104" s="1"/>
  <c r="BK55" i="104" s="1"/>
  <c r="BL55" i="104" s="1"/>
  <c r="BM55" i="104" s="1"/>
  <c r="BN55" i="104" s="1"/>
  <c r="BO55" i="104" s="1"/>
  <c r="BP55" i="104" s="1"/>
  <c r="BQ55" i="104" s="1"/>
  <c r="BR55" i="104" s="1"/>
  <c r="BI20" i="104"/>
  <c r="BJ20" i="104" s="1"/>
  <c r="BK20" i="104" s="1"/>
  <c r="BL20" i="104" s="1"/>
  <c r="BM20" i="104" s="1"/>
  <c r="BN20" i="104" s="1"/>
  <c r="BO20" i="104" s="1"/>
  <c r="BP20" i="104" s="1"/>
  <c r="BQ20" i="104" s="1"/>
  <c r="BK46" i="104"/>
  <c r="BF8" i="104"/>
  <c r="BK16" i="104"/>
  <c r="BL16" i="104" s="1"/>
  <c r="BM16" i="104" s="1"/>
  <c r="BN16" i="104" s="1"/>
  <c r="BO16" i="104" s="1"/>
  <c r="BP16" i="104" s="1"/>
  <c r="BQ16" i="104" s="1"/>
  <c r="BR16" i="104" s="1"/>
  <c r="BS16" i="104" s="1"/>
  <c r="BF39" i="104"/>
  <c r="BG92" i="104"/>
  <c r="BG41" i="104"/>
  <c r="BJ58" i="104"/>
  <c r="BK58" i="104" s="1"/>
  <c r="BL58" i="104" s="1"/>
  <c r="BM58" i="104" s="1"/>
  <c r="BN58" i="104" s="1"/>
  <c r="BO58" i="104" s="1"/>
  <c r="BP58" i="104" s="1"/>
  <c r="BQ58" i="104" s="1"/>
  <c r="BR58" i="104" s="1"/>
  <c r="BH79" i="104"/>
  <c r="BE66" i="104"/>
  <c r="BI25" i="104"/>
  <c r="BI30" i="104"/>
  <c r="BF100" i="104"/>
  <c r="BJ76" i="104"/>
  <c r="BK76" i="104" s="1"/>
  <c r="BL76" i="104" s="1"/>
  <c r="BM76" i="104" s="1"/>
  <c r="BN76" i="104" s="1"/>
  <c r="BO76" i="104" s="1"/>
  <c r="BP76" i="104" s="1"/>
  <c r="BQ76" i="104" s="1"/>
  <c r="BR76" i="104" s="1"/>
  <c r="BS76" i="104" s="1"/>
  <c r="BG49" i="104"/>
  <c r="BF84" i="104"/>
  <c r="BI71" i="104"/>
  <c r="BJ71" i="104" s="1"/>
  <c r="BK71" i="104" s="1"/>
  <c r="BL71" i="104" s="1"/>
  <c r="BM71" i="104" s="1"/>
  <c r="BN71" i="104" s="1"/>
  <c r="BO71" i="104" s="1"/>
  <c r="BP71" i="104" s="1"/>
  <c r="BQ71" i="104" s="1"/>
  <c r="BH14" i="104"/>
  <c r="BS18" i="104"/>
  <c r="BG64" i="104"/>
  <c r="BF51" i="104"/>
  <c r="BH29" i="104"/>
  <c r="BL62" i="104"/>
  <c r="BM62" i="104" s="1"/>
  <c r="BN62" i="104" s="1"/>
  <c r="BO62" i="104" s="1"/>
  <c r="BP62" i="104" s="1"/>
  <c r="BQ62" i="104" s="1"/>
  <c r="BR62" i="104" s="1"/>
  <c r="BS62" i="104" s="1"/>
  <c r="BT62" i="104" s="1"/>
  <c r="BU62" i="104" s="1"/>
  <c r="BV62" i="104" s="1"/>
  <c r="BL77" i="104"/>
  <c r="BM77" i="104" s="1"/>
  <c r="BN77" i="104" s="1"/>
  <c r="BO77" i="104" s="1"/>
  <c r="BP77" i="104" s="1"/>
  <c r="BQ77" i="104" s="1"/>
  <c r="BR77" i="104" s="1"/>
  <c r="BS77" i="104" s="1"/>
  <c r="BT77" i="104" s="1"/>
  <c r="BH74" i="104"/>
  <c r="BR13" i="104"/>
  <c r="BJ61" i="104"/>
  <c r="BI63" i="104"/>
  <c r="BF6" i="104"/>
  <c r="BE88" i="104"/>
  <c r="BF69" i="104"/>
  <c r="BK97" i="104"/>
  <c r="BH35" i="104"/>
  <c r="BH36" i="104"/>
  <c r="BG21" i="104"/>
  <c r="BH22" i="104"/>
  <c r="BI54" i="104"/>
  <c r="BK56" i="104"/>
  <c r="BG45" i="104"/>
  <c r="BJ93" i="104"/>
  <c r="BI75" i="104"/>
  <c r="BJ75" i="104" s="1"/>
  <c r="BK75" i="104" s="1"/>
  <c r="BL75" i="104" s="1"/>
  <c r="BM75" i="104" s="1"/>
  <c r="BN75" i="104" s="1"/>
  <c r="BO75" i="104" s="1"/>
  <c r="BP75" i="104" s="1"/>
  <c r="BQ75" i="104" s="1"/>
  <c r="BJ95" i="104"/>
  <c r="BG60" i="104"/>
  <c r="BI53" i="104"/>
  <c r="BH34" i="104"/>
  <c r="BF85" i="104"/>
  <c r="BK52" i="104"/>
  <c r="BH72" i="104"/>
  <c r="BV11" i="104"/>
  <c r="BE15" i="104"/>
  <c r="BK9" i="104"/>
  <c r="BL9" i="104" s="1"/>
  <c r="BM9" i="104" s="1"/>
  <c r="BN9" i="104" s="1"/>
  <c r="BO9" i="104" s="1"/>
  <c r="BP9" i="104" s="1"/>
  <c r="BQ9" i="104" s="1"/>
  <c r="BR9" i="104" s="1"/>
  <c r="BS9" i="104" s="1"/>
  <c r="BH38" i="104"/>
  <c r="BE94" i="104"/>
  <c r="BJ26" i="104"/>
  <c r="BJ50" i="104"/>
  <c r="BF7" i="104"/>
  <c r="BP40" i="104"/>
  <c r="BS82" i="104"/>
  <c r="BQ86" i="104"/>
  <c r="BG57" i="104"/>
  <c r="BE59" i="104"/>
  <c r="BE37" i="104"/>
  <c r="BH101" i="104"/>
  <c r="BT67" i="104"/>
  <c r="BU67" i="104" s="1"/>
  <c r="I47" i="97"/>
  <c r="I46" i="97"/>
  <c r="I45" i="97"/>
  <c r="I49" i="97"/>
  <c r="I44" i="97"/>
  <c r="BQ12" i="104" l="1"/>
  <c r="BR12" i="104" s="1"/>
  <c r="DC297" i="104"/>
  <c r="DC293" i="104"/>
  <c r="DC298" i="104"/>
  <c r="DC296" i="104"/>
  <c r="DC301" i="104"/>
  <c r="DC295" i="104"/>
  <c r="DC300" i="104"/>
  <c r="DC294" i="104"/>
  <c r="DC302" i="104"/>
  <c r="DC299" i="104"/>
  <c r="DC258" i="104"/>
  <c r="DC279" i="104"/>
  <c r="DC269" i="104"/>
  <c r="DC276" i="104"/>
  <c r="DC292" i="104"/>
  <c r="DC284" i="104"/>
  <c r="DC282" i="104"/>
  <c r="DC270" i="104"/>
  <c r="CA274" i="104" s="1"/>
  <c r="DC291" i="104"/>
  <c r="DC280" i="104"/>
  <c r="DC261" i="104"/>
  <c r="DC290" i="104"/>
  <c r="DC263" i="104"/>
  <c r="DC264" i="104"/>
  <c r="DC273" i="104"/>
  <c r="DC277" i="104"/>
  <c r="DC260" i="104"/>
  <c r="DC266" i="104"/>
  <c r="DC283" i="104"/>
  <c r="DC287" i="104"/>
  <c r="DC267" i="104"/>
  <c r="DC288" i="104"/>
  <c r="DC278" i="104"/>
  <c r="DC265" i="104"/>
  <c r="DC285" i="104"/>
  <c r="DC271" i="104"/>
  <c r="DC262" i="104"/>
  <c r="DC272" i="104"/>
  <c r="DC289" i="104"/>
  <c r="DC274" i="104"/>
  <c r="DC275" i="104"/>
  <c r="DC268" i="104"/>
  <c r="DC281" i="104"/>
  <c r="DC286" i="104"/>
  <c r="DC259" i="104"/>
  <c r="BS104" i="104"/>
  <c r="BT104" i="104" s="1"/>
  <c r="BU104" i="104" s="1"/>
  <c r="BV104" i="104" s="1"/>
  <c r="BU103" i="104"/>
  <c r="BV103" i="104" s="1"/>
  <c r="BJ102" i="104"/>
  <c r="BR71" i="104"/>
  <c r="BS71" i="104" s="1"/>
  <c r="BT71" i="104" s="1"/>
  <c r="BT9" i="104"/>
  <c r="BU9" i="104" s="1"/>
  <c r="BV9" i="104" s="1"/>
  <c r="BS58" i="104"/>
  <c r="BT58" i="104" s="1"/>
  <c r="BR20" i="104"/>
  <c r="BS20" i="104" s="1"/>
  <c r="BT20" i="104" s="1"/>
  <c r="BR75" i="104"/>
  <c r="BS75" i="104" s="1"/>
  <c r="BU77" i="104"/>
  <c r="BV77" i="104" s="1"/>
  <c r="BP83" i="104"/>
  <c r="BQ83" i="104" s="1"/>
  <c r="BT76" i="104"/>
  <c r="BU76" i="104" s="1"/>
  <c r="BV76" i="104" s="1"/>
  <c r="BT16" i="104"/>
  <c r="BU16" i="104" s="1"/>
  <c r="BI101" i="104"/>
  <c r="BQ42" i="104"/>
  <c r="BR42" i="104" s="1"/>
  <c r="BK26" i="104"/>
  <c r="BL26" i="104" s="1"/>
  <c r="BM26" i="104" s="1"/>
  <c r="BN26" i="104" s="1"/>
  <c r="BO26" i="104" s="1"/>
  <c r="BP26" i="104" s="1"/>
  <c r="BQ26" i="104" s="1"/>
  <c r="BR26" i="104" s="1"/>
  <c r="BS26" i="104" s="1"/>
  <c r="BF94" i="104"/>
  <c r="BI38" i="104"/>
  <c r="BJ38" i="104" s="1"/>
  <c r="BK38" i="104" s="1"/>
  <c r="BL38" i="104" s="1"/>
  <c r="BM38" i="104" s="1"/>
  <c r="BN38" i="104" s="1"/>
  <c r="BO38" i="104" s="1"/>
  <c r="BP38" i="104" s="1"/>
  <c r="BJ54" i="104"/>
  <c r="BI22" i="104"/>
  <c r="BI36" i="104"/>
  <c r="BL97" i="104"/>
  <c r="BF66" i="104"/>
  <c r="BI79" i="104"/>
  <c r="BG39" i="104"/>
  <c r="BS24" i="104"/>
  <c r="BT24" i="104" s="1"/>
  <c r="BU24" i="104" s="1"/>
  <c r="BV24" i="104" s="1"/>
  <c r="BG5" i="104"/>
  <c r="BI48" i="104"/>
  <c r="BJ48" i="104" s="1"/>
  <c r="BK48" i="104" s="1"/>
  <c r="BL48" i="104" s="1"/>
  <c r="BM48" i="104" s="1"/>
  <c r="BN48" i="104" s="1"/>
  <c r="BO48" i="104" s="1"/>
  <c r="BP48" i="104" s="1"/>
  <c r="BQ48" i="104" s="1"/>
  <c r="BR48" i="104" s="1"/>
  <c r="BF70" i="104"/>
  <c r="BJ28" i="104"/>
  <c r="BG87" i="104"/>
  <c r="BS12" i="104"/>
  <c r="BT12" i="104" s="1"/>
  <c r="BU12" i="104" s="1"/>
  <c r="BV33" i="104"/>
  <c r="BI72" i="104"/>
  <c r="BJ72" i="104" s="1"/>
  <c r="BK72" i="104" s="1"/>
  <c r="BL72" i="104" s="1"/>
  <c r="BM72" i="104" s="1"/>
  <c r="BN72" i="104" s="1"/>
  <c r="BO72" i="104" s="1"/>
  <c r="BP72" i="104" s="1"/>
  <c r="BQ72" i="104" s="1"/>
  <c r="BG85" i="104"/>
  <c r="BH85" i="104" s="1"/>
  <c r="BI85" i="104" s="1"/>
  <c r="BJ85" i="104" s="1"/>
  <c r="BK85" i="104" s="1"/>
  <c r="BL85" i="104" s="1"/>
  <c r="BM85" i="104" s="1"/>
  <c r="BN85" i="104" s="1"/>
  <c r="BO85" i="104" s="1"/>
  <c r="BP85" i="104" s="1"/>
  <c r="BK93" i="104"/>
  <c r="BV67" i="104"/>
  <c r="BG6" i="104"/>
  <c r="BI74" i="104"/>
  <c r="BI14" i="104"/>
  <c r="BJ25" i="104"/>
  <c r="BH41" i="104"/>
  <c r="BH92" i="104"/>
  <c r="BG8" i="104"/>
  <c r="BL46" i="104"/>
  <c r="BM46" i="104" s="1"/>
  <c r="BN46" i="104" s="1"/>
  <c r="BO46" i="104" s="1"/>
  <c r="BP46" i="104" s="1"/>
  <c r="BQ46" i="104" s="1"/>
  <c r="BR46" i="104" s="1"/>
  <c r="BS46" i="104" s="1"/>
  <c r="BT46" i="104" s="1"/>
  <c r="BU46" i="104" s="1"/>
  <c r="BS55" i="104"/>
  <c r="BI27" i="104"/>
  <c r="BH81" i="104"/>
  <c r="BG78" i="104"/>
  <c r="BK43" i="104"/>
  <c r="BS47" i="104"/>
  <c r="BT47" i="104" s="1"/>
  <c r="BI31" i="104"/>
  <c r="BF4" i="104"/>
  <c r="BT18" i="104"/>
  <c r="BU18" i="104" s="1"/>
  <c r="BV18" i="104" s="1"/>
  <c r="BF59" i="104"/>
  <c r="BQ40" i="104"/>
  <c r="BG7" i="104"/>
  <c r="BK50" i="104"/>
  <c r="BR17" i="104"/>
  <c r="BS17" i="104" s="1"/>
  <c r="BT17" i="104" s="1"/>
  <c r="BU17" i="104" s="1"/>
  <c r="BL52" i="104"/>
  <c r="BH60" i="104"/>
  <c r="BK95" i="104"/>
  <c r="BI35" i="104"/>
  <c r="BG69" i="104"/>
  <c r="BK61" i="104"/>
  <c r="BL61" i="104" s="1"/>
  <c r="BM61" i="104" s="1"/>
  <c r="BN61" i="104" s="1"/>
  <c r="BO61" i="104" s="1"/>
  <c r="BP61" i="104" s="1"/>
  <c r="BQ61" i="104" s="1"/>
  <c r="BR61" i="104" s="1"/>
  <c r="BS61" i="104" s="1"/>
  <c r="BT61" i="104" s="1"/>
  <c r="BI29" i="104"/>
  <c r="BH64" i="104"/>
  <c r="BH49" i="104"/>
  <c r="BJ65" i="104"/>
  <c r="BF99" i="104"/>
  <c r="BG89" i="104"/>
  <c r="BS90" i="104"/>
  <c r="BI44" i="104"/>
  <c r="BE96" i="104"/>
  <c r="BT82" i="104"/>
  <c r="BU82" i="104" s="1"/>
  <c r="BV82" i="104" s="1"/>
  <c r="BF37" i="104"/>
  <c r="BH57" i="104"/>
  <c r="BF15" i="104"/>
  <c r="BI34" i="104"/>
  <c r="BJ53" i="104"/>
  <c r="BH45" i="104"/>
  <c r="BL56" i="104"/>
  <c r="BM56" i="104" s="1"/>
  <c r="BN56" i="104" s="1"/>
  <c r="BO56" i="104" s="1"/>
  <c r="BP56" i="104" s="1"/>
  <c r="BQ56" i="104" s="1"/>
  <c r="BR56" i="104" s="1"/>
  <c r="BS56" i="104" s="1"/>
  <c r="BT56" i="104" s="1"/>
  <c r="BH21" i="104"/>
  <c r="BF88" i="104"/>
  <c r="BJ63" i="104"/>
  <c r="BG51" i="104"/>
  <c r="BG84" i="104"/>
  <c r="BG100" i="104"/>
  <c r="BJ30" i="104"/>
  <c r="BG19" i="104"/>
  <c r="BI3" i="104"/>
  <c r="BR86" i="104"/>
  <c r="BS13" i="104"/>
  <c r="BJ91" i="104"/>
  <c r="BS80" i="104"/>
  <c r="AB303" i="104" l="1"/>
  <c r="CA43" i="104"/>
  <c r="CA303" i="104"/>
  <c r="BT80" i="104"/>
  <c r="BU80" i="104" s="1"/>
  <c r="BV80" i="104" s="1"/>
  <c r="BU71" i="104"/>
  <c r="BV71" i="104" s="1"/>
  <c r="BU58" i="104"/>
  <c r="BV58" i="104" s="1"/>
  <c r="BT26" i="104"/>
  <c r="BU26" i="104" s="1"/>
  <c r="BV26" i="104" s="1"/>
  <c r="BU20" i="104"/>
  <c r="BV20" i="104" s="1"/>
  <c r="DH303" i="104"/>
  <c r="BR83" i="104"/>
  <c r="BS83" i="104" s="1"/>
  <c r="BK102" i="104"/>
  <c r="BL102" i="104" s="1"/>
  <c r="BM102" i="104" s="1"/>
  <c r="BS42" i="104"/>
  <c r="BT42" i="104" s="1"/>
  <c r="BU42" i="104" s="1"/>
  <c r="BV42" i="104" s="1"/>
  <c r="BU56" i="104"/>
  <c r="BV56" i="104" s="1"/>
  <c r="BV16" i="104"/>
  <c r="BR40" i="104"/>
  <c r="BS40" i="104" s="1"/>
  <c r="BV17" i="104"/>
  <c r="BT75" i="104"/>
  <c r="BU75" i="104" s="1"/>
  <c r="BV75" i="104" s="1"/>
  <c r="BU47" i="104"/>
  <c r="BV47" i="104" s="1"/>
  <c r="BS48" i="104"/>
  <c r="BQ38" i="104"/>
  <c r="BJ3" i="104"/>
  <c r="BK3" i="104" s="1"/>
  <c r="BL3" i="104" s="1"/>
  <c r="BM3" i="104" s="1"/>
  <c r="BN3" i="104" s="1"/>
  <c r="BO3" i="104" s="1"/>
  <c r="BP3" i="104" s="1"/>
  <c r="BQ3" i="104" s="1"/>
  <c r="BR3" i="104" s="1"/>
  <c r="BH84" i="104"/>
  <c r="BK63" i="104"/>
  <c r="BL63" i="104" s="1"/>
  <c r="BM63" i="104" s="1"/>
  <c r="BN63" i="104" s="1"/>
  <c r="BO63" i="104" s="1"/>
  <c r="BP63" i="104" s="1"/>
  <c r="BQ63" i="104" s="1"/>
  <c r="BR63" i="104" s="1"/>
  <c r="BI21" i="104"/>
  <c r="BJ21" i="104" s="1"/>
  <c r="BK21" i="104" s="1"/>
  <c r="BL21" i="104" s="1"/>
  <c r="BM21" i="104" s="1"/>
  <c r="BN21" i="104" s="1"/>
  <c r="BO21" i="104" s="1"/>
  <c r="BP21" i="104" s="1"/>
  <c r="BI45" i="104"/>
  <c r="BJ45" i="104" s="1"/>
  <c r="BK45" i="104" s="1"/>
  <c r="BL45" i="104" s="1"/>
  <c r="BM45" i="104" s="1"/>
  <c r="BN45" i="104" s="1"/>
  <c r="BO45" i="104" s="1"/>
  <c r="BP45" i="104" s="1"/>
  <c r="BJ34" i="104"/>
  <c r="BI57" i="104"/>
  <c r="BG37" i="104"/>
  <c r="BH89" i="104"/>
  <c r="BU61" i="104"/>
  <c r="BV61" i="104" s="1"/>
  <c r="BG59" i="104"/>
  <c r="BJ31" i="104"/>
  <c r="BI92" i="104"/>
  <c r="BJ92" i="104" s="1"/>
  <c r="BK92" i="104" s="1"/>
  <c r="BL92" i="104" s="1"/>
  <c r="BS86" i="104"/>
  <c r="BJ22" i="104"/>
  <c r="BK22" i="104" s="1"/>
  <c r="BL22" i="104" s="1"/>
  <c r="BM22" i="104" s="1"/>
  <c r="BN22" i="104" s="1"/>
  <c r="BO22" i="104" s="1"/>
  <c r="BP22" i="104" s="1"/>
  <c r="BQ22" i="104" s="1"/>
  <c r="BR22" i="104" s="1"/>
  <c r="BS22" i="104" s="1"/>
  <c r="BR38" i="104"/>
  <c r="BS38" i="104" s="1"/>
  <c r="BG94" i="104"/>
  <c r="BH19" i="104"/>
  <c r="BI19" i="104" s="1"/>
  <c r="BJ19" i="104" s="1"/>
  <c r="BK19" i="104" s="1"/>
  <c r="BL19" i="104" s="1"/>
  <c r="BM19" i="104" s="1"/>
  <c r="BN19" i="104" s="1"/>
  <c r="BO19" i="104" s="1"/>
  <c r="BP19" i="104" s="1"/>
  <c r="BK30" i="104"/>
  <c r="BL30" i="104" s="1"/>
  <c r="BM30" i="104" s="1"/>
  <c r="BN30" i="104" s="1"/>
  <c r="BO30" i="104" s="1"/>
  <c r="BP30" i="104" s="1"/>
  <c r="BQ30" i="104" s="1"/>
  <c r="BR30" i="104" s="1"/>
  <c r="BS30" i="104" s="1"/>
  <c r="BF96" i="104"/>
  <c r="BI49" i="104"/>
  <c r="BH69" i="104"/>
  <c r="BJ35" i="104"/>
  <c r="BK35" i="104" s="1"/>
  <c r="BL35" i="104" s="1"/>
  <c r="BM35" i="104" s="1"/>
  <c r="BN35" i="104" s="1"/>
  <c r="BO35" i="104" s="1"/>
  <c r="BP35" i="104" s="1"/>
  <c r="BQ35" i="104" s="1"/>
  <c r="BR35" i="104" s="1"/>
  <c r="BI60" i="104"/>
  <c r="BM52" i="104"/>
  <c r="BN52" i="104" s="1"/>
  <c r="BO52" i="104" s="1"/>
  <c r="BP52" i="104" s="1"/>
  <c r="BQ52" i="104" s="1"/>
  <c r="BR52" i="104" s="1"/>
  <c r="BS52" i="104" s="1"/>
  <c r="BT52" i="104" s="1"/>
  <c r="BL50" i="104"/>
  <c r="BM50" i="104" s="1"/>
  <c r="BN50" i="104" s="1"/>
  <c r="BO50" i="104" s="1"/>
  <c r="BP50" i="104" s="1"/>
  <c r="BQ50" i="104" s="1"/>
  <c r="BR50" i="104" s="1"/>
  <c r="BS50" i="104" s="1"/>
  <c r="BH7" i="104"/>
  <c r="BI7" i="104" s="1"/>
  <c r="BJ7" i="104" s="1"/>
  <c r="BK7" i="104" s="1"/>
  <c r="BL7" i="104" s="1"/>
  <c r="BM7" i="104" s="1"/>
  <c r="BN7" i="104" s="1"/>
  <c r="BO7" i="104" s="1"/>
  <c r="BP7" i="104" s="1"/>
  <c r="BJ27" i="104"/>
  <c r="BK27" i="104" s="1"/>
  <c r="BL27" i="104" s="1"/>
  <c r="BM27" i="104" s="1"/>
  <c r="BN27" i="104" s="1"/>
  <c r="BO27" i="104" s="1"/>
  <c r="BP27" i="104" s="1"/>
  <c r="BQ27" i="104" s="1"/>
  <c r="BR27" i="104" s="1"/>
  <c r="BS27" i="104" s="1"/>
  <c r="BH8" i="104"/>
  <c r="BI8" i="104" s="1"/>
  <c r="BJ8" i="104" s="1"/>
  <c r="BK8" i="104" s="1"/>
  <c r="BL8" i="104" s="1"/>
  <c r="BM8" i="104" s="1"/>
  <c r="BN8" i="104" s="1"/>
  <c r="BO8" i="104" s="1"/>
  <c r="BP8" i="104" s="1"/>
  <c r="BQ8" i="104" s="1"/>
  <c r="BR8" i="104" s="1"/>
  <c r="BJ14" i="104"/>
  <c r="BH6" i="104"/>
  <c r="BL93" i="104"/>
  <c r="BM93" i="104" s="1"/>
  <c r="BN93" i="104" s="1"/>
  <c r="BO93" i="104" s="1"/>
  <c r="BP93" i="104" s="1"/>
  <c r="BQ93" i="104" s="1"/>
  <c r="BR93" i="104" s="1"/>
  <c r="BS93" i="104" s="1"/>
  <c r="BT93" i="104" s="1"/>
  <c r="BU93" i="104" s="1"/>
  <c r="BK28" i="104"/>
  <c r="BJ79" i="104"/>
  <c r="BK79" i="104" s="1"/>
  <c r="BL79" i="104" s="1"/>
  <c r="BM79" i="104" s="1"/>
  <c r="BN79" i="104" s="1"/>
  <c r="BO79" i="104" s="1"/>
  <c r="BP79" i="104" s="1"/>
  <c r="BQ79" i="104" s="1"/>
  <c r="BJ36" i="104"/>
  <c r="BK36" i="104" s="1"/>
  <c r="BL36" i="104" s="1"/>
  <c r="BM36" i="104" s="1"/>
  <c r="BN36" i="104" s="1"/>
  <c r="BO36" i="104" s="1"/>
  <c r="BP36" i="104" s="1"/>
  <c r="BQ36" i="104" s="1"/>
  <c r="BK91" i="104"/>
  <c r="BH100" i="104"/>
  <c r="BI100" i="104" s="1"/>
  <c r="BJ100" i="104" s="1"/>
  <c r="BK100" i="104" s="1"/>
  <c r="BL100" i="104" s="1"/>
  <c r="BM100" i="104" s="1"/>
  <c r="BN100" i="104" s="1"/>
  <c r="BO100" i="104" s="1"/>
  <c r="BP100" i="104" s="1"/>
  <c r="BQ100" i="104" s="1"/>
  <c r="BG15" i="104"/>
  <c r="BJ44" i="104"/>
  <c r="BK65" i="104"/>
  <c r="BJ29" i="104"/>
  <c r="BV12" i="104"/>
  <c r="BI81" i="104"/>
  <c r="BT55" i="104"/>
  <c r="BU55" i="104" s="1"/>
  <c r="BV55" i="104" s="1"/>
  <c r="BK25" i="104"/>
  <c r="BT86" i="104"/>
  <c r="BU86" i="104" s="1"/>
  <c r="BV86" i="104" s="1"/>
  <c r="BG70" i="104"/>
  <c r="BH39" i="104"/>
  <c r="BG66" i="104"/>
  <c r="BH66" i="104" s="1"/>
  <c r="BI66" i="104" s="1"/>
  <c r="BJ66" i="104" s="1"/>
  <c r="BK66" i="104" s="1"/>
  <c r="BL66" i="104" s="1"/>
  <c r="BM66" i="104" s="1"/>
  <c r="BN66" i="104" s="1"/>
  <c r="BO66" i="104" s="1"/>
  <c r="BP66" i="104" s="1"/>
  <c r="BK54" i="104"/>
  <c r="BL54" i="104" s="1"/>
  <c r="BM54" i="104" s="1"/>
  <c r="BN54" i="104" s="1"/>
  <c r="BO54" i="104" s="1"/>
  <c r="BP54" i="104" s="1"/>
  <c r="BQ54" i="104" s="1"/>
  <c r="BR54" i="104" s="1"/>
  <c r="BJ101" i="104"/>
  <c r="BT90" i="104"/>
  <c r="BH51" i="104"/>
  <c r="BG88" i="104"/>
  <c r="BK53" i="104"/>
  <c r="BT13" i="104"/>
  <c r="BU13" i="104" s="1"/>
  <c r="BV13" i="104" s="1"/>
  <c r="BG99" i="104"/>
  <c r="BI64" i="104"/>
  <c r="BL95" i="104"/>
  <c r="BG4" i="104"/>
  <c r="BL43" i="104"/>
  <c r="BH78" i="104"/>
  <c r="BV46" i="104"/>
  <c r="BI41" i="104"/>
  <c r="BJ74" i="104"/>
  <c r="BK74" i="104" s="1"/>
  <c r="BL74" i="104" s="1"/>
  <c r="BM74" i="104" s="1"/>
  <c r="BN74" i="104" s="1"/>
  <c r="BO74" i="104" s="1"/>
  <c r="BP74" i="104" s="1"/>
  <c r="BQ74" i="104" s="1"/>
  <c r="BR74" i="104" s="1"/>
  <c r="BS74" i="104" s="1"/>
  <c r="BT74" i="104" s="1"/>
  <c r="BQ85" i="104"/>
  <c r="BR72" i="104"/>
  <c r="BS72" i="104" s="1"/>
  <c r="BH87" i="104"/>
  <c r="BH5" i="104"/>
  <c r="BM97" i="104"/>
  <c r="BQ33" i="97"/>
  <c r="BR28" i="97" s="1"/>
  <c r="EF32" i="97"/>
  <c r="EG32" i="97" s="1"/>
  <c r="CZ32" i="97"/>
  <c r="DA32" i="97" s="1"/>
  <c r="S303" i="104" l="1"/>
  <c r="AJ303" i="104"/>
  <c r="AK303" i="104"/>
  <c r="BS35" i="104"/>
  <c r="BT35" i="104" s="1"/>
  <c r="DB303" i="104"/>
  <c r="BM92" i="104"/>
  <c r="BN92" i="104" s="1"/>
  <c r="BO92" i="104" s="1"/>
  <c r="BP92" i="104" s="1"/>
  <c r="BQ92" i="104" s="1"/>
  <c r="BR92" i="104" s="1"/>
  <c r="DC303" i="104"/>
  <c r="BN102" i="104"/>
  <c r="BO102" i="104" s="1"/>
  <c r="BP102" i="104" s="1"/>
  <c r="BR36" i="104"/>
  <c r="BS36" i="104" s="1"/>
  <c r="BT40" i="104"/>
  <c r="BU40" i="104" s="1"/>
  <c r="BV40" i="104" s="1"/>
  <c r="BS54" i="104"/>
  <c r="BT54" i="104" s="1"/>
  <c r="BU54" i="104" s="1"/>
  <c r="BV54" i="104" s="1"/>
  <c r="BS8" i="104"/>
  <c r="BT8" i="104" s="1"/>
  <c r="BT30" i="104"/>
  <c r="BU30" i="104" s="1"/>
  <c r="BV30" i="104" s="1"/>
  <c r="BR79" i="104"/>
  <c r="BS79" i="104" s="1"/>
  <c r="BT50" i="104"/>
  <c r="BU50" i="104" s="1"/>
  <c r="BV50" i="104" s="1"/>
  <c r="BT48" i="104"/>
  <c r="BU48" i="104" s="1"/>
  <c r="BU52" i="104"/>
  <c r="BV52" i="104" s="1"/>
  <c r="BQ45" i="104"/>
  <c r="BR45" i="104" s="1"/>
  <c r="BS63" i="104"/>
  <c r="BT63" i="104" s="1"/>
  <c r="BU63" i="104" s="1"/>
  <c r="BV63" i="104" s="1"/>
  <c r="BT27" i="104"/>
  <c r="BU27" i="104" s="1"/>
  <c r="BV27" i="104" s="1"/>
  <c r="BT38" i="104"/>
  <c r="BU38" i="104" s="1"/>
  <c r="BV38" i="104" s="1"/>
  <c r="BQ7" i="104"/>
  <c r="BR7" i="104" s="1"/>
  <c r="BQ21" i="104"/>
  <c r="BR21" i="104" s="1"/>
  <c r="BS21" i="104" s="1"/>
  <c r="BT21" i="104" s="1"/>
  <c r="BU21" i="104" s="1"/>
  <c r="BN97" i="104"/>
  <c r="BO97" i="104" s="1"/>
  <c r="BP97" i="104" s="1"/>
  <c r="BQ97" i="104" s="1"/>
  <c r="BR97" i="104" s="1"/>
  <c r="BS97" i="104" s="1"/>
  <c r="BT97" i="104" s="1"/>
  <c r="BU97" i="104" s="1"/>
  <c r="BV97" i="104" s="1"/>
  <c r="BU74" i="104"/>
  <c r="BV74" i="104" s="1"/>
  <c r="BJ41" i="104"/>
  <c r="BI78" i="104"/>
  <c r="BH4" i="104"/>
  <c r="BI51" i="104"/>
  <c r="BQ66" i="104"/>
  <c r="BR66" i="104" s="1"/>
  <c r="BS66" i="104" s="1"/>
  <c r="BJ81" i="104"/>
  <c r="BR100" i="104"/>
  <c r="BS100" i="104" s="1"/>
  <c r="BV93" i="104"/>
  <c r="BK14" i="104"/>
  <c r="BJ49" i="104"/>
  <c r="BT22" i="104"/>
  <c r="BU22" i="104" s="1"/>
  <c r="BV22" i="104" s="1"/>
  <c r="BK31" i="104"/>
  <c r="BU90" i="104"/>
  <c r="BV90" i="104" s="1"/>
  <c r="BT72" i="104"/>
  <c r="BU72" i="104" s="1"/>
  <c r="BV72" i="104" s="1"/>
  <c r="BM95" i="104"/>
  <c r="BN95" i="104" s="1"/>
  <c r="BO95" i="104" s="1"/>
  <c r="BP95" i="104" s="1"/>
  <c r="BQ95" i="104" s="1"/>
  <c r="BR95" i="104" s="1"/>
  <c r="BS95" i="104" s="1"/>
  <c r="BT95" i="104" s="1"/>
  <c r="BU95" i="104" s="1"/>
  <c r="BV95" i="104" s="1"/>
  <c r="BH99" i="104"/>
  <c r="BI99" i="104" s="1"/>
  <c r="BJ99" i="104" s="1"/>
  <c r="BK99" i="104" s="1"/>
  <c r="BL99" i="104" s="1"/>
  <c r="BM99" i="104" s="1"/>
  <c r="BN99" i="104" s="1"/>
  <c r="BO99" i="104" s="1"/>
  <c r="BP99" i="104" s="1"/>
  <c r="BQ99" i="104" s="1"/>
  <c r="BL25" i="104"/>
  <c r="BM25" i="104" s="1"/>
  <c r="BN25" i="104" s="1"/>
  <c r="BO25" i="104" s="1"/>
  <c r="BP25" i="104" s="1"/>
  <c r="BQ25" i="104" s="1"/>
  <c r="BR25" i="104" s="1"/>
  <c r="BS25" i="104" s="1"/>
  <c r="BT25" i="104" s="1"/>
  <c r="BU25" i="104" s="1"/>
  <c r="BK29" i="104"/>
  <c r="BL29" i="104" s="1"/>
  <c r="BM29" i="104" s="1"/>
  <c r="BN29" i="104" s="1"/>
  <c r="BO29" i="104" s="1"/>
  <c r="BP29" i="104" s="1"/>
  <c r="BQ29" i="104" s="1"/>
  <c r="BR29" i="104" s="1"/>
  <c r="BS29" i="104" s="1"/>
  <c r="BT29" i="104" s="1"/>
  <c r="BU29" i="104" s="1"/>
  <c r="BV29" i="104" s="1"/>
  <c r="BL28" i="104"/>
  <c r="BI6" i="104"/>
  <c r="BH94" i="104"/>
  <c r="BI84" i="104"/>
  <c r="BI5" i="104"/>
  <c r="BI87" i="104"/>
  <c r="BM43" i="104"/>
  <c r="BN43" i="104" s="1"/>
  <c r="BO43" i="104" s="1"/>
  <c r="BP43" i="104" s="1"/>
  <c r="BQ43" i="104" s="1"/>
  <c r="BR43" i="104" s="1"/>
  <c r="BS43" i="104" s="1"/>
  <c r="BT43" i="104" s="1"/>
  <c r="BU43" i="104" s="1"/>
  <c r="BJ64" i="104"/>
  <c r="BH70" i="104"/>
  <c r="BI70" i="104" s="1"/>
  <c r="BJ70" i="104" s="1"/>
  <c r="BK70" i="104" s="1"/>
  <c r="BL70" i="104" s="1"/>
  <c r="BM70" i="104" s="1"/>
  <c r="BN70" i="104" s="1"/>
  <c r="BO70" i="104" s="1"/>
  <c r="BP70" i="104" s="1"/>
  <c r="BK44" i="104"/>
  <c r="BL44" i="104" s="1"/>
  <c r="BM44" i="104" s="1"/>
  <c r="BN44" i="104" s="1"/>
  <c r="BO44" i="104" s="1"/>
  <c r="BP44" i="104" s="1"/>
  <c r="BQ44" i="104" s="1"/>
  <c r="BR44" i="104" s="1"/>
  <c r="BS44" i="104" s="1"/>
  <c r="BT44" i="104" s="1"/>
  <c r="BU44" i="104" s="1"/>
  <c r="BL91" i="104"/>
  <c r="BT83" i="104"/>
  <c r="BU83" i="104" s="1"/>
  <c r="BV83" i="104" s="1"/>
  <c r="BI69" i="104"/>
  <c r="BH37" i="104"/>
  <c r="BK34" i="104"/>
  <c r="BL53" i="104"/>
  <c r="BH88" i="104"/>
  <c r="BK101" i="104"/>
  <c r="BI39" i="104"/>
  <c r="BL65" i="104"/>
  <c r="BM65" i="104" s="1"/>
  <c r="BN65" i="104" s="1"/>
  <c r="BO65" i="104" s="1"/>
  <c r="BP65" i="104" s="1"/>
  <c r="BQ65" i="104" s="1"/>
  <c r="BR65" i="104" s="1"/>
  <c r="BS65" i="104" s="1"/>
  <c r="BT65" i="104" s="1"/>
  <c r="BH15" i="104"/>
  <c r="BJ60" i="104"/>
  <c r="BG96" i="104"/>
  <c r="BQ19" i="104"/>
  <c r="BR85" i="104"/>
  <c r="BS85" i="104" s="1"/>
  <c r="BH59" i="104"/>
  <c r="BI89" i="104"/>
  <c r="BJ57" i="104"/>
  <c r="BS3" i="104"/>
  <c r="EG26" i="97"/>
  <c r="EG21" i="97"/>
  <c r="EG31" i="97"/>
  <c r="EG19" i="97"/>
  <c r="EG29" i="97"/>
  <c r="BR32" i="97"/>
  <c r="I43" i="97"/>
  <c r="I42" i="97"/>
  <c r="EG27" i="97"/>
  <c r="EG25" i="97"/>
  <c r="I41" i="97"/>
  <c r="I40" i="97"/>
  <c r="EG23" i="97"/>
  <c r="EG20" i="97"/>
  <c r="I39" i="97"/>
  <c r="I37" i="97"/>
  <c r="DA27" i="97"/>
  <c r="DA23" i="97"/>
  <c r="DA29" i="97"/>
  <c r="EG30" i="97"/>
  <c r="EG28" i="97"/>
  <c r="DA31" i="97"/>
  <c r="EG24" i="97"/>
  <c r="EG22" i="97"/>
  <c r="DA24" i="97"/>
  <c r="EG18" i="97"/>
  <c r="BR33" i="97"/>
  <c r="DA30" i="97"/>
  <c r="DA28" i="97"/>
  <c r="DA25" i="97"/>
  <c r="BR30" i="97"/>
  <c r="DA22" i="97"/>
  <c r="DA21" i="97"/>
  <c r="I38" i="97"/>
  <c r="DA26" i="97"/>
  <c r="BR31" i="97"/>
  <c r="BR29" i="97"/>
  <c r="BR27" i="97"/>
  <c r="BR26" i="97"/>
  <c r="BU35" i="104" l="1"/>
  <c r="BV35" i="104" s="1"/>
  <c r="BS92" i="104"/>
  <c r="BT92" i="104" s="1"/>
  <c r="BM91" i="104"/>
  <c r="BN91" i="104" s="1"/>
  <c r="BO91" i="104" s="1"/>
  <c r="BP91" i="104" s="1"/>
  <c r="BQ91" i="104" s="1"/>
  <c r="BR91" i="104" s="1"/>
  <c r="BS91" i="104" s="1"/>
  <c r="BT36" i="104"/>
  <c r="BU36" i="104" s="1"/>
  <c r="BV36" i="104" s="1"/>
  <c r="BQ102" i="104"/>
  <c r="BR102" i="104" s="1"/>
  <c r="BS102" i="104" s="1"/>
  <c r="BT102" i="104" s="1"/>
  <c r="BU102" i="104" s="1"/>
  <c r="BV102" i="104" s="1"/>
  <c r="BT79" i="104"/>
  <c r="BU79" i="104" s="1"/>
  <c r="BV79" i="104" s="1"/>
  <c r="BV25" i="104"/>
  <c r="BS7" i="104"/>
  <c r="BT7" i="104" s="1"/>
  <c r="BU65" i="104"/>
  <c r="BV65" i="104" s="1"/>
  <c r="BV48" i="104"/>
  <c r="BQ70" i="104"/>
  <c r="BR70" i="104" s="1"/>
  <c r="BS70" i="104" s="1"/>
  <c r="BT70" i="104" s="1"/>
  <c r="BJ89" i="104"/>
  <c r="BI59" i="104"/>
  <c r="BI15" i="104"/>
  <c r="BJ39" i="104"/>
  <c r="BK39" i="104" s="1"/>
  <c r="BL39" i="104" s="1"/>
  <c r="BM39" i="104" s="1"/>
  <c r="BN39" i="104" s="1"/>
  <c r="BO39" i="104" s="1"/>
  <c r="BP39" i="104" s="1"/>
  <c r="BQ39" i="104" s="1"/>
  <c r="BR39" i="104" s="1"/>
  <c r="BL34" i="104"/>
  <c r="BM34" i="104" s="1"/>
  <c r="BN34" i="104" s="1"/>
  <c r="BO34" i="104" s="1"/>
  <c r="BP34" i="104" s="1"/>
  <c r="BQ34" i="104" s="1"/>
  <c r="BR34" i="104" s="1"/>
  <c r="BS34" i="104" s="1"/>
  <c r="BT34" i="104" s="1"/>
  <c r="BV44" i="104"/>
  <c r="BJ87" i="104"/>
  <c r="BI94" i="104"/>
  <c r="BR99" i="104"/>
  <c r="BL14" i="104"/>
  <c r="BI4" i="104"/>
  <c r="BT100" i="104"/>
  <c r="BU100" i="104" s="1"/>
  <c r="BV100" i="104" s="1"/>
  <c r="BH96" i="104"/>
  <c r="BM53" i="104"/>
  <c r="BN53" i="104" s="1"/>
  <c r="BO53" i="104" s="1"/>
  <c r="BP53" i="104" s="1"/>
  <c r="BQ53" i="104" s="1"/>
  <c r="BR53" i="104" s="1"/>
  <c r="BS53" i="104" s="1"/>
  <c r="BT53" i="104" s="1"/>
  <c r="BU53" i="104" s="1"/>
  <c r="BJ5" i="104"/>
  <c r="BJ6" i="104"/>
  <c r="BK49" i="104"/>
  <c r="BL49" i="104" s="1"/>
  <c r="BM49" i="104" s="1"/>
  <c r="BN49" i="104" s="1"/>
  <c r="BO49" i="104" s="1"/>
  <c r="BP49" i="104" s="1"/>
  <c r="BQ49" i="104" s="1"/>
  <c r="BR49" i="104" s="1"/>
  <c r="BS49" i="104" s="1"/>
  <c r="BT49" i="104" s="1"/>
  <c r="BU49" i="104" s="1"/>
  <c r="BV49" i="104" s="1"/>
  <c r="BT66" i="104"/>
  <c r="BU66" i="104" s="1"/>
  <c r="BJ51" i="104"/>
  <c r="BV21" i="104"/>
  <c r="BK57" i="104"/>
  <c r="BL57" i="104" s="1"/>
  <c r="BM57" i="104" s="1"/>
  <c r="BN57" i="104" s="1"/>
  <c r="BO57" i="104" s="1"/>
  <c r="BP57" i="104" s="1"/>
  <c r="BQ57" i="104" s="1"/>
  <c r="BR57" i="104" s="1"/>
  <c r="BK60" i="104"/>
  <c r="BL60" i="104" s="1"/>
  <c r="BM60" i="104" s="1"/>
  <c r="BN60" i="104" s="1"/>
  <c r="BO60" i="104" s="1"/>
  <c r="BP60" i="104" s="1"/>
  <c r="BQ60" i="104" s="1"/>
  <c r="BR60" i="104" s="1"/>
  <c r="BI88" i="104"/>
  <c r="BJ88" i="104" s="1"/>
  <c r="BK88" i="104" s="1"/>
  <c r="BL88" i="104" s="1"/>
  <c r="BM88" i="104" s="1"/>
  <c r="BN88" i="104" s="1"/>
  <c r="BO88" i="104" s="1"/>
  <c r="BP88" i="104" s="1"/>
  <c r="BQ88" i="104" s="1"/>
  <c r="BI37" i="104"/>
  <c r="BJ37" i="104" s="1"/>
  <c r="BK37" i="104" s="1"/>
  <c r="BL37" i="104" s="1"/>
  <c r="BM37" i="104" s="1"/>
  <c r="BN37" i="104" s="1"/>
  <c r="BO37" i="104" s="1"/>
  <c r="BP37" i="104" s="1"/>
  <c r="BQ37" i="104" s="1"/>
  <c r="BJ69" i="104"/>
  <c r="BK69" i="104" s="1"/>
  <c r="BL69" i="104" s="1"/>
  <c r="BM69" i="104" s="1"/>
  <c r="BN69" i="104" s="1"/>
  <c r="BO69" i="104" s="1"/>
  <c r="BP69" i="104" s="1"/>
  <c r="BQ69" i="104" s="1"/>
  <c r="BK64" i="104"/>
  <c r="BL64" i="104" s="1"/>
  <c r="BM64" i="104" s="1"/>
  <c r="BN64" i="104" s="1"/>
  <c r="BO64" i="104" s="1"/>
  <c r="BP64" i="104" s="1"/>
  <c r="BQ64" i="104" s="1"/>
  <c r="BR64" i="104" s="1"/>
  <c r="BS64" i="104" s="1"/>
  <c r="BL31" i="104"/>
  <c r="BR19" i="104"/>
  <c r="BS19" i="104" s="1"/>
  <c r="BT19" i="104" s="1"/>
  <c r="BU19" i="104" s="1"/>
  <c r="BK41" i="104"/>
  <c r="BT3" i="104"/>
  <c r="BU3" i="104" s="1"/>
  <c r="BV3" i="104" s="1"/>
  <c r="BS45" i="104"/>
  <c r="BT45" i="104" s="1"/>
  <c r="BU8" i="104"/>
  <c r="BV8" i="104" s="1"/>
  <c r="BL101" i="104"/>
  <c r="BT85" i="104"/>
  <c r="BU85" i="104" s="1"/>
  <c r="BV43" i="104"/>
  <c r="BJ84" i="104"/>
  <c r="BM28" i="104"/>
  <c r="BN28" i="104" s="1"/>
  <c r="BO28" i="104" s="1"/>
  <c r="BP28" i="104" s="1"/>
  <c r="BQ28" i="104" s="1"/>
  <c r="BR28" i="104" s="1"/>
  <c r="BS28" i="104" s="1"/>
  <c r="BT28" i="104" s="1"/>
  <c r="BU28" i="104" s="1"/>
  <c r="BK81" i="104"/>
  <c r="BL81" i="104" s="1"/>
  <c r="BM81" i="104" s="1"/>
  <c r="BN81" i="104" s="1"/>
  <c r="BO81" i="104" s="1"/>
  <c r="BP81" i="104" s="1"/>
  <c r="BQ81" i="104" s="1"/>
  <c r="BR81" i="104" s="1"/>
  <c r="BS81" i="104" s="1"/>
  <c r="BT81" i="104" s="1"/>
  <c r="BJ78" i="104"/>
  <c r="BK78" i="104" s="1"/>
  <c r="BL78" i="104" s="1"/>
  <c r="BM78" i="104" s="1"/>
  <c r="BN78" i="104" s="1"/>
  <c r="BO78" i="104" s="1"/>
  <c r="BP78" i="104" s="1"/>
  <c r="BQ78" i="104" s="1"/>
  <c r="BR78" i="104" s="1"/>
  <c r="BU92" i="104" l="1"/>
  <c r="BV92" i="104" s="1"/>
  <c r="BT91" i="104"/>
  <c r="BU91" i="104" s="1"/>
  <c r="BV91" i="104" s="1"/>
  <c r="DK303" i="104"/>
  <c r="DI303" i="104"/>
  <c r="DM303" i="104"/>
  <c r="DP303" i="104"/>
  <c r="BV28" i="104"/>
  <c r="BS60" i="104"/>
  <c r="BT60" i="104" s="1"/>
  <c r="BU60" i="104" s="1"/>
  <c r="BV60" i="104" s="1"/>
  <c r="BU7" i="104"/>
  <c r="BV7" i="104" s="1"/>
  <c r="BS57" i="104"/>
  <c r="BT57" i="104" s="1"/>
  <c r="BU57" i="104" s="1"/>
  <c r="BV57" i="104" s="1"/>
  <c r="BR69" i="104"/>
  <c r="BV66" i="104"/>
  <c r="BS78" i="104"/>
  <c r="BT78" i="104" s="1"/>
  <c r="BU34" i="104"/>
  <c r="BV34" i="104" s="1"/>
  <c r="BS39" i="104"/>
  <c r="BT64" i="104"/>
  <c r="BU64" i="104" s="1"/>
  <c r="BV64" i="104" s="1"/>
  <c r="BM31" i="104"/>
  <c r="BN31" i="104" s="1"/>
  <c r="BO31" i="104" s="1"/>
  <c r="BP31" i="104" s="1"/>
  <c r="BQ31" i="104" s="1"/>
  <c r="BR31" i="104" s="1"/>
  <c r="BS31" i="104" s="1"/>
  <c r="BR37" i="104"/>
  <c r="BS37" i="104" s="1"/>
  <c r="BK51" i="104"/>
  <c r="BL51" i="104" s="1"/>
  <c r="BM51" i="104" s="1"/>
  <c r="BN51" i="104" s="1"/>
  <c r="BO51" i="104" s="1"/>
  <c r="BP51" i="104" s="1"/>
  <c r="BQ51" i="104" s="1"/>
  <c r="BR51" i="104" s="1"/>
  <c r="BS51" i="104" s="1"/>
  <c r="BM14" i="104"/>
  <c r="BN14" i="104" s="1"/>
  <c r="BO14" i="104" s="1"/>
  <c r="BP14" i="104" s="1"/>
  <c r="BQ14" i="104" s="1"/>
  <c r="BR14" i="104" s="1"/>
  <c r="BS14" i="104" s="1"/>
  <c r="BT14" i="104" s="1"/>
  <c r="BU14" i="104" s="1"/>
  <c r="BV14" i="104" s="1"/>
  <c r="BU70" i="104"/>
  <c r="BV70" i="104" s="1"/>
  <c r="BV85" i="104"/>
  <c r="BK5" i="104"/>
  <c r="BJ4" i="104"/>
  <c r="BJ94" i="104"/>
  <c r="BK94" i="104" s="1"/>
  <c r="BL94" i="104" s="1"/>
  <c r="BM94" i="104" s="1"/>
  <c r="BN94" i="104" s="1"/>
  <c r="BO94" i="104" s="1"/>
  <c r="BP94" i="104" s="1"/>
  <c r="BQ94" i="104" s="1"/>
  <c r="BR94" i="104" s="1"/>
  <c r="BJ15" i="104"/>
  <c r="BK84" i="104"/>
  <c r="BL84" i="104" s="1"/>
  <c r="BM84" i="104" s="1"/>
  <c r="BN84" i="104" s="1"/>
  <c r="BO84" i="104" s="1"/>
  <c r="BP84" i="104" s="1"/>
  <c r="BQ84" i="104" s="1"/>
  <c r="BR84" i="104" s="1"/>
  <c r="BS84" i="104" s="1"/>
  <c r="BT84" i="104" s="1"/>
  <c r="BM101" i="104"/>
  <c r="BV19" i="104"/>
  <c r="BU45" i="104"/>
  <c r="BV45" i="104" s="1"/>
  <c r="BI96" i="104"/>
  <c r="BU81" i="104"/>
  <c r="BV81" i="104" s="1"/>
  <c r="BS99" i="104"/>
  <c r="BL41" i="104"/>
  <c r="BR88" i="104"/>
  <c r="BS88" i="104" s="1"/>
  <c r="BT88" i="104" s="1"/>
  <c r="BU88" i="104" s="1"/>
  <c r="BK6" i="104"/>
  <c r="BL6" i="104" s="1"/>
  <c r="BM6" i="104" s="1"/>
  <c r="BN6" i="104" s="1"/>
  <c r="BO6" i="104" s="1"/>
  <c r="BP6" i="104" s="1"/>
  <c r="BQ6" i="104" s="1"/>
  <c r="BR6" i="104" s="1"/>
  <c r="BS6" i="104" s="1"/>
  <c r="BT6" i="104" s="1"/>
  <c r="BU6" i="104" s="1"/>
  <c r="BV53" i="104"/>
  <c r="BK87" i="104"/>
  <c r="BL87" i="104" s="1"/>
  <c r="BM87" i="104" s="1"/>
  <c r="BN87" i="104" s="1"/>
  <c r="BO87" i="104" s="1"/>
  <c r="BP87" i="104" s="1"/>
  <c r="BQ87" i="104" s="1"/>
  <c r="BR87" i="104" s="1"/>
  <c r="BS87" i="104" s="1"/>
  <c r="BT39" i="104"/>
  <c r="BJ59" i="104"/>
  <c r="BK89" i="104"/>
  <c r="DF303" i="104" l="1"/>
  <c r="DD303" i="104"/>
  <c r="BT51" i="104"/>
  <c r="BU51" i="104" s="1"/>
  <c r="DO303" i="104"/>
  <c r="DN303" i="104"/>
  <c r="BU39" i="104"/>
  <c r="BV39" i="104" s="1"/>
  <c r="BT31" i="104"/>
  <c r="BS69" i="104"/>
  <c r="BT69" i="104" s="1"/>
  <c r="BU69" i="104" s="1"/>
  <c r="BV69" i="104" s="1"/>
  <c r="BU78" i="104"/>
  <c r="BV78" i="104" s="1"/>
  <c r="BU84" i="104"/>
  <c r="BV84" i="104" s="1"/>
  <c r="BL89" i="104"/>
  <c r="BM89" i="104" s="1"/>
  <c r="BN89" i="104" s="1"/>
  <c r="BO89" i="104" s="1"/>
  <c r="BP89" i="104" s="1"/>
  <c r="BQ89" i="104" s="1"/>
  <c r="BR89" i="104" s="1"/>
  <c r="BS89" i="104" s="1"/>
  <c r="BT89" i="104" s="1"/>
  <c r="BK59" i="104"/>
  <c r="BL59" i="104" s="1"/>
  <c r="BM59" i="104" s="1"/>
  <c r="BN59" i="104" s="1"/>
  <c r="BO59" i="104" s="1"/>
  <c r="BP59" i="104" s="1"/>
  <c r="BQ59" i="104" s="1"/>
  <c r="BR59" i="104" s="1"/>
  <c r="BN101" i="104"/>
  <c r="BO101" i="104" s="1"/>
  <c r="BP101" i="104" s="1"/>
  <c r="BQ101" i="104" s="1"/>
  <c r="BR101" i="104" s="1"/>
  <c r="BS101" i="104" s="1"/>
  <c r="BT101" i="104" s="1"/>
  <c r="BU101" i="104" s="1"/>
  <c r="BV101" i="104" s="1"/>
  <c r="BT37" i="104"/>
  <c r="BU37" i="104" s="1"/>
  <c r="BV37" i="104" s="1"/>
  <c r="BK15" i="104"/>
  <c r="BL15" i="104" s="1"/>
  <c r="BM15" i="104" s="1"/>
  <c r="BN15" i="104" s="1"/>
  <c r="BO15" i="104" s="1"/>
  <c r="BP15" i="104" s="1"/>
  <c r="BQ15" i="104" s="1"/>
  <c r="BR15" i="104" s="1"/>
  <c r="BS15" i="104" s="1"/>
  <c r="BT15" i="104" s="1"/>
  <c r="BL5" i="104"/>
  <c r="BV88" i="104"/>
  <c r="BM41" i="104"/>
  <c r="BN41" i="104" s="1"/>
  <c r="BO41" i="104" s="1"/>
  <c r="BP41" i="104" s="1"/>
  <c r="BQ41" i="104" s="1"/>
  <c r="BR41" i="104" s="1"/>
  <c r="BS41" i="104" s="1"/>
  <c r="BT41" i="104" s="1"/>
  <c r="BU41" i="104" s="1"/>
  <c r="BV41" i="104" s="1"/>
  <c r="BJ96" i="104"/>
  <c r="BK96" i="104" s="1"/>
  <c r="BL96" i="104" s="1"/>
  <c r="BM96" i="104" s="1"/>
  <c r="BN96" i="104" s="1"/>
  <c r="BO96" i="104" s="1"/>
  <c r="BP96" i="104" s="1"/>
  <c r="BT87" i="104"/>
  <c r="BU87" i="104" s="1"/>
  <c r="BV6" i="104"/>
  <c r="BT99" i="104"/>
  <c r="BU99" i="104" s="1"/>
  <c r="BS94" i="104"/>
  <c r="BT94" i="104" s="1"/>
  <c r="BK4" i="104"/>
  <c r="EK19" i="97"/>
  <c r="EK18" i="97"/>
  <c r="EK21" i="97"/>
  <c r="EK20" i="97"/>
  <c r="EK24" i="97"/>
  <c r="EK23" i="97"/>
  <c r="EK22" i="97"/>
  <c r="BV51" i="104" l="1"/>
  <c r="BU31" i="104"/>
  <c r="BV31" i="104" s="1"/>
  <c r="BQ96" i="104"/>
  <c r="BR96" i="104" s="1"/>
  <c r="BS96" i="104" s="1"/>
  <c r="BS59" i="104"/>
  <c r="BT59" i="104" s="1"/>
  <c r="BU59" i="104" s="1"/>
  <c r="BV59" i="104" s="1"/>
  <c r="BV87" i="104"/>
  <c r="BU89" i="104"/>
  <c r="BV89" i="104" s="1"/>
  <c r="BV99" i="104"/>
  <c r="BU15" i="104"/>
  <c r="BV15" i="104" s="1"/>
  <c r="BL4" i="104"/>
  <c r="BM4" i="104" s="1"/>
  <c r="BN4" i="104" s="1"/>
  <c r="BO4" i="104" s="1"/>
  <c r="BP4" i="104" s="1"/>
  <c r="BQ4" i="104" s="1"/>
  <c r="BR4" i="104" s="1"/>
  <c r="BM5" i="104"/>
  <c r="BN5" i="104" s="1"/>
  <c r="BO5" i="104" s="1"/>
  <c r="BP5" i="104" s="1"/>
  <c r="BQ5" i="104" s="1"/>
  <c r="BR5" i="104" s="1"/>
  <c r="BS5" i="104" s="1"/>
  <c r="BT5" i="104" s="1"/>
  <c r="BU5" i="104" s="1"/>
  <c r="BU94" i="104"/>
  <c r="BV94" i="104" s="1"/>
  <c r="DE303" i="104" l="1"/>
  <c r="DR303" i="104"/>
  <c r="BV5" i="104"/>
  <c r="BT96" i="104"/>
  <c r="BU96" i="104" s="1"/>
  <c r="BV96" i="104" s="1"/>
  <c r="BS4" i="104"/>
  <c r="DL303" i="104" l="1"/>
  <c r="DG303" i="104"/>
  <c r="DQ303" i="104"/>
  <c r="DS303" i="104"/>
  <c r="BT4" i="104"/>
  <c r="BU4" i="104" s="1"/>
  <c r="BV4" i="104" s="1"/>
  <c r="CA40" i="104" l="1"/>
  <c r="CA46" i="104"/>
  <c r="CA41" i="104"/>
  <c r="DJ303" i="104"/>
  <c r="CA42" i="104" s="1"/>
  <c r="AD58" i="61"/>
  <c r="DC45" i="104" l="1"/>
  <c r="DC47" i="104"/>
  <c r="DC46" i="104"/>
  <c r="DC49" i="104"/>
  <c r="DC48" i="104"/>
  <c r="DC51" i="104"/>
  <c r="DC50" i="104"/>
  <c r="CA44" i="104"/>
  <c r="CA45" i="104"/>
  <c r="AD60" i="61"/>
  <c r="AE58" i="61" s="1"/>
  <c r="DC52" i="104" l="1"/>
  <c r="DD50" i="104" s="1"/>
  <c r="DD49" i="104"/>
  <c r="DD47" i="104"/>
  <c r="CA47" i="104"/>
  <c r="CB40" i="104" s="1"/>
  <c r="AE57" i="61"/>
  <c r="AE53" i="61"/>
  <c r="AE54" i="61"/>
  <c r="AE59" i="61"/>
  <c r="AE55" i="61"/>
  <c r="AE56" i="61"/>
  <c r="DD45" i="104" l="1"/>
  <c r="DD48" i="104"/>
  <c r="DD46" i="104"/>
  <c r="DD52" i="104" s="1"/>
  <c r="DD51" i="104"/>
  <c r="CB46" i="104"/>
  <c r="CB42" i="104"/>
  <c r="CB41" i="104"/>
  <c r="CB43" i="104"/>
  <c r="CB45" i="104"/>
  <c r="CB44" i="104"/>
  <c r="AE60" i="61"/>
  <c r="CB47" i="104" l="1"/>
  <c r="AD51" i="61"/>
  <c r="AE47" i="61" s="1"/>
  <c r="AE44" i="61" l="1"/>
  <c r="AE50" i="61"/>
  <c r="AE46" i="61"/>
  <c r="AE49" i="61"/>
  <c r="AE45" i="61"/>
  <c r="AE48" i="61"/>
  <c r="AE51" i="61" l="1"/>
  <c r="BR13" i="97" l="1"/>
  <c r="BR16" i="97" l="1"/>
</calcChain>
</file>

<file path=xl/sharedStrings.xml><?xml version="1.0" encoding="utf-8"?>
<sst xmlns="http://schemas.openxmlformats.org/spreadsheetml/2006/main" count="961" uniqueCount="543">
  <si>
    <t>2012.01.14</t>
  </si>
  <si>
    <t>합계</t>
    <phoneticPr fontId="2" type="noConversion"/>
  </si>
  <si>
    <t>3열</t>
  </si>
  <si>
    <t>4열</t>
  </si>
  <si>
    <t>5열</t>
  </si>
  <si>
    <t>6열</t>
  </si>
  <si>
    <t>2012.04.07</t>
    <phoneticPr fontId="2" type="noConversion"/>
  </si>
  <si>
    <t>2012.04.28</t>
    <phoneticPr fontId="2" type="noConversion"/>
  </si>
  <si>
    <t>2012.07.07</t>
    <phoneticPr fontId="2" type="noConversion"/>
  </si>
  <si>
    <t>당첨번호 순서</t>
    <phoneticPr fontId="2" type="noConversion"/>
  </si>
  <si>
    <t>당볼합수</t>
    <phoneticPr fontId="2" type="noConversion"/>
  </si>
  <si>
    <t>보볼합수</t>
    <phoneticPr fontId="2" type="noConversion"/>
  </si>
  <si>
    <t>당번 사이수</t>
    <phoneticPr fontId="2" type="noConversion"/>
  </si>
  <si>
    <t>보볼</t>
    <phoneticPr fontId="2" type="noConversion"/>
  </si>
  <si>
    <t>1차합</t>
    <phoneticPr fontId="2" type="noConversion"/>
  </si>
  <si>
    <t>6차</t>
    <phoneticPr fontId="2" type="noConversion"/>
  </si>
  <si>
    <t>7차</t>
  </si>
  <si>
    <t>8차</t>
  </si>
  <si>
    <t>9차</t>
  </si>
  <si>
    <t>10차</t>
  </si>
  <si>
    <t>11차</t>
  </si>
  <si>
    <t>12차</t>
  </si>
  <si>
    <t>13차</t>
  </si>
  <si>
    <t>14차</t>
  </si>
  <si>
    <t>15차</t>
  </si>
  <si>
    <t>16차</t>
  </si>
  <si>
    <t>17차</t>
  </si>
  <si>
    <t>18차</t>
  </si>
  <si>
    <t>19차</t>
  </si>
  <si>
    <t>20차</t>
  </si>
  <si>
    <t>21차</t>
  </si>
  <si>
    <t>세로 구간 나오는 번호는 무조건 남겨라.</t>
    <phoneticPr fontId="2" type="noConversion"/>
  </si>
  <si>
    <t>회차 총합수 제외</t>
    <phoneticPr fontId="2" type="noConversion"/>
  </si>
  <si>
    <t>당첨일 수 제외</t>
    <phoneticPr fontId="2" type="noConversion"/>
  </si>
  <si>
    <t>당첨월일 합 수 제외</t>
    <phoneticPr fontId="2" type="noConversion"/>
  </si>
  <si>
    <t>당첨일 당첨월일 합수 제외</t>
    <phoneticPr fontId="2" type="noConversion"/>
  </si>
  <si>
    <t>당번 사이수 제외</t>
    <phoneticPr fontId="2" type="noConversion"/>
  </si>
  <si>
    <t>당첨회 합수 제외</t>
    <phoneticPr fontId="2" type="noConversion"/>
  </si>
  <si>
    <t>당볼합수 제외</t>
    <phoneticPr fontId="2" type="noConversion"/>
  </si>
  <si>
    <t>당볼과 보볼 합수 제외</t>
    <phoneticPr fontId="2" type="noConversion"/>
  </si>
  <si>
    <t>2차 합수 제외</t>
    <phoneticPr fontId="2" type="noConversion"/>
  </si>
  <si>
    <t>4차합수제외</t>
    <phoneticPr fontId="2" type="noConversion"/>
  </si>
  <si>
    <t>당볼 순서대로 나열 후 1열~6열 전9회차 숫자 제외</t>
    <phoneticPr fontId="2" type="noConversion"/>
  </si>
  <si>
    <t>15주 간 미출현 번호 제외</t>
    <phoneticPr fontId="2" type="noConversion"/>
  </si>
  <si>
    <t>호기 넘어갈 때 이월 수??</t>
    <phoneticPr fontId="2" type="noConversion"/>
  </si>
  <si>
    <t>2012.07.14</t>
    <phoneticPr fontId="2" type="noConversion"/>
  </si>
  <si>
    <t>2012.07.21</t>
    <phoneticPr fontId="2" type="noConversion"/>
  </si>
  <si>
    <t>2012.07.28</t>
    <phoneticPr fontId="2" type="noConversion"/>
  </si>
  <si>
    <t>2012.09.01</t>
    <phoneticPr fontId="2" type="noConversion"/>
  </si>
  <si>
    <t>2012.09.08</t>
    <phoneticPr fontId="2" type="noConversion"/>
  </si>
  <si>
    <t>2012.09.15</t>
    <phoneticPr fontId="2" type="noConversion"/>
  </si>
  <si>
    <t>2012.09.22</t>
    <phoneticPr fontId="2" type="noConversion"/>
  </si>
  <si>
    <t>2012.09.29</t>
    <phoneticPr fontId="2" type="noConversion"/>
  </si>
  <si>
    <t>2012.10.06</t>
    <phoneticPr fontId="2" type="noConversion"/>
  </si>
  <si>
    <t>2012.10.13</t>
    <phoneticPr fontId="2" type="noConversion"/>
  </si>
  <si>
    <t>2012.10.20</t>
    <phoneticPr fontId="2" type="noConversion"/>
  </si>
  <si>
    <t>2012.10.27</t>
    <phoneticPr fontId="2" type="noConversion"/>
  </si>
  <si>
    <t>2012.11.03</t>
    <phoneticPr fontId="2" type="noConversion"/>
  </si>
  <si>
    <t>2012.11.10</t>
    <phoneticPr fontId="2" type="noConversion"/>
  </si>
  <si>
    <t>2012.11.17</t>
    <phoneticPr fontId="2" type="noConversion"/>
  </si>
  <si>
    <t>2012.11.24</t>
    <phoneticPr fontId="2" type="noConversion"/>
  </si>
  <si>
    <t>2012.12.01</t>
    <phoneticPr fontId="2" type="noConversion"/>
  </si>
  <si>
    <t>2012.12.08</t>
    <phoneticPr fontId="2" type="noConversion"/>
  </si>
  <si>
    <t>2012.12.15</t>
    <phoneticPr fontId="2" type="noConversion"/>
  </si>
  <si>
    <t>2012.12.22</t>
    <phoneticPr fontId="2" type="noConversion"/>
  </si>
  <si>
    <t>1등</t>
    <phoneticPr fontId="2" type="noConversion"/>
  </si>
  <si>
    <t>2등</t>
    <phoneticPr fontId="2" type="noConversion"/>
  </si>
  <si>
    <t>2012.12.29</t>
    <phoneticPr fontId="2" type="noConversion"/>
  </si>
  <si>
    <t>22차</t>
  </si>
  <si>
    <t>23차</t>
  </si>
  <si>
    <t>24차</t>
  </si>
  <si>
    <t>25차</t>
  </si>
  <si>
    <t>26차</t>
  </si>
  <si>
    <t>27차</t>
  </si>
  <si>
    <t>28차</t>
  </si>
  <si>
    <t>29차</t>
  </si>
  <si>
    <t>30차</t>
  </si>
  <si>
    <t>31차</t>
  </si>
  <si>
    <t>32차</t>
  </si>
  <si>
    <t>33차</t>
  </si>
  <si>
    <t>34차</t>
  </si>
  <si>
    <t>35차</t>
  </si>
  <si>
    <t>36차</t>
  </si>
  <si>
    <t>37차</t>
  </si>
  <si>
    <t>38차</t>
  </si>
  <si>
    <t>39차</t>
  </si>
  <si>
    <t>40차</t>
  </si>
  <si>
    <t>41차</t>
  </si>
  <si>
    <t>42차</t>
  </si>
  <si>
    <t>43차</t>
  </si>
  <si>
    <t>44차</t>
  </si>
  <si>
    <t>제외수</t>
    <phoneticPr fontId="2" type="noConversion"/>
  </si>
  <si>
    <t>2013.01.05</t>
    <phoneticPr fontId="2" type="noConversion"/>
  </si>
  <si>
    <t>2013.01.12</t>
    <phoneticPr fontId="2" type="noConversion"/>
  </si>
  <si>
    <t>2013.01.19</t>
    <phoneticPr fontId="2" type="noConversion"/>
  </si>
  <si>
    <t xml:space="preserve">일 </t>
    <phoneticPr fontId="2" type="noConversion"/>
  </si>
  <si>
    <t>월일</t>
    <phoneticPr fontId="2" type="noConversion"/>
  </si>
  <si>
    <t>몇 주??</t>
    <phoneticPr fontId="2" type="noConversion"/>
  </si>
  <si>
    <t>당첨회</t>
    <phoneticPr fontId="2" type="noConversion"/>
  </si>
  <si>
    <t>2차</t>
    <phoneticPr fontId="2" type="noConversion"/>
  </si>
  <si>
    <t>3차</t>
    <phoneticPr fontId="2" type="noConversion"/>
  </si>
  <si>
    <t>4차</t>
    <phoneticPr fontId="2" type="noConversion"/>
  </si>
  <si>
    <t>5차</t>
    <phoneticPr fontId="2" type="noConversion"/>
  </si>
  <si>
    <t>회차+1</t>
    <phoneticPr fontId="2" type="noConversion"/>
  </si>
  <si>
    <t>회차+2</t>
  </si>
  <si>
    <t>회차+3</t>
  </si>
  <si>
    <t>2013.01.26</t>
    <phoneticPr fontId="2" type="noConversion"/>
  </si>
  <si>
    <t>회차+4</t>
  </si>
  <si>
    <t>2013.02.02</t>
    <phoneticPr fontId="2" type="noConversion"/>
  </si>
  <si>
    <t>회차</t>
    <phoneticPr fontId="2" type="noConversion"/>
  </si>
  <si>
    <t xml:space="preserve">+0 </t>
    <phoneticPr fontId="2" type="noConversion"/>
  </si>
  <si>
    <t>+1</t>
    <phoneticPr fontId="2" type="noConversion"/>
  </si>
  <si>
    <t>+2</t>
  </si>
  <si>
    <t>+3</t>
  </si>
  <si>
    <t>+4</t>
  </si>
  <si>
    <t>2013.02.09</t>
    <phoneticPr fontId="2" type="noConversion"/>
  </si>
  <si>
    <t>회차+0</t>
    <phoneticPr fontId="2" type="noConversion"/>
  </si>
  <si>
    <t>회차+5</t>
    <phoneticPr fontId="2" type="noConversion"/>
  </si>
  <si>
    <t>+0</t>
    <phoneticPr fontId="2" type="noConversion"/>
  </si>
  <si>
    <t>+1</t>
  </si>
  <si>
    <t>+5</t>
  </si>
  <si>
    <t>회차+6</t>
  </si>
  <si>
    <t>+6</t>
  </si>
  <si>
    <t>2013.02.16</t>
    <phoneticPr fontId="2" type="noConversion"/>
  </si>
  <si>
    <t>2013.02.23</t>
    <phoneticPr fontId="2" type="noConversion"/>
  </si>
  <si>
    <t>4이상중복</t>
    <phoneticPr fontId="2" type="noConversion"/>
  </si>
  <si>
    <t>4~6</t>
    <phoneticPr fontId="2" type="noConversion"/>
  </si>
  <si>
    <t>2013.03.02</t>
    <phoneticPr fontId="2" type="noConversion"/>
  </si>
  <si>
    <t>회차+7</t>
  </si>
  <si>
    <t>+7</t>
  </si>
  <si>
    <t>2013.03.09</t>
    <phoneticPr fontId="2" type="noConversion"/>
  </si>
  <si>
    <t>0~7주 출현 중복수 조사</t>
    <phoneticPr fontId="2" type="noConversion"/>
  </si>
  <si>
    <t>제외수는 모두 0~2개로 한정했을 때 2개 정도 오류가 남</t>
    <phoneticPr fontId="2" type="noConversion"/>
  </si>
  <si>
    <t>나의 제외수를 포함하여 산출한 값임</t>
    <phoneticPr fontId="2" type="noConversion"/>
  </si>
  <si>
    <t>2013.03.16</t>
    <phoneticPr fontId="2" type="noConversion"/>
  </si>
  <si>
    <t>2013.03.23</t>
    <phoneticPr fontId="2" type="noConversion"/>
  </si>
  <si>
    <t>나만의 제외수 포함하지 말것</t>
    <phoneticPr fontId="2" type="noConversion"/>
  </si>
  <si>
    <t>2013.03.30</t>
    <phoneticPr fontId="2" type="noConversion"/>
  </si>
  <si>
    <t>숫자</t>
    <phoneticPr fontId="2" type="noConversion"/>
  </si>
  <si>
    <t>출현</t>
    <phoneticPr fontId="2" type="noConversion"/>
  </si>
  <si>
    <t>백분율</t>
    <phoneticPr fontId="2" type="noConversion"/>
  </si>
  <si>
    <t>제외수(0~2)</t>
    <phoneticPr fontId="2" type="noConversion"/>
  </si>
  <si>
    <t>(회차에서 안 나온 수)0~2</t>
    <phoneticPr fontId="2" type="noConversion"/>
  </si>
  <si>
    <t>539회 1끝 1~2개, 6끝 1~2개</t>
    <phoneticPr fontId="2" type="noConversion"/>
  </si>
  <si>
    <t>2013.04.06</t>
    <phoneticPr fontId="2" type="noConversion"/>
  </si>
  <si>
    <t>0~3개출</t>
    <phoneticPr fontId="2" type="noConversion"/>
  </si>
  <si>
    <t>제외수(빨간색)</t>
    <phoneticPr fontId="2" type="noConversion"/>
  </si>
  <si>
    <t>1~3</t>
    <phoneticPr fontId="2" type="noConversion"/>
  </si>
  <si>
    <t>1~4</t>
    <phoneticPr fontId="2" type="noConversion"/>
  </si>
  <si>
    <t>0~3</t>
    <phoneticPr fontId="2" type="noConversion"/>
  </si>
  <si>
    <t>1~2</t>
    <phoneticPr fontId="2" type="noConversion"/>
  </si>
  <si>
    <t>2013.04.13</t>
    <phoneticPr fontId="2" type="noConversion"/>
  </si>
  <si>
    <t>+8</t>
  </si>
  <si>
    <t>0~2</t>
    <phoneticPr fontId="2" type="noConversion"/>
  </si>
  <si>
    <t>2013.04.20</t>
    <phoneticPr fontId="2" type="noConversion"/>
  </si>
  <si>
    <t>회차+8</t>
  </si>
  <si>
    <t>회차+9</t>
  </si>
  <si>
    <t>2013.04.27</t>
    <phoneticPr fontId="2" type="noConversion"/>
  </si>
  <si>
    <t>3~6</t>
    <phoneticPr fontId="2" type="noConversion"/>
  </si>
  <si>
    <t>4~5</t>
    <phoneticPr fontId="2" type="noConversion"/>
  </si>
  <si>
    <t>4~6</t>
    <phoneticPr fontId="2" type="noConversion"/>
  </si>
  <si>
    <t>2013.05.04</t>
    <phoneticPr fontId="2" type="noConversion"/>
  </si>
  <si>
    <t>2013.05.11</t>
    <phoneticPr fontId="2" type="noConversion"/>
  </si>
  <si>
    <t>+9</t>
  </si>
  <si>
    <t>(해당회차에서 당번 및 안 나온 수)0~3</t>
    <phoneticPr fontId="2" type="noConversion"/>
  </si>
  <si>
    <t>+10</t>
  </si>
  <si>
    <t>2013.05.18</t>
    <phoneticPr fontId="2" type="noConversion"/>
  </si>
  <si>
    <t>2013.05.25</t>
    <phoneticPr fontId="2" type="noConversion"/>
  </si>
  <si>
    <t>+11</t>
  </si>
  <si>
    <t>2013.06.01</t>
    <phoneticPr fontId="2" type="noConversion"/>
  </si>
  <si>
    <t>2013.06.08</t>
    <phoneticPr fontId="2" type="noConversion"/>
  </si>
  <si>
    <t>2013.06.15</t>
    <phoneticPr fontId="2" type="noConversion"/>
  </si>
  <si>
    <t>+12</t>
  </si>
  <si>
    <t>+13</t>
  </si>
  <si>
    <t>+14</t>
  </si>
  <si>
    <t>회차+12</t>
  </si>
  <si>
    <t>회차+13</t>
  </si>
  <si>
    <t>회차+14</t>
  </si>
  <si>
    <t>3개 오류 인정</t>
    <phoneticPr fontId="2" type="noConversion"/>
  </si>
  <si>
    <t>3개 오류 인정</t>
    <phoneticPr fontId="2" type="noConversion"/>
  </si>
  <si>
    <t>2013.06.22</t>
    <phoneticPr fontId="2" type="noConversion"/>
  </si>
  <si>
    <t>+15</t>
  </si>
  <si>
    <t>회차+15</t>
  </si>
  <si>
    <t>5</t>
    <phoneticPr fontId="2" type="noConversion"/>
  </si>
  <si>
    <t>3</t>
    <phoneticPr fontId="2" type="noConversion"/>
  </si>
  <si>
    <t>2013.06.27</t>
    <phoneticPr fontId="2" type="noConversion"/>
  </si>
  <si>
    <t>&lt;--</t>
    <phoneticPr fontId="2" type="noConversion"/>
  </si>
  <si>
    <t>+1</t>
    <phoneticPr fontId="2" type="noConversion"/>
  </si>
  <si>
    <t>+2</t>
    <phoneticPr fontId="2" type="noConversion"/>
  </si>
  <si>
    <t>2013.07.06</t>
    <phoneticPr fontId="2" type="noConversion"/>
  </si>
  <si>
    <t>*0~3개로 모두 설정 시 오류날 확률 0~2개</t>
    <phoneticPr fontId="2" type="noConversion"/>
  </si>
  <si>
    <t>2013.07.13</t>
    <phoneticPr fontId="2" type="noConversion"/>
  </si>
  <si>
    <t>0</t>
    <phoneticPr fontId="2" type="noConversion"/>
  </si>
  <si>
    <t>0</t>
    <phoneticPr fontId="2" type="noConversion"/>
  </si>
  <si>
    <t>1</t>
    <phoneticPr fontId="2" type="noConversion"/>
  </si>
  <si>
    <t>1</t>
    <phoneticPr fontId="2" type="noConversion"/>
  </si>
  <si>
    <t>+0</t>
  </si>
  <si>
    <t>당번 및 제외수 오류 가능성조사(제외수필터 31~46)</t>
    <phoneticPr fontId="2" type="noConversion"/>
  </si>
  <si>
    <t>2013.07.20</t>
    <phoneticPr fontId="2" type="noConversion"/>
  </si>
  <si>
    <t>2013.07.27</t>
    <phoneticPr fontId="2" type="noConversion"/>
  </si>
  <si>
    <t>+16</t>
  </si>
  <si>
    <t>+17</t>
  </si>
  <si>
    <t>+18</t>
  </si>
  <si>
    <t>+19</t>
  </si>
  <si>
    <t>+20</t>
  </si>
  <si>
    <t>각 주 마다 출현한 수를 정리한 결과 4회 이상 출현 수의 나올 확률(제외수필터 47~62항)</t>
    <phoneticPr fontId="2" type="noConversion"/>
  </si>
  <si>
    <t>*0~3 했을 시 오류 가능성 0~2 유력, 3~5가끔 출함</t>
    <phoneticPr fontId="2" type="noConversion"/>
  </si>
  <si>
    <t>4회이상나온수 제외(4회이상 나온수는 제외수 필터  47~67)</t>
    <phoneticPr fontId="2" type="noConversion"/>
  </si>
  <si>
    <t>* 2개 오류 발생 가능</t>
    <phoneticPr fontId="2" type="noConversion"/>
  </si>
  <si>
    <t>*2개 오류발생가능성</t>
    <phoneticPr fontId="2" type="noConversion"/>
  </si>
  <si>
    <t>회차+16</t>
  </si>
  <si>
    <t>회차+17</t>
  </si>
  <si>
    <t>회차+18</t>
  </si>
  <si>
    <t>회차+19</t>
  </si>
  <si>
    <t>회차+20</t>
  </si>
  <si>
    <t>2013.08.03</t>
    <phoneticPr fontId="2" type="noConversion"/>
  </si>
  <si>
    <t>6개모두나온횟수</t>
    <phoneticPr fontId="2" type="noConversion"/>
  </si>
  <si>
    <t>0~20</t>
    <phoneticPr fontId="2" type="noConversion"/>
  </si>
  <si>
    <t>6출현횟수</t>
    <phoneticPr fontId="2" type="noConversion"/>
  </si>
  <si>
    <t>4미만나온횟수</t>
    <phoneticPr fontId="2" type="noConversion"/>
  </si>
  <si>
    <t>0~15</t>
    <phoneticPr fontId="2" type="noConversion"/>
  </si>
  <si>
    <t>계</t>
    <phoneticPr fontId="2" type="noConversion"/>
  </si>
  <si>
    <t>4이상(0~20)</t>
    <phoneticPr fontId="2" type="noConversion"/>
  </si>
  <si>
    <t>4이상(0~15)</t>
    <phoneticPr fontId="2" type="noConversion"/>
  </si>
  <si>
    <t>0~20</t>
    <phoneticPr fontId="2" type="noConversion"/>
  </si>
  <si>
    <t>계</t>
    <phoneticPr fontId="2" type="noConversion"/>
  </si>
  <si>
    <t>0~15</t>
    <phoneticPr fontId="2" type="noConversion"/>
  </si>
  <si>
    <t>4미만/포함수필터(0~15) 1~16</t>
    <phoneticPr fontId="2" type="noConversion"/>
  </si>
  <si>
    <t>6출현횟수/포함수필터(0~15) 17~32</t>
    <phoneticPr fontId="2" type="noConversion"/>
  </si>
  <si>
    <t>6출현횟수/포함수필터(0~20)79~99</t>
    <phoneticPr fontId="2" type="noConversion"/>
  </si>
  <si>
    <t>4회 미만 나올 확률(제외수필터68~109)</t>
    <phoneticPr fontId="2" type="noConversion"/>
  </si>
  <si>
    <t>각 주의 출현 수 모두를 정리, 그 수 중에서 4개 미만 당번 출할 가능성^</t>
    <phoneticPr fontId="2" type="noConversion"/>
  </si>
  <si>
    <t>4이상(0~15) 제외수필터(3) 17~31)</t>
    <phoneticPr fontId="2" type="noConversion"/>
  </si>
  <si>
    <t>4이상(0~20): 제외수필터 31~46</t>
    <phoneticPr fontId="2" type="noConversion"/>
  </si>
  <si>
    <t>0~15주: 제외수필터(3) 1~16 / 0~20주: 제외수필터 8~28</t>
    <phoneticPr fontId="2" type="noConversion"/>
  </si>
  <si>
    <t>제외수필터 47~67</t>
    <phoneticPr fontId="2" type="noConversion"/>
  </si>
  <si>
    <t>0~20:제외수필터 68~88</t>
    <phoneticPr fontId="2" type="noConversion"/>
  </si>
  <si>
    <t>6출현횟수(0~20): 제외수필터 89~109</t>
    <phoneticPr fontId="2" type="noConversion"/>
  </si>
  <si>
    <t>0~15: 제외수필터 126 ~141</t>
    <phoneticPr fontId="2" type="noConversion"/>
  </si>
  <si>
    <t>제외수필터 142~157</t>
    <phoneticPr fontId="2" type="noConversion"/>
  </si>
  <si>
    <t>6출현횟수(0~15) :제외수필터 110~125</t>
    <phoneticPr fontId="2" type="noConversion"/>
  </si>
  <si>
    <t>4미만/포함수필터(0~20)58~78</t>
    <phoneticPr fontId="2" type="noConversion"/>
  </si>
  <si>
    <t>2013.08.10</t>
    <phoneticPr fontId="2" type="noConversion"/>
  </si>
  <si>
    <t>0~20(1출현)</t>
    <phoneticPr fontId="2" type="noConversion"/>
  </si>
  <si>
    <t>제외수필터(2) 47~67</t>
    <phoneticPr fontId="2" type="noConversion"/>
  </si>
  <si>
    <t>2013.08.17</t>
    <phoneticPr fontId="2" type="noConversion"/>
  </si>
  <si>
    <t>2012.06.16</t>
  </si>
  <si>
    <t>2012.05.12</t>
  </si>
  <si>
    <t>2012.04.14</t>
  </si>
  <si>
    <t>2012.03.10</t>
  </si>
  <si>
    <t>2012.03.17</t>
  </si>
  <si>
    <t>2012.02.11</t>
  </si>
  <si>
    <t>2011.12.17</t>
    <phoneticPr fontId="2" type="noConversion"/>
  </si>
  <si>
    <t>2011.12.24</t>
    <phoneticPr fontId="2" type="noConversion"/>
  </si>
  <si>
    <t>2011.12.31</t>
    <phoneticPr fontId="2" type="noConversion"/>
  </si>
  <si>
    <t>2012.01.07</t>
    <phoneticPr fontId="2" type="noConversion"/>
  </si>
  <si>
    <t>2012.01.21</t>
    <phoneticPr fontId="2" type="noConversion"/>
  </si>
  <si>
    <t>2012.01.28</t>
    <phoneticPr fontId="2" type="noConversion"/>
  </si>
  <si>
    <t>2012.02.04</t>
    <phoneticPr fontId="2" type="noConversion"/>
  </si>
  <si>
    <t>2012.02.18</t>
    <phoneticPr fontId="2" type="noConversion"/>
  </si>
  <si>
    <t>2012.02.25</t>
    <phoneticPr fontId="2" type="noConversion"/>
  </si>
  <si>
    <t>2012.03.03</t>
    <phoneticPr fontId="2" type="noConversion"/>
  </si>
  <si>
    <t>2012.03.24</t>
    <phoneticPr fontId="2" type="noConversion"/>
  </si>
  <si>
    <t>2012.03.31</t>
    <phoneticPr fontId="2" type="noConversion"/>
  </si>
  <si>
    <t>2012.04.21</t>
    <phoneticPr fontId="2" type="noConversion"/>
  </si>
  <si>
    <t>2012.05.05</t>
    <phoneticPr fontId="2" type="noConversion"/>
  </si>
  <si>
    <t>2012.05.19</t>
    <phoneticPr fontId="2" type="noConversion"/>
  </si>
  <si>
    <t>2012.05.26</t>
    <phoneticPr fontId="2" type="noConversion"/>
  </si>
  <si>
    <t>2012.06.02</t>
    <phoneticPr fontId="2" type="noConversion"/>
  </si>
  <si>
    <t>2012.06.09</t>
    <phoneticPr fontId="2" type="noConversion"/>
  </si>
  <si>
    <t>2012.06.23</t>
    <phoneticPr fontId="2" type="noConversion"/>
  </si>
  <si>
    <t>2012.06.30</t>
    <phoneticPr fontId="2" type="noConversion"/>
  </si>
  <si>
    <t>2012.08.04</t>
    <phoneticPr fontId="2" type="noConversion"/>
  </si>
  <si>
    <t>2012.08.11</t>
    <phoneticPr fontId="2" type="noConversion"/>
  </si>
  <si>
    <t>2012.08.18</t>
    <phoneticPr fontId="2" type="noConversion"/>
  </si>
  <si>
    <t>2012.08.25</t>
    <phoneticPr fontId="2" type="noConversion"/>
  </si>
  <si>
    <t>2013.08.24</t>
    <phoneticPr fontId="2" type="noConversion"/>
  </si>
  <si>
    <t>뜨거운 수(10주)</t>
    <phoneticPr fontId="2" type="noConversion"/>
  </si>
  <si>
    <t>출</t>
    <phoneticPr fontId="2" type="noConversion"/>
  </si>
  <si>
    <t>1열</t>
    <phoneticPr fontId="2" type="noConversion"/>
  </si>
  <si>
    <t>2열</t>
    <phoneticPr fontId="2" type="noConversion"/>
  </si>
  <si>
    <t>보볼</t>
    <phoneticPr fontId="2" type="noConversion"/>
  </si>
  <si>
    <t>5~7</t>
    <phoneticPr fontId="2" type="noConversion"/>
  </si>
  <si>
    <t>3~4</t>
    <phoneticPr fontId="2" type="noConversion"/>
  </si>
  <si>
    <t>2013.08.31</t>
    <phoneticPr fontId="2" type="noConversion"/>
  </si>
  <si>
    <t>2013.09.07</t>
    <phoneticPr fontId="2" type="noConversion"/>
  </si>
  <si>
    <t>95% 이상확률가져가기</t>
    <phoneticPr fontId="2" type="noConversion"/>
  </si>
  <si>
    <t>2013.09.14</t>
    <phoneticPr fontId="2" type="noConversion"/>
  </si>
  <si>
    <t>4미만(20주)</t>
    <phoneticPr fontId="2" type="noConversion"/>
  </si>
  <si>
    <t>4미만(15주)</t>
    <phoneticPr fontId="2" type="noConversion"/>
  </si>
  <si>
    <t>5회</t>
    <phoneticPr fontId="2" type="noConversion"/>
  </si>
  <si>
    <t>15회</t>
    <phoneticPr fontId="2" type="noConversion"/>
  </si>
  <si>
    <t>2013.09.21</t>
    <phoneticPr fontId="2" type="noConversion"/>
  </si>
  <si>
    <t>2013.09.28</t>
    <phoneticPr fontId="2" type="noConversion"/>
  </si>
  <si>
    <t>2013.10.05</t>
    <phoneticPr fontId="2" type="noConversion"/>
  </si>
  <si>
    <t>2013.10.12</t>
    <phoneticPr fontId="2" type="noConversion"/>
  </si>
  <si>
    <t>2013.10.19</t>
    <phoneticPr fontId="2" type="noConversion"/>
  </si>
  <si>
    <t>2013.10.26</t>
    <phoneticPr fontId="2" type="noConversion"/>
  </si>
  <si>
    <t>2013.11.02</t>
    <phoneticPr fontId="2" type="noConversion"/>
  </si>
  <si>
    <t>+0</t>
    <phoneticPr fontId="2" type="noConversion"/>
  </si>
  <si>
    <t>+1</t>
    <phoneticPr fontId="2" type="noConversion"/>
  </si>
  <si>
    <t>+21</t>
  </si>
  <si>
    <t>+22</t>
  </si>
  <si>
    <t>+23</t>
  </si>
  <si>
    <t>+24</t>
  </si>
  <si>
    <t>+25</t>
  </si>
  <si>
    <t>+26</t>
  </si>
  <si>
    <t>+27</t>
  </si>
  <si>
    <t>+28</t>
  </si>
  <si>
    <t>+29</t>
  </si>
  <si>
    <t>+30</t>
  </si>
  <si>
    <t>+31</t>
  </si>
  <si>
    <t>+32</t>
  </si>
  <si>
    <t>모든 수 포함</t>
    <phoneticPr fontId="2" type="noConversion"/>
  </si>
  <si>
    <t>+0</t>
    <phoneticPr fontId="2" type="noConversion"/>
  </si>
  <si>
    <t>+1</t>
    <phoneticPr fontId="2" type="noConversion"/>
  </si>
  <si>
    <t>+5</t>
    <phoneticPr fontId="2" type="noConversion"/>
  </si>
  <si>
    <t>+6</t>
    <phoneticPr fontId="2" type="noConversion"/>
  </si>
  <si>
    <t>+10</t>
    <phoneticPr fontId="2" type="noConversion"/>
  </si>
  <si>
    <t>+15</t>
    <phoneticPr fontId="2" type="noConversion"/>
  </si>
  <si>
    <t>+24</t>
    <phoneticPr fontId="2" type="noConversion"/>
  </si>
  <si>
    <t>4중복수 미포함</t>
    <phoneticPr fontId="2" type="noConversion"/>
  </si>
  <si>
    <t>4이상 출현수 나올 확률</t>
    <phoneticPr fontId="2" type="noConversion"/>
  </si>
  <si>
    <t>당첨번호 중 출현수</t>
    <phoneticPr fontId="2" type="noConversion"/>
  </si>
  <si>
    <t>2013.11.09</t>
    <phoneticPr fontId="2" type="noConversion"/>
  </si>
  <si>
    <t>0~20(2출현)</t>
    <phoneticPr fontId="2" type="noConversion"/>
  </si>
  <si>
    <t>4만(0~20): 제외수필터 31~46</t>
    <phoneticPr fontId="2" type="noConversion"/>
  </si>
  <si>
    <t>2013.11.16</t>
    <phoneticPr fontId="2" type="noConversion"/>
  </si>
  <si>
    <t>2013.11.23</t>
    <phoneticPr fontId="2" type="noConversion"/>
  </si>
  <si>
    <t>15 이상 출</t>
    <phoneticPr fontId="2" type="noConversion"/>
  </si>
  <si>
    <t>4 이상 수</t>
    <phoneticPr fontId="2" type="noConversion"/>
  </si>
  <si>
    <t>모든 수</t>
    <phoneticPr fontId="2" type="noConversion"/>
  </si>
  <si>
    <t>4이상 수 제외</t>
    <phoneticPr fontId="2" type="noConversion"/>
  </si>
  <si>
    <t>5</t>
    <phoneticPr fontId="2" type="noConversion"/>
  </si>
  <si>
    <t>4</t>
    <phoneticPr fontId="2" type="noConversion"/>
  </si>
  <si>
    <t>5</t>
    <phoneticPr fontId="2" type="noConversion"/>
  </si>
  <si>
    <t>3</t>
    <phoneticPr fontId="2" type="noConversion"/>
  </si>
  <si>
    <t>0</t>
    <phoneticPr fontId="2" type="noConversion"/>
  </si>
  <si>
    <t>6</t>
    <phoneticPr fontId="2" type="noConversion"/>
  </si>
  <si>
    <t>6</t>
    <phoneticPr fontId="2" type="noConversion"/>
  </si>
  <si>
    <t>2013.11.30</t>
    <phoneticPr fontId="2" type="noConversion"/>
  </si>
  <si>
    <t>+12</t>
    <phoneticPr fontId="2" type="noConversion"/>
  </si>
  <si>
    <t>+13</t>
    <phoneticPr fontId="2" type="noConversion"/>
  </si>
  <si>
    <t>2013.11.37</t>
  </si>
  <si>
    <t>2013.11.44</t>
  </si>
  <si>
    <t>2013.11.51</t>
  </si>
  <si>
    <t>2013.11.58</t>
  </si>
  <si>
    <t>2013.11.65</t>
  </si>
  <si>
    <t>2013.11.72</t>
  </si>
  <si>
    <t>2013.11.79</t>
  </si>
  <si>
    <t>2013.11.86</t>
  </si>
  <si>
    <t>2013.11.93</t>
  </si>
  <si>
    <t>2013.11.100</t>
  </si>
  <si>
    <t>2013.11.107</t>
  </si>
  <si>
    <t>2013.11.114</t>
  </si>
  <si>
    <t>2013.11.121</t>
  </si>
  <si>
    <t>2013.11.128</t>
  </si>
  <si>
    <t>2013.11.135</t>
  </si>
  <si>
    <t>2013.11.142</t>
  </si>
  <si>
    <t>2013.11.149</t>
  </si>
  <si>
    <t>2013.11.156</t>
  </si>
  <si>
    <t>2013.11.163</t>
  </si>
  <si>
    <t>2013.11.170</t>
  </si>
  <si>
    <t>2013.11.177</t>
  </si>
  <si>
    <t>2013.11.184</t>
  </si>
  <si>
    <t>2013.11.191</t>
  </si>
  <si>
    <t>2013.11.198</t>
  </si>
  <si>
    <t>2013.11.205</t>
  </si>
  <si>
    <t>2013.11.212</t>
  </si>
  <si>
    <t>2013.11.219</t>
  </si>
  <si>
    <t>2013.11.226</t>
  </si>
  <si>
    <t>2013.11.233</t>
  </si>
  <si>
    <t>2013.11.240</t>
  </si>
  <si>
    <t>2013.11.247</t>
  </si>
  <si>
    <t>2013.11.254</t>
  </si>
  <si>
    <t>2013.11.261</t>
  </si>
  <si>
    <t>2013.11.268</t>
  </si>
  <si>
    <t>2013.11.275</t>
  </si>
  <si>
    <t>2013.11.282</t>
  </si>
  <si>
    <t>2013.11.289</t>
  </si>
  <si>
    <t>2013.11.296</t>
  </si>
  <si>
    <t>2013.11.303</t>
  </si>
  <si>
    <t>2013.11.310</t>
  </si>
  <si>
    <t>2013.11.317</t>
  </si>
  <si>
    <t>2013.11.324</t>
  </si>
  <si>
    <t>2013.11.331</t>
  </si>
  <si>
    <t>2013.11.338</t>
  </si>
  <si>
    <t>2013.11.345</t>
  </si>
  <si>
    <t>2013.11.352</t>
  </si>
  <si>
    <t>2013.11.359</t>
  </si>
  <si>
    <t>2013.11.366</t>
  </si>
  <si>
    <t>2014.11.08</t>
    <phoneticPr fontId="2" type="noConversion"/>
  </si>
  <si>
    <t>회차+10</t>
  </si>
  <si>
    <t>회차+11</t>
  </si>
  <si>
    <t>중복</t>
    <phoneticPr fontId="2" type="noConversion"/>
  </si>
  <si>
    <t>5/15 중복수</t>
    <phoneticPr fontId="2" type="noConversion"/>
  </si>
  <si>
    <t>15낙수+15회 중복 수 결과</t>
    <phoneticPr fontId="2" type="noConversion"/>
  </si>
  <si>
    <t>총집계+12낙수 중복 수 결과</t>
    <phoneticPr fontId="2" type="noConversion"/>
  </si>
  <si>
    <t>중복수</t>
    <phoneticPr fontId="2" type="noConversion"/>
  </si>
  <si>
    <t>회차</t>
    <phoneticPr fontId="2" type="noConversion"/>
  </si>
  <si>
    <t>4회수</t>
    <phoneticPr fontId="2" type="noConversion"/>
  </si>
  <si>
    <t>3회수</t>
    <phoneticPr fontId="2" type="noConversion"/>
  </si>
  <si>
    <t>2회수</t>
    <phoneticPr fontId="2" type="noConversion"/>
  </si>
  <si>
    <t>1회수</t>
    <phoneticPr fontId="2" type="noConversion"/>
  </si>
  <si>
    <t>0회수</t>
    <phoneticPr fontId="2" type="noConversion"/>
  </si>
  <si>
    <t>4+3</t>
    <phoneticPr fontId="2" type="noConversion"/>
  </si>
  <si>
    <t>총집계</t>
    <phoneticPr fontId="2" type="noConversion"/>
  </si>
  <si>
    <t>27주</t>
    <phoneticPr fontId="2" type="noConversion"/>
  </si>
  <si>
    <t>20주</t>
    <phoneticPr fontId="2" type="noConversion"/>
  </si>
  <si>
    <t>5주</t>
    <phoneticPr fontId="2" type="noConversion"/>
  </si>
  <si>
    <t>4회 출현</t>
    <phoneticPr fontId="2" type="noConversion"/>
  </si>
  <si>
    <t>3회 출현</t>
    <phoneticPr fontId="2" type="noConversion"/>
  </si>
  <si>
    <t>2회 출현</t>
    <phoneticPr fontId="2" type="noConversion"/>
  </si>
  <si>
    <t>1회 출현</t>
    <phoneticPr fontId="2" type="noConversion"/>
  </si>
  <si>
    <t>0회 출현</t>
    <phoneticPr fontId="2" type="noConversion"/>
  </si>
  <si>
    <t>4회+3회 출현</t>
    <phoneticPr fontId="2" type="noConversion"/>
  </si>
  <si>
    <t>5회 이상 수</t>
  </si>
  <si>
    <t>15회 이상 수</t>
  </si>
  <si>
    <t>1~4주 당번</t>
  </si>
  <si>
    <t>20주 집계수</t>
  </si>
  <si>
    <t>1~3주 당번</t>
  </si>
  <si>
    <t>1주 당번</t>
  </si>
  <si>
    <t>1~2주 당번</t>
  </si>
  <si>
    <t>5-15중복수</t>
  </si>
  <si>
    <t>5회낙수</t>
  </si>
  <si>
    <t>2014.11.15</t>
    <phoneticPr fontId="2" type="noConversion"/>
  </si>
  <si>
    <t>2014.11.22</t>
    <phoneticPr fontId="2" type="noConversion"/>
  </si>
  <si>
    <t>총집계</t>
    <phoneticPr fontId="2" type="noConversion"/>
  </si>
  <si>
    <t>2014.11.29</t>
  </si>
  <si>
    <t>2014.12.06</t>
    <phoneticPr fontId="2" type="noConversion"/>
  </si>
  <si>
    <t>2014.12.13</t>
    <phoneticPr fontId="2" type="noConversion"/>
  </si>
  <si>
    <t>2014.12.20</t>
    <phoneticPr fontId="2" type="noConversion"/>
  </si>
  <si>
    <t>2014.12.27</t>
    <phoneticPr fontId="2" type="noConversion"/>
  </si>
  <si>
    <t>2015.01.03</t>
    <phoneticPr fontId="2" type="noConversion"/>
  </si>
  <si>
    <t>2015.01.10</t>
    <phoneticPr fontId="2" type="noConversion"/>
  </si>
  <si>
    <t>2015.01.17</t>
    <phoneticPr fontId="2" type="noConversion"/>
  </si>
  <si>
    <t>2015.01.24</t>
    <phoneticPr fontId="2" type="noConversion"/>
  </si>
  <si>
    <t>2015.01.31</t>
    <phoneticPr fontId="2" type="noConversion"/>
  </si>
  <si>
    <t>2015.02.07</t>
    <phoneticPr fontId="2" type="noConversion"/>
  </si>
  <si>
    <t>2015.02.14</t>
    <phoneticPr fontId="2" type="noConversion"/>
  </si>
  <si>
    <t>2015.02.21</t>
    <phoneticPr fontId="2" type="noConversion"/>
  </si>
  <si>
    <t>2015.02.28</t>
    <phoneticPr fontId="2" type="noConversion"/>
  </si>
  <si>
    <t>2015.03.07</t>
    <phoneticPr fontId="2" type="noConversion"/>
  </si>
  <si>
    <t>2015.03.14</t>
    <phoneticPr fontId="2" type="noConversion"/>
  </si>
  <si>
    <t>2015.03.21</t>
    <phoneticPr fontId="2" type="noConversion"/>
  </si>
  <si>
    <t>2015.03.28</t>
  </si>
  <si>
    <t>2015.04.04</t>
    <phoneticPr fontId="2" type="noConversion"/>
  </si>
  <si>
    <t>2015.04.11</t>
    <phoneticPr fontId="2" type="noConversion"/>
  </si>
  <si>
    <t>2015.04.18</t>
    <phoneticPr fontId="2" type="noConversion"/>
  </si>
  <si>
    <t>2015.04.25</t>
    <phoneticPr fontId="2" type="noConversion"/>
  </si>
  <si>
    <t>2015.05.02</t>
    <phoneticPr fontId="2" type="noConversion"/>
  </si>
  <si>
    <t>2015.05.09</t>
    <phoneticPr fontId="2" type="noConversion"/>
  </si>
  <si>
    <t>2015.05.16</t>
    <phoneticPr fontId="2" type="noConversion"/>
  </si>
  <si>
    <t>2015.05.23</t>
  </si>
  <si>
    <t>2015.05.30</t>
  </si>
  <si>
    <t>2015.06.06</t>
    <phoneticPr fontId="2" type="noConversion"/>
  </si>
  <si>
    <t>2015.06.13</t>
    <phoneticPr fontId="2" type="noConversion"/>
  </si>
  <si>
    <t>2015.06.20</t>
  </si>
  <si>
    <t>2015.06.27</t>
  </si>
  <si>
    <t>2015.07.04</t>
    <phoneticPr fontId="2" type="noConversion"/>
  </si>
  <si>
    <t>2015.07.11</t>
    <phoneticPr fontId="2" type="noConversion"/>
  </si>
  <si>
    <t>2015.07.18</t>
    <phoneticPr fontId="2" type="noConversion"/>
  </si>
  <si>
    <t>2015.07.25</t>
  </si>
  <si>
    <t>2015.08.01</t>
    <phoneticPr fontId="2" type="noConversion"/>
  </si>
  <si>
    <t>2015.08.08</t>
    <phoneticPr fontId="2" type="noConversion"/>
  </si>
  <si>
    <t>중복</t>
    <phoneticPr fontId="2" type="noConversion"/>
  </si>
  <si>
    <t>2015.08.15</t>
  </si>
  <si>
    <t>6M 집계수</t>
    <phoneticPr fontId="2" type="noConversion"/>
  </si>
  <si>
    <t>2015.08.22</t>
  </si>
  <si>
    <t>2015.08.29</t>
  </si>
  <si>
    <t>2015.09.05</t>
    <phoneticPr fontId="2" type="noConversion"/>
  </si>
  <si>
    <t>2015.09.12</t>
    <phoneticPr fontId="2" type="noConversion"/>
  </si>
  <si>
    <t>2015.09.19</t>
    <phoneticPr fontId="2" type="noConversion"/>
  </si>
  <si>
    <t>2015.09.26</t>
  </si>
  <si>
    <t>2015.10.03</t>
    <phoneticPr fontId="2" type="noConversion"/>
  </si>
  <si>
    <t>2015.10.10</t>
    <phoneticPr fontId="2" type="noConversion"/>
  </si>
  <si>
    <t>2015.10.17</t>
    <phoneticPr fontId="2" type="noConversion"/>
  </si>
  <si>
    <t>2015.10.24</t>
  </si>
  <si>
    <t>2015.10.31</t>
  </si>
  <si>
    <t>2015.11.07</t>
    <phoneticPr fontId="2" type="noConversion"/>
  </si>
  <si>
    <t>2015.11.14</t>
    <phoneticPr fontId="2" type="noConversion"/>
  </si>
  <si>
    <t>2015.11.21</t>
  </si>
  <si>
    <t>2015.11.28</t>
  </si>
  <si>
    <t>2015.12.05</t>
    <phoneticPr fontId="2" type="noConversion"/>
  </si>
  <si>
    <t>2015.12.12</t>
    <phoneticPr fontId="2" type="noConversion"/>
  </si>
  <si>
    <t>5회이상출</t>
    <phoneticPr fontId="2" type="noConversion"/>
  </si>
  <si>
    <t>총집계</t>
    <phoneticPr fontId="2" type="noConversion"/>
  </si>
  <si>
    <t>2015.12.19</t>
  </si>
  <si>
    <t>2015.12.26</t>
  </si>
  <si>
    <t>2016.01.02</t>
    <phoneticPr fontId="2" type="noConversion"/>
  </si>
  <si>
    <t>2016.01.09</t>
    <phoneticPr fontId="2" type="noConversion"/>
  </si>
  <si>
    <t>2016.01.16</t>
  </si>
  <si>
    <t>2016.01.23</t>
  </si>
  <si>
    <t>2016.01.30</t>
  </si>
  <si>
    <t>15회
이상출</t>
    <phoneticPr fontId="2" type="noConversion"/>
  </si>
  <si>
    <t>6개월
집계수</t>
    <phoneticPr fontId="2" type="noConversion"/>
  </si>
  <si>
    <t>20주
집계</t>
    <phoneticPr fontId="2" type="noConversion"/>
  </si>
  <si>
    <t>5-15
중복수</t>
    <phoneticPr fontId="2" type="noConversion"/>
  </si>
  <si>
    <t>15주낙수+
15회 중복</t>
    <phoneticPr fontId="2" type="noConversion"/>
  </si>
  <si>
    <t>총집계+
12주낙수</t>
    <phoneticPr fontId="2" type="noConversion"/>
  </si>
  <si>
    <t>2~6회
출현수</t>
    <phoneticPr fontId="2" type="noConversion"/>
  </si>
  <si>
    <t>15주
낙수123</t>
    <phoneticPr fontId="2" type="noConversion"/>
  </si>
  <si>
    <t>2016.02.06</t>
    <phoneticPr fontId="2" type="noConversion"/>
  </si>
  <si>
    <t>2016.02.13</t>
    <phoneticPr fontId="2" type="noConversion"/>
  </si>
  <si>
    <t>2016.02.20</t>
  </si>
  <si>
    <t>2016.02.27</t>
  </si>
  <si>
    <t>2016.03.05</t>
    <phoneticPr fontId="2" type="noConversion"/>
  </si>
  <si>
    <t>2016.03.12</t>
    <phoneticPr fontId="2" type="noConversion"/>
  </si>
  <si>
    <t>2016.03.19</t>
    <phoneticPr fontId="2" type="noConversion"/>
  </si>
  <si>
    <t>2016.03.26</t>
  </si>
  <si>
    <t>2016.04.02</t>
    <phoneticPr fontId="2" type="noConversion"/>
  </si>
  <si>
    <t>2016.04.09</t>
    <phoneticPr fontId="2" type="noConversion"/>
  </si>
  <si>
    <t>2016.04.16</t>
  </si>
  <si>
    <t>2016.04.23</t>
  </si>
  <si>
    <t>2016.04.30</t>
  </si>
  <si>
    <t>27w2~6</t>
    <phoneticPr fontId="2" type="noConversion"/>
  </si>
  <si>
    <t>20w2~6</t>
    <phoneticPr fontId="2" type="noConversion"/>
  </si>
  <si>
    <t>5w0~2</t>
    <phoneticPr fontId="2" type="noConversion"/>
  </si>
  <si>
    <t>2016.05.07</t>
    <phoneticPr fontId="2" type="noConversion"/>
  </si>
  <si>
    <t>2~6회
출현수</t>
    <phoneticPr fontId="2" type="noConversion"/>
  </si>
  <si>
    <t>2016.05.14</t>
    <phoneticPr fontId="2" type="noConversion"/>
  </si>
  <si>
    <t>2016.05.21</t>
  </si>
  <si>
    <t>2016.05.28</t>
  </si>
  <si>
    <t>2016.06.04</t>
    <phoneticPr fontId="2" type="noConversion"/>
  </si>
  <si>
    <t>2016.06.11</t>
    <phoneticPr fontId="2" type="noConversion"/>
  </si>
  <si>
    <t>2016.06.18</t>
  </si>
  <si>
    <t>2016.06.25</t>
  </si>
  <si>
    <t>2016.07.02</t>
    <phoneticPr fontId="2" type="noConversion"/>
  </si>
  <si>
    <t>2016.07.09</t>
    <phoneticPr fontId="2" type="noConversion"/>
  </si>
  <si>
    <t>5 이상 출</t>
    <phoneticPr fontId="2" type="noConversion"/>
  </si>
  <si>
    <t>2016.07.16</t>
  </si>
  <si>
    <t>2016.07.23</t>
  </si>
  <si>
    <t>2016.07.30</t>
  </si>
  <si>
    <t>2016.08.06</t>
    <phoneticPr fontId="2" type="noConversion"/>
  </si>
  <si>
    <t>2016.08.13</t>
    <phoneticPr fontId="2" type="noConversion"/>
  </si>
  <si>
    <t>2016.08.20</t>
  </si>
  <si>
    <t>2016.08.27</t>
  </si>
  <si>
    <t>2016.09.03</t>
    <phoneticPr fontId="2" type="noConversion"/>
  </si>
  <si>
    <t>2016.09.10</t>
    <phoneticPr fontId="2" type="noConversion"/>
  </si>
  <si>
    <t>2016.09.17</t>
  </si>
  <si>
    <t>2016.09.24</t>
  </si>
  <si>
    <t>2016.10.01</t>
    <phoneticPr fontId="2" type="noConversion"/>
  </si>
  <si>
    <t>2016.10.08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</si>
</sst>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-* #,##0_-;\-* #,##0_-;_-* &quot;-&quot;_-;_-@_-"/>
    <numFmt numFmtId="176" formatCode="0_);[Red]\(0\)"/>
    <numFmt numFmtId="177" formatCode="0.0%"/>
  </numFmts>
  <fonts count="56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ＭＳ Ｐゴシック"/>
      <family val="3"/>
      <charset val="128"/>
    </font>
    <font>
      <sz val="12"/>
      <color theme="1"/>
      <name val="맑은 고딕"/>
      <family val="2"/>
      <charset val="129"/>
      <scheme val="major"/>
    </font>
    <font>
      <sz val="11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2"/>
      <name val="맑은 고딕"/>
      <family val="2"/>
      <charset val="129"/>
      <scheme val="major"/>
    </font>
    <font>
      <sz val="9"/>
      <name val="맑은 고딕"/>
      <family val="3"/>
      <charset val="129"/>
      <scheme val="minor"/>
    </font>
    <font>
      <sz val="11"/>
      <name val="Verdana"/>
      <family val="2"/>
    </font>
    <font>
      <sz val="12"/>
      <color theme="1"/>
      <name val="Arial Unicode MS"/>
      <family val="3"/>
      <charset val="129"/>
    </font>
    <font>
      <sz val="10"/>
      <color theme="1"/>
      <name val="Arial Unicode MS"/>
      <family val="3"/>
      <charset val="129"/>
    </font>
    <font>
      <sz val="11"/>
      <color theme="1"/>
      <name val="Arial Unicode MS"/>
      <family val="3"/>
      <charset val="129"/>
    </font>
    <font>
      <b/>
      <sz val="9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ajor"/>
    </font>
    <font>
      <sz val="12"/>
      <color rgb="FFFF0000"/>
      <name val="맑은 고딕"/>
      <family val="3"/>
      <charset val="129"/>
      <scheme val="minor"/>
    </font>
    <font>
      <strike/>
      <sz val="12"/>
      <name val="맑은 고딕"/>
      <family val="3"/>
      <charset val="129"/>
      <scheme val="minor"/>
    </font>
    <font>
      <strike/>
      <sz val="12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1"/>
      <name val="돋움"/>
      <family val="3"/>
      <charset val="129"/>
    </font>
    <font>
      <sz val="14"/>
      <color theme="1"/>
      <name val="맑은 고딕"/>
      <family val="3"/>
      <charset val="129"/>
      <scheme val="major"/>
    </font>
    <font>
      <sz val="14"/>
      <color theme="1"/>
      <name val="맑은 고딕"/>
      <family val="3"/>
      <charset val="129"/>
      <scheme val="minor"/>
    </font>
    <font>
      <sz val="14"/>
      <color theme="1"/>
      <name val="Arial Unicode MS"/>
      <family val="3"/>
      <charset val="129"/>
    </font>
    <font>
      <b/>
      <sz val="11"/>
      <color theme="1"/>
      <name val="Arial Unicode MS"/>
      <family val="3"/>
      <charset val="129"/>
    </font>
    <font>
      <sz val="11"/>
      <color theme="1"/>
      <name val="Arial Black"/>
      <family val="2"/>
    </font>
    <font>
      <sz val="10"/>
      <color theme="1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1448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7" applyNumberFormat="0" applyFill="0" applyAlignment="0" applyProtection="0">
      <alignment vertical="center"/>
    </xf>
    <xf numFmtId="0" fontId="8" fillId="0" borderId="8" applyNumberFormat="0" applyFill="0" applyAlignment="0" applyProtection="0">
      <alignment vertical="center"/>
    </xf>
    <xf numFmtId="0" fontId="9" fillId="0" borderId="9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3" fillId="10" borderId="10" applyNumberFormat="0" applyAlignment="0" applyProtection="0">
      <alignment vertical="center"/>
    </xf>
    <xf numFmtId="0" fontId="14" fillId="11" borderId="11" applyNumberFormat="0" applyAlignment="0" applyProtection="0">
      <alignment vertical="center"/>
    </xf>
    <xf numFmtId="0" fontId="15" fillId="11" borderId="10" applyNumberFormat="0" applyAlignment="0" applyProtection="0">
      <alignment vertical="center"/>
    </xf>
    <xf numFmtId="0" fontId="16" fillId="0" borderId="12" applyNumberFormat="0" applyFill="0" applyAlignment="0" applyProtection="0">
      <alignment vertical="center"/>
    </xf>
    <xf numFmtId="0" fontId="17" fillId="12" borderId="13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5" fillId="13" borderId="14" applyNumberFormat="0" applyFon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15" applyNumberFormat="0" applyFill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6" borderId="0" applyNumberFormat="0" applyBorder="0" applyAlignment="0" applyProtection="0">
      <alignment vertical="center"/>
    </xf>
    <xf numFmtId="0" fontId="21" fillId="37" borderId="0" applyNumberFormat="0" applyBorder="0" applyAlignment="0" applyProtection="0">
      <alignment vertical="center"/>
    </xf>
    <xf numFmtId="0" fontId="23" fillId="0" borderId="0"/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47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3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</cellStyleXfs>
  <cellXfs count="641">
    <xf numFmtId="0" fontId="0" fillId="0" borderId="0" xfId="0">
      <alignment vertical="center"/>
    </xf>
    <xf numFmtId="176" fontId="0" fillId="0" borderId="0" xfId="0" applyNumberFormat="1" applyFill="1" applyBorder="1" applyAlignment="1">
      <alignment vertical="center"/>
    </xf>
    <xf numFmtId="0" fontId="0" fillId="0" borderId="0" xfId="0" applyBorder="1">
      <alignment vertical="center"/>
    </xf>
    <xf numFmtId="0" fontId="22" fillId="0" borderId="0" xfId="0" applyFont="1" applyFill="1" applyBorder="1" applyAlignment="1">
      <alignment vertical="center" shrinkToFit="1"/>
    </xf>
    <xf numFmtId="0" fontId="0" fillId="0" borderId="0" xfId="0" applyFont="1" applyFill="1" applyBorder="1">
      <alignment vertical="center"/>
    </xf>
    <xf numFmtId="0" fontId="0" fillId="38" borderId="3" xfId="0" applyFill="1" applyBorder="1">
      <alignment vertical="center"/>
    </xf>
    <xf numFmtId="0" fontId="0" fillId="38" borderId="1" xfId="0" applyFill="1" applyBorder="1">
      <alignment vertical="center"/>
    </xf>
    <xf numFmtId="0" fontId="0" fillId="38" borderId="17" xfId="0" applyFill="1" applyBorder="1" applyAlignment="1">
      <alignment horizontal="center" vertical="center"/>
    </xf>
    <xf numFmtId="0" fontId="0" fillId="38" borderId="2" xfId="0" applyFill="1" applyBorder="1">
      <alignment vertical="center"/>
    </xf>
    <xf numFmtId="0" fontId="0" fillId="0" borderId="17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22" fillId="0" borderId="1" xfId="0" applyFont="1" applyFill="1" applyBorder="1">
      <alignment vertical="center"/>
    </xf>
    <xf numFmtId="0" fontId="0" fillId="0" borderId="2" xfId="0" applyFill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>
      <alignment vertical="center"/>
    </xf>
    <xf numFmtId="0" fontId="25" fillId="0" borderId="1" xfId="0" applyFont="1" applyFill="1" applyBorder="1">
      <alignment vertical="center"/>
    </xf>
    <xf numFmtId="0" fontId="22" fillId="0" borderId="0" xfId="0" applyFont="1" applyFill="1" applyBorder="1">
      <alignment vertical="center"/>
    </xf>
    <xf numFmtId="176" fontId="25" fillId="0" borderId="1" xfId="0" applyNumberFormat="1" applyFont="1" applyFill="1" applyBorder="1" applyAlignment="1">
      <alignment horizontal="center" vertical="center"/>
    </xf>
    <xf numFmtId="176" fontId="25" fillId="0" borderId="1" xfId="0" applyNumberFormat="1" applyFont="1" applyFill="1" applyBorder="1">
      <alignment vertical="center"/>
    </xf>
    <xf numFmtId="0" fontId="25" fillId="0" borderId="0" xfId="0" applyFont="1" applyFill="1" applyBorder="1">
      <alignment vertical="center"/>
    </xf>
    <xf numFmtId="0" fontId="25" fillId="0" borderId="0" xfId="0" applyFont="1" applyFill="1" applyBorder="1" applyAlignment="1">
      <alignment horizontal="center" vertical="center"/>
    </xf>
    <xf numFmtId="0" fontId="25" fillId="0" borderId="0" xfId="0" applyFont="1" applyFill="1">
      <alignment vertical="center"/>
    </xf>
    <xf numFmtId="0" fontId="0" fillId="38" borderId="19" xfId="0" applyFill="1" applyBorder="1" applyAlignment="1">
      <alignment vertical="center"/>
    </xf>
    <xf numFmtId="0" fontId="0" fillId="38" borderId="20" xfId="0" applyFill="1" applyBorder="1" applyAlignment="1">
      <alignment vertical="center"/>
    </xf>
    <xf numFmtId="0" fontId="0" fillId="38" borderId="5" xfId="0" applyFill="1" applyBorder="1" applyAlignment="1">
      <alignment vertical="center"/>
    </xf>
    <xf numFmtId="0" fontId="0" fillId="38" borderId="22" xfId="0" applyFill="1" applyBorder="1" applyAlignment="1">
      <alignment vertical="center"/>
    </xf>
    <xf numFmtId="0" fontId="0" fillId="38" borderId="18" xfId="0" applyFill="1" applyBorder="1" applyAlignment="1">
      <alignment vertical="center"/>
    </xf>
    <xf numFmtId="0" fontId="0" fillId="38" borderId="6" xfId="0" applyFill="1" applyBorder="1" applyAlignment="1">
      <alignment vertical="center"/>
    </xf>
    <xf numFmtId="0" fontId="29" fillId="0" borderId="0" xfId="0" applyFont="1" applyFill="1">
      <alignment vertical="center"/>
    </xf>
    <xf numFmtId="0" fontId="0" fillId="38" borderId="19" xfId="0" applyFill="1" applyBorder="1" applyAlignment="1">
      <alignment horizontal="center" vertical="center"/>
    </xf>
    <xf numFmtId="0" fontId="0" fillId="38" borderId="4" xfId="0" applyFill="1" applyBorder="1" applyAlignment="1">
      <alignment horizontal="center" vertical="center"/>
    </xf>
    <xf numFmtId="0" fontId="0" fillId="38" borderId="17" xfId="0" applyFill="1" applyBorder="1">
      <alignment vertical="center"/>
    </xf>
    <xf numFmtId="0" fontId="25" fillId="0" borderId="1" xfId="0" applyFont="1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7" xfId="0" applyFill="1" applyBorder="1">
      <alignment vertical="center"/>
    </xf>
    <xf numFmtId="0" fontId="26" fillId="0" borderId="1" xfId="0" applyFont="1" applyFill="1" applyBorder="1" applyAlignment="1">
      <alignment vertical="center" shrinkToFit="1"/>
    </xf>
    <xf numFmtId="0" fontId="22" fillId="0" borderId="1" xfId="0" applyFont="1" applyFill="1" applyBorder="1" applyAlignment="1">
      <alignment horizontal="center" vertical="center" shrinkToFit="1"/>
    </xf>
    <xf numFmtId="0" fontId="0" fillId="4" borderId="1" xfId="0" applyFill="1" applyBorder="1" applyAlignment="1">
      <alignment horizontal="center" vertical="center"/>
    </xf>
    <xf numFmtId="0" fontId="30" fillId="0" borderId="1" xfId="0" applyFont="1" applyFill="1" applyBorder="1" applyAlignment="1">
      <alignment horizontal="center" vertical="center" shrinkToFit="1"/>
    </xf>
    <xf numFmtId="0" fontId="29" fillId="0" borderId="1" xfId="0" applyFont="1" applyFill="1" applyBorder="1">
      <alignment vertical="center"/>
    </xf>
    <xf numFmtId="0" fontId="29" fillId="0" borderId="1" xfId="0" applyFont="1" applyFill="1" applyBorder="1" applyAlignment="1">
      <alignment horizontal="center" vertical="center"/>
    </xf>
    <xf numFmtId="0" fontId="29" fillId="0" borderId="2" xfId="0" applyFont="1" applyFill="1" applyBorder="1" applyAlignment="1">
      <alignment horizontal="center" vertical="center"/>
    </xf>
    <xf numFmtId="0" fontId="26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26" fillId="0" borderId="0" xfId="0" applyFont="1" applyFill="1" applyBorder="1" applyAlignment="1">
      <alignment vertical="center" shrinkToFit="1"/>
    </xf>
    <xf numFmtId="0" fontId="29" fillId="0" borderId="0" xfId="0" applyFont="1" applyFill="1" applyBorder="1" applyAlignment="1">
      <alignment horizontal="center" vertical="center"/>
    </xf>
    <xf numFmtId="176" fontId="29" fillId="0" borderId="1" xfId="0" applyNumberFormat="1" applyFont="1" applyFill="1" applyBorder="1">
      <alignment vertical="center"/>
    </xf>
    <xf numFmtId="0" fontId="22" fillId="0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176" fontId="29" fillId="0" borderId="1" xfId="0" applyNumberFormat="1" applyFont="1" applyFill="1" applyBorder="1" applyAlignment="1">
      <alignment horizontal="center" vertical="center"/>
    </xf>
    <xf numFmtId="0" fontId="25" fillId="0" borderId="1" xfId="0" applyFont="1" applyFill="1" applyBorder="1" applyAlignment="1">
      <alignment horizontal="right" vertical="center"/>
    </xf>
    <xf numFmtId="0" fontId="29" fillId="0" borderId="0" xfId="0" applyFont="1" applyFill="1" applyBorder="1">
      <alignment vertical="center"/>
    </xf>
    <xf numFmtId="0" fontId="0" fillId="0" borderId="0" xfId="0" quotePrefix="1" applyFill="1" applyBorder="1">
      <alignment vertical="center"/>
    </xf>
    <xf numFmtId="9" fontId="0" fillId="0" borderId="1" xfId="0" applyNumberFormat="1" applyFill="1" applyBorder="1">
      <alignment vertical="center"/>
    </xf>
    <xf numFmtId="0" fontId="30" fillId="0" borderId="1" xfId="0" applyFont="1" applyFill="1" applyBorder="1" applyAlignment="1">
      <alignment vertical="center" shrinkToFit="1"/>
    </xf>
    <xf numFmtId="0" fontId="0" fillId="2" borderId="0" xfId="0" applyFill="1">
      <alignment vertical="center"/>
    </xf>
    <xf numFmtId="0" fontId="29" fillId="0" borderId="3" xfId="0" applyFont="1" applyFill="1" applyBorder="1">
      <alignment vertical="center"/>
    </xf>
    <xf numFmtId="0" fontId="0" fillId="0" borderId="0" xfId="0">
      <alignment vertical="center"/>
    </xf>
    <xf numFmtId="0" fontId="30" fillId="0" borderId="0" xfId="0" applyFont="1" applyFill="1" applyBorder="1" applyAlignment="1">
      <alignment horizontal="center" vertical="center" shrinkToFit="1"/>
    </xf>
    <xf numFmtId="0" fontId="0" fillId="0" borderId="0" xfId="0" applyFill="1">
      <alignment vertical="center"/>
    </xf>
    <xf numFmtId="0" fontId="0" fillId="0" borderId="0" xfId="0">
      <alignment vertical="center"/>
    </xf>
    <xf numFmtId="0" fontId="0" fillId="0" borderId="0" xfId="0" applyFill="1" applyBorder="1">
      <alignment vertical="center"/>
    </xf>
    <xf numFmtId="0" fontId="0" fillId="0" borderId="0" xfId="0">
      <alignment vertical="center"/>
    </xf>
    <xf numFmtId="49" fontId="24" fillId="0" borderId="0" xfId="0" applyNumberFormat="1" applyFont="1" applyFill="1" applyBorder="1" applyAlignment="1">
      <alignment vertical="center" shrinkToFit="1"/>
    </xf>
    <xf numFmtId="176" fontId="22" fillId="0" borderId="0" xfId="0" applyNumberFormat="1" applyFont="1" applyFill="1" applyBorder="1" applyAlignment="1">
      <alignment vertical="center" shrinkToFit="1"/>
    </xf>
    <xf numFmtId="176" fontId="3" fillId="0" borderId="0" xfId="0" applyNumberFormat="1" applyFont="1" applyFill="1" applyBorder="1" applyAlignment="1">
      <alignment vertical="center" shrinkToFit="1"/>
    </xf>
    <xf numFmtId="49" fontId="24" fillId="0" borderId="0" xfId="0" applyNumberFormat="1" applyFont="1" applyFill="1" applyBorder="1" applyAlignment="1">
      <alignment vertical="center"/>
    </xf>
    <xf numFmtId="176" fontId="22" fillId="0" borderId="0" xfId="0" applyNumberFormat="1" applyFont="1" applyFill="1" applyBorder="1" applyAlignment="1">
      <alignment vertical="center"/>
    </xf>
    <xf numFmtId="0" fontId="26" fillId="0" borderId="0" xfId="0" applyFont="1" applyFill="1" applyBorder="1">
      <alignment vertical="center"/>
    </xf>
    <xf numFmtId="0" fontId="26" fillId="0" borderId="1" xfId="0" applyFont="1" applyFill="1" applyBorder="1" applyAlignment="1">
      <alignment horizontal="center" vertical="center"/>
    </xf>
    <xf numFmtId="9" fontId="0" fillId="0" borderId="0" xfId="0" applyNumberFormat="1" applyFill="1" applyBorder="1">
      <alignment vertical="center"/>
    </xf>
    <xf numFmtId="0" fontId="0" fillId="0" borderId="0" xfId="0" applyFill="1" applyBorder="1" applyAlignment="1">
      <alignment vertical="center"/>
    </xf>
    <xf numFmtId="49" fontId="24" fillId="0" borderId="1" xfId="0" applyNumberFormat="1" applyFont="1" applyFill="1" applyBorder="1" applyAlignment="1">
      <alignment horizontal="center" vertical="center" shrinkToFit="1"/>
    </xf>
    <xf numFmtId="176" fontId="22" fillId="0" borderId="1" xfId="0" applyNumberFormat="1" applyFont="1" applyFill="1" applyBorder="1" applyAlignment="1">
      <alignment horizontal="center" vertical="center" shrinkToFit="1"/>
    </xf>
    <xf numFmtId="176" fontId="3" fillId="0" borderId="1" xfId="0" applyNumberFormat="1" applyFont="1" applyFill="1" applyBorder="1" applyAlignment="1">
      <alignment horizontal="center" vertical="center" shrinkToFit="1"/>
    </xf>
    <xf numFmtId="0" fontId="0" fillId="0" borderId="1" xfId="0" applyFont="1" applyFill="1" applyBorder="1" applyAlignment="1">
      <alignment horizontal="center" vertical="center"/>
    </xf>
    <xf numFmtId="0" fontId="26" fillId="0" borderId="1" xfId="0" applyFont="1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24" xfId="0" applyFill="1" applyBorder="1">
      <alignment vertical="center"/>
    </xf>
    <xf numFmtId="0" fontId="0" fillId="0" borderId="25" xfId="0" applyFill="1" applyBorder="1">
      <alignment vertical="center"/>
    </xf>
    <xf numFmtId="9" fontId="0" fillId="0" borderId="26" xfId="0" applyNumberFormat="1" applyFill="1" applyBorder="1">
      <alignment vertical="center"/>
    </xf>
    <xf numFmtId="0" fontId="0" fillId="0" borderId="27" xfId="0" applyFill="1" applyBorder="1">
      <alignment vertical="center"/>
    </xf>
    <xf numFmtId="9" fontId="0" fillId="0" borderId="28" xfId="0" applyNumberFormat="1" applyFill="1" applyBorder="1">
      <alignment vertical="center"/>
    </xf>
    <xf numFmtId="0" fontId="0" fillId="0" borderId="29" xfId="0" applyFill="1" applyBorder="1">
      <alignment vertical="center"/>
    </xf>
    <xf numFmtId="9" fontId="0" fillId="0" borderId="31" xfId="0" applyNumberFormat="1" applyFill="1" applyBorder="1">
      <alignment vertical="center"/>
    </xf>
    <xf numFmtId="0" fontId="0" fillId="0" borderId="1" xfId="0" quotePrefix="1" applyFill="1" applyBorder="1">
      <alignment vertical="center"/>
    </xf>
    <xf numFmtId="0" fontId="0" fillId="0" borderId="0" xfId="0" quotePrefix="1" applyFill="1">
      <alignment vertical="center"/>
    </xf>
    <xf numFmtId="0" fontId="0" fillId="0" borderId="30" xfId="0" applyFill="1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7" xfId="0" applyFill="1" applyBorder="1" applyAlignment="1">
      <alignment horizontal="left" vertical="center"/>
    </xf>
    <xf numFmtId="0" fontId="0" fillId="0" borderId="28" xfId="0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9" fontId="0" fillId="0" borderId="2" xfId="0" applyNumberFormat="1" applyFill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4" fontId="0" fillId="38" borderId="1" xfId="0" applyNumberFormat="1" applyFill="1" applyBorder="1">
      <alignment vertical="center"/>
    </xf>
    <xf numFmtId="14" fontId="4" fillId="0" borderId="1" xfId="0" applyNumberFormat="1" applyFont="1" applyFill="1" applyBorder="1">
      <alignment vertical="center"/>
    </xf>
    <xf numFmtId="14" fontId="26" fillId="0" borderId="1" xfId="0" applyNumberFormat="1" applyFont="1" applyFill="1" applyBorder="1" applyAlignment="1">
      <alignment vertical="center" shrinkToFit="1"/>
    </xf>
    <xf numFmtId="0" fontId="31" fillId="0" borderId="0" xfId="0" applyNumberFormat="1" applyFont="1" applyFill="1" applyAlignment="1">
      <alignment horizontal="center" vertical="center" shrinkToFit="1"/>
    </xf>
    <xf numFmtId="0" fontId="31" fillId="0" borderId="0" xfId="0" applyFont="1" applyFill="1" applyBorder="1" applyAlignment="1">
      <alignment horizontal="center" vertical="center"/>
    </xf>
    <xf numFmtId="0" fontId="31" fillId="0" borderId="0" xfId="0" applyFont="1" applyFill="1" applyAlignment="1">
      <alignment horizontal="center" vertical="center" shrinkToFit="1"/>
    </xf>
    <xf numFmtId="0" fontId="27" fillId="0" borderId="0" xfId="0" applyFont="1" applyFill="1" applyAlignment="1">
      <alignment horizontal="center" vertical="center" shrinkToFit="1"/>
    </xf>
    <xf numFmtId="0" fontId="31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4" fillId="0" borderId="0" xfId="0" applyFont="1" applyFill="1">
      <alignment vertical="center"/>
    </xf>
    <xf numFmtId="0" fontId="0" fillId="0" borderId="1" xfId="0" applyFill="1" applyBorder="1" applyAlignment="1">
      <alignment horizontal="center" vertical="center"/>
    </xf>
    <xf numFmtId="0" fontId="27" fillId="0" borderId="0" xfId="0" applyFont="1">
      <alignment vertical="center"/>
    </xf>
    <xf numFmtId="0" fontId="27" fillId="0" borderId="0" xfId="0" applyFont="1" applyFill="1">
      <alignment vertical="center"/>
    </xf>
    <xf numFmtId="0" fontId="28" fillId="0" borderId="1" xfId="0" applyFont="1" applyFill="1" applyBorder="1" applyAlignment="1">
      <alignment horizontal="center" vertical="center" shrinkToFit="1"/>
    </xf>
    <xf numFmtId="0" fontId="28" fillId="0" borderId="1" xfId="0" applyFont="1" applyFill="1" applyBorder="1" applyAlignment="1">
      <alignment horizontal="center" vertical="center"/>
    </xf>
    <xf numFmtId="0" fontId="30" fillId="0" borderId="1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27" fillId="0" borderId="0" xfId="0" applyFont="1">
      <alignment vertical="center"/>
    </xf>
    <xf numFmtId="0" fontId="0" fillId="0" borderId="1" xfId="0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quotePrefix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 applyFill="1" applyBorder="1">
      <alignment vertical="center"/>
    </xf>
    <xf numFmtId="0" fontId="0" fillId="0" borderId="3" xfId="0" applyFill="1" applyBorder="1">
      <alignment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6" fontId="29" fillId="0" borderId="0" xfId="0" applyNumberFormat="1" applyFont="1" applyFill="1" applyBorder="1" applyAlignment="1">
      <alignment horizontal="center" vertical="center"/>
    </xf>
    <xf numFmtId="176" fontId="29" fillId="0" borderId="0" xfId="0" applyNumberFormat="1" applyFont="1" applyFill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 shrinkToFit="1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2" fillId="0" borderId="2" xfId="0" applyFont="1" applyFill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32" fillId="0" borderId="27" xfId="0" applyFont="1" applyFill="1" applyBorder="1" applyAlignment="1">
      <alignment horizontal="center" vertical="center" shrinkToFit="1"/>
    </xf>
    <xf numFmtId="0" fontId="32" fillId="0" borderId="1" xfId="0" applyFont="1" applyFill="1" applyBorder="1" applyAlignment="1">
      <alignment horizontal="center" vertical="center" shrinkToFit="1"/>
    </xf>
    <xf numFmtId="0" fontId="32" fillId="0" borderId="29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5" fillId="0" borderId="0" xfId="0" applyFont="1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38" borderId="2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4" fontId="33" fillId="0" borderId="1" xfId="0" applyNumberFormat="1" applyFont="1" applyFill="1" applyBorder="1">
      <alignment vertical="center"/>
    </xf>
    <xf numFmtId="9" fontId="25" fillId="0" borderId="1" xfId="0" applyNumberFormat="1" applyFont="1" applyFill="1" applyBorder="1">
      <alignment vertical="center"/>
    </xf>
    <xf numFmtId="49" fontId="34" fillId="0" borderId="1" xfId="0" applyNumberFormat="1" applyFont="1" applyFill="1" applyBorder="1" applyAlignment="1">
      <alignment vertical="center" shrinkToFit="1"/>
    </xf>
    <xf numFmtId="49" fontId="34" fillId="0" borderId="1" xfId="0" applyNumberFormat="1" applyFont="1" applyFill="1" applyBorder="1" applyAlignment="1">
      <alignment vertical="center"/>
    </xf>
    <xf numFmtId="0" fontId="25" fillId="0" borderId="3" xfId="0" applyFont="1" applyFill="1" applyBorder="1">
      <alignment vertical="center"/>
    </xf>
    <xf numFmtId="176" fontId="26" fillId="0" borderId="1" xfId="0" applyNumberFormat="1" applyFont="1" applyFill="1" applyBorder="1" applyAlignment="1">
      <alignment vertical="center" shrinkToFit="1"/>
    </xf>
    <xf numFmtId="176" fontId="26" fillId="0" borderId="1" xfId="0" applyNumberFormat="1" applyFont="1" applyFill="1" applyBorder="1" applyAlignment="1">
      <alignment vertical="center"/>
    </xf>
    <xf numFmtId="176" fontId="35" fillId="0" borderId="1" xfId="0" applyNumberFormat="1" applyFont="1" applyFill="1" applyBorder="1" applyAlignment="1">
      <alignment vertical="center" shrinkToFit="1"/>
    </xf>
    <xf numFmtId="176" fontId="25" fillId="0" borderId="1" xfId="0" applyNumberFormat="1" applyFont="1" applyFill="1" applyBorder="1" applyAlignment="1">
      <alignment vertical="center"/>
    </xf>
    <xf numFmtId="0" fontId="26" fillId="0" borderId="2" xfId="0" applyFont="1" applyFill="1" applyBorder="1">
      <alignment vertical="center"/>
    </xf>
    <xf numFmtId="0" fontId="25" fillId="0" borderId="2" xfId="0" applyFont="1" applyFill="1" applyBorder="1">
      <alignment vertical="center"/>
    </xf>
    <xf numFmtId="176" fontId="25" fillId="0" borderId="2" xfId="0" applyNumberFormat="1" applyFont="1" applyFill="1" applyBorder="1" applyAlignment="1">
      <alignment horizontal="center" vertical="center"/>
    </xf>
    <xf numFmtId="176" fontId="25" fillId="0" borderId="2" xfId="0" applyNumberFormat="1" applyFont="1" applyFill="1" applyBorder="1">
      <alignment vertical="center"/>
    </xf>
    <xf numFmtId="9" fontId="25" fillId="0" borderId="1" xfId="0" applyNumberFormat="1" applyFont="1" applyFill="1" applyBorder="1" applyAlignment="1">
      <alignment horizontal="right" vertical="center"/>
    </xf>
    <xf numFmtId="14" fontId="25" fillId="0" borderId="1" xfId="0" applyNumberFormat="1" applyFont="1" applyFill="1" applyBorder="1">
      <alignment vertical="center"/>
    </xf>
    <xf numFmtId="0" fontId="36" fillId="0" borderId="1" xfId="0" applyFont="1" applyFill="1" applyBorder="1">
      <alignment vertical="center"/>
    </xf>
    <xf numFmtId="0" fontId="25" fillId="0" borderId="1" xfId="0" applyFont="1" applyFill="1" applyBorder="1" applyAlignment="1">
      <alignment vertical="center" shrinkToFit="1"/>
    </xf>
    <xf numFmtId="0" fontId="25" fillId="0" borderId="0" xfId="0" quotePrefix="1" applyFont="1" applyFill="1" applyBorder="1">
      <alignment vertical="center"/>
    </xf>
    <xf numFmtId="0" fontId="26" fillId="0" borderId="1" xfId="0" applyFont="1" applyFill="1" applyBorder="1" applyAlignment="1">
      <alignment horizontal="center" vertical="center" shrinkToFit="1"/>
    </xf>
    <xf numFmtId="0" fontId="0" fillId="39" borderId="1" xfId="0" applyFill="1" applyBorder="1" applyAlignment="1">
      <alignment horizontal="center" vertical="center"/>
    </xf>
    <xf numFmtId="0" fontId="0" fillId="39" borderId="22" xfId="0" quotePrefix="1" applyFill="1" applyBorder="1" applyAlignment="1">
      <alignment horizontal="center" vertical="center"/>
    </xf>
    <xf numFmtId="0" fontId="0" fillId="39" borderId="18" xfId="0" quotePrefix="1" applyFill="1" applyBorder="1" applyAlignment="1">
      <alignment horizontal="center" vertical="center"/>
    </xf>
    <xf numFmtId="176" fontId="28" fillId="0" borderId="1" xfId="0" applyNumberFormat="1" applyFont="1" applyFill="1" applyBorder="1" applyAlignment="1">
      <alignment horizontal="center" vertical="center" shrinkToFit="1"/>
    </xf>
    <xf numFmtId="0" fontId="28" fillId="0" borderId="1" xfId="0" quotePrefix="1" applyFont="1" applyFill="1" applyBorder="1" applyAlignment="1">
      <alignment horizontal="center" vertical="center"/>
    </xf>
    <xf numFmtId="0" fontId="0" fillId="39" borderId="4" xfId="0" applyFill="1" applyBorder="1" applyAlignment="1">
      <alignment horizontal="center" vertical="center"/>
    </xf>
    <xf numFmtId="0" fontId="0" fillId="39" borderId="4" xfId="0" quotePrefix="1" applyFill="1" applyBorder="1" applyAlignment="1">
      <alignment horizontal="center" vertical="center"/>
    </xf>
    <xf numFmtId="0" fontId="0" fillId="39" borderId="0" xfId="0" applyFill="1">
      <alignment vertical="center"/>
    </xf>
    <xf numFmtId="176" fontId="30" fillId="0" borderId="1" xfId="0" applyNumberFormat="1" applyFont="1" applyFill="1" applyBorder="1" applyAlignment="1">
      <alignment horizontal="center" vertical="center"/>
    </xf>
    <xf numFmtId="176" fontId="26" fillId="0" borderId="1" xfId="0" applyNumberFormat="1" applyFont="1" applyFill="1" applyBorder="1" applyAlignment="1">
      <alignment horizontal="center" vertical="center"/>
    </xf>
    <xf numFmtId="0" fontId="0" fillId="0" borderId="16" xfId="0" quotePrefix="1" applyBorder="1" applyAlignment="1">
      <alignment vertical="center"/>
    </xf>
    <xf numFmtId="0" fontId="0" fillId="0" borderId="17" xfId="0" applyBorder="1" applyAlignment="1">
      <alignment vertical="center"/>
    </xf>
    <xf numFmtId="0" fontId="32" fillId="0" borderId="0" xfId="0" applyFont="1" applyFill="1" applyBorder="1" applyAlignment="1">
      <alignment horizontal="center" vertical="center" shrinkToFit="1"/>
    </xf>
    <xf numFmtId="0" fontId="0" fillId="0" borderId="16" xfId="0" quotePrefix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39" borderId="1" xfId="0" applyFill="1" applyBorder="1" applyAlignment="1">
      <alignment horizontal="center" vertical="center"/>
    </xf>
    <xf numFmtId="49" fontId="25" fillId="0" borderId="0" xfId="0" applyNumberFormat="1" applyFont="1" applyFill="1" applyAlignment="1">
      <alignment horizontal="center" vertical="center"/>
    </xf>
    <xf numFmtId="0" fontId="0" fillId="3" borderId="1" xfId="0" applyFill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39" borderId="1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22" fillId="0" borderId="0" xfId="0" applyFont="1" applyFill="1" applyAlignment="1">
      <alignment horizontal="center" vertical="center"/>
    </xf>
    <xf numFmtId="0" fontId="22" fillId="0" borderId="0" xfId="0" quotePrefix="1" applyFont="1" applyFill="1" applyBorder="1" applyAlignment="1">
      <alignment horizontal="center" vertical="center"/>
    </xf>
    <xf numFmtId="9" fontId="22" fillId="0" borderId="0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>
      <alignment vertical="center"/>
    </xf>
    <xf numFmtId="0" fontId="0" fillId="40" borderId="0" xfId="0" applyFill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39" borderId="1" xfId="0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7" fillId="0" borderId="0" xfId="0" applyFont="1" applyFill="1" applyBorder="1" applyAlignment="1">
      <alignment horizontal="center" vertical="center"/>
    </xf>
    <xf numFmtId="0" fontId="38" fillId="0" borderId="1" xfId="0" applyFont="1" applyFill="1" applyBorder="1" applyAlignment="1">
      <alignment horizontal="center" vertical="center" shrinkToFit="1"/>
    </xf>
    <xf numFmtId="0" fontId="39" fillId="0" borderId="1" xfId="0" applyFont="1" applyBorder="1" applyAlignment="1">
      <alignment horizontal="center" vertical="center"/>
    </xf>
    <xf numFmtId="0" fontId="38" fillId="0" borderId="17" xfId="0" applyFont="1" applyBorder="1" applyAlignment="1">
      <alignment horizontal="center" vertical="center" shrinkToFit="1"/>
    </xf>
    <xf numFmtId="0" fontId="38" fillId="0" borderId="1" xfId="0" applyFont="1" applyBorder="1" applyAlignment="1">
      <alignment horizontal="center" vertical="center" shrinkToFit="1"/>
    </xf>
    <xf numFmtId="0" fontId="38" fillId="0" borderId="16" xfId="0" applyFont="1" applyBorder="1" applyAlignment="1">
      <alignment horizontal="center" vertical="center" shrinkToFit="1"/>
    </xf>
    <xf numFmtId="0" fontId="39" fillId="40" borderId="0" xfId="0" applyFont="1" applyFill="1" applyAlignment="1">
      <alignment horizontal="center" vertical="center"/>
    </xf>
    <xf numFmtId="0" fontId="39" fillId="0" borderId="1" xfId="0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9" fontId="39" fillId="0" borderId="1" xfId="0" applyNumberFormat="1" applyFont="1" applyBorder="1" applyAlignment="1">
      <alignment horizontal="center" vertical="center"/>
    </xf>
    <xf numFmtId="0" fontId="39" fillId="2" borderId="1" xfId="0" applyFont="1" applyFill="1" applyBorder="1" applyAlignment="1">
      <alignment horizontal="center" vertical="center"/>
    </xf>
    <xf numFmtId="0" fontId="39" fillId="2" borderId="16" xfId="0" applyFont="1" applyFill="1" applyBorder="1" applyAlignment="1">
      <alignment vertical="center" shrinkToFit="1"/>
    </xf>
    <xf numFmtId="0" fontId="39" fillId="2" borderId="1" xfId="0" applyNumberFormat="1" applyFont="1" applyFill="1" applyBorder="1" applyAlignment="1">
      <alignment horizontal="center" vertical="center"/>
    </xf>
    <xf numFmtId="0" fontId="39" fillId="2" borderId="1" xfId="0" applyNumberFormat="1" applyFont="1" applyFill="1" applyBorder="1" applyAlignment="1">
      <alignment horizontal="center" vertical="center" shrinkToFit="1"/>
    </xf>
    <xf numFmtId="176" fontId="39" fillId="0" borderId="1" xfId="0" applyNumberFormat="1" applyFont="1" applyFill="1" applyBorder="1" applyAlignment="1">
      <alignment horizontal="center" vertical="center"/>
    </xf>
    <xf numFmtId="176" fontId="39" fillId="2" borderId="1" xfId="0" applyNumberFormat="1" applyFont="1" applyFill="1" applyBorder="1" applyAlignment="1">
      <alignment horizontal="center" vertical="center"/>
    </xf>
    <xf numFmtId="0" fontId="39" fillId="2" borderId="1" xfId="0" quotePrefix="1" applyNumberFormat="1" applyFont="1" applyFill="1" applyBorder="1" applyAlignment="1">
      <alignment horizontal="center" vertical="center"/>
    </xf>
    <xf numFmtId="0" fontId="39" fillId="0" borderId="1" xfId="0" applyFont="1" applyBorder="1">
      <alignment vertical="center"/>
    </xf>
    <xf numFmtId="0" fontId="39" fillId="0" borderId="0" xfId="0" applyFont="1">
      <alignment vertical="center"/>
    </xf>
    <xf numFmtId="0" fontId="39" fillId="0" borderId="2" xfId="0" applyFont="1" applyFill="1" applyBorder="1" applyAlignment="1">
      <alignment horizontal="center" vertical="center"/>
    </xf>
    <xf numFmtId="0" fontId="39" fillId="0" borderId="0" xfId="0" applyFont="1" applyFill="1" applyBorder="1" applyAlignment="1">
      <alignment horizontal="center" vertical="center"/>
    </xf>
    <xf numFmtId="0" fontId="38" fillId="0" borderId="1" xfId="0" applyFont="1" applyFill="1" applyBorder="1" applyAlignment="1">
      <alignment horizontal="center" vertical="center" shrinkToFit="1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9" fillId="0" borderId="1" xfId="0" applyNumberFormat="1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1" fontId="39" fillId="0" borderId="0" xfId="0" applyNumberFormat="1" applyFont="1" applyAlignment="1">
      <alignment horizontal="center" vertical="center"/>
    </xf>
    <xf numFmtId="0" fontId="28" fillId="0" borderId="0" xfId="0" applyFont="1" applyFill="1" applyBorder="1">
      <alignment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 applyFill="1" applyBorder="1" applyAlignment="1">
      <alignment horizontal="center" vertical="center"/>
    </xf>
    <xf numFmtId="0" fontId="37" fillId="0" borderId="0" xfId="0" applyFont="1" applyFill="1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shrinkToFit="1"/>
    </xf>
    <xf numFmtId="0" fontId="0" fillId="0" borderId="0" xfId="0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 applyFill="1" applyBorder="1" applyAlignment="1">
      <alignment horizontal="center" vertical="center"/>
    </xf>
    <xf numFmtId="0" fontId="39" fillId="0" borderId="0" xfId="0" applyFont="1" applyFill="1" applyBorder="1">
      <alignment vertical="center"/>
    </xf>
    <xf numFmtId="0" fontId="41" fillId="0" borderId="0" xfId="0" applyFont="1" applyFill="1" applyBorder="1" applyAlignment="1">
      <alignment horizontal="center" vertical="center"/>
    </xf>
    <xf numFmtId="0" fontId="41" fillId="0" borderId="0" xfId="0" applyFont="1" applyFill="1" applyBorder="1">
      <alignment vertical="center"/>
    </xf>
    <xf numFmtId="0" fontId="28" fillId="0" borderId="0" xfId="0" applyFont="1" applyAlignment="1">
      <alignment horizontal="center" vertical="center"/>
    </xf>
    <xf numFmtId="0" fontId="28" fillId="0" borderId="0" xfId="0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/>
    </xf>
    <xf numFmtId="0" fontId="28" fillId="0" borderId="0" xfId="0" applyFont="1" applyFill="1" applyAlignment="1">
      <alignment horizontal="center" vertical="center"/>
    </xf>
    <xf numFmtId="0" fontId="42" fillId="0" borderId="0" xfId="0" applyFont="1" applyFill="1" applyAlignment="1">
      <alignment horizontal="center" vertical="center"/>
    </xf>
    <xf numFmtId="49" fontId="28" fillId="0" borderId="0" xfId="0" applyNumberFormat="1" applyFont="1" applyFill="1" applyBorder="1" applyAlignment="1">
      <alignment horizontal="center" vertical="center" shrinkToFit="1"/>
    </xf>
    <xf numFmtId="0" fontId="30" fillId="0" borderId="3" xfId="0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/>
    </xf>
    <xf numFmtId="0" fontId="28" fillId="0" borderId="16" xfId="0" applyFont="1" applyFill="1" applyBorder="1" applyAlignment="1">
      <alignment horizontal="center" vertical="center" shrinkToFit="1"/>
    </xf>
    <xf numFmtId="0" fontId="28" fillId="2" borderId="0" xfId="0" applyFont="1" applyFill="1" applyAlignment="1">
      <alignment horizontal="center" vertical="center"/>
    </xf>
    <xf numFmtId="0" fontId="28" fillId="2" borderId="0" xfId="0" quotePrefix="1" applyFont="1" applyFill="1" applyAlignment="1">
      <alignment horizontal="center" vertical="center"/>
    </xf>
    <xf numFmtId="0" fontId="28" fillId="3" borderId="0" xfId="0" applyFont="1" applyFill="1" applyBorder="1" applyAlignment="1">
      <alignment horizontal="center" vertical="center"/>
    </xf>
    <xf numFmtId="0" fontId="30" fillId="3" borderId="0" xfId="0" applyFont="1" applyFill="1" applyBorder="1" applyAlignment="1">
      <alignment horizontal="center" vertical="center"/>
    </xf>
    <xf numFmtId="0" fontId="30" fillId="2" borderId="0" xfId="0" applyFont="1" applyFill="1" applyBorder="1" applyAlignment="1">
      <alignment horizontal="center" vertical="center"/>
    </xf>
    <xf numFmtId="0" fontId="30" fillId="0" borderId="0" xfId="0" applyFont="1" applyFill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28" fillId="3" borderId="0" xfId="0" quotePrefix="1" applyFont="1" applyFill="1" applyAlignment="1">
      <alignment horizontal="center" vertical="center"/>
    </xf>
    <xf numFmtId="0" fontId="28" fillId="6" borderId="1" xfId="0" applyFont="1" applyFill="1" applyBorder="1" applyAlignment="1">
      <alignment horizontal="center" vertical="center" shrinkToFit="1"/>
    </xf>
    <xf numFmtId="0" fontId="28" fillId="0" borderId="1" xfId="0" applyFont="1" applyBorder="1" applyAlignment="1">
      <alignment horizontal="center" vertical="center"/>
    </xf>
    <xf numFmtId="0" fontId="28" fillId="4" borderId="1" xfId="0" applyFont="1" applyFill="1" applyBorder="1" applyAlignment="1">
      <alignment horizontal="center" vertical="center" shrinkToFit="1"/>
    </xf>
    <xf numFmtId="0" fontId="28" fillId="6" borderId="16" xfId="0" applyFont="1" applyFill="1" applyBorder="1" applyAlignment="1">
      <alignment horizontal="center" vertical="center" shrinkToFit="1"/>
    </xf>
    <xf numFmtId="9" fontId="28" fillId="0" borderId="1" xfId="0" applyNumberFormat="1" applyFont="1" applyBorder="1" applyAlignment="1">
      <alignment horizontal="center" vertical="center"/>
    </xf>
    <xf numFmtId="0" fontId="28" fillId="4" borderId="1" xfId="0" applyFont="1" applyFill="1" applyBorder="1" applyAlignment="1">
      <alignment horizontal="center" vertical="center"/>
    </xf>
    <xf numFmtId="0" fontId="42" fillId="0" borderId="0" xfId="0" applyFont="1" applyFill="1" applyBorder="1" applyAlignment="1">
      <alignment horizontal="center" vertical="center"/>
    </xf>
    <xf numFmtId="0" fontId="44" fillId="0" borderId="0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45" fillId="0" borderId="0" xfId="0" applyFont="1" applyFill="1" applyBorder="1" applyAlignment="1">
      <alignment horizontal="center" vertical="center" shrinkToFit="1"/>
    </xf>
    <xf numFmtId="0" fontId="28" fillId="0" borderId="23" xfId="0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28" fillId="3" borderId="3" xfId="0" applyFont="1" applyFill="1" applyBorder="1" applyAlignment="1">
      <alignment horizontal="center" vertical="center"/>
    </xf>
    <xf numFmtId="0" fontId="28" fillId="0" borderId="2" xfId="0" applyFont="1" applyFill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0" xfId="0" quotePrefix="1" applyFont="1" applyBorder="1" applyAlignment="1">
      <alignment horizontal="center" vertical="center"/>
    </xf>
    <xf numFmtId="0" fontId="45" fillId="0" borderId="0" xfId="0" applyFont="1" applyFill="1" applyBorder="1" applyAlignment="1">
      <alignment horizontal="center" vertical="center"/>
    </xf>
    <xf numFmtId="0" fontId="46" fillId="0" borderId="0" xfId="0" applyFont="1" applyFill="1" applyBorder="1" applyAlignment="1">
      <alignment horizontal="center" vertical="center"/>
    </xf>
    <xf numFmtId="0" fontId="45" fillId="0" borderId="0" xfId="0" quotePrefix="1" applyFont="1" applyFill="1" applyBorder="1" applyAlignment="1">
      <alignment horizontal="center" vertical="center" shrinkToFit="1"/>
    </xf>
    <xf numFmtId="0" fontId="39" fillId="0" borderId="0" xfId="0" applyFont="1" applyAlignment="1">
      <alignment horizontal="center" vertical="center"/>
    </xf>
    <xf numFmtId="0" fontId="39" fillId="2" borderId="1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4" fontId="26" fillId="0" borderId="0" xfId="0" applyNumberFormat="1" applyFont="1" applyFill="1" applyBorder="1" applyAlignment="1">
      <alignment vertical="center" shrinkToFit="1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9" fontId="28" fillId="0" borderId="1" xfId="0" applyNumberFormat="1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48" fillId="0" borderId="0" xfId="0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 shrinkToFit="1"/>
    </xf>
    <xf numFmtId="0" fontId="28" fillId="0" borderId="0" xfId="0" applyFont="1" applyAlignment="1">
      <alignment horizontal="center" vertical="center"/>
    </xf>
    <xf numFmtId="0" fontId="0" fillId="0" borderId="0" xfId="0">
      <alignment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>
      <alignment vertical="center"/>
    </xf>
    <xf numFmtId="0" fontId="28" fillId="0" borderId="0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9" fillId="0" borderId="0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0" fillId="4" borderId="27" xfId="0" applyFont="1" applyFill="1" applyBorder="1" applyAlignment="1">
      <alignment horizontal="center" vertical="center" shrinkToFit="1"/>
    </xf>
    <xf numFmtId="0" fontId="0" fillId="0" borderId="0" xfId="0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8" fillId="0" borderId="0" xfId="0" applyFont="1" applyAlignment="1">
      <alignment horizontal="left" vertical="center"/>
    </xf>
    <xf numFmtId="0" fontId="43" fillId="0" borderId="0" xfId="0" applyFont="1" applyFill="1" applyBorder="1" applyAlignment="1">
      <alignment horizontal="left" vertical="center"/>
    </xf>
    <xf numFmtId="0" fontId="30" fillId="0" borderId="0" xfId="0" applyFont="1" applyFill="1" applyAlignment="1">
      <alignment horizontal="left" vertical="center"/>
    </xf>
    <xf numFmtId="0" fontId="39" fillId="0" borderId="0" xfId="0" applyFont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28" fillId="0" borderId="2" xfId="0" applyFont="1" applyFill="1" applyBorder="1" applyAlignment="1">
      <alignment horizontal="center" vertical="center" shrinkToFit="1"/>
    </xf>
    <xf numFmtId="0" fontId="28" fillId="0" borderId="0" xfId="0" quotePrefix="1" applyFont="1" applyFill="1" applyAlignment="1">
      <alignment horizontal="center" vertical="center"/>
    </xf>
    <xf numFmtId="9" fontId="28" fillId="0" borderId="0" xfId="0" applyNumberFormat="1" applyFont="1" applyFill="1" applyBorder="1" applyAlignment="1">
      <alignment horizontal="center" vertical="center" shrinkToFit="1"/>
    </xf>
    <xf numFmtId="0" fontId="28" fillId="0" borderId="17" xfId="0" applyFont="1" applyFill="1" applyBorder="1" applyAlignment="1">
      <alignment horizontal="center" vertical="center"/>
    </xf>
    <xf numFmtId="0" fontId="28" fillId="0" borderId="19" xfId="0" applyFont="1" applyFill="1" applyBorder="1" applyAlignment="1">
      <alignment horizontal="center" vertical="center" shrinkToFit="1"/>
    </xf>
    <xf numFmtId="0" fontId="28" fillId="0" borderId="0" xfId="0" quotePrefix="1" applyFont="1" applyFill="1" applyBorder="1" applyAlignment="1">
      <alignment horizontal="center" vertical="center"/>
    </xf>
    <xf numFmtId="0" fontId="51" fillId="2" borderId="1" xfId="0" applyNumberFormat="1" applyFont="1" applyFill="1" applyBorder="1" applyAlignment="1">
      <alignment horizontal="center" vertical="center"/>
    </xf>
    <xf numFmtId="0" fontId="50" fillId="0" borderId="0" xfId="0" applyFont="1" applyFill="1" applyBorder="1" applyAlignment="1">
      <alignment horizontal="center" vertical="center"/>
    </xf>
    <xf numFmtId="9" fontId="28" fillId="0" borderId="0" xfId="0" applyNumberFormat="1" applyFont="1" applyFill="1" applyBorder="1" applyAlignment="1">
      <alignment horizontal="center" vertical="center"/>
    </xf>
    <xf numFmtId="0" fontId="51" fillId="2" borderId="1" xfId="0" quotePrefix="1" applyNumberFormat="1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/>
    </xf>
    <xf numFmtId="0" fontId="28" fillId="0" borderId="0" xfId="0" applyFont="1" applyFill="1" applyAlignment="1">
      <alignment horizontal="center" vertical="center"/>
    </xf>
    <xf numFmtId="0" fontId="30" fillId="0" borderId="1" xfId="0" applyFont="1" applyFill="1" applyBorder="1" applyAlignment="1">
      <alignment horizontal="center" vertical="center"/>
    </xf>
    <xf numFmtId="0" fontId="28" fillId="0" borderId="0" xfId="0" applyFont="1" applyFill="1" applyAlignment="1">
      <alignment horizontal="left" vertical="center"/>
    </xf>
    <xf numFmtId="0" fontId="28" fillId="0" borderId="1" xfId="0" applyFont="1" applyFill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 shrinkToFit="1"/>
    </xf>
    <xf numFmtId="0" fontId="28" fillId="0" borderId="0" xfId="0" applyFont="1" applyAlignment="1">
      <alignment horizontal="center" vertical="center"/>
    </xf>
    <xf numFmtId="0" fontId="39" fillId="2" borderId="1" xfId="0" applyNumberFormat="1" applyFont="1" applyFill="1" applyBorder="1" applyAlignment="1">
      <alignment horizontal="center" vertical="center"/>
    </xf>
    <xf numFmtId="0" fontId="45" fillId="0" borderId="0" xfId="0" applyFont="1" applyFill="1" applyBorder="1" applyAlignment="1">
      <alignment horizontal="center" vertical="center" shrinkToFit="1"/>
    </xf>
    <xf numFmtId="0" fontId="28" fillId="0" borderId="0" xfId="0" applyFont="1" applyFill="1" applyBorder="1">
      <alignment vertical="center"/>
    </xf>
    <xf numFmtId="0" fontId="30" fillId="0" borderId="0" xfId="0" applyFont="1" applyFill="1" applyBorder="1" applyAlignment="1">
      <alignment horizontal="center" vertical="center" shrinkToFit="1"/>
    </xf>
    <xf numFmtId="0" fontId="30" fillId="0" borderId="0" xfId="0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/>
    </xf>
    <xf numFmtId="0" fontId="28" fillId="0" borderId="0" xfId="0" quotePrefix="1" applyNumberFormat="1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 applyFill="1">
      <alignment vertical="center"/>
    </xf>
    <xf numFmtId="0" fontId="28" fillId="0" borderId="0" xfId="0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 shrinkToFit="1"/>
    </xf>
    <xf numFmtId="0" fontId="30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0" xfId="0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8" fillId="0" borderId="2" xfId="0" applyFont="1" applyFill="1" applyBorder="1" applyAlignment="1">
      <alignment horizontal="center" vertical="center" wrapText="1" shrinkToFit="1"/>
    </xf>
    <xf numFmtId="0" fontId="0" fillId="0" borderId="0" xfId="0" applyFill="1" applyBorder="1" applyAlignment="1">
      <alignment horizontal="center" vertical="center"/>
    </xf>
    <xf numFmtId="0" fontId="0" fillId="0" borderId="0" xfId="0">
      <alignment vertical="center"/>
    </xf>
    <xf numFmtId="0" fontId="28" fillId="0" borderId="0" xfId="0" applyFont="1" applyFill="1" applyBorder="1" applyAlignment="1">
      <alignment horizontal="center" vertical="center" shrinkToFit="1"/>
    </xf>
    <xf numFmtId="0" fontId="28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2" fillId="0" borderId="0" xfId="0" applyFont="1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 shrinkToFit="1"/>
    </xf>
    <xf numFmtId="0" fontId="53" fillId="0" borderId="0" xfId="0" applyFont="1" applyFill="1" applyBorder="1" applyAlignment="1">
      <alignment horizontal="center" vertical="center" shrinkToFit="1"/>
    </xf>
    <xf numFmtId="0" fontId="4" fillId="0" borderId="0" xfId="0" applyFont="1" applyFill="1" applyBorder="1" applyAlignment="1">
      <alignment horizontal="center" vertical="center" shrinkToFit="1"/>
    </xf>
    <xf numFmtId="0" fontId="28" fillId="0" borderId="0" xfId="0" applyFont="1" applyAlignment="1">
      <alignment horizontal="center" vertical="center"/>
    </xf>
    <xf numFmtId="177" fontId="28" fillId="0" borderId="1" xfId="0" applyNumberFormat="1" applyFont="1" applyBorder="1" applyAlignment="1">
      <alignment horizontal="center" vertical="center"/>
    </xf>
    <xf numFmtId="177" fontId="39" fillId="0" borderId="1" xfId="0" applyNumberFormat="1" applyFont="1" applyBorder="1" applyAlignment="1">
      <alignment horizontal="center" vertical="center"/>
    </xf>
    <xf numFmtId="177" fontId="28" fillId="0" borderId="0" xfId="0" applyNumberFormat="1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39" fillId="2" borderId="1" xfId="0" applyFont="1" applyFill="1" applyBorder="1" applyAlignment="1">
      <alignment horizontal="center" vertical="center"/>
    </xf>
    <xf numFmtId="0" fontId="39" fillId="2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shrinkToFit="1"/>
    </xf>
    <xf numFmtId="0" fontId="0" fillId="0" borderId="0" xfId="0" applyFill="1" applyBorder="1" applyAlignment="1">
      <alignment horizontal="center" vertical="center"/>
    </xf>
    <xf numFmtId="0" fontId="49" fillId="0" borderId="0" xfId="0" applyFont="1" applyAlignment="1">
      <alignment horizontal="center" vertical="center" shrinkToFit="1"/>
    </xf>
    <xf numFmtId="0" fontId="32" fillId="0" borderId="1" xfId="0" applyFont="1" applyFill="1" applyBorder="1" applyAlignment="1">
      <alignment horizontal="left" vertical="center" shrinkToFit="1"/>
    </xf>
    <xf numFmtId="0" fontId="0" fillId="0" borderId="0" xfId="0" applyFill="1" applyBorder="1" applyAlignment="1">
      <alignment horizontal="center" vertical="center"/>
    </xf>
    <xf numFmtId="0" fontId="28" fillId="3" borderId="27" xfId="0" applyFont="1" applyFill="1" applyBorder="1" applyAlignment="1">
      <alignment horizontal="center" vertical="center" shrinkToFit="1"/>
    </xf>
    <xf numFmtId="0" fontId="28" fillId="0" borderId="0" xfId="0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 shrinkToFit="1"/>
    </xf>
    <xf numFmtId="0" fontId="28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shrinkToFit="1"/>
    </xf>
    <xf numFmtId="0" fontId="0" fillId="0" borderId="0" xfId="0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 shrinkToFit="1"/>
    </xf>
    <xf numFmtId="0" fontId="28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8" fillId="0" borderId="1" xfId="0" applyFont="1" applyBorder="1" applyAlignment="1">
      <alignment horizontal="left" vertical="center"/>
    </xf>
    <xf numFmtId="9" fontId="28" fillId="0" borderId="1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/>
    </xf>
    <xf numFmtId="0" fontId="40" fillId="3" borderId="27" xfId="0" applyFont="1" applyFill="1" applyBorder="1" applyAlignment="1">
      <alignment horizontal="center" vertical="center" shrinkToFit="1"/>
    </xf>
    <xf numFmtId="0" fontId="40" fillId="2" borderId="27" xfId="0" applyFont="1" applyFill="1" applyBorder="1" applyAlignment="1">
      <alignment horizontal="center" vertical="center" shrinkToFit="1"/>
    </xf>
    <xf numFmtId="0" fontId="40" fillId="6" borderId="27" xfId="0" applyFont="1" applyFill="1" applyBorder="1" applyAlignment="1">
      <alignment horizontal="center" vertical="center" shrinkToFit="1"/>
    </xf>
    <xf numFmtId="0" fontId="40" fillId="4" borderId="27" xfId="0" applyFont="1" applyFill="1" applyBorder="1" applyAlignment="1">
      <alignment horizontal="center" vertical="center" shrinkToFit="1"/>
    </xf>
    <xf numFmtId="0" fontId="4" fillId="0" borderId="0" xfId="0" applyFont="1" applyAlignment="1">
      <alignment horizontal="center" vertical="center" shrinkToFit="1"/>
    </xf>
    <xf numFmtId="0" fontId="28" fillId="0" borderId="0" xfId="0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 shrinkToFit="1"/>
    </xf>
    <xf numFmtId="0" fontId="28" fillId="0" borderId="0" xfId="0" applyFont="1" applyAlignment="1">
      <alignment horizontal="center" vertical="center"/>
    </xf>
    <xf numFmtId="0" fontId="28" fillId="0" borderId="0" xfId="0" applyFont="1" applyFill="1" applyAlignment="1">
      <alignment horizontal="center" vertical="center"/>
    </xf>
    <xf numFmtId="0" fontId="30" fillId="0" borderId="1" xfId="0" applyFont="1" applyFill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0" xfId="0" applyFont="1" applyFill="1" applyAlignment="1">
      <alignment horizontal="left" vertical="center"/>
    </xf>
    <xf numFmtId="0" fontId="28" fillId="0" borderId="1" xfId="0" applyFont="1" applyFill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177" fontId="28" fillId="0" borderId="1" xfId="0" applyNumberFormat="1" applyFont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28" fillId="0" borderId="1" xfId="0" applyFont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 shrinkToFit="1"/>
    </xf>
    <xf numFmtId="0" fontId="28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8" fillId="2" borderId="2" xfId="0" applyFont="1" applyFill="1" applyBorder="1" applyAlignment="1">
      <alignment horizontal="center" vertical="center" wrapText="1" shrinkToFit="1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>
      <alignment vertical="center"/>
    </xf>
    <xf numFmtId="0" fontId="40" fillId="3" borderId="27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9" fillId="0" borderId="0" xfId="0" applyFont="1" applyFill="1" applyBorder="1" applyAlignment="1">
      <alignment horizontal="center" vertical="center" shrinkToFit="1"/>
    </xf>
    <xf numFmtId="0" fontId="28" fillId="0" borderId="0" xfId="0" applyFont="1" applyFill="1" applyBorder="1" applyAlignment="1">
      <alignment horizontal="center" vertical="center" shrinkToFit="1"/>
    </xf>
    <xf numFmtId="0" fontId="28" fillId="0" borderId="0" xfId="0" applyFont="1" applyAlignment="1">
      <alignment horizontal="center" vertical="center"/>
    </xf>
    <xf numFmtId="0" fontId="28" fillId="0" borderId="0" xfId="0" applyFont="1" applyFill="1" applyBorder="1" applyAlignment="1">
      <alignment horizontal="center" vertical="center"/>
    </xf>
    <xf numFmtId="0" fontId="40" fillId="3" borderId="27" xfId="0" applyFont="1" applyFill="1" applyBorder="1" applyAlignment="1">
      <alignment horizontal="center" vertical="center" shrinkToFit="1"/>
    </xf>
    <xf numFmtId="0" fontId="40" fillId="4" borderId="27" xfId="0" applyFont="1" applyFill="1" applyBorder="1" applyAlignment="1">
      <alignment horizontal="center" vertical="center" shrinkToFit="1"/>
    </xf>
    <xf numFmtId="0" fontId="40" fillId="2" borderId="27" xfId="0" applyFont="1" applyFill="1" applyBorder="1" applyAlignment="1">
      <alignment horizontal="center" vertical="center" shrinkToFit="1"/>
    </xf>
    <xf numFmtId="0" fontId="40" fillId="6" borderId="27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/>
    </xf>
    <xf numFmtId="0" fontId="40" fillId="3" borderId="27" xfId="0" applyFont="1" applyFill="1" applyBorder="1" applyAlignment="1">
      <alignment horizontal="center" vertical="center" shrinkToFit="1"/>
    </xf>
    <xf numFmtId="0" fontId="40" fillId="2" borderId="27" xfId="0" applyFont="1" applyFill="1" applyBorder="1" applyAlignment="1">
      <alignment horizontal="center" vertical="center" shrinkToFit="1"/>
    </xf>
    <xf numFmtId="0" fontId="0" fillId="0" borderId="0" xfId="0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40" fillId="3" borderId="27" xfId="0" applyFont="1" applyFill="1" applyBorder="1" applyAlignment="1">
      <alignment horizontal="center" vertical="center" shrinkToFit="1"/>
    </xf>
    <xf numFmtId="0" fontId="28" fillId="0" borderId="0" xfId="0" applyFont="1" applyAlignment="1">
      <alignment horizontal="center" vertical="center"/>
    </xf>
    <xf numFmtId="0" fontId="28" fillId="0" borderId="0" xfId="0" applyFont="1" applyFill="1" applyBorder="1" applyAlignment="1">
      <alignment horizontal="center" vertical="center"/>
    </xf>
    <xf numFmtId="0" fontId="40" fillId="3" borderId="27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 applyFill="1" applyBorder="1" applyAlignment="1">
      <alignment horizontal="center" vertical="center"/>
    </xf>
    <xf numFmtId="0" fontId="54" fillId="0" borderId="0" xfId="0" applyFont="1" applyFill="1" applyAlignment="1">
      <alignment horizontal="center" vertical="center" shrinkToFit="1"/>
    </xf>
    <xf numFmtId="0" fontId="49" fillId="0" borderId="0" xfId="0" applyFont="1" applyFill="1" applyBorder="1">
      <alignment vertical="center"/>
    </xf>
    <xf numFmtId="0" fontId="54" fillId="0" borderId="0" xfId="0" applyFont="1" applyFill="1" applyBorder="1">
      <alignment vertical="center"/>
    </xf>
    <xf numFmtId="0" fontId="28" fillId="0" borderId="0" xfId="0" applyFont="1" applyAlignment="1">
      <alignment horizontal="center" vertical="center"/>
    </xf>
    <xf numFmtId="0" fontId="0" fillId="0" borderId="0" xfId="0">
      <alignment vertical="center"/>
    </xf>
    <xf numFmtId="0" fontId="0" fillId="0" borderId="0" xfId="0" applyFill="1" applyBorder="1" applyAlignment="1">
      <alignment horizontal="center" vertical="center"/>
    </xf>
    <xf numFmtId="0" fontId="28" fillId="0" borderId="0" xfId="0" applyFont="1" applyAlignment="1">
      <alignment horizontal="center" vertical="center" shrinkToFit="1"/>
    </xf>
    <xf numFmtId="0" fontId="28" fillId="0" borderId="0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/>
    </xf>
    <xf numFmtId="0" fontId="40" fillId="3" borderId="27" xfId="0" applyFont="1" applyFill="1" applyBorder="1" applyAlignment="1">
      <alignment horizontal="center" vertical="center" shrinkToFit="1"/>
    </xf>
    <xf numFmtId="0" fontId="40" fillId="4" borderId="27" xfId="0" applyFont="1" applyFill="1" applyBorder="1" applyAlignment="1">
      <alignment horizontal="center" vertical="center" shrinkToFit="1"/>
    </xf>
    <xf numFmtId="0" fontId="40" fillId="3" borderId="27" xfId="0" applyFont="1" applyFill="1" applyBorder="1" applyAlignment="1">
      <alignment horizontal="center" vertical="center" shrinkToFit="1"/>
    </xf>
    <xf numFmtId="0" fontId="0" fillId="0" borderId="0" xfId="0">
      <alignment vertical="center"/>
    </xf>
    <xf numFmtId="0" fontId="28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shrinkToFit="1"/>
    </xf>
    <xf numFmtId="0" fontId="53" fillId="0" borderId="0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/>
    </xf>
    <xf numFmtId="0" fontId="54" fillId="0" borderId="0" xfId="0" applyFont="1" applyFill="1" applyBorder="1" applyAlignment="1">
      <alignment horizontal="center" vertical="center" shrinkToFit="1"/>
    </xf>
    <xf numFmtId="0" fontId="40" fillId="3" borderId="27" xfId="0" applyFont="1" applyFill="1" applyBorder="1" applyAlignment="1">
      <alignment horizontal="center" vertical="center" shrinkToFit="1"/>
    </xf>
    <xf numFmtId="0" fontId="0" fillId="0" borderId="0" xfId="0" applyFill="1" applyBorder="1">
      <alignment vertical="center"/>
    </xf>
    <xf numFmtId="0" fontId="49" fillId="0" borderId="0" xfId="0" applyFont="1" applyFill="1" applyAlignment="1">
      <alignment horizontal="center" vertical="center" shrinkToFit="1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0" fillId="0" borderId="0" xfId="0">
      <alignment vertical="center"/>
    </xf>
    <xf numFmtId="0" fontId="40" fillId="4" borderId="27" xfId="0" applyFont="1" applyFill="1" applyBorder="1" applyAlignment="1">
      <alignment horizontal="center" vertical="center" shrinkToFit="1"/>
    </xf>
    <xf numFmtId="0" fontId="40" fillId="4" borderId="27" xfId="0" applyFont="1" applyFill="1" applyBorder="1" applyAlignment="1">
      <alignment horizontal="center" vertical="center" shrinkToFit="1"/>
    </xf>
    <xf numFmtId="0" fontId="28" fillId="0" borderId="0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0" borderId="0" xfId="0" applyFont="1">
      <alignment vertical="center"/>
    </xf>
    <xf numFmtId="0" fontId="55" fillId="0" borderId="0" xfId="0" applyFont="1" applyFill="1" applyBorder="1" applyAlignment="1">
      <alignment horizontal="center" vertical="center" shrinkToFit="1"/>
    </xf>
    <xf numFmtId="0" fontId="28" fillId="0" borderId="0" xfId="0" applyFont="1" applyAlignment="1">
      <alignment horizontal="center" vertical="center"/>
    </xf>
    <xf numFmtId="0" fontId="50" fillId="0" borderId="0" xfId="0" applyFont="1" applyFill="1" applyBorder="1">
      <alignment vertical="center"/>
    </xf>
    <xf numFmtId="0" fontId="28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40" fillId="3" borderId="27" xfId="0" applyFont="1" applyFill="1" applyBorder="1" applyAlignment="1">
      <alignment horizontal="center" vertical="center" shrinkToFit="1"/>
    </xf>
    <xf numFmtId="0" fontId="40" fillId="4" borderId="27" xfId="0" applyFont="1" applyFill="1" applyBorder="1" applyAlignment="1">
      <alignment horizontal="center" vertical="center" shrinkToFit="1"/>
    </xf>
    <xf numFmtId="0" fontId="40" fillId="6" borderId="27" xfId="0" applyFont="1" applyFill="1" applyBorder="1" applyAlignment="1">
      <alignment horizontal="center" vertical="center" shrinkToFit="1"/>
    </xf>
    <xf numFmtId="0" fontId="40" fillId="3" borderId="27" xfId="0" applyFont="1" applyFill="1" applyBorder="1" applyAlignment="1">
      <alignment horizontal="center" vertical="center" shrinkToFit="1"/>
    </xf>
    <xf numFmtId="0" fontId="40" fillId="4" borderId="27" xfId="0" applyFont="1" applyFill="1" applyBorder="1" applyAlignment="1">
      <alignment horizontal="center" vertical="center" shrinkToFit="1"/>
    </xf>
    <xf numFmtId="0" fontId="40" fillId="6" borderId="27" xfId="0" applyFont="1" applyFill="1" applyBorder="1" applyAlignment="1">
      <alignment horizontal="center" vertical="center" shrinkToFit="1"/>
    </xf>
    <xf numFmtId="0" fontId="28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28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0" fillId="6" borderId="27" xfId="0" applyFont="1" applyFill="1" applyBorder="1" applyAlignment="1">
      <alignment horizontal="center" vertical="center" shrinkToFit="1"/>
    </xf>
    <xf numFmtId="0" fontId="53" fillId="0" borderId="0" xfId="0" applyFont="1" applyFill="1" applyAlignment="1">
      <alignment horizontal="center" vertical="center" shrinkToFit="1"/>
    </xf>
    <xf numFmtId="0" fontId="28" fillId="0" borderId="0" xfId="0" applyFont="1" applyAlignment="1">
      <alignment horizontal="center" vertical="center"/>
    </xf>
    <xf numFmtId="0" fontId="40" fillId="2" borderId="27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/>
    </xf>
    <xf numFmtId="0" fontId="39" fillId="0" borderId="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40" fillId="3" borderId="27" xfId="0" applyFont="1" applyFill="1" applyBorder="1" applyAlignment="1">
      <alignment horizontal="center" vertical="center" shrinkToFit="1"/>
    </xf>
    <xf numFmtId="0" fontId="40" fillId="4" borderId="27" xfId="0" applyFont="1" applyFill="1" applyBorder="1" applyAlignment="1">
      <alignment horizontal="center" vertical="center" shrinkToFit="1"/>
    </xf>
    <xf numFmtId="0" fontId="40" fillId="2" borderId="27" xfId="0" applyFont="1" applyFill="1" applyBorder="1" applyAlignment="1">
      <alignment horizontal="center" vertical="center" shrinkToFit="1"/>
    </xf>
    <xf numFmtId="0" fontId="40" fillId="6" borderId="27" xfId="0" applyFont="1" applyFill="1" applyBorder="1" applyAlignment="1">
      <alignment horizontal="center" vertical="center" shrinkToFit="1"/>
    </xf>
    <xf numFmtId="0" fontId="40" fillId="3" borderId="27" xfId="0" applyFont="1" applyFill="1" applyBorder="1" applyAlignment="1">
      <alignment horizontal="center" vertical="center" shrinkToFit="1"/>
    </xf>
    <xf numFmtId="0" fontId="40" fillId="4" borderId="27" xfId="0" applyFont="1" applyFill="1" applyBorder="1" applyAlignment="1">
      <alignment horizontal="center" vertical="center" shrinkToFit="1"/>
    </xf>
    <xf numFmtId="0" fontId="40" fillId="2" borderId="27" xfId="0" applyFont="1" applyFill="1" applyBorder="1" applyAlignment="1">
      <alignment horizontal="center" vertical="center" shrinkToFit="1"/>
    </xf>
    <xf numFmtId="0" fontId="40" fillId="6" borderId="27" xfId="0" applyFont="1" applyFill="1" applyBorder="1" applyAlignment="1">
      <alignment horizontal="center" vertical="center" shrinkToFit="1"/>
    </xf>
    <xf numFmtId="0" fontId="40" fillId="3" borderId="27" xfId="0" applyFont="1" applyFill="1" applyBorder="1" applyAlignment="1">
      <alignment horizontal="center" vertical="center" shrinkToFit="1"/>
    </xf>
    <xf numFmtId="0" fontId="40" fillId="4" borderId="27" xfId="0" applyFont="1" applyFill="1" applyBorder="1" applyAlignment="1">
      <alignment horizontal="center" vertical="center" shrinkToFit="1"/>
    </xf>
    <xf numFmtId="0" fontId="40" fillId="2" borderId="27" xfId="0" applyFont="1" applyFill="1" applyBorder="1" applyAlignment="1">
      <alignment horizontal="center" vertical="center" shrinkToFit="1"/>
    </xf>
    <xf numFmtId="0" fontId="40" fillId="6" borderId="27" xfId="0" applyFont="1" applyFill="1" applyBorder="1" applyAlignment="1">
      <alignment horizontal="center" vertical="center" shrinkToFit="1"/>
    </xf>
    <xf numFmtId="0" fontId="3" fillId="0" borderId="0" xfId="0" applyFont="1">
      <alignment vertical="center"/>
    </xf>
    <xf numFmtId="0" fontId="40" fillId="3" borderId="27" xfId="0" applyFont="1" applyFill="1" applyBorder="1" applyAlignment="1">
      <alignment horizontal="center" vertical="center" shrinkToFit="1"/>
    </xf>
    <xf numFmtId="0" fontId="40" fillId="4" borderId="27" xfId="0" applyFont="1" applyFill="1" applyBorder="1" applyAlignment="1">
      <alignment horizontal="center" vertical="center" shrinkToFit="1"/>
    </xf>
    <xf numFmtId="0" fontId="40" fillId="2" borderId="27" xfId="0" applyFont="1" applyFill="1" applyBorder="1" applyAlignment="1">
      <alignment horizontal="center" vertical="center" shrinkToFit="1"/>
    </xf>
    <xf numFmtId="0" fontId="40" fillId="6" borderId="27" xfId="0" applyFont="1" applyFill="1" applyBorder="1" applyAlignment="1">
      <alignment horizontal="center" vertical="center" shrinkToFit="1"/>
    </xf>
    <xf numFmtId="0" fontId="28" fillId="0" borderId="0" xfId="0" applyFont="1" applyFill="1" applyBorder="1" applyAlignment="1">
      <alignment horizontal="center" vertical="center"/>
    </xf>
    <xf numFmtId="0" fontId="40" fillId="3" borderId="27" xfId="0" applyFont="1" applyFill="1" applyBorder="1" applyAlignment="1">
      <alignment horizontal="center" vertical="center" shrinkToFit="1"/>
    </xf>
    <xf numFmtId="0" fontId="40" fillId="4" borderId="27" xfId="0" applyFont="1" applyFill="1" applyBorder="1" applyAlignment="1">
      <alignment horizontal="center" vertical="center" shrinkToFit="1"/>
    </xf>
    <xf numFmtId="0" fontId="40" fillId="2" borderId="27" xfId="0" applyFont="1" applyFill="1" applyBorder="1" applyAlignment="1">
      <alignment horizontal="center" vertical="center" shrinkToFit="1"/>
    </xf>
    <xf numFmtId="0" fontId="40" fillId="6" borderId="27" xfId="0" applyFont="1" applyFill="1" applyBorder="1" applyAlignment="1">
      <alignment horizontal="center" vertical="center" shrinkToFit="1"/>
    </xf>
    <xf numFmtId="0" fontId="40" fillId="3" borderId="27" xfId="0" applyFont="1" applyFill="1" applyBorder="1" applyAlignment="1">
      <alignment horizontal="center" vertical="center" shrinkToFit="1"/>
    </xf>
    <xf numFmtId="0" fontId="40" fillId="2" borderId="27" xfId="0" applyFont="1" applyFill="1" applyBorder="1" applyAlignment="1">
      <alignment horizontal="center" vertical="center" shrinkToFit="1"/>
    </xf>
    <xf numFmtId="0" fontId="40" fillId="6" borderId="27" xfId="0" applyFont="1" applyFill="1" applyBorder="1" applyAlignment="1">
      <alignment horizontal="center" vertical="center" shrinkToFit="1"/>
    </xf>
    <xf numFmtId="0" fontId="40" fillId="4" borderId="27" xfId="0" applyFont="1" applyFill="1" applyBorder="1" applyAlignment="1">
      <alignment horizontal="center" vertical="center" shrinkToFit="1"/>
    </xf>
    <xf numFmtId="0" fontId="53" fillId="0" borderId="0" xfId="0" applyFont="1" applyFill="1" applyAlignment="1">
      <alignment horizontal="center" vertical="center" shrinkToFit="1"/>
    </xf>
    <xf numFmtId="0" fontId="4" fillId="0" borderId="0" xfId="0" applyFont="1" applyFill="1" applyAlignment="1">
      <alignment horizontal="center" vertical="center" shrinkToFit="1"/>
    </xf>
    <xf numFmtId="0" fontId="28" fillId="0" borderId="0" xfId="0" applyFont="1" applyAlignment="1">
      <alignment horizontal="center" vertical="center"/>
    </xf>
    <xf numFmtId="0" fontId="40" fillId="3" borderId="27" xfId="0" applyFont="1" applyFill="1" applyBorder="1" applyAlignment="1">
      <alignment horizontal="center" vertical="center" shrinkToFit="1"/>
    </xf>
    <xf numFmtId="0" fontId="40" fillId="4" borderId="27" xfId="0" applyFont="1" applyFill="1" applyBorder="1" applyAlignment="1">
      <alignment horizontal="center" vertical="center" shrinkToFit="1"/>
    </xf>
    <xf numFmtId="0" fontId="40" fillId="2" borderId="27" xfId="0" applyFont="1" applyFill="1" applyBorder="1" applyAlignment="1">
      <alignment horizontal="center" vertical="center" shrinkToFit="1"/>
    </xf>
    <xf numFmtId="0" fontId="40" fillId="6" borderId="27" xfId="0" applyFont="1" applyFill="1" applyBorder="1" applyAlignment="1">
      <alignment horizontal="center" vertical="center" shrinkToFit="1"/>
    </xf>
    <xf numFmtId="0" fontId="40" fillId="3" borderId="27" xfId="0" applyFont="1" applyFill="1" applyBorder="1" applyAlignment="1">
      <alignment horizontal="center" vertical="center" shrinkToFit="1"/>
    </xf>
    <xf numFmtId="0" fontId="40" fillId="4" borderId="27" xfId="0" applyFont="1" applyFill="1" applyBorder="1" applyAlignment="1">
      <alignment horizontal="center" vertical="center" shrinkToFit="1"/>
    </xf>
    <xf numFmtId="0" fontId="40" fillId="2" borderId="27" xfId="0" applyFont="1" applyFill="1" applyBorder="1" applyAlignment="1">
      <alignment horizontal="center" vertical="center" shrinkToFit="1"/>
    </xf>
    <xf numFmtId="0" fontId="40" fillId="6" borderId="27" xfId="0" applyFont="1" applyFill="1" applyBorder="1" applyAlignment="1">
      <alignment horizontal="center" vertical="center" shrinkToFit="1"/>
    </xf>
    <xf numFmtId="0" fontId="28" fillId="0" borderId="0" xfId="0" applyFont="1" applyFill="1" applyBorder="1" applyAlignment="1">
      <alignment horizontal="center" vertical="center"/>
    </xf>
    <xf numFmtId="0" fontId="40" fillId="2" borderId="29" xfId="0" applyFont="1" applyFill="1" applyBorder="1" applyAlignment="1">
      <alignment horizontal="center" vertical="center" shrinkToFit="1"/>
    </xf>
    <xf numFmtId="0" fontId="0" fillId="0" borderId="32" xfId="0" applyFill="1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0" fontId="0" fillId="0" borderId="34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38" borderId="1" xfId="0" applyFill="1" applyBorder="1" applyAlignment="1">
      <alignment horizontal="center" vertical="center"/>
    </xf>
    <xf numFmtId="0" fontId="0" fillId="38" borderId="2" xfId="0" applyFill="1" applyBorder="1" applyAlignment="1">
      <alignment horizontal="center" vertical="center"/>
    </xf>
    <xf numFmtId="0" fontId="0" fillId="39" borderId="22" xfId="0" quotePrefix="1" applyFill="1" applyBorder="1" applyAlignment="1">
      <alignment horizontal="center" vertical="center"/>
    </xf>
    <xf numFmtId="0" fontId="0" fillId="39" borderId="18" xfId="0" quotePrefix="1" applyFill="1" applyBorder="1" applyAlignment="1">
      <alignment horizontal="center" vertical="center"/>
    </xf>
    <xf numFmtId="0" fontId="0" fillId="39" borderId="1" xfId="0" applyFill="1" applyBorder="1" applyAlignment="1">
      <alignment horizontal="center" vertical="center"/>
    </xf>
    <xf numFmtId="0" fontId="28" fillId="0" borderId="16" xfId="0" applyFont="1" applyFill="1" applyBorder="1" applyAlignment="1">
      <alignment horizontal="center" vertical="center" shrinkToFit="1"/>
    </xf>
    <xf numFmtId="0" fontId="28" fillId="0" borderId="17" xfId="0" applyFont="1" applyFill="1" applyBorder="1" applyAlignment="1">
      <alignment horizontal="center" vertical="center" shrinkToFit="1"/>
    </xf>
    <xf numFmtId="0" fontId="39" fillId="2" borderId="21" xfId="0" applyFont="1" applyFill="1" applyBorder="1" applyAlignment="1">
      <alignment horizontal="center" vertical="center" shrinkToFit="1"/>
    </xf>
    <xf numFmtId="0" fontId="39" fillId="2" borderId="17" xfId="0" applyFont="1" applyFill="1" applyBorder="1" applyAlignment="1">
      <alignment horizontal="center" vertical="center" shrinkToFit="1"/>
    </xf>
    <xf numFmtId="0" fontId="28" fillId="4" borderId="1" xfId="0" applyFont="1" applyFill="1" applyBorder="1" applyAlignment="1">
      <alignment horizontal="center" vertical="center"/>
    </xf>
    <xf numFmtId="0" fontId="32" fillId="0" borderId="17" xfId="0" applyFont="1" applyFill="1" applyBorder="1" applyAlignment="1">
      <alignment horizontal="center" vertical="center" shrinkToFit="1"/>
    </xf>
    <xf numFmtId="0" fontId="32" fillId="0" borderId="5" xfId="0" applyFont="1" applyFill="1" applyBorder="1" applyAlignment="1">
      <alignment horizontal="center" vertical="center" shrinkToFit="1"/>
    </xf>
  </cellXfs>
  <cellStyles count="11448">
    <cellStyle name="20% - 강조색1" xfId="19" builtinId="30" customBuiltin="1"/>
    <cellStyle name="20% - 강조색1 10" xfId="106"/>
    <cellStyle name="20% - 강조색1 11" xfId="119"/>
    <cellStyle name="20% - 강조색1 12" xfId="132"/>
    <cellStyle name="20% - 강조색1 13" xfId="145"/>
    <cellStyle name="20% - 강조색1 14" xfId="158"/>
    <cellStyle name="20% - 강조색1 15" xfId="171"/>
    <cellStyle name="20% - 강조색1 16" xfId="184"/>
    <cellStyle name="20% - 강조색1 17" xfId="197"/>
    <cellStyle name="20% - 강조색1 18" xfId="210"/>
    <cellStyle name="20% - 강조색1 19" xfId="223"/>
    <cellStyle name="20% - 강조색1 2" xfId="44"/>
    <cellStyle name="20% - 강조색1 20" xfId="236"/>
    <cellStyle name="20% - 강조색1 21" xfId="249"/>
    <cellStyle name="20% - 강조색1 22" xfId="262"/>
    <cellStyle name="20% - 강조색1 23" xfId="275"/>
    <cellStyle name="20% - 강조색1 24" xfId="288"/>
    <cellStyle name="20% - 강조색1 25" xfId="301"/>
    <cellStyle name="20% - 강조색1 26" xfId="314"/>
    <cellStyle name="20% - 강조색1 27" xfId="327"/>
    <cellStyle name="20% - 강조색1 28" xfId="340"/>
    <cellStyle name="20% - 강조색1 29" xfId="353"/>
    <cellStyle name="20% - 강조색1 3" xfId="67"/>
    <cellStyle name="20% - 강조색1 30" xfId="366"/>
    <cellStyle name="20% - 강조색1 31" xfId="379"/>
    <cellStyle name="20% - 강조색1 32" xfId="392"/>
    <cellStyle name="20% - 강조색1 33" xfId="405"/>
    <cellStyle name="20% - 강조색1 34" xfId="418"/>
    <cellStyle name="20% - 강조색1 35" xfId="431"/>
    <cellStyle name="20% - 강조색1 36" xfId="443"/>
    <cellStyle name="20% - 강조색1 37" xfId="455"/>
    <cellStyle name="20% - 강조색1 38" xfId="467"/>
    <cellStyle name="20% - 강조색1 39" xfId="479"/>
    <cellStyle name="20% - 강조색1 4" xfId="63"/>
    <cellStyle name="20% - 강조색1 40" xfId="542"/>
    <cellStyle name="20% - 강조색1 40 10" xfId="3183"/>
    <cellStyle name="20% - 강조색1 40 11" xfId="3136"/>
    <cellStyle name="20% - 강조색1 40 12" xfId="1795"/>
    <cellStyle name="20% - 강조색1 40 13" xfId="1948"/>
    <cellStyle name="20% - 강조색1 40 14" xfId="4659"/>
    <cellStyle name="20% - 강조색1 40 15" xfId="4786"/>
    <cellStyle name="20% - 강조색1 40 16" xfId="5471"/>
    <cellStyle name="20% - 강조색1 40 17" xfId="802"/>
    <cellStyle name="20% - 강조색1 40 18" xfId="3428"/>
    <cellStyle name="20% - 강조색1 40 19" xfId="3940"/>
    <cellStyle name="20% - 강조색1 40 2" xfId="1041"/>
    <cellStyle name="20% - 강조색1 40 20" xfId="7207"/>
    <cellStyle name="20% - 강조색1 40 21" xfId="6196"/>
    <cellStyle name="20% - 강조색1 40 22" xfId="7594"/>
    <cellStyle name="20% - 강조색1 40 23" xfId="7900"/>
    <cellStyle name="20% - 강조색1 40 24" xfId="8385"/>
    <cellStyle name="20% - 강조색1 40 25" xfId="8819"/>
    <cellStyle name="20% - 강조색1 40 26" xfId="9344"/>
    <cellStyle name="20% - 강조색1 40 27" xfId="3519"/>
    <cellStyle name="20% - 강조색1 40 28" xfId="4852"/>
    <cellStyle name="20% - 강조색1 40 29" xfId="10210"/>
    <cellStyle name="20% - 강조색1 40 3" xfId="1132"/>
    <cellStyle name="20% - 강조색1 40 30" xfId="6482"/>
    <cellStyle name="20% - 강조색1 40 31" xfId="10174"/>
    <cellStyle name="20% - 강조색1 40 32" xfId="11016"/>
    <cellStyle name="20% - 강조색1 40 33" xfId="11313"/>
    <cellStyle name="20% - 강조색1 40 34" xfId="11308"/>
    <cellStyle name="20% - 강조색1 40 35" xfId="11374"/>
    <cellStyle name="20% - 강조색1 40 36" xfId="11347"/>
    <cellStyle name="20% - 강조색1 40 4" xfId="1223"/>
    <cellStyle name="20% - 강조색1 40 5" xfId="1610"/>
    <cellStyle name="20% - 강조색1 40 6" xfId="760"/>
    <cellStyle name="20% - 강조색1 40 7" xfId="1434"/>
    <cellStyle name="20% - 강조색1 40 8" xfId="2124"/>
    <cellStyle name="20% - 강조색1 40 9" xfId="2937"/>
    <cellStyle name="20% - 강조색1 41" xfId="620"/>
    <cellStyle name="20% - 강조색1 41 10" xfId="3173"/>
    <cellStyle name="20% - 강조색1 41 11" xfId="3608"/>
    <cellStyle name="20% - 강조색1 41 12" xfId="3913"/>
    <cellStyle name="20% - 강조색1 41 13" xfId="2737"/>
    <cellStyle name="20% - 강조색1 41 14" xfId="4581"/>
    <cellStyle name="20% - 강조색1 41 15" xfId="5520"/>
    <cellStyle name="20% - 강조색1 41 16" xfId="5677"/>
    <cellStyle name="20% - 강조색1 41 17" xfId="4919"/>
    <cellStyle name="20% - 강조색1 41 18" xfId="5783"/>
    <cellStyle name="20% - 강조색1 41 19" xfId="6449"/>
    <cellStyle name="20% - 강조색1 41 2" xfId="1119"/>
    <cellStyle name="20% - 강조색1 41 20" xfId="7224"/>
    <cellStyle name="20% - 강조색1 41 21" xfId="3470"/>
    <cellStyle name="20% - 강조색1 41 22" xfId="7746"/>
    <cellStyle name="20% - 강조색1 41 23" xfId="8131"/>
    <cellStyle name="20% - 강조색1 41 24" xfId="8527"/>
    <cellStyle name="20% - 강조색1 41 25" xfId="809"/>
    <cellStyle name="20% - 강조색1 41 26" xfId="9211"/>
    <cellStyle name="20% - 강조색1 41 27" xfId="4979"/>
    <cellStyle name="20% - 강조색1 41 28" xfId="9993"/>
    <cellStyle name="20% - 강조색1 41 29" xfId="10134"/>
    <cellStyle name="20% - 강조색1 41 3" xfId="1210"/>
    <cellStyle name="20% - 강조색1 41 30" xfId="9170"/>
    <cellStyle name="20% - 강조색1 41 31" xfId="4780"/>
    <cellStyle name="20% - 강조색1 41 32" xfId="10712"/>
    <cellStyle name="20% - 강조색1 41 4" xfId="1301"/>
    <cellStyle name="20% - 강조색1 41 5" xfId="1647"/>
    <cellStyle name="20% - 강조색1 41 6" xfId="1996"/>
    <cellStyle name="20% - 강조색1 41 7" xfId="2245"/>
    <cellStyle name="20% - 강조색1 41 8" xfId="2611"/>
    <cellStyle name="20% - 강조색1 41 9" xfId="2913"/>
    <cellStyle name="20% - 강조색1 42" xfId="608"/>
    <cellStyle name="20% - 강조색1 42 10" xfId="3236"/>
    <cellStyle name="20% - 강조색1 42 11" xfId="3589"/>
    <cellStyle name="20% - 강조색1 42 12" xfId="3872"/>
    <cellStyle name="20% - 강조색1 42 13" xfId="3861"/>
    <cellStyle name="20% - 강조색1 42 14" xfId="4674"/>
    <cellStyle name="20% - 강조색1 42 15" xfId="5550"/>
    <cellStyle name="20% - 강조색1 42 16" xfId="5460"/>
    <cellStyle name="20% - 강조색1 42 17" xfId="5632"/>
    <cellStyle name="20% - 강조색1 42 18" xfId="5728"/>
    <cellStyle name="20% - 강조색1 42 19" xfId="3581"/>
    <cellStyle name="20% - 강조색1 42 2" xfId="1107"/>
    <cellStyle name="20% - 강조색1 42 20" xfId="7163"/>
    <cellStyle name="20% - 강조색1 42 21" xfId="7327"/>
    <cellStyle name="20% - 강조색1 42 22" xfId="7798"/>
    <cellStyle name="20% - 강조색1 42 23" xfId="6349"/>
    <cellStyle name="20% - 강조색1 42 24" xfId="8453"/>
    <cellStyle name="20% - 강조색1 42 25" xfId="8956"/>
    <cellStyle name="20% - 강조색1 42 26" xfId="9081"/>
    <cellStyle name="20% - 강조색1 42 27" xfId="7463"/>
    <cellStyle name="20% - 강조색1 42 28" xfId="9730"/>
    <cellStyle name="20% - 강조색1 42 29" xfId="5220"/>
    <cellStyle name="20% - 강조색1 42 3" xfId="1198"/>
    <cellStyle name="20% - 강조색1 42 30" xfId="10563"/>
    <cellStyle name="20% - 강조색1 42 31" xfId="6674"/>
    <cellStyle name="20% - 강조색1 42 32" xfId="5968"/>
    <cellStyle name="20% - 강조색1 42 4" xfId="1289"/>
    <cellStyle name="20% - 강조색1 42 5" xfId="1664"/>
    <cellStyle name="20% - 강조색1 42 6" xfId="998"/>
    <cellStyle name="20% - 강조색1 42 7" xfId="839"/>
    <cellStyle name="20% - 강조색1 42 8" xfId="2408"/>
    <cellStyle name="20% - 강조색1 42 9" xfId="923"/>
    <cellStyle name="20% - 강조색1 43" xfId="603"/>
    <cellStyle name="20% - 강조색1 43 10" xfId="3230"/>
    <cellStyle name="20% - 강조색1 43 11" xfId="2687"/>
    <cellStyle name="20% - 강조색1 43 12" xfId="1964"/>
    <cellStyle name="20% - 강조색1 43 13" xfId="917"/>
    <cellStyle name="20% - 강조색1 43 14" xfId="4515"/>
    <cellStyle name="20% - 강조색1 43 15" xfId="5561"/>
    <cellStyle name="20% - 강조색1 43 16" xfId="5782"/>
    <cellStyle name="20% - 강조색1 43 17" xfId="5862"/>
    <cellStyle name="20% - 강조색1 43 18" xfId="5920"/>
    <cellStyle name="20% - 강조색1 43 19" xfId="6128"/>
    <cellStyle name="20% - 강조색1 43 2" xfId="1102"/>
    <cellStyle name="20% - 강조색1 43 20" xfId="2070"/>
    <cellStyle name="20% - 강조색1 43 21" xfId="6758"/>
    <cellStyle name="20% - 강조색1 43 22" xfId="7533"/>
    <cellStyle name="20% - 강조색1 43 23" xfId="8143"/>
    <cellStyle name="20% - 강조색1 43 24" xfId="8320"/>
    <cellStyle name="20% - 강조색1 43 25" xfId="8857"/>
    <cellStyle name="20% - 강조색1 43 26" xfId="7783"/>
    <cellStyle name="20% - 강조색1 43 27" xfId="6687"/>
    <cellStyle name="20% - 강조색1 43 28" xfId="9898"/>
    <cellStyle name="20% - 강조색1 43 29" xfId="10192"/>
    <cellStyle name="20% - 강조색1 43 3" xfId="1193"/>
    <cellStyle name="20% - 강조색1 43 30" xfId="10399"/>
    <cellStyle name="20% - 강조색1 43 31" xfId="10771"/>
    <cellStyle name="20% - 강조색1 43 32" xfId="11197"/>
    <cellStyle name="20% - 강조색1 43 4" xfId="1284"/>
    <cellStyle name="20% - 강조색1 43 5" xfId="1627"/>
    <cellStyle name="20% - 강조색1 43 6" xfId="944"/>
    <cellStyle name="20% - 강조색1 43 7" xfId="2238"/>
    <cellStyle name="20% - 강조색1 43 8" xfId="2639"/>
    <cellStyle name="20% - 강조색1 43 9" xfId="2894"/>
    <cellStyle name="20% - 강조색1 44" xfId="571"/>
    <cellStyle name="20% - 강조색1 44 10" xfId="3091"/>
    <cellStyle name="20% - 강조색1 44 11" xfId="3601"/>
    <cellStyle name="20% - 강조색1 44 12" xfId="3995"/>
    <cellStyle name="20% - 강조색1 44 13" xfId="4337"/>
    <cellStyle name="20% - 강조색1 44 14" xfId="4604"/>
    <cellStyle name="20% - 강조색1 44 15" xfId="4861"/>
    <cellStyle name="20% - 강조색1 44 16" xfId="972"/>
    <cellStyle name="20% - 강조색1 44 17" xfId="5330"/>
    <cellStyle name="20% - 강조색1 44 18" xfId="4821"/>
    <cellStyle name="20% - 강조색1 44 19" xfId="6187"/>
    <cellStyle name="20% - 강조색1 44 2" xfId="1070"/>
    <cellStyle name="20% - 강조색1 44 20" xfId="7101"/>
    <cellStyle name="20% - 강조색1 44 21" xfId="3896"/>
    <cellStyle name="20% - 강조색1 44 22" xfId="6289"/>
    <cellStyle name="20% - 강조색1 44 23" xfId="6733"/>
    <cellStyle name="20% - 강조색1 44 24" xfId="8454"/>
    <cellStyle name="20% - 강조색1 44 25" xfId="8890"/>
    <cellStyle name="20% - 강조색1 44 26" xfId="5207"/>
    <cellStyle name="20% - 강조색1 44 27" xfId="9323"/>
    <cellStyle name="20% - 강조색1 44 28" xfId="6470"/>
    <cellStyle name="20% - 강조색1 44 29" xfId="10221"/>
    <cellStyle name="20% - 강조색1 44 3" xfId="1161"/>
    <cellStyle name="20% - 강조색1 44 30" xfId="10626"/>
    <cellStyle name="20% - 강조색1 44 31" xfId="2746"/>
    <cellStyle name="20% - 강조색1 44 32" xfId="5158"/>
    <cellStyle name="20% - 강조색1 44 4" xfId="1252"/>
    <cellStyle name="20% - 강조색1 44 5" xfId="1675"/>
    <cellStyle name="20% - 강조색1 44 6" xfId="1807"/>
    <cellStyle name="20% - 강조색1 44 7" xfId="891"/>
    <cellStyle name="20% - 강조색1 44 8" xfId="758"/>
    <cellStyle name="20% - 강조색1 44 9" xfId="2704"/>
    <cellStyle name="20% - 강조색1 45" xfId="627"/>
    <cellStyle name="20% - 강조색1 45 10" xfId="3172"/>
    <cellStyle name="20% - 강조색1 45 11" xfId="3637"/>
    <cellStyle name="20% - 강조색1 45 12" xfId="1365"/>
    <cellStyle name="20% - 강조색1 45 13" xfId="4307"/>
    <cellStyle name="20% - 강조색1 45 14" xfId="3824"/>
    <cellStyle name="20% - 강조색1 45 15" xfId="4179"/>
    <cellStyle name="20% - 강조색1 45 16" xfId="5643"/>
    <cellStyle name="20% - 강조색1 45 17" xfId="902"/>
    <cellStyle name="20% - 강조색1 45 18" xfId="5299"/>
    <cellStyle name="20% - 강조색1 45 19" xfId="5416"/>
    <cellStyle name="20% - 강조색1 45 2" xfId="1126"/>
    <cellStyle name="20% - 강조색1 45 20" xfId="7189"/>
    <cellStyle name="20% - 강조색1 45 21" xfId="7181"/>
    <cellStyle name="20% - 강조색1 45 22" xfId="4201"/>
    <cellStyle name="20% - 강조색1 45 23" xfId="6576"/>
    <cellStyle name="20% - 강조색1 45 24" xfId="8505"/>
    <cellStyle name="20% - 강조색1 45 25" xfId="4504"/>
    <cellStyle name="20% - 강조색1 45 26" xfId="9092"/>
    <cellStyle name="20% - 강조색1 45 27" xfId="9523"/>
    <cellStyle name="20% - 강조색1 45 28" xfId="9784"/>
    <cellStyle name="20% - 강조색1 45 29" xfId="5152"/>
    <cellStyle name="20% - 강조색1 45 3" xfId="1217"/>
    <cellStyle name="20% - 강조색1 45 30" xfId="10401"/>
    <cellStyle name="20% - 강조색1 45 31" xfId="10790"/>
    <cellStyle name="20% - 강조색1 45 32" xfId="10744"/>
    <cellStyle name="20% - 강조색1 45 4" xfId="1308"/>
    <cellStyle name="20% - 강조색1 45 5" xfId="1662"/>
    <cellStyle name="20% - 강조색1 45 6" xfId="1012"/>
    <cellStyle name="20% - 강조색1 45 7" xfId="1435"/>
    <cellStyle name="20% - 강조색1 45 8" xfId="2598"/>
    <cellStyle name="20% - 강조색1 45 9" xfId="2834"/>
    <cellStyle name="20% - 강조색1 46" xfId="587"/>
    <cellStyle name="20% - 강조색1 46 10" xfId="889"/>
    <cellStyle name="20% - 강조색1 46 11" xfId="3626"/>
    <cellStyle name="20% - 강조색1 46 12" xfId="3862"/>
    <cellStyle name="20% - 강조색1 46 13" xfId="4332"/>
    <cellStyle name="20% - 강조색1 46 14" xfId="2805"/>
    <cellStyle name="20% - 강조색1 46 15" xfId="738"/>
    <cellStyle name="20% - 강조색1 46 16" xfId="5130"/>
    <cellStyle name="20% - 강조색1 46 17" xfId="1459"/>
    <cellStyle name="20% - 강조색1 46 18" xfId="5474"/>
    <cellStyle name="20% - 강조색1 46 19" xfId="4801"/>
    <cellStyle name="20% - 강조색1 46 2" xfId="1086"/>
    <cellStyle name="20% - 강조색1 46 20" xfId="4443"/>
    <cellStyle name="20% - 강조색1 46 21" xfId="7061"/>
    <cellStyle name="20% - 강조색1 46 22" xfId="7766"/>
    <cellStyle name="20% - 강조색1 46 23" xfId="8220"/>
    <cellStyle name="20% - 강조색1 46 24" xfId="8554"/>
    <cellStyle name="20% - 강조색1 46 25" xfId="8643"/>
    <cellStyle name="20% - 강조색1 46 26" xfId="9063"/>
    <cellStyle name="20% - 강조색1 46 27" xfId="9149"/>
    <cellStyle name="20% - 강조색1 46 28" xfId="9816"/>
    <cellStyle name="20% - 강조색1 46 29" xfId="10098"/>
    <cellStyle name="20% - 강조색1 46 3" xfId="1177"/>
    <cellStyle name="20% - 강조색1 46 30" xfId="10483"/>
    <cellStyle name="20% - 강조색1 46 31" xfId="4105"/>
    <cellStyle name="20% - 강조색1 46 32" xfId="11115"/>
    <cellStyle name="20% - 강조색1 46 4" xfId="1268"/>
    <cellStyle name="20% - 강조색1 46 5" xfId="1697"/>
    <cellStyle name="20% - 강조색1 46 6" xfId="2015"/>
    <cellStyle name="20% - 강조색1 46 7" xfId="2308"/>
    <cellStyle name="20% - 강조색1 46 8" xfId="2540"/>
    <cellStyle name="20% - 강조색1 46 9" xfId="2738"/>
    <cellStyle name="20% - 강조색1 47" xfId="635"/>
    <cellStyle name="20% - 강조색1 47 10" xfId="4160"/>
    <cellStyle name="20% - 강조색1 47 11" xfId="4583"/>
    <cellStyle name="20% - 강조색1 47 12" xfId="4777"/>
    <cellStyle name="20% - 강조색1 47 13" xfId="5605"/>
    <cellStyle name="20% - 강조색1 47 14" xfId="5413"/>
    <cellStyle name="20% - 강조색1 47 15" xfId="5208"/>
    <cellStyle name="20% - 강조색1 47 16" xfId="4627"/>
    <cellStyle name="20% - 강조색1 47 17" xfId="1792"/>
    <cellStyle name="20% - 강조색1 47 18" xfId="7330"/>
    <cellStyle name="20% - 강조색1 47 19" xfId="4124"/>
    <cellStyle name="20% - 강조색1 47 2" xfId="1703"/>
    <cellStyle name="20% - 강조색1 47 20" xfId="8207"/>
    <cellStyle name="20% - 강조색1 47 21" xfId="2818"/>
    <cellStyle name="20% - 강조색1 47 22" xfId="893"/>
    <cellStyle name="20% - 강조색1 47 23" xfId="9267"/>
    <cellStyle name="20% - 강조색1 47 24" xfId="9631"/>
    <cellStyle name="20% - 강조색1 47 25" xfId="9234"/>
    <cellStyle name="20% - 강조색1 47 26" xfId="10260"/>
    <cellStyle name="20% - 강조색1 47 27" xfId="10108"/>
    <cellStyle name="20% - 강조색1 47 28" xfId="6201"/>
    <cellStyle name="20% - 강조색1 47 29" xfId="11194"/>
    <cellStyle name="20% - 강조색1 47 3" xfId="2012"/>
    <cellStyle name="20% - 강조색1 47 30" xfId="11330"/>
    <cellStyle name="20% - 강조색1 47 31" xfId="11380"/>
    <cellStyle name="20% - 강조색1 47 32" xfId="11403"/>
    <cellStyle name="20% - 강조색1 47 33" xfId="11366"/>
    <cellStyle name="20% - 강조색1 47 4" xfId="2261"/>
    <cellStyle name="20% - 강조색1 47 5" xfId="2652"/>
    <cellStyle name="20% - 강조색1 47 6" xfId="2831"/>
    <cellStyle name="20% - 강조색1 47 7" xfId="3161"/>
    <cellStyle name="20% - 강조색1 47 8" xfId="2122"/>
    <cellStyle name="20% - 강조색1 47 9" xfId="3827"/>
    <cellStyle name="20% - 강조색1 48" xfId="668"/>
    <cellStyle name="20% - 강조색1 48 10" xfId="4083"/>
    <cellStyle name="20% - 강조색1 48 11" xfId="4650"/>
    <cellStyle name="20% - 강조색1 48 12" xfId="2828"/>
    <cellStyle name="20% - 강조색1 48 13" xfId="5359"/>
    <cellStyle name="20% - 강조색1 48 14" xfId="5480"/>
    <cellStyle name="20% - 강조색1 48 15" xfId="5059"/>
    <cellStyle name="20% - 강조색1 48 16" xfId="5032"/>
    <cellStyle name="20% - 강조색1 48 17" xfId="2508"/>
    <cellStyle name="20% - 강조색1 48 18" xfId="7102"/>
    <cellStyle name="20% - 강조색1 48 19" xfId="7672"/>
    <cellStyle name="20% - 강조색1 48 2" xfId="1741"/>
    <cellStyle name="20% - 강조색1 48 20" xfId="6259"/>
    <cellStyle name="20% - 강조색1 48 21" xfId="5023"/>
    <cellStyle name="20% - 강조색1 48 22" xfId="8317"/>
    <cellStyle name="20% - 강조색1 48 23" xfId="9268"/>
    <cellStyle name="20% - 강조색1 48 24" xfId="9582"/>
    <cellStyle name="20% - 강조색1 48 25" xfId="2936"/>
    <cellStyle name="20% - 강조색1 48 26" xfId="8906"/>
    <cellStyle name="20% - 강조색1 48 27" xfId="10620"/>
    <cellStyle name="20% - 강조색1 48 28" xfId="1015"/>
    <cellStyle name="20% - 강조색1 48 29" xfId="11222"/>
    <cellStyle name="20% - 강조색1 48 3" xfId="815"/>
    <cellStyle name="20% - 강조색1 48 4" xfId="1449"/>
    <cellStyle name="20% - 강조색1 48 5" xfId="2577"/>
    <cellStyle name="20% - 강조색1 48 6" xfId="2783"/>
    <cellStyle name="20% - 강조색1 48 7" xfId="3209"/>
    <cellStyle name="20% - 강조색1 48 8" xfId="745"/>
    <cellStyle name="20% - 강조색1 48 9" xfId="3801"/>
    <cellStyle name="20% - 강조색1 49" xfId="714"/>
    <cellStyle name="20% - 강조색1 49 10" xfId="1330"/>
    <cellStyle name="20% - 강조색1 49 11" xfId="4705"/>
    <cellStyle name="20% - 강조색1 49 12" xfId="5007"/>
    <cellStyle name="20% - 강조색1 49 13" xfId="5315"/>
    <cellStyle name="20% - 강조색1 49 14" xfId="5255"/>
    <cellStyle name="20% - 강조색1 49 15" xfId="5669"/>
    <cellStyle name="20% - 강조색1 49 16" xfId="6226"/>
    <cellStyle name="20% - 강조색1 49 17" xfId="997"/>
    <cellStyle name="20% - 강조색1 49 18" xfId="4143"/>
    <cellStyle name="20% - 강조색1 49 19" xfId="6332"/>
    <cellStyle name="20% - 강조색1 49 2" xfId="1630"/>
    <cellStyle name="20% - 강조색1 49 20" xfId="6102"/>
    <cellStyle name="20% - 강조색1 49 21" xfId="8302"/>
    <cellStyle name="20% - 강조색1 49 22" xfId="7433"/>
    <cellStyle name="20% - 강조색1 49 23" xfId="9333"/>
    <cellStyle name="20% - 강조색1 49 24" xfId="9585"/>
    <cellStyle name="20% - 강조색1 49 25" xfId="4460"/>
    <cellStyle name="20% - 강조색1 49 26" xfId="10230"/>
    <cellStyle name="20% - 강조색1 49 27" xfId="9393"/>
    <cellStyle name="20% - 강조색1 49 28" xfId="10814"/>
    <cellStyle name="20% - 강조색1 49 29" xfId="11138"/>
    <cellStyle name="20% - 강조색1 49 3" xfId="1985"/>
    <cellStyle name="20% - 강조색1 49 4" xfId="2259"/>
    <cellStyle name="20% - 강조색1 49 5" xfId="2622"/>
    <cellStyle name="20% - 강조색1 49 6" xfId="2878"/>
    <cellStyle name="20% - 강조색1 49 7" xfId="3242"/>
    <cellStyle name="20% - 강조색1 49 8" xfId="821"/>
    <cellStyle name="20% - 강조색1 49 9" xfId="3996"/>
    <cellStyle name="20% - 강조색1 5" xfId="59"/>
    <cellStyle name="20% - 강조색1 50" xfId="669"/>
    <cellStyle name="20% - 강조색1 50 10" xfId="4120"/>
    <cellStyle name="20% - 강조색1 50 11" xfId="3257"/>
    <cellStyle name="20% - 강조색1 50 12" xfId="5325"/>
    <cellStyle name="20% - 강조색1 50 13" xfId="5586"/>
    <cellStyle name="20% - 강조색1 50 14" xfId="5456"/>
    <cellStyle name="20% - 강조색1 50 15" xfId="5141"/>
    <cellStyle name="20% - 강조색1 50 16" xfId="3204"/>
    <cellStyle name="20% - 강조색1 50 17" xfId="6685"/>
    <cellStyle name="20% - 강조색1 50 18" xfId="2725"/>
    <cellStyle name="20% - 강조색1 50 19" xfId="7113"/>
    <cellStyle name="20% - 강조색1 50 2" xfId="1774"/>
    <cellStyle name="20% - 강조색1 50 20" xfId="6779"/>
    <cellStyle name="20% - 강조색1 50 21" xfId="8542"/>
    <cellStyle name="20% - 강조색1 50 22" xfId="2794"/>
    <cellStyle name="20% - 강조색1 50 23" xfId="6856"/>
    <cellStyle name="20% - 강조색1 50 24" xfId="9622"/>
    <cellStyle name="20% - 강조색1 50 25" xfId="9951"/>
    <cellStyle name="20% - 강조색1 50 26" xfId="10335"/>
    <cellStyle name="20% - 강조색1 50 27" xfId="6750"/>
    <cellStyle name="20% - 강조색1 50 28" xfId="8066"/>
    <cellStyle name="20% - 강조색1 50 29" xfId="11182"/>
    <cellStyle name="20% - 강조색1 50 3" xfId="994"/>
    <cellStyle name="20% - 강조색1 50 4" xfId="1524"/>
    <cellStyle name="20% - 강조색1 50 5" xfId="2455"/>
    <cellStyle name="20% - 강조색1 50 6" xfId="2952"/>
    <cellStyle name="20% - 강조색1 50 7" xfId="3092"/>
    <cellStyle name="20% - 강조색1 50 8" xfId="2474"/>
    <cellStyle name="20% - 강조색1 50 9" xfId="3994"/>
    <cellStyle name="20% - 강조색1 51" xfId="666"/>
    <cellStyle name="20% - 강조색1 51 10" xfId="4004"/>
    <cellStyle name="20% - 강조색1 51 11" xfId="1799"/>
    <cellStyle name="20% - 강조색1 51 12" xfId="2526"/>
    <cellStyle name="20% - 강조색1 51 13" xfId="5803"/>
    <cellStyle name="20% - 강조색1 51 14" xfId="5880"/>
    <cellStyle name="20% - 강조색1 51 15" xfId="5936"/>
    <cellStyle name="20% - 강조색1 51 16" xfId="6307"/>
    <cellStyle name="20% - 강조색1 51 17" xfId="7063"/>
    <cellStyle name="20% - 강조색1 51 18" xfId="2536"/>
    <cellStyle name="20% - 강조색1 51 19" xfId="7719"/>
    <cellStyle name="20% - 강조색1 51 2" xfId="1624"/>
    <cellStyle name="20% - 강조색1 51 20" xfId="2563"/>
    <cellStyle name="20% - 강조색1 51 21" xfId="6062"/>
    <cellStyle name="20% - 강조색1 51 22" xfId="2110"/>
    <cellStyle name="20% - 강조색1 51 23" xfId="8744"/>
    <cellStyle name="20% - 강조색1 51 24" xfId="9605"/>
    <cellStyle name="20% - 강조색1 51 25" xfId="10006"/>
    <cellStyle name="20% - 강조색1 51 26" xfId="5326"/>
    <cellStyle name="20% - 강조색1 51 27" xfId="8656"/>
    <cellStyle name="20% - 강조색1 51 28" xfId="10214"/>
    <cellStyle name="20% - 강조색1 51 29" xfId="8919"/>
    <cellStyle name="20% - 강조색1 51 3" xfId="1338"/>
    <cellStyle name="20% - 강조색1 51 4" xfId="2287"/>
    <cellStyle name="20% - 강조색1 51 5" xfId="2547"/>
    <cellStyle name="20% - 강조색1 51 6" xfId="832"/>
    <cellStyle name="20% - 강조색1 51 7" xfId="3258"/>
    <cellStyle name="20% - 강조색1 51 8" xfId="3427"/>
    <cellStyle name="20% - 강조색1 51 9" xfId="1895"/>
    <cellStyle name="20% - 강조색1 52" xfId="705"/>
    <cellStyle name="20% - 강조색1 52 10" xfId="4260"/>
    <cellStyle name="20% - 강조색1 52 11" xfId="4713"/>
    <cellStyle name="20% - 강조색1 52 12" xfId="5395"/>
    <cellStyle name="20% - 강조색1 52 13" xfId="5000"/>
    <cellStyle name="20% - 강조색1 52 14" xfId="5057"/>
    <cellStyle name="20% - 강조색1 52 15" xfId="5269"/>
    <cellStyle name="20% - 강조색1 52 16" xfId="6354"/>
    <cellStyle name="20% - 강조색1 52 17" xfId="7184"/>
    <cellStyle name="20% - 강조색1 52 18" xfId="6819"/>
    <cellStyle name="20% - 강조색1 52 19" xfId="7814"/>
    <cellStyle name="20% - 강조색1 52 2" xfId="1706"/>
    <cellStyle name="20% - 강조색1 52 20" xfId="8193"/>
    <cellStyle name="20% - 강조색1 52 21" xfId="8306"/>
    <cellStyle name="20% - 강조색1 52 22" xfId="8696"/>
    <cellStyle name="20% - 강조색1 52 23" xfId="9067"/>
    <cellStyle name="20% - 강조색1 52 24" xfId="9408"/>
    <cellStyle name="20% - 강조색1 52 25" xfId="9942"/>
    <cellStyle name="20% - 강조색1 52 26" xfId="10307"/>
    <cellStyle name="20% - 강조색1 52 27" xfId="6734"/>
    <cellStyle name="20% - 강조색1 52 28" xfId="10942"/>
    <cellStyle name="20% - 강조색1 52 29" xfId="6098"/>
    <cellStyle name="20% - 강조색1 52 3" xfId="1995"/>
    <cellStyle name="20% - 강조색1 52 4" xfId="2309"/>
    <cellStyle name="20% - 강조색1 52 5" xfId="2646"/>
    <cellStyle name="20% - 강조색1 52 6" xfId="852"/>
    <cellStyle name="20% - 강조색1 52 7" xfId="3253"/>
    <cellStyle name="20% - 강조색1 52 8" xfId="3600"/>
    <cellStyle name="20% - 강조색1 52 9" xfId="1882"/>
    <cellStyle name="20% - 강조색1 53" xfId="655"/>
    <cellStyle name="20% - 강조색1 53 10" xfId="4172"/>
    <cellStyle name="20% - 강조색1 53 11" xfId="4592"/>
    <cellStyle name="20% - 강조색1 53 12" xfId="5104"/>
    <cellStyle name="20% - 강조색1 53 13" xfId="5235"/>
    <cellStyle name="20% - 강조색1 53 14" xfId="4622"/>
    <cellStyle name="20% - 강조색1 53 15" xfId="5072"/>
    <cellStyle name="20% - 강조색1 53 16" xfId="6537"/>
    <cellStyle name="20% - 강조색1 53 17" xfId="5958"/>
    <cellStyle name="20% - 강조색1 53 18" xfId="6321"/>
    <cellStyle name="20% - 강조색1 53 19" xfId="7778"/>
    <cellStyle name="20% - 강조색1 53 2" xfId="1723"/>
    <cellStyle name="20% - 강조색1 53 20" xfId="8046"/>
    <cellStyle name="20% - 강조색1 53 21" xfId="3807"/>
    <cellStyle name="20% - 강조색1 53 22" xfId="8850"/>
    <cellStyle name="20% - 강조색1 53 23" xfId="7386"/>
    <cellStyle name="20% - 강조색1 53 24" xfId="6231"/>
    <cellStyle name="20% - 강조색1 53 25" xfId="6891"/>
    <cellStyle name="20% - 강조색1 53 26" xfId="2072"/>
    <cellStyle name="20% - 강조색1 53 27" xfId="10398"/>
    <cellStyle name="20% - 강조색1 53 28" xfId="8798"/>
    <cellStyle name="20% - 강조색1 53 29" xfId="11014"/>
    <cellStyle name="20% - 강조색1 53 3" xfId="792"/>
    <cellStyle name="20% - 강조색1 53 4" xfId="2253"/>
    <cellStyle name="20% - 강조색1 53 5" xfId="1037"/>
    <cellStyle name="20% - 강조색1 53 6" xfId="2919"/>
    <cellStyle name="20% - 강조색1 53 7" xfId="3232"/>
    <cellStyle name="20% - 강조색1 53 8" xfId="1378"/>
    <cellStyle name="20% - 강조색1 53 9" xfId="3992"/>
    <cellStyle name="20% - 강조색1 54" xfId="1530"/>
    <cellStyle name="20% - 강조색1 54 10" xfId="4668"/>
    <cellStyle name="20% - 강조색1 54 11" xfId="5016"/>
    <cellStyle name="20% - 강조색1 54 12" xfId="5209"/>
    <cellStyle name="20% - 강조색1 54 13" xfId="5483"/>
    <cellStyle name="20% - 강조색1 54 14" xfId="5168"/>
    <cellStyle name="20% - 강조색1 54 15" xfId="6507"/>
    <cellStyle name="20% - 강조색1 54 16" xfId="1924"/>
    <cellStyle name="20% - 강조색1 54 17" xfId="6723"/>
    <cellStyle name="20% - 강조색1 54 18" xfId="4539"/>
    <cellStyle name="20% - 강조색1 54 19" xfId="3926"/>
    <cellStyle name="20% - 강조색1 54 2" xfId="2051"/>
    <cellStyle name="20% - 강조색1 54 20" xfId="7913"/>
    <cellStyle name="20% - 강조색1 54 21" xfId="8846"/>
    <cellStyle name="20% - 강조색1 54 22" xfId="9174"/>
    <cellStyle name="20% - 강조색1 54 23" xfId="7707"/>
    <cellStyle name="20% - 강조색1 54 24" xfId="8409"/>
    <cellStyle name="20% - 강조색1 54 25" xfId="6689"/>
    <cellStyle name="20% - 강조색1 54 26" xfId="10632"/>
    <cellStyle name="20% - 강조색1 54 27" xfId="8471"/>
    <cellStyle name="20% - 강조색1 54 28" xfId="11226"/>
    <cellStyle name="20% - 강조색1 54 3" xfId="2333"/>
    <cellStyle name="20% - 강조색1 54 4" xfId="1504"/>
    <cellStyle name="20% - 강조색1 54 5" xfId="2907"/>
    <cellStyle name="20% - 강조색1 54 6" xfId="3062"/>
    <cellStyle name="20% - 강조색1 54 7" xfId="3419"/>
    <cellStyle name="20% - 강조색1 54 8" xfId="1817"/>
    <cellStyle name="20% - 강조색1 54 9" xfId="2804"/>
    <cellStyle name="20% - 강조색1 55" xfId="1376"/>
    <cellStyle name="20% - 강조색1 55 10" xfId="5369"/>
    <cellStyle name="20% - 강조색1 55 11" xfId="4760"/>
    <cellStyle name="20% - 강조색1 55 12" xfId="5169"/>
    <cellStyle name="20% - 강조색1 55 13" xfId="5639"/>
    <cellStyle name="20% - 강조색1 55 14" xfId="6556"/>
    <cellStyle name="20% - 강조색1 55 15" xfId="6989"/>
    <cellStyle name="20% - 강조색1 55 16" xfId="7288"/>
    <cellStyle name="20% - 강조색1 55 17" xfId="2357"/>
    <cellStyle name="20% - 강조색1 55 18" xfId="6450"/>
    <cellStyle name="20% - 강조색1 55 19" xfId="7727"/>
    <cellStyle name="20% - 강조색1 55 2" xfId="2328"/>
    <cellStyle name="20% - 강조색1 55 20" xfId="8969"/>
    <cellStyle name="20% - 강조색1 55 21" xfId="5965"/>
    <cellStyle name="20% - 강조색1 55 22" xfId="1802"/>
    <cellStyle name="20% - 강조색1 55 23" xfId="9885"/>
    <cellStyle name="20% - 강조색1 55 24" xfId="10345"/>
    <cellStyle name="20% - 강조색1 55 25" xfId="10455"/>
    <cellStyle name="20% - 강조색1 55 26" xfId="10824"/>
    <cellStyle name="20% - 강조색1 55 27" xfId="11020"/>
    <cellStyle name="20% - 강조색1 55 3" xfId="2581"/>
    <cellStyle name="20% - 강조색1 55 4" xfId="908"/>
    <cellStyle name="20% - 강조색1 55 5" xfId="3295"/>
    <cellStyle name="20% - 강조색1 55 6" xfId="2132"/>
    <cellStyle name="20% - 강조색1 55 7" xfId="3970"/>
    <cellStyle name="20% - 강조색1 55 8" xfId="1366"/>
    <cellStyle name="20% - 강조색1 55 9" xfId="4388"/>
    <cellStyle name="20% - 강조색1 56" xfId="2159"/>
    <cellStyle name="20% - 강조색1 56 10" xfId="5128"/>
    <cellStyle name="20% - 강조색1 56 11" xfId="5412"/>
    <cellStyle name="20% - 강조색1 56 12" xfId="5138"/>
    <cellStyle name="20% - 강조색1 56 13" xfId="6490"/>
    <cellStyle name="20% - 강조색1 56 14" xfId="7210"/>
    <cellStyle name="20% - 강조색1 56 15" xfId="7055"/>
    <cellStyle name="20% - 강조색1 56 16" xfId="1423"/>
    <cellStyle name="20% - 강조색1 56 17" xfId="8127"/>
    <cellStyle name="20% - 강조색1 56 18" xfId="6793"/>
    <cellStyle name="20% - 강조색1 56 19" xfId="8709"/>
    <cellStyle name="20% - 강조색1 56 2" xfId="2668"/>
    <cellStyle name="20% - 강조색1 56 20" xfId="1506"/>
    <cellStyle name="20% - 강조색1 56 21" xfId="9493"/>
    <cellStyle name="20% - 강조색1 56 22" xfId="9733"/>
    <cellStyle name="20% - 강조색1 56 23" xfId="8921"/>
    <cellStyle name="20% - 강조색1 56 24" xfId="6137"/>
    <cellStyle name="20% - 강조색1 56 25" xfId="6895"/>
    <cellStyle name="20% - 강조색1 56 26" xfId="11196"/>
    <cellStyle name="20% - 강조색1 56 3" xfId="2983"/>
    <cellStyle name="20% - 강조색1 56 4" xfId="1538"/>
    <cellStyle name="20% - 강조색1 56 5" xfId="1399"/>
    <cellStyle name="20% - 강조색1 56 6" xfId="3919"/>
    <cellStyle name="20% - 강조색1 56 7" xfId="4268"/>
    <cellStyle name="20% - 강조색1 56 8" xfId="2418"/>
    <cellStyle name="20% - 강조색1 56 9" xfId="5294"/>
    <cellStyle name="20% - 강조색1 57" xfId="1822"/>
    <cellStyle name="20% - 강조색1 57 10" xfId="5230"/>
    <cellStyle name="20% - 강조색1 57 11" xfId="5590"/>
    <cellStyle name="20% - 강조색1 57 12" xfId="6279"/>
    <cellStyle name="20% - 강조색1 57 13" xfId="6931"/>
    <cellStyle name="20% - 강조색1 57 14" xfId="7272"/>
    <cellStyle name="20% - 강조색1 57 15" xfId="7172"/>
    <cellStyle name="20% - 강조색1 57 16" xfId="4838"/>
    <cellStyle name="20% - 강조색1 57 17" xfId="1950"/>
    <cellStyle name="20% - 강조색1 57 18" xfId="8794"/>
    <cellStyle name="20% - 강조색1 57 19" xfId="9041"/>
    <cellStyle name="20% - 강조색1 57 2" xfId="2968"/>
    <cellStyle name="20% - 강조색1 57 20" xfId="1965"/>
    <cellStyle name="20% - 강조색1 57 21" xfId="6446"/>
    <cellStyle name="20% - 강조색1 57 22" xfId="8699"/>
    <cellStyle name="20% - 강조색1 57 23" xfId="6220"/>
    <cellStyle name="20% - 강조색1 57 24" xfId="8075"/>
    <cellStyle name="20% - 강조색1 57 25" xfId="3126"/>
    <cellStyle name="20% - 강조색1 57 3" xfId="2106"/>
    <cellStyle name="20% - 강조색1 57 4" xfId="3402"/>
    <cellStyle name="20% - 강조색1 57 5" xfId="3938"/>
    <cellStyle name="20% - 강조색1 57 6" xfId="4162"/>
    <cellStyle name="20% - 강조색1 57 7" xfId="4587"/>
    <cellStyle name="20% - 강조색1 57 8" xfId="5609"/>
    <cellStyle name="20% - 강조색1 57 9" xfId="5598"/>
    <cellStyle name="20% - 강조색1 58" xfId="2832"/>
    <cellStyle name="20% - 강조색1 58 10" xfId="4773"/>
    <cellStyle name="20% - 강조색1 58 11" xfId="6440"/>
    <cellStyle name="20% - 강조색1 58 12" xfId="6751"/>
    <cellStyle name="20% - 강조색1 58 13" xfId="7313"/>
    <cellStyle name="20% - 강조색1 58 14" xfId="3440"/>
    <cellStyle name="20% - 강조색1 58 15" xfId="2396"/>
    <cellStyle name="20% - 강조색1 58 16" xfId="3632"/>
    <cellStyle name="20% - 강조색1 58 17" xfId="8789"/>
    <cellStyle name="20% - 강조색1 58 18" xfId="9332"/>
    <cellStyle name="20% - 강조색1 58 19" xfId="6154"/>
    <cellStyle name="20% - 강조색1 58 2" xfId="3338"/>
    <cellStyle name="20% - 강조색1 58 20" xfId="6120"/>
    <cellStyle name="20% - 강조색1 58 21" xfId="10245"/>
    <cellStyle name="20% - 강조색1 58 22" xfId="9095"/>
    <cellStyle name="20% - 강조색1 58 23" xfId="10765"/>
    <cellStyle name="20% - 강조색1 58 24" xfId="10396"/>
    <cellStyle name="20% - 강조색1 58 3" xfId="3671"/>
    <cellStyle name="20% - 강조색1 58 4" xfId="4009"/>
    <cellStyle name="20% - 강조색1 58 5" xfId="3798"/>
    <cellStyle name="20% - 강조색1 58 6" xfId="4714"/>
    <cellStyle name="20% - 강조색1 58 7" xfId="5511"/>
    <cellStyle name="20% - 강조색1 58 8" xfId="4392"/>
    <cellStyle name="20% - 강조색1 58 9" xfId="5031"/>
    <cellStyle name="20% - 강조색1 59" xfId="769"/>
    <cellStyle name="20% - 강조색1 59 10" xfId="6439"/>
    <cellStyle name="20% - 강조색1 59 11" xfId="7088"/>
    <cellStyle name="20% - 강조색1 59 12" xfId="7329"/>
    <cellStyle name="20% - 강조색1 59 13" xfId="6127"/>
    <cellStyle name="20% - 강조색1 59 14" xfId="7885"/>
    <cellStyle name="20% - 강조색1 59 15" xfId="8362"/>
    <cellStyle name="20% - 강조색1 59 16" xfId="8739"/>
    <cellStyle name="20% - 강조색1 59 17" xfId="880"/>
    <cellStyle name="20% - 강조색1 59 18" xfId="925"/>
    <cellStyle name="20% - 강조색1 59 19" xfId="9954"/>
    <cellStyle name="20% - 강조색1 59 2" xfId="965"/>
    <cellStyle name="20% - 강조색1 59 20" xfId="4850"/>
    <cellStyle name="20% - 강조색1 59 21" xfId="10501"/>
    <cellStyle name="20% - 강조색1 59 22" xfId="10898"/>
    <cellStyle name="20% - 강조색1 59 23" xfId="4935"/>
    <cellStyle name="20% - 강조색1 59 3" xfId="3912"/>
    <cellStyle name="20% - 강조색1 59 4" xfId="3471"/>
    <cellStyle name="20% - 강조색1 59 5" xfId="3028"/>
    <cellStyle name="20% - 강조색1 59 6" xfId="887"/>
    <cellStyle name="20% - 강조색1 59 7" xfId="741"/>
    <cellStyle name="20% - 강조색1 59 8" xfId="1452"/>
    <cellStyle name="20% - 강조색1 59 9" xfId="1581"/>
    <cellStyle name="20% - 강조색1 6" xfId="58"/>
    <cellStyle name="20% - 강조색1 60" xfId="3498"/>
    <cellStyle name="20% - 강조색1 60 10" xfId="4068"/>
    <cellStyle name="20% - 강조색1 60 11" xfId="6275"/>
    <cellStyle name="20% - 강조색1 60 12" xfId="7423"/>
    <cellStyle name="20% - 강조색1 60 13" xfId="2376"/>
    <cellStyle name="20% - 강조색1 60 14" xfId="7385"/>
    <cellStyle name="20% - 강조색1 60 15" xfId="8653"/>
    <cellStyle name="20% - 강조색1 60 16" xfId="9337"/>
    <cellStyle name="20% - 강조색1 60 17" xfId="8335"/>
    <cellStyle name="20% - 강조색1 60 18" xfId="3582"/>
    <cellStyle name="20% - 강조색1 60 19" xfId="8030"/>
    <cellStyle name="20% - 강조색1 60 2" xfId="4028"/>
    <cellStyle name="20% - 강조색1 60 20" xfId="10425"/>
    <cellStyle name="20% - 강조색1 60 21" xfId="4810"/>
    <cellStyle name="20% - 강조색1 60 22" xfId="7107"/>
    <cellStyle name="20% - 강조색1 60 3" xfId="4364"/>
    <cellStyle name="20% - 강조색1 60 4" xfId="4717"/>
    <cellStyle name="20% - 강조색1 60 5" xfId="5562"/>
    <cellStyle name="20% - 강조색1 60 6" xfId="5671"/>
    <cellStyle name="20% - 강조색1 60 7" xfId="5567"/>
    <cellStyle name="20% - 강조색1 60 8" xfId="1866"/>
    <cellStyle name="20% - 강조색1 60 9" xfId="6539"/>
    <cellStyle name="20% - 강조색1 61" xfId="3808"/>
    <cellStyle name="20% - 강조색1 61 10" xfId="6748"/>
    <cellStyle name="20% - 강조색1 61 11" xfId="7585"/>
    <cellStyle name="20% - 강조색1 61 12" xfId="7998"/>
    <cellStyle name="20% - 강조색1 61 13" xfId="6042"/>
    <cellStyle name="20% - 강조색1 61 14" xfId="8700"/>
    <cellStyle name="20% - 강조색1 61 15" xfId="7673"/>
    <cellStyle name="20% - 강조색1 61 16" xfId="9629"/>
    <cellStyle name="20% - 강조색1 61 17" xfId="9970"/>
    <cellStyle name="20% - 강조색1 61 18" xfId="9770"/>
    <cellStyle name="20% - 강조색1 61 19" xfId="10546"/>
    <cellStyle name="20% - 강조색1 61 2" xfId="4373"/>
    <cellStyle name="20% - 강조색1 61 20" xfId="10882"/>
    <cellStyle name="20% - 강조색1 61 21" xfId="4811"/>
    <cellStyle name="20% - 강조색1 61 3" xfId="4726"/>
    <cellStyle name="20% - 강조색1 61 4" xfId="5619"/>
    <cellStyle name="20% - 강조색1 61 5" xfId="4969"/>
    <cellStyle name="20% - 강조색1 61 6" xfId="5535"/>
    <cellStyle name="20% - 강조색1 61 7" xfId="5584"/>
    <cellStyle name="20% - 강조색1 61 8" xfId="6515"/>
    <cellStyle name="20% - 강조색1 61 9" xfId="4056"/>
    <cellStyle name="20% - 강조색1 62" xfId="3188"/>
    <cellStyle name="20% - 강조색1 62 10" xfId="3484"/>
    <cellStyle name="20% - 강조색1 62 11" xfId="7887"/>
    <cellStyle name="20% - 강조색1 62 12" xfId="4955"/>
    <cellStyle name="20% - 강조색1 62 13" xfId="7028"/>
    <cellStyle name="20% - 강조색1 62 14" xfId="9239"/>
    <cellStyle name="20% - 강조색1 62 15" xfId="7553"/>
    <cellStyle name="20% - 강조색1 62 16" xfId="8382"/>
    <cellStyle name="20% - 강조색1 62 17" xfId="6679"/>
    <cellStyle name="20% - 강조색1 62 18" xfId="5075"/>
    <cellStyle name="20% - 강조색1 62 19" xfId="10749"/>
    <cellStyle name="20% - 강조색1 62 2" xfId="4641"/>
    <cellStyle name="20% - 강조색1 62 20" xfId="11102"/>
    <cellStyle name="20% - 강조색1 62 3" xfId="4909"/>
    <cellStyle name="20% - 강조색1 62 4" xfId="5529"/>
    <cellStyle name="20% - 강조색1 62 5" xfId="2528"/>
    <cellStyle name="20% - 강조색1 62 6" xfId="4929"/>
    <cellStyle name="20% - 강조색1 62 7" xfId="6258"/>
    <cellStyle name="20% - 강조색1 62 8" xfId="1407"/>
    <cellStyle name="20% - 강조색1 62 9" xfId="5992"/>
    <cellStyle name="20% - 강조색1 63" xfId="841"/>
    <cellStyle name="20% - 강조색1 63 10" xfId="2749"/>
    <cellStyle name="20% - 강조색1 63 11" xfId="3399"/>
    <cellStyle name="20% - 강조색1 63 12" xfId="8657"/>
    <cellStyle name="20% - 강조색1 63 13" xfId="6265"/>
    <cellStyle name="20% - 강조색1 63 14" xfId="1362"/>
    <cellStyle name="20% - 강조색1 63 15" xfId="10018"/>
    <cellStyle name="20% - 강조색1 63 16" xfId="6761"/>
    <cellStyle name="20% - 강조색1 63 17" xfId="9855"/>
    <cellStyle name="20% - 강조색1 63 18" xfId="10094"/>
    <cellStyle name="20% - 강조색1 63 19" xfId="11037"/>
    <cellStyle name="20% - 강조색1 63 2" xfId="2780"/>
    <cellStyle name="20% - 강조색1 63 3" xfId="5324"/>
    <cellStyle name="20% - 강조색1 63 4" xfId="5693"/>
    <cellStyle name="20% - 강조색1 63 5" xfId="4917"/>
    <cellStyle name="20% - 강조색1 63 6" xfId="6153"/>
    <cellStyle name="20% - 강조색1 63 7" xfId="6969"/>
    <cellStyle name="20% - 강조색1 63 8" xfId="6960"/>
    <cellStyle name="20% - 강조색1 63 9" xfId="3099"/>
    <cellStyle name="20% - 강조색1 64" xfId="5113"/>
    <cellStyle name="20% - 강조색1 64 10" xfId="9529"/>
    <cellStyle name="20% - 강조색1 64 11" xfId="9960"/>
    <cellStyle name="20% - 강조색1 64 12" xfId="10118"/>
    <cellStyle name="20% - 강조색1 64 13" xfId="10557"/>
    <cellStyle name="20% - 강조색1 64 14" xfId="10782"/>
    <cellStyle name="20% - 강조색1 64 15" xfId="11236"/>
    <cellStyle name="20% - 강조색1 64 2" xfId="6627"/>
    <cellStyle name="20% - 강조색1 64 3" xfId="7115"/>
    <cellStyle name="20% - 강조색1 64 4" xfId="4930"/>
    <cellStyle name="20% - 강조색1 64 5" xfId="7721"/>
    <cellStyle name="20% - 강조색1 64 6" xfId="4187"/>
    <cellStyle name="20% - 강조색1 64 7" xfId="6204"/>
    <cellStyle name="20% - 강조색1 64 8" xfId="6394"/>
    <cellStyle name="20% - 강조색1 64 9" xfId="3152"/>
    <cellStyle name="20% - 강조색1 65" xfId="5443"/>
    <cellStyle name="20% - 강조색1 65 10" xfId="9513"/>
    <cellStyle name="20% - 강조색1 65 11" xfId="7377"/>
    <cellStyle name="20% - 강조색1 65 12" xfId="7580"/>
    <cellStyle name="20% - 강조색1 65 13" xfId="7381"/>
    <cellStyle name="20% - 강조색1 65 14" xfId="10862"/>
    <cellStyle name="20% - 강조색1 65 15" xfId="11023"/>
    <cellStyle name="20% - 강조색1 65 2" xfId="6637"/>
    <cellStyle name="20% - 강조색1 65 3" xfId="6992"/>
    <cellStyle name="20% - 강조색1 65 4" xfId="5037"/>
    <cellStyle name="20% - 강조색1 65 5" xfId="7489"/>
    <cellStyle name="20% - 강조색1 65 6" xfId="8103"/>
    <cellStyle name="20% - 강조색1 65 7" xfId="4290"/>
    <cellStyle name="20% - 강조색1 65 8" xfId="8854"/>
    <cellStyle name="20% - 강조색1 65 9" xfId="4454"/>
    <cellStyle name="20% - 강조색1 66" xfId="5277"/>
    <cellStyle name="20% - 강조색1 66 10" xfId="9285"/>
    <cellStyle name="20% - 강조색1 66 11" xfId="9944"/>
    <cellStyle name="20% - 강조색1 66 12" xfId="10086"/>
    <cellStyle name="20% - 강조색1 66 13" xfId="10590"/>
    <cellStyle name="20% - 강조색1 66 14" xfId="10955"/>
    <cellStyle name="20% - 강조색1 66 15" xfId="9160"/>
    <cellStyle name="20% - 강조색1 66 2" xfId="6631"/>
    <cellStyle name="20% - 강조색1 66 3" xfId="7156"/>
    <cellStyle name="20% - 강조색1 66 4" xfId="4097"/>
    <cellStyle name="20% - 강조색1 66 5" xfId="3630"/>
    <cellStyle name="20% - 강조색1 66 6" xfId="7906"/>
    <cellStyle name="20% - 강조색1 66 7" xfId="8470"/>
    <cellStyle name="20% - 강조색1 66 8" xfId="1419"/>
    <cellStyle name="20% - 강조색1 66 9" xfId="9328"/>
    <cellStyle name="20% - 강조색1 67" xfId="4900"/>
    <cellStyle name="20% - 강조색1 67 10" xfId="9518"/>
    <cellStyle name="20% - 강조색1 67 11" xfId="3385"/>
    <cellStyle name="20% - 강조색1 67 12" xfId="8862"/>
    <cellStyle name="20% - 강조색1 67 13" xfId="2633"/>
    <cellStyle name="20% - 강조색1 67 14" xfId="9412"/>
    <cellStyle name="20% - 강조색1 67 15" xfId="7522"/>
    <cellStyle name="20% - 강조색1 67 2" xfId="6618"/>
    <cellStyle name="20% - 강조색1 67 3" xfId="2761"/>
    <cellStyle name="20% - 강조색1 67 4" xfId="6933"/>
    <cellStyle name="20% - 강조색1 67 5" xfId="7793"/>
    <cellStyle name="20% - 강조색1 67 6" xfId="8059"/>
    <cellStyle name="20% - 강조색1 67 7" xfId="6707"/>
    <cellStyle name="20% - 강조색1 67 8" xfId="3034"/>
    <cellStyle name="20% - 강조색1 67 9" xfId="8437"/>
    <cellStyle name="20% - 강조색1 68" xfId="6016"/>
    <cellStyle name="20% - 강조색1 68 10" xfId="9981"/>
    <cellStyle name="20% - 강조색1 68 11" xfId="10208"/>
    <cellStyle name="20% - 강조색1 68 12" xfId="10387"/>
    <cellStyle name="20% - 강조색1 68 13" xfId="10812"/>
    <cellStyle name="20% - 강조색1 68 14" xfId="6442"/>
    <cellStyle name="20% - 강조색1 68 2" xfId="7302"/>
    <cellStyle name="20% - 강조색1 68 3" xfId="7343"/>
    <cellStyle name="20% - 강조색1 68 4" xfId="7831"/>
    <cellStyle name="20% - 강조색1 68 5" xfId="6013"/>
    <cellStyle name="20% - 강조색1 68 6" xfId="3347"/>
    <cellStyle name="20% - 강조색1 68 7" xfId="8655"/>
    <cellStyle name="20% - 강조색1 68 8" xfId="2841"/>
    <cellStyle name="20% - 강조색1 68 9" xfId="9614"/>
    <cellStyle name="20% - 강조색1 69" xfId="3441"/>
    <cellStyle name="20% - 강조색1 69 10" xfId="10479"/>
    <cellStyle name="20% - 강조색1 69 11" xfId="10861"/>
    <cellStyle name="20% - 강조색1 69 12" xfId="11100"/>
    <cellStyle name="20% - 강조색1 69 2" xfId="5452"/>
    <cellStyle name="20% - 강조색1 69 3" xfId="8234"/>
    <cellStyle name="20% - 강조색1 69 4" xfId="8440"/>
    <cellStyle name="20% - 강조색1 69 5" xfId="8772"/>
    <cellStyle name="20% - 강조색1 69 6" xfId="7640"/>
    <cellStyle name="20% - 강조색1 69 7" xfId="9560"/>
    <cellStyle name="20% - 강조색1 69 8" xfId="6034"/>
    <cellStyle name="20% - 강조색1 69 9" xfId="10299"/>
    <cellStyle name="20% - 강조색1 7" xfId="57"/>
    <cellStyle name="20% - 강조색1 70" xfId="6089"/>
    <cellStyle name="20% - 강조색1 70 10" xfId="7514"/>
    <cellStyle name="20% - 강조색1 70 11" xfId="5979"/>
    <cellStyle name="20% - 강조색1 70 12" xfId="6324"/>
    <cellStyle name="20% - 강조색1 70 2" xfId="7833"/>
    <cellStyle name="20% - 강조색1 70 3" xfId="8005"/>
    <cellStyle name="20% - 강조색1 70 4" xfId="4769"/>
    <cellStyle name="20% - 강조색1 70 5" xfId="8401"/>
    <cellStyle name="20% - 강조색1 70 6" xfId="3837"/>
    <cellStyle name="20% - 강조색1 70 7" xfId="9672"/>
    <cellStyle name="20% - 강조색1 70 8" xfId="3705"/>
    <cellStyle name="20% - 강조색1 70 9" xfId="9196"/>
    <cellStyle name="20% - 강조색1 71" xfId="7674"/>
    <cellStyle name="20% - 강조색1 71 10" xfId="8450"/>
    <cellStyle name="20% - 강조색1 71 11" xfId="3398"/>
    <cellStyle name="20% - 강조색1 71 2" xfId="8263"/>
    <cellStyle name="20% - 강조색1 71 3" xfId="8625"/>
    <cellStyle name="20% - 강조색1 71 4" xfId="8989"/>
    <cellStyle name="20% - 강조색1 71 5" xfId="9189"/>
    <cellStyle name="20% - 강조색1 71 6" xfId="9617"/>
    <cellStyle name="20% - 강조색1 71 7" xfId="9881"/>
    <cellStyle name="20% - 강조색1 71 8" xfId="10235"/>
    <cellStyle name="20% - 강조색1 71 9" xfId="10443"/>
    <cellStyle name="20% - 강조색1 72" xfId="6280"/>
    <cellStyle name="20% - 강조색1 72 10" xfId="11116"/>
    <cellStyle name="20% - 강조색1 72 2" xfId="2736"/>
    <cellStyle name="20% - 강조색1 72 3" xfId="6311"/>
    <cellStyle name="20% - 강조색1 72 4" xfId="9231"/>
    <cellStyle name="20% - 강조색1 72 5" xfId="4782"/>
    <cellStyle name="20% - 강조색1 72 6" xfId="9874"/>
    <cellStyle name="20% - 강조색1 72 7" xfId="10150"/>
    <cellStyle name="20% - 강조색1 72 8" xfId="10616"/>
    <cellStyle name="20% - 강조색1 72 9" xfId="10897"/>
    <cellStyle name="20% - 강조색1 73" xfId="1561"/>
    <cellStyle name="20% - 강조색1 73 2" xfId="8691"/>
    <cellStyle name="20% - 강조색1 73 3" xfId="9162"/>
    <cellStyle name="20% - 강조색1 73 4" xfId="8294"/>
    <cellStyle name="20% - 강조색1 73 5" xfId="7426"/>
    <cellStyle name="20% - 강조색1 73 6" xfId="9038"/>
    <cellStyle name="20% - 강조색1 73 7" xfId="7907"/>
    <cellStyle name="20% - 강조색1 73 8" xfId="4080"/>
    <cellStyle name="20% - 강조색1 73 9" xfId="11178"/>
    <cellStyle name="20% - 강조색1 74" xfId="6111"/>
    <cellStyle name="20% - 강조색1 74 2" xfId="4748"/>
    <cellStyle name="20% - 강조색1 74 3" xfId="6269"/>
    <cellStyle name="20% - 강조색1 74 4" xfId="10013"/>
    <cellStyle name="20% - 강조색1 74 5" xfId="10153"/>
    <cellStyle name="20% - 강조색1 74 6" xfId="10584"/>
    <cellStyle name="20% - 강조색1 74 7" xfId="7521"/>
    <cellStyle name="20% - 강조색1 74 8" xfId="10779"/>
    <cellStyle name="20% - 강조색1 75" xfId="3817"/>
    <cellStyle name="20% - 강조색1 75 2" xfId="9105"/>
    <cellStyle name="20% - 강조색1 75 3" xfId="8418"/>
    <cellStyle name="20% - 강조색1 75 4" xfId="10092"/>
    <cellStyle name="20% - 강조색1 75 5" xfId="10589"/>
    <cellStyle name="20% - 강조색1 75 6" xfId="4444"/>
    <cellStyle name="20% - 강조색1 75 7" xfId="7425"/>
    <cellStyle name="20% - 강조색1 76" xfId="1514"/>
    <cellStyle name="20% - 강조색1 76 2" xfId="9848"/>
    <cellStyle name="20% - 강조색1 76 3" xfId="10343"/>
    <cellStyle name="20% - 강조색1 76 4" xfId="10636"/>
    <cellStyle name="20% - 강조색1 76 5" xfId="10906"/>
    <cellStyle name="20% - 강조색1 76 6" xfId="9545"/>
    <cellStyle name="20% - 강조색1 77" xfId="6347"/>
    <cellStyle name="20% - 강조색1 77 2" xfId="10261"/>
    <cellStyle name="20% - 강조색1 77 3" xfId="2835"/>
    <cellStyle name="20% - 강조색1 77 4" xfId="9145"/>
    <cellStyle name="20% - 강조색1 77 5" xfId="6732"/>
    <cellStyle name="20% - 강조색1 78" xfId="2393"/>
    <cellStyle name="20% - 강조색1 78 2" xfId="2432"/>
    <cellStyle name="20% - 강조색1 78 3" xfId="10879"/>
    <cellStyle name="20% - 강조색1 78 4" xfId="11028"/>
    <cellStyle name="20% - 강조색1 79" xfId="9729"/>
    <cellStyle name="20% - 강조색1 79 2" xfId="10964"/>
    <cellStyle name="20% - 강조색1 79 3" xfId="11171"/>
    <cellStyle name="20% - 강조색1 8" xfId="89"/>
    <cellStyle name="20% - 강조색1 80" xfId="10821"/>
    <cellStyle name="20% - 강조색1 80 2" xfId="11271"/>
    <cellStyle name="20% - 강조색1 81" xfId="11107"/>
    <cellStyle name="20% - 강조색1 82" xfId="11290"/>
    <cellStyle name="20% - 강조색1 83" xfId="11279"/>
    <cellStyle name="20% - 강조색1 84" xfId="11409"/>
    <cellStyle name="20% - 강조색1 85" xfId="11372"/>
    <cellStyle name="20% - 강조색1 86" xfId="11436"/>
    <cellStyle name="20% - 강조색1 9" xfId="93"/>
    <cellStyle name="20% - 강조색2" xfId="23" builtinId="34" customBuiltin="1"/>
    <cellStyle name="20% - 강조색2 10" xfId="147"/>
    <cellStyle name="20% - 강조색2 11" xfId="160"/>
    <cellStyle name="20% - 강조색2 12" xfId="173"/>
    <cellStyle name="20% - 강조색2 13" xfId="186"/>
    <cellStyle name="20% - 강조색2 14" xfId="199"/>
    <cellStyle name="20% - 강조색2 15" xfId="212"/>
    <cellStyle name="20% - 강조색2 16" xfId="225"/>
    <cellStyle name="20% - 강조색2 17" xfId="238"/>
    <cellStyle name="20% - 강조색2 18" xfId="251"/>
    <cellStyle name="20% - 강조색2 19" xfId="264"/>
    <cellStyle name="20% - 강조색2 2" xfId="46"/>
    <cellStyle name="20% - 강조색2 20" xfId="277"/>
    <cellStyle name="20% - 강조색2 21" xfId="290"/>
    <cellStyle name="20% - 강조색2 22" xfId="303"/>
    <cellStyle name="20% - 강조색2 23" xfId="316"/>
    <cellStyle name="20% - 강조색2 24" xfId="329"/>
    <cellStyle name="20% - 강조색2 25" xfId="342"/>
    <cellStyle name="20% - 강조색2 26" xfId="355"/>
    <cellStyle name="20% - 강조색2 27" xfId="368"/>
    <cellStyle name="20% - 강조색2 28" xfId="381"/>
    <cellStyle name="20% - 강조색2 29" xfId="394"/>
    <cellStyle name="20% - 강조색2 3" xfId="71"/>
    <cellStyle name="20% - 강조색2 30" xfId="407"/>
    <cellStyle name="20% - 강조색2 31" xfId="420"/>
    <cellStyle name="20% - 강조색2 32" xfId="433"/>
    <cellStyle name="20% - 강조색2 33" xfId="445"/>
    <cellStyle name="20% - 강조색2 34" xfId="457"/>
    <cellStyle name="20% - 강조색2 35" xfId="469"/>
    <cellStyle name="20% - 강조색2 36" xfId="481"/>
    <cellStyle name="20% - 강조색2 37" xfId="492"/>
    <cellStyle name="20% - 강조색2 38" xfId="503"/>
    <cellStyle name="20% - 강조색2 39" xfId="514"/>
    <cellStyle name="20% - 강조색2 4" xfId="74"/>
    <cellStyle name="20% - 강조색2 40" xfId="544"/>
    <cellStyle name="20% - 강조색2 40 10" xfId="3169"/>
    <cellStyle name="20% - 강조색2 40 11" xfId="3417"/>
    <cellStyle name="20% - 강조색2 40 12" xfId="2100"/>
    <cellStyle name="20% - 강조색2 40 13" xfId="3442"/>
    <cellStyle name="20% - 강조색2 40 14" xfId="4395"/>
    <cellStyle name="20% - 강조색2 40 15" xfId="4958"/>
    <cellStyle name="20% - 강조색2 40 16" xfId="5172"/>
    <cellStyle name="20% - 강조색2 40 17" xfId="4989"/>
    <cellStyle name="20% - 강조색2 40 18" xfId="5781"/>
    <cellStyle name="20% - 강조색2 40 19" xfId="6431"/>
    <cellStyle name="20% - 강조색2 40 2" xfId="1043"/>
    <cellStyle name="20% - 강조색2 40 20" xfId="7034"/>
    <cellStyle name="20% - 강조색2 40 21" xfId="4561"/>
    <cellStyle name="20% - 강조색2 40 22" xfId="7722"/>
    <cellStyle name="20% - 강조색2 40 23" xfId="8117"/>
    <cellStyle name="20% - 강조색2 40 24" xfId="8572"/>
    <cellStyle name="20% - 강조색2 40 25" xfId="4403"/>
    <cellStyle name="20% - 강조색2 40 26" xfId="6068"/>
    <cellStyle name="20% - 강조색2 40 27" xfId="7920"/>
    <cellStyle name="20% - 강조색2 40 28" xfId="8776"/>
    <cellStyle name="20% - 강조색2 40 29" xfId="10116"/>
    <cellStyle name="20% - 강조색2 40 3" xfId="1134"/>
    <cellStyle name="20% - 강조색2 40 30" xfId="10485"/>
    <cellStyle name="20% - 강조색2 40 31" xfId="10702"/>
    <cellStyle name="20% - 강조색2 40 32" xfId="9055"/>
    <cellStyle name="20% - 강조색2 40 33" xfId="11315"/>
    <cellStyle name="20% - 강조색2 40 34" xfId="11282"/>
    <cellStyle name="20% - 강조색2 40 35" xfId="11376"/>
    <cellStyle name="20% - 강조색2 40 36" xfId="11353"/>
    <cellStyle name="20% - 강조색2 40 4" xfId="1225"/>
    <cellStyle name="20% - 강조색2 40 5" xfId="1612"/>
    <cellStyle name="20% - 강조색2 40 6" xfId="833"/>
    <cellStyle name="20% - 강조색2 40 7" xfId="2156"/>
    <cellStyle name="20% - 강조색2 40 8" xfId="1930"/>
    <cellStyle name="20% - 강조색2 40 9" xfId="2857"/>
    <cellStyle name="20% - 강조색2 41" xfId="614"/>
    <cellStyle name="20% - 강조색2 41 10" xfId="3219"/>
    <cellStyle name="20% - 강조색2 41 11" xfId="3410"/>
    <cellStyle name="20% - 강조색2 41 12" xfId="2550"/>
    <cellStyle name="20% - 강조색2 41 13" xfId="4276"/>
    <cellStyle name="20% - 강조색2 41 14" xfId="1409"/>
    <cellStyle name="20% - 강조색2 41 15" xfId="3163"/>
    <cellStyle name="20% - 강조색2 41 16" xfId="5236"/>
    <cellStyle name="20% - 강조색2 41 17" xfId="4060"/>
    <cellStyle name="20% - 강조색2 41 18" xfId="2368"/>
    <cellStyle name="20% - 강조색2 41 19" xfId="6110"/>
    <cellStyle name="20% - 강조색2 41 2" xfId="1113"/>
    <cellStyle name="20% - 강조색2 41 20" xfId="7006"/>
    <cellStyle name="20% - 강조색2 41 21" xfId="6343"/>
    <cellStyle name="20% - 강조색2 41 22" xfId="7792"/>
    <cellStyle name="20% - 강조색2 41 23" xfId="946"/>
    <cellStyle name="20% - 강조색2 41 24" xfId="8528"/>
    <cellStyle name="20% - 강조색2 41 25" xfId="8925"/>
    <cellStyle name="20% - 강조색2 41 26" xfId="9142"/>
    <cellStyle name="20% - 강조색2 41 27" xfId="8847"/>
    <cellStyle name="20% - 강조색2 41 28" xfId="4575"/>
    <cellStyle name="20% - 강조색2 41 29" xfId="6326"/>
    <cellStyle name="20% - 강조색2 41 3" xfId="1204"/>
    <cellStyle name="20% - 강조색2 41 30" xfId="10446"/>
    <cellStyle name="20% - 강조색2 41 31" xfId="10846"/>
    <cellStyle name="20% - 강조색2 41 32" xfId="11117"/>
    <cellStyle name="20% - 강조색2 41 4" xfId="1295"/>
    <cellStyle name="20% - 강조색2 41 5" xfId="1753"/>
    <cellStyle name="20% - 강조색2 41 6" xfId="2006"/>
    <cellStyle name="20% - 강조색2 41 7" xfId="1359"/>
    <cellStyle name="20% - 강조색2 41 8" xfId="1601"/>
    <cellStyle name="20% - 강조색2 41 9" xfId="2505"/>
    <cellStyle name="20% - 강조색2 42" xfId="566"/>
    <cellStyle name="20% - 강조색2 42 10" xfId="3286"/>
    <cellStyle name="20% - 강조색2 42 11" xfId="2530"/>
    <cellStyle name="20% - 강조색2 42 12" xfId="3743"/>
    <cellStyle name="20% - 강조색2 42 13" xfId="2641"/>
    <cellStyle name="20% - 강조색2 42 14" xfId="3476"/>
    <cellStyle name="20% - 강조색2 42 15" xfId="5186"/>
    <cellStyle name="20% - 강조색2 42 16" xfId="4976"/>
    <cellStyle name="20% - 강조색2 42 17" xfId="3502"/>
    <cellStyle name="20% - 강조색2 42 18" xfId="5231"/>
    <cellStyle name="20% - 강조색2 42 19" xfId="6480"/>
    <cellStyle name="20% - 강조색2 42 2" xfId="1065"/>
    <cellStyle name="20% - 강조색2 42 20" xfId="6840"/>
    <cellStyle name="20% - 강조색2 42 21" xfId="6949"/>
    <cellStyle name="20% - 강조색2 42 22" xfId="2800"/>
    <cellStyle name="20% - 강조색2 42 23" xfId="4081"/>
    <cellStyle name="20% - 강조색2 42 24" xfId="8587"/>
    <cellStyle name="20% - 강조색2 42 25" xfId="8896"/>
    <cellStyle name="20% - 강조색2 42 26" xfId="7765"/>
    <cellStyle name="20% - 강조색2 42 27" xfId="7424"/>
    <cellStyle name="20% - 강조색2 42 28" xfId="9989"/>
    <cellStyle name="20% - 강조색2 42 29" xfId="6236"/>
    <cellStyle name="20% - 강조색2 42 3" xfId="1156"/>
    <cellStyle name="20% - 강조색2 42 30" xfId="10390"/>
    <cellStyle name="20% - 강조색2 42 31" xfId="10424"/>
    <cellStyle name="20% - 강조색2 42 32" xfId="6746"/>
    <cellStyle name="20% - 강조색2 42 4" xfId="1247"/>
    <cellStyle name="20% - 강조색2 42 5" xfId="1758"/>
    <cellStyle name="20% - 강조색2 42 6" xfId="2027"/>
    <cellStyle name="20% - 강조색2 42 7" xfId="921"/>
    <cellStyle name="20% - 강조색2 42 8" xfId="2520"/>
    <cellStyle name="20% - 강조색2 42 9" xfId="2887"/>
    <cellStyle name="20% - 강조색2 43" xfId="591"/>
    <cellStyle name="20% - 강조색2 43 10" xfId="1334"/>
    <cellStyle name="20% - 강조색2 43 11" xfId="3483"/>
    <cellStyle name="20% - 강조색2 43 12" xfId="2745"/>
    <cellStyle name="20% - 강조색2 43 13" xfId="4340"/>
    <cellStyle name="20% - 강조색2 43 14" xfId="4520"/>
    <cellStyle name="20% - 강조색2 43 15" xfId="4828"/>
    <cellStyle name="20% - 강조색2 43 16" xfId="5008"/>
    <cellStyle name="20% - 강조색2 43 17" xfId="5142"/>
    <cellStyle name="20% - 강조색2 43 18" xfId="4315"/>
    <cellStyle name="20% - 강조색2 43 19" xfId="6287"/>
    <cellStyle name="20% - 강조색2 43 2" xfId="1090"/>
    <cellStyle name="20% - 강조색2 43 20" xfId="6711"/>
    <cellStyle name="20% - 강조색2 43 21" xfId="7092"/>
    <cellStyle name="20% - 강조색2 43 22" xfId="6117"/>
    <cellStyle name="20% - 강조색2 43 23" xfId="7873"/>
    <cellStyle name="20% - 강조색2 43 24" xfId="8353"/>
    <cellStyle name="20% - 강조색2 43 25" xfId="7445"/>
    <cellStyle name="20% - 강조색2 43 26" xfId="9335"/>
    <cellStyle name="20% - 강조색2 43 27" xfId="1539"/>
    <cellStyle name="20% - 강조색2 43 28" xfId="7402"/>
    <cellStyle name="20% - 강조색2 43 29" xfId="10061"/>
    <cellStyle name="20% - 강조색2 43 3" xfId="1181"/>
    <cellStyle name="20% - 강조색2 43 30" xfId="10559"/>
    <cellStyle name="20% - 강조색2 43 31" xfId="10734"/>
    <cellStyle name="20% - 강조색2 43 32" xfId="11214"/>
    <cellStyle name="20% - 강조색2 43 4" xfId="1272"/>
    <cellStyle name="20% - 강조색2 43 5" xfId="1762"/>
    <cellStyle name="20% - 강조색2 43 6" xfId="2014"/>
    <cellStyle name="20% - 강조색2 43 7" xfId="2201"/>
    <cellStyle name="20% - 강조색2 43 8" xfId="1337"/>
    <cellStyle name="20% - 강조색2 43 9" xfId="2911"/>
    <cellStyle name="20% - 강조색2 44" xfId="580"/>
    <cellStyle name="20% - 강조색2 44 10" xfId="3255"/>
    <cellStyle name="20% - 강조색2 44 11" xfId="3549"/>
    <cellStyle name="20% - 강조색2 44 12" xfId="3787"/>
    <cellStyle name="20% - 강조색2 44 13" xfId="3218"/>
    <cellStyle name="20% - 강조색2 44 14" xfId="4126"/>
    <cellStyle name="20% - 강조색2 44 15" xfId="5402"/>
    <cellStyle name="20% - 강조색2 44 16" xfId="1832"/>
    <cellStyle name="20% - 강조색2 44 17" xfId="3542"/>
    <cellStyle name="20% - 강조색2 44 18" xfId="5758"/>
    <cellStyle name="20% - 강조색2 44 19" xfId="6447"/>
    <cellStyle name="20% - 강조색2 44 2" xfId="1079"/>
    <cellStyle name="20% - 강조색2 44 20" xfId="7240"/>
    <cellStyle name="20% - 강조색2 44 21" xfId="7289"/>
    <cellStyle name="20% - 강조색2 44 22" xfId="7397"/>
    <cellStyle name="20% - 강조색2 44 23" xfId="8023"/>
    <cellStyle name="20% - 강조색2 44 24" xfId="8592"/>
    <cellStyle name="20% - 강조색2 44 25" xfId="8881"/>
    <cellStyle name="20% - 강조색2 44 26" xfId="9277"/>
    <cellStyle name="20% - 강조색2 44 27" xfId="9501"/>
    <cellStyle name="20% - 강조색2 44 28" xfId="7387"/>
    <cellStyle name="20% - 강조색2 44 29" xfId="7370"/>
    <cellStyle name="20% - 강조색2 44 3" xfId="1170"/>
    <cellStyle name="20% - 강조색2 44 30" xfId="10612"/>
    <cellStyle name="20% - 강조색2 44 31" xfId="10080"/>
    <cellStyle name="20% - 강조색2 44 32" xfId="9759"/>
    <cellStyle name="20% - 강조색2 44 4" xfId="1261"/>
    <cellStyle name="20% - 강조색2 44 5" xfId="1766"/>
    <cellStyle name="20% - 강조색2 44 6" xfId="1971"/>
    <cellStyle name="20% - 강조색2 44 7" xfId="2321"/>
    <cellStyle name="20% - 강조색2 44 8" xfId="2484"/>
    <cellStyle name="20% - 강조색2 44 9" xfId="2727"/>
    <cellStyle name="20% - 강조색2 45" xfId="561"/>
    <cellStyle name="20% - 강조색2 45 10" xfId="3182"/>
    <cellStyle name="20% - 강조색2 45 11" xfId="3371"/>
    <cellStyle name="20% - 강조색2 45 12" xfId="3990"/>
    <cellStyle name="20% - 강조색2 45 13" xfId="4091"/>
    <cellStyle name="20% - 강조색2 45 14" xfId="1415"/>
    <cellStyle name="20% - 강조색2 45 15" xfId="4862"/>
    <cellStyle name="20% - 강조색2 45 16" xfId="4964"/>
    <cellStyle name="20% - 강조색2 45 17" xfId="5606"/>
    <cellStyle name="20% - 강조색2 45 18" xfId="5618"/>
    <cellStyle name="20% - 강조색2 45 19" xfId="6420"/>
    <cellStyle name="20% - 강조색2 45 2" xfId="1060"/>
    <cellStyle name="20% - 강조색2 45 20" xfId="7212"/>
    <cellStyle name="20% - 강조색2 45 21" xfId="5232"/>
    <cellStyle name="20% - 강조색2 45 22" xfId="2724"/>
    <cellStyle name="20% - 강조색2 45 23" xfId="8029"/>
    <cellStyle name="20% - 강조색2 45 24" xfId="8548"/>
    <cellStyle name="20% - 강조색2 45 25" xfId="6481"/>
    <cellStyle name="20% - 강조색2 45 26" xfId="6672"/>
    <cellStyle name="20% - 강조색2 45 27" xfId="9595"/>
    <cellStyle name="20% - 강조색2 45 28" xfId="9853"/>
    <cellStyle name="20% - 강조색2 45 29" xfId="10268"/>
    <cellStyle name="20% - 강조색2 45 3" xfId="1151"/>
    <cellStyle name="20% - 강조색2 45 30" xfId="10449"/>
    <cellStyle name="20% - 강조색2 45 31" xfId="3485"/>
    <cellStyle name="20% - 강조색2 45 32" xfId="5025"/>
    <cellStyle name="20% - 강조색2 45 4" xfId="1242"/>
    <cellStyle name="20% - 강조색2 45 5" xfId="1768"/>
    <cellStyle name="20% - 강조색2 45 6" xfId="838"/>
    <cellStyle name="20% - 강조색2 45 7" xfId="2286"/>
    <cellStyle name="20% - 강조색2 45 8" xfId="2226"/>
    <cellStyle name="20% - 강조색2 45 9" xfId="2939"/>
    <cellStyle name="20% - 강조색2 46" xfId="624"/>
    <cellStyle name="20% - 강조색2 46 10" xfId="3246"/>
    <cellStyle name="20% - 강조색2 46 11" xfId="824"/>
    <cellStyle name="20% - 강조색2 46 12" xfId="3506"/>
    <cellStyle name="20% - 강조색2 46 13" xfId="4335"/>
    <cellStyle name="20% - 강조색2 46 14" xfId="4589"/>
    <cellStyle name="20% - 강조색2 46 15" xfId="5120"/>
    <cellStyle name="20% - 강조색2 46 16" xfId="5537"/>
    <cellStyle name="20% - 강조색2 46 17" xfId="4412"/>
    <cellStyle name="20% - 강조색2 46 18" xfId="5498"/>
    <cellStyle name="20% - 강조색2 46 19" xfId="775"/>
    <cellStyle name="20% - 강조색2 46 2" xfId="1123"/>
    <cellStyle name="20% - 강조색2 46 20" xfId="1966"/>
    <cellStyle name="20% - 강조색2 46 21" xfId="7211"/>
    <cellStyle name="20% - 강조색2 46 22" xfId="4442"/>
    <cellStyle name="20% - 강조색2 46 23" xfId="8072"/>
    <cellStyle name="20% - 강조색2 46 24" xfId="8499"/>
    <cellStyle name="20% - 강조색2 46 25" xfId="5994"/>
    <cellStyle name="20% - 강조색2 46 26" xfId="9084"/>
    <cellStyle name="20% - 강조색2 46 27" xfId="6133"/>
    <cellStyle name="20% - 강조색2 46 28" xfId="9802"/>
    <cellStyle name="20% - 강조색2 46 29" xfId="10275"/>
    <cellStyle name="20% - 강조색2 46 3" xfId="1214"/>
    <cellStyle name="20% - 강조색2 46 30" xfId="9392"/>
    <cellStyle name="20% - 강조색2 46 31" xfId="10878"/>
    <cellStyle name="20% - 강조색2 46 32" xfId="11087"/>
    <cellStyle name="20% - 강조색2 46 4" xfId="1305"/>
    <cellStyle name="20% - 강조색2 46 5" xfId="1772"/>
    <cellStyle name="20% - 강조색2 46 6" xfId="953"/>
    <cellStyle name="20% - 강조색2 46 7" xfId="2271"/>
    <cellStyle name="20% - 강조색2 46 8" xfId="2499"/>
    <cellStyle name="20% - 강조색2 46 9" xfId="2819"/>
    <cellStyle name="20% - 강조색2 47" xfId="637"/>
    <cellStyle name="20% - 강조색2 47 10" xfId="4224"/>
    <cellStyle name="20% - 강조색2 47 11" xfId="4638"/>
    <cellStyle name="20% - 강조색2 47 12" xfId="5062"/>
    <cellStyle name="20% - 강조색2 47 13" xfId="5735"/>
    <cellStyle name="20% - 강조색2 47 14" xfId="5831"/>
    <cellStyle name="20% - 강조색2 47 15" xfId="5900"/>
    <cellStyle name="20% - 강조색2 47 16" xfId="6235"/>
    <cellStyle name="20% - 강조색2 47 17" xfId="6720"/>
    <cellStyle name="20% - 강조색2 47 18" xfId="3779"/>
    <cellStyle name="20% - 강조색2 47 19" xfId="3568"/>
    <cellStyle name="20% - 강조색2 47 2" xfId="1775"/>
    <cellStyle name="20% - 강조색2 47 20" xfId="4047"/>
    <cellStyle name="20% - 강조색2 47 21" xfId="8535"/>
    <cellStyle name="20% - 강조색2 47 22" xfId="3721"/>
    <cellStyle name="20% - 강조색2 47 23" xfId="1931"/>
    <cellStyle name="20% - 강조색2 47 24" xfId="9636"/>
    <cellStyle name="20% - 강조색2 47 25" xfId="9846"/>
    <cellStyle name="20% - 강조색2 47 26" xfId="10319"/>
    <cellStyle name="20% - 강조색2 47 27" xfId="10526"/>
    <cellStyle name="20% - 강조색2 47 28" xfId="10908"/>
    <cellStyle name="20% - 강조색2 47 29" xfId="6468"/>
    <cellStyle name="20% - 강조색2 47 3" xfId="1460"/>
    <cellStyle name="20% - 강조색2 47 30" xfId="11338"/>
    <cellStyle name="20% - 강조색2 47 31" xfId="11392"/>
    <cellStyle name="20% - 강조색2 47 32" xfId="11354"/>
    <cellStyle name="20% - 강조색2 47 33" xfId="11422"/>
    <cellStyle name="20% - 강조색2 47 4" xfId="2311"/>
    <cellStyle name="20% - 강조색2 47 5" xfId="2141"/>
    <cellStyle name="20% - 강조색2 47 6" xfId="1787"/>
    <cellStyle name="20% - 강조색2 47 7" xfId="3199"/>
    <cellStyle name="20% - 강조색2 47 8" xfId="3523"/>
    <cellStyle name="20% - 강조색2 47 9" xfId="3969"/>
    <cellStyle name="20% - 강조색2 48" xfId="657"/>
    <cellStyle name="20% - 강조색2 48 10" xfId="1932"/>
    <cellStyle name="20% - 강조색2 48 11" xfId="4468"/>
    <cellStyle name="20% - 강조색2 48 12" xfId="5543"/>
    <cellStyle name="20% - 강조색2 48 13" xfId="5107"/>
    <cellStyle name="20% - 강조색2 48 14" xfId="5487"/>
    <cellStyle name="20% - 강조색2 48 15" xfId="5804"/>
    <cellStyle name="20% - 강조색2 48 16" xfId="6391"/>
    <cellStyle name="20% - 강조색2 48 17" xfId="3708"/>
    <cellStyle name="20% - 강조색2 48 18" xfId="6141"/>
    <cellStyle name="20% - 강조색2 48 19" xfId="7602"/>
    <cellStyle name="20% - 강조색2 48 2" xfId="1778"/>
    <cellStyle name="20% - 강조색2 48 20" xfId="7981"/>
    <cellStyle name="20% - 강조색2 48 21" xfId="8355"/>
    <cellStyle name="20% - 강조색2 48 22" xfId="7497"/>
    <cellStyle name="20% - 강조색2 48 23" xfId="7407"/>
    <cellStyle name="20% - 강조색2 48 24" xfId="9527"/>
    <cellStyle name="20% - 강조색2 48 25" xfId="7365"/>
    <cellStyle name="20% - 강조색2 48 26" xfId="10085"/>
    <cellStyle name="20% - 강조색2 48 27" xfId="4061"/>
    <cellStyle name="20% - 강조색2 48 28" xfId="10825"/>
    <cellStyle name="20% - 강조색2 48 29" xfId="11059"/>
    <cellStyle name="20% - 강조색2 48 3" xfId="811"/>
    <cellStyle name="20% - 강조색2 48 4" xfId="939"/>
    <cellStyle name="20% - 강조색2 48 5" xfId="2504"/>
    <cellStyle name="20% - 강조색2 48 6" xfId="987"/>
    <cellStyle name="20% - 강조색2 48 7" xfId="2478"/>
    <cellStyle name="20% - 강조색2 48 8" xfId="1412"/>
    <cellStyle name="20% - 강조색2 48 9" xfId="3927"/>
    <cellStyle name="20% - 강조색2 49" xfId="675"/>
    <cellStyle name="20% - 강조색2 49 10" xfId="4235"/>
    <cellStyle name="20% - 강조색2 49 11" xfId="3065"/>
    <cellStyle name="20% - 강조색2 49 12" xfId="5604"/>
    <cellStyle name="20% - 강조색2 49 13" xfId="5575"/>
    <cellStyle name="20% - 강조색2 49 14" xfId="5097"/>
    <cellStyle name="20% - 강조색2 49 15" xfId="5222"/>
    <cellStyle name="20% - 강조색2 49 16" xfId="6148"/>
    <cellStyle name="20% - 강조색2 49 17" xfId="4926"/>
    <cellStyle name="20% - 강조색2 49 18" xfId="6809"/>
    <cellStyle name="20% - 강조색2 49 19" xfId="3856"/>
    <cellStyle name="20% - 강조색2 49 2" xfId="1780"/>
    <cellStyle name="20% - 강조색2 49 20" xfId="8045"/>
    <cellStyle name="20% - 강조색2 49 21" xfId="7916"/>
    <cellStyle name="20% - 강조색2 49 22" xfId="8899"/>
    <cellStyle name="20% - 강조색2 49 23" xfId="5184"/>
    <cellStyle name="20% - 강조색2 49 24" xfId="1464"/>
    <cellStyle name="20% - 강조색2 49 25" xfId="9991"/>
    <cellStyle name="20% - 강조색2 49 26" xfId="8888"/>
    <cellStyle name="20% - 강조색2 49 27" xfId="10084"/>
    <cellStyle name="20% - 강조색2 49 28" xfId="2400"/>
    <cellStyle name="20% - 강조색2 49 29" xfId="817"/>
    <cellStyle name="20% - 강조색2 49 3" xfId="770"/>
    <cellStyle name="20% - 강조색2 49 4" xfId="2270"/>
    <cellStyle name="20% - 강조색2 49 5" xfId="2447"/>
    <cellStyle name="20% - 강조색2 49 6" xfId="2690"/>
    <cellStyle name="20% - 강조색2 49 7" xfId="3134"/>
    <cellStyle name="20% - 강조색2 49 8" xfId="2689"/>
    <cellStyle name="20% - 강조색2 49 9" xfId="3976"/>
    <cellStyle name="20% - 강조색2 5" xfId="88"/>
    <cellStyle name="20% - 강조색2 50" xfId="681"/>
    <cellStyle name="20% - 강조색2 50 10" xfId="4199"/>
    <cellStyle name="20% - 강조색2 50 11" xfId="1576"/>
    <cellStyle name="20% - 강조색2 50 12" xfId="5525"/>
    <cellStyle name="20% - 강조색2 50 13" xfId="5557"/>
    <cellStyle name="20% - 강조색2 50 14" xfId="5719"/>
    <cellStyle name="20% - 강조색2 50 15" xfId="5820"/>
    <cellStyle name="20% - 강조색2 50 16" xfId="5983"/>
    <cellStyle name="20% - 강조색2 50 17" xfId="7008"/>
    <cellStyle name="20% - 강조색2 50 18" xfId="6356"/>
    <cellStyle name="20% - 강조색2 50 19" xfId="7624"/>
    <cellStyle name="20% - 강조색2 50 2" xfId="1737"/>
    <cellStyle name="20% - 강조색2 50 20" xfId="8222"/>
    <cellStyle name="20% - 강조색2 50 21" xfId="7796"/>
    <cellStyle name="20% - 강조색2 50 22" xfId="2820"/>
    <cellStyle name="20% - 강조색2 50 23" xfId="9286"/>
    <cellStyle name="20% - 강조색2 50 24" xfId="9473"/>
    <cellStyle name="20% - 강조색2 50 25" xfId="9969"/>
    <cellStyle name="20% - 강조색2 50 26" xfId="9725"/>
    <cellStyle name="20% - 강조색2 50 27" xfId="10383"/>
    <cellStyle name="20% - 강조색2 50 28" xfId="7881"/>
    <cellStyle name="20% - 강조색2 50 29" xfId="11031"/>
    <cellStyle name="20% - 강조색2 50 3" xfId="1331"/>
    <cellStyle name="20% - 강조색2 50 4" xfId="1499"/>
    <cellStyle name="20% - 강조색2 50 5" xfId="2525"/>
    <cellStyle name="20% - 강조색2 50 6" xfId="2903"/>
    <cellStyle name="20% - 강조색2 50 7" xfId="3200"/>
    <cellStyle name="20% - 강조색2 50 8" xfId="3613"/>
    <cellStyle name="20% - 강조색2 50 9" xfId="1000"/>
    <cellStyle name="20% - 강조색2 51" xfId="641"/>
    <cellStyle name="20% - 강조색2 51 10" xfId="844"/>
    <cellStyle name="20% - 강조색2 51 11" xfId="2277"/>
    <cellStyle name="20% - 강조색2 51 12" xfId="5553"/>
    <cellStyle name="20% - 강조색2 51 13" xfId="4992"/>
    <cellStyle name="20% - 강조색2 51 14" xfId="5551"/>
    <cellStyle name="20% - 강조색2 51 15" xfId="785"/>
    <cellStyle name="20% - 강조색2 51 16" xfId="6046"/>
    <cellStyle name="20% - 강조색2 51 17" xfId="7192"/>
    <cellStyle name="20% - 강조색2 51 18" xfId="6760"/>
    <cellStyle name="20% - 강조색2 51 19" xfId="7714"/>
    <cellStyle name="20% - 강조색2 51 2" xfId="1783"/>
    <cellStyle name="20% - 강조색2 51 20" xfId="7970"/>
    <cellStyle name="20% - 강조색2 51 21" xfId="8531"/>
    <cellStyle name="20% - 강조색2 51 22" xfId="8492"/>
    <cellStyle name="20% - 강조색2 51 23" xfId="4078"/>
    <cellStyle name="20% - 강조색2 51 24" xfId="1552"/>
    <cellStyle name="20% - 강조색2 51 25" xfId="6722"/>
    <cellStyle name="20% - 강조색2 51 26" xfId="10220"/>
    <cellStyle name="20% - 강조색2 51 27" xfId="10459"/>
    <cellStyle name="20% - 강조색2 51 28" xfId="6671"/>
    <cellStyle name="20% - 강조색2 51 29" xfId="11232"/>
    <cellStyle name="20% - 강조색2 51 3" xfId="1022"/>
    <cellStyle name="20% - 강조색2 51 4" xfId="2294"/>
    <cellStyle name="20% - 강조색2 51 5" xfId="2501"/>
    <cellStyle name="20% - 강조색2 51 6" xfId="1353"/>
    <cellStyle name="20% - 강조색2 51 7" xfId="3151"/>
    <cellStyle name="20% - 강조색2 51 8" xfId="3620"/>
    <cellStyle name="20% - 강조색2 51 9" xfId="3839"/>
    <cellStyle name="20% - 강조색2 52" xfId="719"/>
    <cellStyle name="20% - 강조색2 52 10" xfId="4193"/>
    <cellStyle name="20% - 강조색2 52 11" xfId="805"/>
    <cellStyle name="20% - 강조색2 52 12" xfId="5178"/>
    <cellStyle name="20% - 강조색2 52 13" xfId="5314"/>
    <cellStyle name="20% - 강조색2 52 14" xfId="5038"/>
    <cellStyle name="20% - 강조색2 52 15" xfId="2018"/>
    <cellStyle name="20% - 강조색2 52 16" xfId="4166"/>
    <cellStyle name="20% - 강조색2 52 17" xfId="4289"/>
    <cellStyle name="20% - 강조색2 52 18" xfId="7010"/>
    <cellStyle name="20% - 강조색2 52 19" xfId="7776"/>
    <cellStyle name="20% - 강조색2 52 2" xfId="1684"/>
    <cellStyle name="20% - 강조색2 52 20" xfId="8038"/>
    <cellStyle name="20% - 강조색2 52 21" xfId="969"/>
    <cellStyle name="20% - 강조색2 52 22" xfId="8866"/>
    <cellStyle name="20% - 강조색2 52 23" xfId="6045"/>
    <cellStyle name="20% - 강조색2 52 24" xfId="8111"/>
    <cellStyle name="20% - 강조색2 52 25" xfId="8389"/>
    <cellStyle name="20% - 강조색2 52 26" xfId="10294"/>
    <cellStyle name="20% - 강조색2 52 27" xfId="9273"/>
    <cellStyle name="20% - 강조색2 52 28" xfId="5361"/>
    <cellStyle name="20% - 강조색2 52 29" xfId="11195"/>
    <cellStyle name="20% - 강조색2 52 3" xfId="751"/>
    <cellStyle name="20% - 강조색2 52 4" xfId="1939"/>
    <cellStyle name="20% - 강조색2 52 5" xfId="2539"/>
    <cellStyle name="20% - 강조색2 52 6" xfId="2712"/>
    <cellStyle name="20% - 강조색2 52 7" xfId="3098"/>
    <cellStyle name="20% - 강조색2 52 8" xfId="3624"/>
    <cellStyle name="20% - 강조색2 52 9" xfId="4000"/>
    <cellStyle name="20% - 강조색2 53" xfId="683"/>
    <cellStyle name="20% - 강조색2 53 10" xfId="4334"/>
    <cellStyle name="20% - 강조색2 53 11" xfId="2370"/>
    <cellStyle name="20% - 강조색2 53 12" xfId="5026"/>
    <cellStyle name="20% - 강조색2 53 13" xfId="4895"/>
    <cellStyle name="20% - 강조색2 53 14" xfId="5733"/>
    <cellStyle name="20% - 강조색2 53 15" xfId="5830"/>
    <cellStyle name="20% - 강조색2 53 16" xfId="6465"/>
    <cellStyle name="20% - 강조색2 53 17" xfId="3814"/>
    <cellStyle name="20% - 강조색2 53 18" xfId="2929"/>
    <cellStyle name="20% - 강조색2 53 19" xfId="4651"/>
    <cellStyle name="20% - 강조색2 53 2" xfId="1683"/>
    <cellStyle name="20% - 강조색2 53 20" xfId="8019"/>
    <cellStyle name="20% - 강조색2 53 21" xfId="6233"/>
    <cellStyle name="20% - 강조색2 53 22" xfId="6795"/>
    <cellStyle name="20% - 강조색2 53 23" xfId="9240"/>
    <cellStyle name="20% - 강조색2 53 24" xfId="8361"/>
    <cellStyle name="20% - 강조색2 53 25" xfId="9913"/>
    <cellStyle name="20% - 강조색2 53 26" xfId="10237"/>
    <cellStyle name="20% - 강조색2 53 27" xfId="10509"/>
    <cellStyle name="20% - 강조색2 53 28" xfId="4891"/>
    <cellStyle name="20% - 강조색2 53 29" xfId="11005"/>
    <cellStyle name="20% - 강조색2 53 3" xfId="1324"/>
    <cellStyle name="20% - 강조색2 53 4" xfId="730"/>
    <cellStyle name="20% - 강조색2 53 5" xfId="2490"/>
    <cellStyle name="20% - 강조색2 53 6" xfId="2691"/>
    <cellStyle name="20% - 강조색2 53 7" xfId="2769"/>
    <cellStyle name="20% - 강조색2 53 8" xfId="3642"/>
    <cellStyle name="20% - 강조색2 53 9" xfId="3906"/>
    <cellStyle name="20% - 강조색2 54" xfId="895"/>
    <cellStyle name="20% - 강조색2 54 10" xfId="4663"/>
    <cellStyle name="20% - 강조색2 54 11" xfId="4473"/>
    <cellStyle name="20% - 강조색2 54 12" xfId="3727"/>
    <cellStyle name="20% - 강조색2 54 13" xfId="4943"/>
    <cellStyle name="20% - 강조색2 54 14" xfId="5734"/>
    <cellStyle name="20% - 강조색2 54 15" xfId="6520"/>
    <cellStyle name="20% - 강조색2 54 16" xfId="1801"/>
    <cellStyle name="20% - 강조색2 54 17" xfId="6044"/>
    <cellStyle name="20% - 강조색2 54 18" xfId="2412"/>
    <cellStyle name="20% - 강조색2 54 19" xfId="8026"/>
    <cellStyle name="20% - 강조색2 54 2" xfId="973"/>
    <cellStyle name="20% - 강조색2 54 20" xfId="7483"/>
    <cellStyle name="20% - 강조색2 54 21" xfId="7418"/>
    <cellStyle name="20% - 강조색2 54 22" xfId="9316"/>
    <cellStyle name="20% - 강조색2 54 23" xfId="7984"/>
    <cellStyle name="20% - 강조색2 54 24" xfId="6799"/>
    <cellStyle name="20% - 강조색2 54 25" xfId="10183"/>
    <cellStyle name="20% - 강조색2 54 26" xfId="10663"/>
    <cellStyle name="20% - 강조색2 54 27" xfId="10877"/>
    <cellStyle name="20% - 강조색2 54 28" xfId="11125"/>
    <cellStyle name="20% - 강조색2 54 3" xfId="2307"/>
    <cellStyle name="20% - 강조색2 54 4" xfId="1880"/>
    <cellStyle name="20% - 강조색2 54 5" xfId="2926"/>
    <cellStyle name="20% - 강조색2 54 6" xfId="1328"/>
    <cellStyle name="20% - 강조색2 54 7" xfId="3595"/>
    <cellStyle name="20% - 강조색2 54 8" xfId="3018"/>
    <cellStyle name="20% - 강조색2 54 9" xfId="2742"/>
    <cellStyle name="20% - 강조색2 55" xfId="1860"/>
    <cellStyle name="20% - 강조색2 55 10" xfId="3511"/>
    <cellStyle name="20% - 강조색2 55 11" xfId="4908"/>
    <cellStyle name="20% - 강조색2 55 12" xfId="5147"/>
    <cellStyle name="20% - 강조색2 55 13" xfId="5730"/>
    <cellStyle name="20% - 강조색2 55 14" xfId="6188"/>
    <cellStyle name="20% - 강조색2 55 15" xfId="7213"/>
    <cellStyle name="20% - 강조색2 55 16" xfId="7054"/>
    <cellStyle name="20% - 강조색2 55 17" xfId="4557"/>
    <cellStyle name="20% - 강조색2 55 18" xfId="6663"/>
    <cellStyle name="20% - 강조색2 55 19" xfId="7410"/>
    <cellStyle name="20% - 강조색2 55 2" xfId="2337"/>
    <cellStyle name="20% - 강조색2 55 20" xfId="1355"/>
    <cellStyle name="20% - 강조색2 55 21" xfId="8718"/>
    <cellStyle name="20% - 강조색2 55 22" xfId="7626"/>
    <cellStyle name="20% - 강조색2 55 23" xfId="5518"/>
    <cellStyle name="20% - 강조색2 55 24" xfId="9444"/>
    <cellStyle name="20% - 강조색2 55 25" xfId="1906"/>
    <cellStyle name="20% - 강조색2 55 26" xfId="7427"/>
    <cellStyle name="20% - 강조색2 55 27" xfId="2808"/>
    <cellStyle name="20% - 강조색2 55 3" xfId="2656"/>
    <cellStyle name="20% - 강조색2 55 4" xfId="2970"/>
    <cellStyle name="20% - 강조색2 55 5" xfId="3244"/>
    <cellStyle name="20% - 강조색2 55 6" xfId="1856"/>
    <cellStyle name="20% - 강조색2 55 7" xfId="3979"/>
    <cellStyle name="20% - 강조색2 55 8" xfId="4344"/>
    <cellStyle name="20% - 강조색2 55 9" xfId="4657"/>
    <cellStyle name="20% - 강조색2 56" xfId="2301"/>
    <cellStyle name="20% - 강조색2 56 10" xfId="5362"/>
    <cellStyle name="20% - 강조색2 56 11" xfId="2792"/>
    <cellStyle name="20% - 강조색2 56 12" xfId="4620"/>
    <cellStyle name="20% - 강조색2 56 13" xfId="6392"/>
    <cellStyle name="20% - 강조색2 56 14" xfId="7050"/>
    <cellStyle name="20% - 강조색2 56 15" xfId="6766"/>
    <cellStyle name="20% - 강조색2 56 16" xfId="7388"/>
    <cellStyle name="20% - 강조색2 56 17" xfId="8139"/>
    <cellStyle name="20% - 강조색2 56 18" xfId="3916"/>
    <cellStyle name="20% - 강조색2 56 19" xfId="8980"/>
    <cellStyle name="20% - 강조색2 56 2" xfId="2673"/>
    <cellStyle name="20% - 강조색2 56 20" xfId="7697"/>
    <cellStyle name="20% - 강조색2 56 21" xfId="6863"/>
    <cellStyle name="20% - 강조색2 56 22" xfId="7029"/>
    <cellStyle name="20% - 강조색2 56 23" xfId="10200"/>
    <cellStyle name="20% - 강조색2 56 24" xfId="7435"/>
    <cellStyle name="20% - 강조색2 56 25" xfId="10758"/>
    <cellStyle name="20% - 강조색2 56 26" xfId="10844"/>
    <cellStyle name="20% - 강조색2 56 3" xfId="2988"/>
    <cellStyle name="20% - 강조색2 56 4" xfId="3321"/>
    <cellStyle name="20% - 강조색2 56 5" xfId="2193"/>
    <cellStyle name="20% - 강조색2 56 6" xfId="4005"/>
    <cellStyle name="20% - 강조색2 56 7" xfId="4318"/>
    <cellStyle name="20% - 강조색2 56 8" xfId="1793"/>
    <cellStyle name="20% - 강조색2 56 9" xfId="5492"/>
    <cellStyle name="20% - 강조색2 57" xfId="2592"/>
    <cellStyle name="20% - 강조색2 57 10" xfId="5859"/>
    <cellStyle name="20% - 강조색2 57 11" xfId="5918"/>
    <cellStyle name="20% - 강조색2 57 12" xfId="6561"/>
    <cellStyle name="20% - 강조색2 57 13" xfId="6954"/>
    <cellStyle name="20% - 강조색2 57 14" xfId="7121"/>
    <cellStyle name="20% - 강조색2 57 15" xfId="7702"/>
    <cellStyle name="20% - 강조색2 57 16" xfId="7957"/>
    <cellStyle name="20% - 강조색2 57 17" xfId="7726"/>
    <cellStyle name="20% - 강조색2 57 18" xfId="8682"/>
    <cellStyle name="20% - 강조색2 57 19" xfId="7713"/>
    <cellStyle name="20% - 강조색2 57 2" xfId="2996"/>
    <cellStyle name="20% - 강조색2 57 20" xfId="6084"/>
    <cellStyle name="20% - 강조색2 57 21" xfId="9820"/>
    <cellStyle name="20% - 강조색2 57 22" xfId="6792"/>
    <cellStyle name="20% - 강조색2 57 23" xfId="2730"/>
    <cellStyle name="20% - 강조색2 57 24" xfId="10773"/>
    <cellStyle name="20% - 강조색2 57 25" xfId="9147"/>
    <cellStyle name="20% - 강조색2 57 3" xfId="3329"/>
    <cellStyle name="20% - 강조색2 57 4" xfId="3661"/>
    <cellStyle name="20% - 강조색2 57 5" xfId="3795"/>
    <cellStyle name="20% - 강조색2 57 6" xfId="4214"/>
    <cellStyle name="20% - 강조색2 57 7" xfId="4467"/>
    <cellStyle name="20% - 강조색2 57 8" xfId="4858"/>
    <cellStyle name="20% - 강조색2 57 9" xfId="5777"/>
    <cellStyle name="20% - 강조색2 58" xfId="2966"/>
    <cellStyle name="20% - 강조색2 58 10" xfId="5654"/>
    <cellStyle name="20% - 강조색2 58 11" xfId="3038"/>
    <cellStyle name="20% - 강조색2 58 12" xfId="6941"/>
    <cellStyle name="20% - 강조색2 58 13" xfId="6745"/>
    <cellStyle name="20% - 강조색2 58 14" xfId="6981"/>
    <cellStyle name="20% - 강조색2 58 15" xfId="3932"/>
    <cellStyle name="20% - 강조색2 58 16" xfId="8278"/>
    <cellStyle name="20% - 강조색2 58 17" xfId="8688"/>
    <cellStyle name="20% - 강조색2 58 18" xfId="9093"/>
    <cellStyle name="20% - 강조색2 58 19" xfId="8287"/>
    <cellStyle name="20% - 강조색2 58 2" xfId="3345"/>
    <cellStyle name="20% - 강조색2 58 20" xfId="9912"/>
    <cellStyle name="20% - 강조색2 58 21" xfId="10283"/>
    <cellStyle name="20% - 강조색2 58 22" xfId="10611"/>
    <cellStyle name="20% - 강조색2 58 23" xfId="7399"/>
    <cellStyle name="20% - 강조색2 58 24" xfId="6292"/>
    <cellStyle name="20% - 강조색2 58 3" xfId="3678"/>
    <cellStyle name="20% - 강조색2 58 4" xfId="4016"/>
    <cellStyle name="20% - 강조색2 58 5" xfId="4036"/>
    <cellStyle name="20% - 강조색2 58 6" xfId="4697"/>
    <cellStyle name="20% - 강조색2 58 7" xfId="5526"/>
    <cellStyle name="20% - 강조색2 58 8" xfId="5085"/>
    <cellStyle name="20% - 강조색2 58 9" xfId="5177"/>
    <cellStyle name="20% - 강조색2 59" xfId="3316"/>
    <cellStyle name="20% - 강조색2 59 10" xfId="4982"/>
    <cellStyle name="20% - 강조색2 59 11" xfId="784"/>
    <cellStyle name="20% - 강조색2 59 12" xfId="1492"/>
    <cellStyle name="20% - 강조색2 59 13" xfId="7633"/>
    <cellStyle name="20% - 강조색2 59 14" xfId="7869"/>
    <cellStyle name="20% - 강조색2 59 15" xfId="6371"/>
    <cellStyle name="20% - 강조색2 59 16" xfId="8807"/>
    <cellStyle name="20% - 강조색2 59 17" xfId="9258"/>
    <cellStyle name="20% - 강조색2 59 18" xfId="2636"/>
    <cellStyle name="20% - 강조색2 59 19" xfId="6023"/>
    <cellStyle name="20% - 강조색2 59 2" xfId="3687"/>
    <cellStyle name="20% - 강조색2 59 20" xfId="10316"/>
    <cellStyle name="20% - 강조색2 59 21" xfId="10344"/>
    <cellStyle name="20% - 강조색2 59 22" xfId="10431"/>
    <cellStyle name="20% - 강조색2 59 23" xfId="11156"/>
    <cellStyle name="20% - 강조색2 59 3" xfId="4026"/>
    <cellStyle name="20% - 강조색2 59 4" xfId="4362"/>
    <cellStyle name="20% - 강조색2 59 5" xfId="4683"/>
    <cellStyle name="20% - 강조색2 59 6" xfId="5583"/>
    <cellStyle name="20% - 강조색2 59 7" xfId="5053"/>
    <cellStyle name="20% - 강조색2 59 8" xfId="4898"/>
    <cellStyle name="20% - 강조색2 59 9" xfId="5616"/>
    <cellStyle name="20% - 강조색2 6" xfId="95"/>
    <cellStyle name="20% - 강조색2 60" xfId="3370"/>
    <cellStyle name="20% - 강조색2 60 10" xfId="6172"/>
    <cellStyle name="20% - 강조색2 60 11" xfId="6932"/>
    <cellStyle name="20% - 강조색2 60 12" xfId="7631"/>
    <cellStyle name="20% - 강조색2 60 13" xfId="5014"/>
    <cellStyle name="20% - 강조색2 60 14" xfId="6003"/>
    <cellStyle name="20% - 강조색2 60 15" xfId="8941"/>
    <cellStyle name="20% - 강조색2 60 16" xfId="9271"/>
    <cellStyle name="20% - 강조색2 60 17" xfId="9650"/>
    <cellStyle name="20% - 강조색2 60 18" xfId="9849"/>
    <cellStyle name="20% - 강조색2 60 19" xfId="10236"/>
    <cellStyle name="20% - 강조색2 60 2" xfId="4027"/>
    <cellStyle name="20% - 강조색2 60 20" xfId="10569"/>
    <cellStyle name="20% - 강조색2 60 21" xfId="10794"/>
    <cellStyle name="20% - 강조색2 60 22" xfId="8719"/>
    <cellStyle name="20% - 강조색2 60 3" xfId="4363"/>
    <cellStyle name="20% - 강조색2 60 4" xfId="2920"/>
    <cellStyle name="20% - 강조색2 60 5" xfId="4113"/>
    <cellStyle name="20% - 강조색2 60 6" xfId="5264"/>
    <cellStyle name="20% - 강조색2 60 7" xfId="5465"/>
    <cellStyle name="20% - 강조색2 60 8" xfId="5778"/>
    <cellStyle name="20% - 강조색2 60 9" xfId="6081"/>
    <cellStyle name="20% - 강조색2 61" xfId="4007"/>
    <cellStyle name="20% - 강조색2 61 10" xfId="6924"/>
    <cellStyle name="20% - 강조색2 61 11" xfId="7550"/>
    <cellStyle name="20% - 강조색2 61 12" xfId="8140"/>
    <cellStyle name="20% - 강조색2 61 13" xfId="8310"/>
    <cellStyle name="20% - 강조색2 61 14" xfId="8764"/>
    <cellStyle name="20% - 강조색2 61 15" xfId="4053"/>
    <cellStyle name="20% - 강조색2 61 16" xfId="9470"/>
    <cellStyle name="20% - 강조색2 61 17" xfId="6818"/>
    <cellStyle name="20% - 강조색2 61 18" xfId="10332"/>
    <cellStyle name="20% - 강조색2 61 19" xfId="10574"/>
    <cellStyle name="20% - 강조색2 61 2" xfId="4381"/>
    <cellStyle name="20% - 강조색2 61 20" xfId="9727"/>
    <cellStyle name="20% - 강조색2 61 21" xfId="11114"/>
    <cellStyle name="20% - 강조색2 61 3" xfId="4735"/>
    <cellStyle name="20% - 강조색2 61 4" xfId="5667"/>
    <cellStyle name="20% - 강조색2 61 5" xfId="5612"/>
    <cellStyle name="20% - 강조색2 61 6" xfId="4765"/>
    <cellStyle name="20% - 강조색2 61 7" xfId="5414"/>
    <cellStyle name="20% - 강조색2 61 8" xfId="6593"/>
    <cellStyle name="20% - 강조색2 61 9" xfId="7208"/>
    <cellStyle name="20% - 강조색2 62" xfId="4353"/>
    <cellStyle name="20% - 강조색2 62 10" xfId="7654"/>
    <cellStyle name="20% - 강조색2 62 11" xfId="8130"/>
    <cellStyle name="20% - 강조색2 62 12" xfId="8432"/>
    <cellStyle name="20% - 강조색2 62 13" xfId="8806"/>
    <cellStyle name="20% - 강조색2 62 14" xfId="8444"/>
    <cellStyle name="20% - 강조색2 62 15" xfId="1834"/>
    <cellStyle name="20% - 강조색2 62 16" xfId="1424"/>
    <cellStyle name="20% - 강조색2 62 17" xfId="10233"/>
    <cellStyle name="20% - 강조색2 62 18" xfId="10640"/>
    <cellStyle name="20% - 강조색2 62 19" xfId="10902"/>
    <cellStyle name="20% - 강조색2 62 2" xfId="4745"/>
    <cellStyle name="20% - 강조색2 62 20" xfId="11167"/>
    <cellStyle name="20% - 강조색2 62 3" xfId="5724"/>
    <cellStyle name="20% - 강조색2 62 4" xfId="5824"/>
    <cellStyle name="20% - 강조색2 62 5" xfId="5896"/>
    <cellStyle name="20% - 강조색2 62 6" xfId="5944"/>
    <cellStyle name="20% - 강조색2 62 7" xfId="6603"/>
    <cellStyle name="20% - 강조색2 62 8" xfId="7206"/>
    <cellStyle name="20% - 강조색2 62 9" xfId="7074"/>
    <cellStyle name="20% - 강조색2 63" xfId="4483"/>
    <cellStyle name="20% - 강조색2 63 10" xfId="6212"/>
    <cellStyle name="20% - 강조색2 63 11" xfId="8371"/>
    <cellStyle name="20% - 강조색2 63 12" xfId="1827"/>
    <cellStyle name="20% - 강조색2 63 13" xfId="9212"/>
    <cellStyle name="20% - 강조색2 63 14" xfId="9601"/>
    <cellStyle name="20% - 강조색2 63 15" xfId="4407"/>
    <cellStyle name="20% - 강조색2 63 16" xfId="10251"/>
    <cellStyle name="20% - 강조색2 63 17" xfId="10464"/>
    <cellStyle name="20% - 강조색2 63 18" xfId="10783"/>
    <cellStyle name="20% - 강조색2 63 19" xfId="10997"/>
    <cellStyle name="20% - 강조색2 63 2" xfId="5755"/>
    <cellStyle name="20% - 강조색2 63 3" xfId="5845"/>
    <cellStyle name="20% - 강조색2 63 4" xfId="5908"/>
    <cellStyle name="20% - 강조색2 63 5" xfId="5946"/>
    <cellStyle name="20% - 강조색2 63 6" xfId="6605"/>
    <cellStyle name="20% - 강조색2 63 7" xfId="6996"/>
    <cellStyle name="20% - 강조색2 63 8" xfId="7229"/>
    <cellStyle name="20% - 강조색2 63 9" xfId="6688"/>
    <cellStyle name="20% - 강조색2 64" xfId="5597"/>
    <cellStyle name="20% - 강조색2 64 10" xfId="3363"/>
    <cellStyle name="20% - 강조색2 64 11" xfId="9778"/>
    <cellStyle name="20% - 강조색2 64 12" xfId="8675"/>
    <cellStyle name="20% - 강조색2 64 13" xfId="7598"/>
    <cellStyle name="20% - 강조색2 64 14" xfId="10870"/>
    <cellStyle name="20% - 강조색2 64 15" xfId="4905"/>
    <cellStyle name="20% - 강조색2 64 2" xfId="6648"/>
    <cellStyle name="20% - 강조색2 64 3" xfId="7261"/>
    <cellStyle name="20% - 강조색2 64 4" xfId="7198"/>
    <cellStyle name="20% - 강조색2 64 5" xfId="4753"/>
    <cellStyle name="20% - 강조색2 64 6" xfId="6725"/>
    <cellStyle name="20% - 강조색2 64 7" xfId="8396"/>
    <cellStyle name="20% - 강조색2 64 8" xfId="7643"/>
    <cellStyle name="20% - 강조색2 64 9" xfId="1471"/>
    <cellStyle name="20% - 강조색2 65" xfId="5490"/>
    <cellStyle name="20% - 강조색2 65 10" xfId="9626"/>
    <cellStyle name="20% - 강조색2 65 11" xfId="6224"/>
    <cellStyle name="20% - 강조색2 65 12" xfId="10151"/>
    <cellStyle name="20% - 강조색2 65 13" xfId="10621"/>
    <cellStyle name="20% - 강조색2 65 14" xfId="10937"/>
    <cellStyle name="20% - 강조색2 65 15" xfId="10136"/>
    <cellStyle name="20% - 강조색2 65 2" xfId="6642"/>
    <cellStyle name="20% - 강조색2 65 3" xfId="6680"/>
    <cellStyle name="20% - 강조색2 65 4" xfId="6950"/>
    <cellStyle name="20% - 강조색2 65 5" xfId="6499"/>
    <cellStyle name="20% - 강조색2 65 6" xfId="6974"/>
    <cellStyle name="20% - 강조색2 65 7" xfId="8546"/>
    <cellStyle name="20% - 강조색2 65 8" xfId="8937"/>
    <cellStyle name="20% - 강조색2 65 9" xfId="9301"/>
    <cellStyle name="20% - 강조색2 66" xfId="5282"/>
    <cellStyle name="20% - 강조색2 66 10" xfId="6903"/>
    <cellStyle name="20% - 강조색2 66 11" xfId="4938"/>
    <cellStyle name="20% - 강조색2 66 12" xfId="10182"/>
    <cellStyle name="20% - 강조색2 66 13" xfId="10440"/>
    <cellStyle name="20% - 강조색2 66 14" xfId="7967"/>
    <cellStyle name="20% - 강조색2 66 15" xfId="11088"/>
    <cellStyle name="20% - 강조색2 66 2" xfId="6632"/>
    <cellStyle name="20% - 강조색2 66 3" xfId="6948"/>
    <cellStyle name="20% - 강조색2 66 4" xfId="4475"/>
    <cellStyle name="20% - 강조색2 66 5" xfId="7755"/>
    <cellStyle name="20% - 강조색2 66 6" xfId="8102"/>
    <cellStyle name="20% - 강조색2 66 7" xfId="8603"/>
    <cellStyle name="20% - 강조색2 66 8" xfId="4159"/>
    <cellStyle name="20% - 강조색2 66 9" xfId="8705"/>
    <cellStyle name="20% - 강조색2 67" xfId="5545"/>
    <cellStyle name="20% - 강조색2 67 10" xfId="9551"/>
    <cellStyle name="20% - 강조색2 67 11" xfId="9996"/>
    <cellStyle name="20% - 강조색2 67 12" xfId="10244"/>
    <cellStyle name="20% - 강조색2 67 13" xfId="10664"/>
    <cellStyle name="20% - 강조색2 67 14" xfId="4399"/>
    <cellStyle name="20% - 강조색2 67 15" xfId="4003"/>
    <cellStyle name="20% - 강조색2 67 2" xfId="6647"/>
    <cellStyle name="20% - 강조색2 67 3" xfId="7256"/>
    <cellStyle name="20% - 강조색2 67 4" xfId="7153"/>
    <cellStyle name="20% - 강조색2 67 5" xfId="7484"/>
    <cellStyle name="20% - 강조색2 67 6" xfId="1018"/>
    <cellStyle name="20% - 강조색2 67 7" xfId="8563"/>
    <cellStyle name="20% - 강조색2 67 8" xfId="8738"/>
    <cellStyle name="20% - 강조색2 67 9" xfId="9245"/>
    <cellStyle name="20% - 강조색2 68" xfId="6270"/>
    <cellStyle name="20% - 강조색2 68 10" xfId="9821"/>
    <cellStyle name="20% - 강조색2 68 11" xfId="2112"/>
    <cellStyle name="20% - 강조색2 68 12" xfId="10656"/>
    <cellStyle name="20% - 강조색2 68 13" xfId="6540"/>
    <cellStyle name="20% - 강조색2 68 14" xfId="7182"/>
    <cellStyle name="20% - 강조색2 68 2" xfId="7308"/>
    <cellStyle name="20% - 강조색2 68 3" xfId="7345"/>
    <cellStyle name="20% - 강조색2 68 4" xfId="7834"/>
    <cellStyle name="20% - 강조색2 68 5" xfId="1537"/>
    <cellStyle name="20% - 강조색2 68 6" xfId="7384"/>
    <cellStyle name="20% - 강조색2 68 7" xfId="8929"/>
    <cellStyle name="20% - 강조색2 68 8" xfId="9249"/>
    <cellStyle name="20% - 강조색2 68 9" xfId="6545"/>
    <cellStyle name="20% - 강조색2 69" xfId="7243"/>
    <cellStyle name="20% - 강조색2 69 10" xfId="10403"/>
    <cellStyle name="20% - 강조색2 69 11" xfId="8049"/>
    <cellStyle name="20% - 강조색2 69 12" xfId="11211"/>
    <cellStyle name="20% - 강조색2 69 2" xfId="7858"/>
    <cellStyle name="20% - 강조색2 69 3" xfId="8252"/>
    <cellStyle name="20% - 강조색2 69 4" xfId="8614"/>
    <cellStyle name="20% - 강조색2 69 5" xfId="8800"/>
    <cellStyle name="20% - 강조색2 69 6" xfId="9233"/>
    <cellStyle name="20% - 강조색2 69 7" xfId="9477"/>
    <cellStyle name="20% - 강조색2 69 8" xfId="1501"/>
    <cellStyle name="20% - 강조색2 69 9" xfId="7877"/>
    <cellStyle name="20% - 강조색2 7" xfId="108"/>
    <cellStyle name="20% - 강조색2 70" xfId="7340"/>
    <cellStyle name="20% - 강조색2 70 10" xfId="10133"/>
    <cellStyle name="20% - 강조색2 70 11" xfId="6423"/>
    <cellStyle name="20% - 강조색2 70 12" xfId="11001"/>
    <cellStyle name="20% - 강조색2 70 2" xfId="7865"/>
    <cellStyle name="20% - 강조색2 70 3" xfId="8259"/>
    <cellStyle name="20% - 강조색2 70 4" xfId="8621"/>
    <cellStyle name="20% - 강조색2 70 5" xfId="8985"/>
    <cellStyle name="20% - 강조색2 70 6" xfId="2491"/>
    <cellStyle name="20% - 강조색2 70 7" xfId="9599"/>
    <cellStyle name="20% - 강조색2 70 8" xfId="8791"/>
    <cellStyle name="20% - 강조색2 70 9" xfId="9151"/>
    <cellStyle name="20% - 강조색2 71" xfId="7819"/>
    <cellStyle name="20% - 강조색2 71 10" xfId="4263"/>
    <cellStyle name="20% - 강조색2 71 11" xfId="11124"/>
    <cellStyle name="20% - 강조색2 71 2" xfId="8270"/>
    <cellStyle name="20% - 강조색2 71 3" xfId="8632"/>
    <cellStyle name="20% - 강조색2 71 4" xfId="8996"/>
    <cellStyle name="20% - 강조색2 71 5" xfId="9354"/>
    <cellStyle name="20% - 강조색2 71 6" xfId="9450"/>
    <cellStyle name="20% - 강조색2 71 7" xfId="9814"/>
    <cellStyle name="20% - 강조색2 71 8" xfId="10278"/>
    <cellStyle name="20% - 강조색2 71 9" xfId="10207"/>
    <cellStyle name="20% - 강조색2 72" xfId="8232"/>
    <cellStyle name="20% - 강조색2 72 10" xfId="11151"/>
    <cellStyle name="20% - 강조색2 72 2" xfId="8642"/>
    <cellStyle name="20% - 강조색2 72 3" xfId="9006"/>
    <cellStyle name="20% - 강조색2 72 4" xfId="9365"/>
    <cellStyle name="20% - 강조색2 72 5" xfId="9697"/>
    <cellStyle name="20% - 강조색2 72 6" xfId="6695"/>
    <cellStyle name="20% - 강조색2 72 7" xfId="10091"/>
    <cellStyle name="20% - 강조색2 72 8" xfId="9478"/>
    <cellStyle name="20% - 강조색2 72 9" xfId="9236"/>
    <cellStyle name="20% - 강조색2 73" xfId="8600"/>
    <cellStyle name="20% - 강조색2 73 2" xfId="9015"/>
    <cellStyle name="20% - 강조색2 73 3" xfId="9374"/>
    <cellStyle name="20% - 강조색2 73 4" xfId="9706"/>
    <cellStyle name="20% - 강조색2 73 5" xfId="10032"/>
    <cellStyle name="20% - 강조색2 73 6" xfId="4764"/>
    <cellStyle name="20% - 강조색2 73 7" xfId="7690"/>
    <cellStyle name="20% - 강조색2 73 8" xfId="2503"/>
    <cellStyle name="20% - 강조색2 73 9" xfId="7644"/>
    <cellStyle name="20% - 강조색2 74" xfId="8967"/>
    <cellStyle name="20% - 강조색2 74 2" xfId="9380"/>
    <cellStyle name="20% - 강조색2 74 3" xfId="9712"/>
    <cellStyle name="20% - 강조색2 74 4" xfId="10038"/>
    <cellStyle name="20% - 강조색2 74 5" xfId="10351"/>
    <cellStyle name="20% - 강조색2 74 6" xfId="9138"/>
    <cellStyle name="20% - 강조색2 74 7" xfId="10835"/>
    <cellStyle name="20% - 강조색2 74 8" xfId="9027"/>
    <cellStyle name="20% - 강조색2 75" xfId="9318"/>
    <cellStyle name="20% - 강조색2 75 2" xfId="9721"/>
    <cellStyle name="20% - 강조색2 75 3" xfId="10047"/>
    <cellStyle name="20% - 강조색2 75 4" xfId="10360"/>
    <cellStyle name="20% - 강조색2 75 5" xfId="10669"/>
    <cellStyle name="20% - 강조색2 75 6" xfId="10394"/>
    <cellStyle name="20% - 강조색2 75 7" xfId="9963"/>
    <cellStyle name="20% - 강조색2 76" xfId="9678"/>
    <cellStyle name="20% - 강조색2 76 2" xfId="10055"/>
    <cellStyle name="20% - 강조색2 76 3" xfId="10369"/>
    <cellStyle name="20% - 강조색2 76 4" xfId="10679"/>
    <cellStyle name="20% - 강조색2 76 5" xfId="10962"/>
    <cellStyle name="20% - 강조색2 76 6" xfId="8330"/>
    <cellStyle name="20% - 강조색2 77" xfId="9935"/>
    <cellStyle name="20% - 강조색2 77 2" xfId="10375"/>
    <cellStyle name="20% - 강조색2 77 3" xfId="10686"/>
    <cellStyle name="20% - 강조색2 77 4" xfId="10970"/>
    <cellStyle name="20% - 강조색2 77 5" xfId="11246"/>
    <cellStyle name="20% - 강조색2 78" xfId="10328"/>
    <cellStyle name="20% - 강조색2 78 2" xfId="10694"/>
    <cellStyle name="20% - 강조색2 78 3" xfId="10978"/>
    <cellStyle name="20% - 강조색2 78 4" xfId="11255"/>
    <cellStyle name="20% - 강조색2 79" xfId="10630"/>
    <cellStyle name="20% - 강조색2 79 2" xfId="10986"/>
    <cellStyle name="20% - 강조색2 79 3" xfId="11264"/>
    <cellStyle name="20% - 강조색2 8" xfId="121"/>
    <cellStyle name="20% - 강조색2 80" xfId="10936"/>
    <cellStyle name="20% - 강조색2 80 2" xfId="11274"/>
    <cellStyle name="20% - 강조색2 81" xfId="8500"/>
    <cellStyle name="20% - 강조색2 82" xfId="11286"/>
    <cellStyle name="20% - 강조색2 83" xfId="11307"/>
    <cellStyle name="20% - 강조색2 84" xfId="11371"/>
    <cellStyle name="20% - 강조색2 85" xfId="11411"/>
    <cellStyle name="20% - 강조색2 86" xfId="11438"/>
    <cellStyle name="20% - 강조색2 9" xfId="134"/>
    <cellStyle name="20% - 강조색3" xfId="27" builtinId="38" customBuiltin="1"/>
    <cellStyle name="20% - 강조색3 10" xfId="157"/>
    <cellStyle name="20% - 강조색3 11" xfId="170"/>
    <cellStyle name="20% - 강조색3 12" xfId="183"/>
    <cellStyle name="20% - 강조색3 13" xfId="196"/>
    <cellStyle name="20% - 강조색3 14" xfId="209"/>
    <cellStyle name="20% - 강조색3 15" xfId="222"/>
    <cellStyle name="20% - 강조색3 16" xfId="235"/>
    <cellStyle name="20% - 강조색3 17" xfId="248"/>
    <cellStyle name="20% - 강조색3 18" xfId="261"/>
    <cellStyle name="20% - 강조색3 19" xfId="274"/>
    <cellStyle name="20% - 강조색3 2" xfId="48"/>
    <cellStyle name="20% - 강조색3 20" xfId="287"/>
    <cellStyle name="20% - 강조색3 21" xfId="300"/>
    <cellStyle name="20% - 강조색3 22" xfId="313"/>
    <cellStyle name="20% - 강조색3 23" xfId="326"/>
    <cellStyle name="20% - 강조색3 24" xfId="339"/>
    <cellStyle name="20% - 강조색3 25" xfId="352"/>
    <cellStyle name="20% - 강조색3 26" xfId="365"/>
    <cellStyle name="20% - 강조색3 27" xfId="378"/>
    <cellStyle name="20% - 강조색3 28" xfId="391"/>
    <cellStyle name="20% - 강조색3 29" xfId="404"/>
    <cellStyle name="20% - 강조색3 3" xfId="75"/>
    <cellStyle name="20% - 강조색3 30" xfId="417"/>
    <cellStyle name="20% - 강조색3 31" xfId="430"/>
    <cellStyle name="20% - 강조색3 32" xfId="442"/>
    <cellStyle name="20% - 강조색3 33" xfId="454"/>
    <cellStyle name="20% - 강조색3 34" xfId="466"/>
    <cellStyle name="20% - 강조색3 35" xfId="478"/>
    <cellStyle name="20% - 강조색3 36" xfId="490"/>
    <cellStyle name="20% - 강조색3 37" xfId="501"/>
    <cellStyle name="20% - 강조색3 38" xfId="512"/>
    <cellStyle name="20% - 강조색3 39" xfId="523"/>
    <cellStyle name="20% - 강조색3 4" xfId="84"/>
    <cellStyle name="20% - 강조색3 40" xfId="546"/>
    <cellStyle name="20% - 강조색3 40 10" xfId="3171"/>
    <cellStyle name="20% - 강조색3 40 11" xfId="3361"/>
    <cellStyle name="20% - 강조색3 40 12" xfId="3765"/>
    <cellStyle name="20% - 강조색3 40 13" xfId="1959"/>
    <cellStyle name="20% - 강조색3 40 14" xfId="4164"/>
    <cellStyle name="20% - 강조색3 40 15" xfId="5379"/>
    <cellStyle name="20% - 강조색3 40 16" xfId="4876"/>
    <cellStyle name="20% - 강조색3 40 17" xfId="2452"/>
    <cellStyle name="20% - 강조색3 40 18" xfId="4805"/>
    <cellStyle name="20% - 강조색3 40 19" xfId="6156"/>
    <cellStyle name="20% - 강조색3 40 2" xfId="1045"/>
    <cellStyle name="20% - 강조색3 40 20" xfId="6290"/>
    <cellStyle name="20% - 강조색3 40 21" xfId="3401"/>
    <cellStyle name="20% - 강조색3 40 22" xfId="7538"/>
    <cellStyle name="20% - 강조색3 40 23" xfId="6060"/>
    <cellStyle name="20% - 강조색3 40 24" xfId="8126"/>
    <cellStyle name="20% - 강조색3 40 25" xfId="8511"/>
    <cellStyle name="20% - 강조색3 40 26" xfId="9126"/>
    <cellStyle name="20% - 강조색3 40 27" xfId="2502"/>
    <cellStyle name="20% - 강조색3 40 28" xfId="9930"/>
    <cellStyle name="20% - 강조색3 40 29" xfId="7416"/>
    <cellStyle name="20% - 강조색3 40 3" xfId="1136"/>
    <cellStyle name="20% - 강조색3 40 30" xfId="7508"/>
    <cellStyle name="20% - 강조색3 40 31" xfId="4548"/>
    <cellStyle name="20% - 강조색3 40 32" xfId="3551"/>
    <cellStyle name="20% - 강조색3 40 33" xfId="11317"/>
    <cellStyle name="20% - 강조색3 40 34" xfId="11295"/>
    <cellStyle name="20% - 강조색3 40 35" xfId="11368"/>
    <cellStyle name="20% - 강조색3 40 36" xfId="11399"/>
    <cellStyle name="20% - 강조색3 40 4" xfId="1227"/>
    <cellStyle name="20% - 강조색3 40 5" xfId="1614"/>
    <cellStyle name="20% - 강조색3 40 6" xfId="1549"/>
    <cellStyle name="20% - 강조색3 40 7" xfId="1544"/>
    <cellStyle name="20% - 강조색3 40 8" xfId="2476"/>
    <cellStyle name="20% - 강조색3 40 9" xfId="2896"/>
    <cellStyle name="20% - 강조색3 41" xfId="606"/>
    <cellStyle name="20% - 강조색3 41 10" xfId="3303"/>
    <cellStyle name="20% - 강조색3 41 11" xfId="3394"/>
    <cellStyle name="20% - 강조색3 41 12" xfId="3845"/>
    <cellStyle name="20% - 강조색3 41 13" xfId="4300"/>
    <cellStyle name="20% - 강조색3 41 14" xfId="4402"/>
    <cellStyle name="20% - 강조색3 41 15" xfId="4873"/>
    <cellStyle name="20% - 강조색3 41 16" xfId="4927"/>
    <cellStyle name="20% - 강조색3 41 17" xfId="5807"/>
    <cellStyle name="20% - 강조색3 41 18" xfId="5883"/>
    <cellStyle name="20% - 강조색3 41 19" xfId="6376"/>
    <cellStyle name="20% - 강조색3 41 2" xfId="1105"/>
    <cellStyle name="20% - 강조색3 41 20" xfId="4872"/>
    <cellStyle name="20% - 강조색3 41 21" xfId="6985"/>
    <cellStyle name="20% - 강조색3 41 22" xfId="7395"/>
    <cellStyle name="20% - 강조색3 41 23" xfId="7086"/>
    <cellStyle name="20% - 강조색3 41 24" xfId="8459"/>
    <cellStyle name="20% - 강조색3 41 25" xfId="8795"/>
    <cellStyle name="20% - 강조색3 41 26" xfId="9254"/>
    <cellStyle name="20% - 강조색3 41 27" xfId="9630"/>
    <cellStyle name="20% - 강조색3 41 28" xfId="9897"/>
    <cellStyle name="20% - 강조색3 41 29" xfId="10095"/>
    <cellStyle name="20% - 강조색3 41 3" xfId="1196"/>
    <cellStyle name="20% - 강조색3 41 30" xfId="3451"/>
    <cellStyle name="20% - 강조색3 41 31" xfId="10422"/>
    <cellStyle name="20% - 강조색3 41 32" xfId="3515"/>
    <cellStyle name="20% - 강조색3 41 4" xfId="1287"/>
    <cellStyle name="20% - 강조색3 41 5" xfId="1743"/>
    <cellStyle name="20% - 강조색3 41 6" xfId="1468"/>
    <cellStyle name="20% - 강조색3 41 7" xfId="864"/>
    <cellStyle name="20% - 강조색3 41 8" xfId="2534"/>
    <cellStyle name="20% - 강조색3 41 9" xfId="2833"/>
    <cellStyle name="20% - 강조색3 42" xfId="574"/>
    <cellStyle name="20% - 강조색3 42 10" xfId="3048"/>
    <cellStyle name="20% - 강조색3 42 11" xfId="3652"/>
    <cellStyle name="20% - 강조색3 42 12" xfId="3842"/>
    <cellStyle name="20% - 강조색3 42 13" xfId="3128"/>
    <cellStyle name="20% - 강조색3 42 14" xfId="4656"/>
    <cellStyle name="20% - 강조색3 42 15" xfId="4137"/>
    <cellStyle name="20% - 강조색3 42 16" xfId="5725"/>
    <cellStyle name="20% - 강조색3 42 17" xfId="5825"/>
    <cellStyle name="20% - 강조색3 42 18" xfId="5897"/>
    <cellStyle name="20% - 강조색3 42 19" xfId="3923"/>
    <cellStyle name="20% - 강조색3 42 2" xfId="1073"/>
    <cellStyle name="20% - 강조색3 42 20" xfId="7162"/>
    <cellStyle name="20% - 강조색3 42 21" xfId="7250"/>
    <cellStyle name="20% - 강조색3 42 22" xfId="7668"/>
    <cellStyle name="20% - 강조색3 42 23" xfId="8180"/>
    <cellStyle name="20% - 강조색3 42 24" xfId="8397"/>
    <cellStyle name="20% - 강조색3 42 25" xfId="6158"/>
    <cellStyle name="20% - 강조색3 42 26" xfId="9049"/>
    <cellStyle name="20% - 강조색3 42 27" xfId="1789"/>
    <cellStyle name="20% - 강조색3 42 28" xfId="6195"/>
    <cellStyle name="20% - 강조색3 42 29" xfId="6318"/>
    <cellStyle name="20% - 강조색3 42 3" xfId="1164"/>
    <cellStyle name="20% - 강조색3 42 30" xfId="8053"/>
    <cellStyle name="20% - 강조색3 42 31" xfId="10703"/>
    <cellStyle name="20% - 강조색3 42 32" xfId="11095"/>
    <cellStyle name="20% - 강조색3 42 4" xfId="1255"/>
    <cellStyle name="20% - 강조색3 42 5" xfId="1720"/>
    <cellStyle name="20% - 강조색3 42 6" xfId="1806"/>
    <cellStyle name="20% - 강조색3 42 7" xfId="2250"/>
    <cellStyle name="20% - 강조색3 42 8" xfId="2608"/>
    <cellStyle name="20% - 강조색3 42 9" xfId="2932"/>
    <cellStyle name="20% - 강조색3 43" xfId="621"/>
    <cellStyle name="20% - 강조색3 43 10" xfId="3079"/>
    <cellStyle name="20% - 강조색3 43 11" xfId="3641"/>
    <cellStyle name="20% - 강조색3 43 12" xfId="3977"/>
    <cellStyle name="20% - 강조색3 43 13" xfId="3153"/>
    <cellStyle name="20% - 강조색3 43 14" xfId="4058"/>
    <cellStyle name="20% - 강조색3 43 15" xfId="5045"/>
    <cellStyle name="20% - 강조색3 43 16" xfId="3215"/>
    <cellStyle name="20% - 강조색3 43 17" xfId="5300"/>
    <cellStyle name="20% - 강조색3 43 18" xfId="5410"/>
    <cellStyle name="20% - 강조색3 43 19" xfId="4088"/>
    <cellStyle name="20% - 강조색3 43 2" xfId="1120"/>
    <cellStyle name="20% - 강조색3 43 20" xfId="6844"/>
    <cellStyle name="20% - 강조색3 43 21" xfId="6322"/>
    <cellStyle name="20% - 강조색3 43 22" xfId="6124"/>
    <cellStyle name="20% - 강조색3 43 23" xfId="7872"/>
    <cellStyle name="20% - 강조색3 43 24" xfId="7661"/>
    <cellStyle name="20% - 강조색3 43 25" xfId="8939"/>
    <cellStyle name="20% - 강조색3 43 26" xfId="6019"/>
    <cellStyle name="20% - 강조색3 43 27" xfId="9610"/>
    <cellStyle name="20% - 강조색3 43 28" xfId="9831"/>
    <cellStyle name="20% - 강조색3 43 29" xfId="8435"/>
    <cellStyle name="20% - 강조색3 43 3" xfId="1211"/>
    <cellStyle name="20% - 강조색3 43 30" xfId="8793"/>
    <cellStyle name="20% - 강조색3 43 31" xfId="10940"/>
    <cellStyle name="20% - 강조색3 43 32" xfId="11217"/>
    <cellStyle name="20% - 강조색3 43 4" xfId="1302"/>
    <cellStyle name="20% - 강조색3 43 5" xfId="1667"/>
    <cellStyle name="20% - 강조색3 43 6" xfId="924"/>
    <cellStyle name="20% - 강조색3 43 7" xfId="2166"/>
    <cellStyle name="20% - 강조색3 43 8" xfId="2399"/>
    <cellStyle name="20% - 강조색3 43 9" xfId="2759"/>
    <cellStyle name="20% - 강조색3 44" xfId="605"/>
    <cellStyle name="20% - 강조색3 44 10" xfId="3035"/>
    <cellStyle name="20% - 강조색3 44 11" xfId="3045"/>
    <cellStyle name="20% - 강조색3 44 12" xfId="3889"/>
    <cellStyle name="20% - 강조색3 44 13" xfId="4189"/>
    <cellStyle name="20% - 강조색3 44 14" xfId="4704"/>
    <cellStyle name="20% - 강조색3 44 15" xfId="4890"/>
    <cellStyle name="20% - 강조색3 44 16" xfId="5564"/>
    <cellStyle name="20% - 강조색3 44 17" xfId="3122"/>
    <cellStyle name="20% - 강조색3 44 18" xfId="5433"/>
    <cellStyle name="20% - 강조색3 44 19" xfId="4418"/>
    <cellStyle name="20% - 강조색3 44 2" xfId="1104"/>
    <cellStyle name="20% - 강조색3 44 20" xfId="6917"/>
    <cellStyle name="20% - 강조색3 44 21" xfId="6946"/>
    <cellStyle name="20% - 강조색3 44 22" xfId="7653"/>
    <cellStyle name="20% - 강조색3 44 23" xfId="7878"/>
    <cellStyle name="20% - 강조색3 44 24" xfId="8341"/>
    <cellStyle name="20% - 강조색3 44 25" xfId="2389"/>
    <cellStyle name="20% - 강조색3 44 26" xfId="9276"/>
    <cellStyle name="20% - 강조색3 44 27" xfId="8071"/>
    <cellStyle name="20% - 강조색3 44 28" xfId="9934"/>
    <cellStyle name="20% - 강조색3 44 29" xfId="10201"/>
    <cellStyle name="20% - 강조색3 44 3" xfId="1195"/>
    <cellStyle name="20% - 강조색3 44 30" xfId="8801"/>
    <cellStyle name="20% - 강조색3 44 31" xfId="2061"/>
    <cellStyle name="20% - 강조색3 44 32" xfId="4841"/>
    <cellStyle name="20% - 강조색3 44 4" xfId="1286"/>
    <cellStyle name="20% - 강조색3 44 5" xfId="1724"/>
    <cellStyle name="20% - 강조색3 44 6" xfId="1405"/>
    <cellStyle name="20% - 강조색3 44 7" xfId="2236"/>
    <cellStyle name="20% - 강조색3 44 8" xfId="2475"/>
    <cellStyle name="20% - 강조색3 44 9" xfId="2881"/>
    <cellStyle name="20% - 강조색3 45" xfId="559"/>
    <cellStyle name="20% - 강조색3 45 10" xfId="3251"/>
    <cellStyle name="20% - 강조색3 45 11" xfId="1542"/>
    <cellStyle name="20% - 강조색3 45 12" xfId="3064"/>
    <cellStyle name="20% - 강조색3 45 13" xfId="1480"/>
    <cellStyle name="20% - 강조색3 45 14" xfId="4673"/>
    <cellStyle name="20% - 강조색3 45 15" xfId="5357"/>
    <cellStyle name="20% - 강조색3 45 16" xfId="5765"/>
    <cellStyle name="20% - 강조색3 45 17" xfId="5852"/>
    <cellStyle name="20% - 강조색3 45 18" xfId="5913"/>
    <cellStyle name="20% - 강조색3 45 19" xfId="6405"/>
    <cellStyle name="20% - 강조색3 45 2" xfId="1058"/>
    <cellStyle name="20% - 강조색3 45 20" xfId="7159"/>
    <cellStyle name="20% - 강조색3 45 21" xfId="7281"/>
    <cellStyle name="20% - 강조색3 45 22" xfId="7658"/>
    <cellStyle name="20% - 강조색3 45 23" xfId="6375"/>
    <cellStyle name="20% - 강조색3 45 24" xfId="6973"/>
    <cellStyle name="20% - 강조색3 45 25" xfId="8671"/>
    <cellStyle name="20% - 강조색3 45 26" xfId="8133"/>
    <cellStyle name="20% - 강조색3 45 27" xfId="9464"/>
    <cellStyle name="20% - 강조색3 45 28" xfId="9864"/>
    <cellStyle name="20% - 강조색3 45 29" xfId="10205"/>
    <cellStyle name="20% - 강조색3 45 3" xfId="1149"/>
    <cellStyle name="20% - 강조색3 45 30" xfId="10613"/>
    <cellStyle name="20% - 강조색3 45 31" xfId="10876"/>
    <cellStyle name="20% - 강조색3 45 32" xfId="11120"/>
    <cellStyle name="20% - 강조색3 45 4" xfId="1240"/>
    <cellStyle name="20% - 강조색3 45 5" xfId="1719"/>
    <cellStyle name="20% - 강조색3 45 6" xfId="847"/>
    <cellStyle name="20% - 강조색3 45 7" xfId="2269"/>
    <cellStyle name="20% - 강조색3 45 8" xfId="2589"/>
    <cellStyle name="20% - 강조색3 45 9" xfId="2947"/>
    <cellStyle name="20% - 강조색3 46" xfId="609"/>
    <cellStyle name="20% - 강조색3 46 10" xfId="3210"/>
    <cellStyle name="20% - 강조색3 46 11" xfId="3609"/>
    <cellStyle name="20% - 강조색3 46 12" xfId="3760"/>
    <cellStyle name="20% - 강조색3 46 13" xfId="4185"/>
    <cellStyle name="20% - 강조색3 46 14" xfId="3882"/>
    <cellStyle name="20% - 강조색3 46 15" xfId="1879"/>
    <cellStyle name="20% - 강조색3 46 16" xfId="4754"/>
    <cellStyle name="20% - 강조색3 46 17" xfId="4897"/>
    <cellStyle name="20% - 강조색3 46 18" xfId="5249"/>
    <cellStyle name="20% - 강조색3 46 19" xfId="6309"/>
    <cellStyle name="20% - 강조색3 46 2" xfId="1108"/>
    <cellStyle name="20% - 강조색3 46 20" xfId="6908"/>
    <cellStyle name="20% - 강조색3 46 21" xfId="2378"/>
    <cellStyle name="20% - 강조색3 46 22" xfId="1835"/>
    <cellStyle name="20% - 강조색3 46 23" xfId="8078"/>
    <cellStyle name="20% - 강조색3 46 24" xfId="6170"/>
    <cellStyle name="20% - 강조색3 46 25" xfId="8911"/>
    <cellStyle name="20% - 강조색3 46 26" xfId="9275"/>
    <cellStyle name="20% - 강조색3 46 27" xfId="9460"/>
    <cellStyle name="20% - 강조색3 46 28" xfId="9827"/>
    <cellStyle name="20% - 강조색3 46 29" xfId="6076"/>
    <cellStyle name="20% - 강조색3 46 3" xfId="1199"/>
    <cellStyle name="20% - 강조색3 46 30" xfId="10576"/>
    <cellStyle name="20% - 강조색3 46 31" xfId="10840"/>
    <cellStyle name="20% - 강조색3 46 32" xfId="10999"/>
    <cellStyle name="20% - 강조색3 46 4" xfId="1290"/>
    <cellStyle name="20% - 강조색3 46 5" xfId="1673"/>
    <cellStyle name="20% - 강조색3 46 6" xfId="1360"/>
    <cellStyle name="20% - 강조색3 46 7" xfId="1798"/>
    <cellStyle name="20% - 강조색3 46 8" xfId="1317"/>
    <cellStyle name="20% - 강조색3 46 9" xfId="2829"/>
    <cellStyle name="20% - 강조색3 47" xfId="639"/>
    <cellStyle name="20% - 강조색3 47 10" xfId="4197"/>
    <cellStyle name="20% - 강조색3 47 11" xfId="4405"/>
    <cellStyle name="20% - 강조색3 47 12" xfId="2084"/>
    <cellStyle name="20% - 강조색3 47 13" xfId="4749"/>
    <cellStyle name="20% - 강조색3 47 14" xfId="5360"/>
    <cellStyle name="20% - 강조색3 47 15" xfId="5371"/>
    <cellStyle name="20% - 강조색3 47 16" xfId="6414"/>
    <cellStyle name="20% - 강조색3 47 17" xfId="6893"/>
    <cellStyle name="20% - 강조색3 47 18" xfId="6765"/>
    <cellStyle name="20% - 강조색3 47 19" xfId="5970"/>
    <cellStyle name="20% - 강조색3 47 2" xfId="1682"/>
    <cellStyle name="20% - 강조색3 47 20" xfId="6686"/>
    <cellStyle name="20% - 강조색3 47 21" xfId="6180"/>
    <cellStyle name="20% - 강조색3 47 22" xfId="8869"/>
    <cellStyle name="20% - 강조색3 47 23" xfId="3853"/>
    <cellStyle name="20% - 강조색3 47 24" xfId="9398"/>
    <cellStyle name="20% - 강조색3 47 25" xfId="9873"/>
    <cellStyle name="20% - 강조색3 47 26" xfId="10317"/>
    <cellStyle name="20% - 강조색3 47 27" xfId="10081"/>
    <cellStyle name="20% - 강조색3 47 28" xfId="10858"/>
    <cellStyle name="20% - 강조색3 47 29" xfId="10232"/>
    <cellStyle name="20% - 강조색3 47 3" xfId="786"/>
    <cellStyle name="20% - 강조색3 47 30" xfId="11327"/>
    <cellStyle name="20% - 강조색3 47 31" xfId="11425"/>
    <cellStyle name="20% - 강조색3 47 32" xfId="11385"/>
    <cellStyle name="20% - 강조색3 47 33" xfId="11350"/>
    <cellStyle name="20% - 강조색3 47 4" xfId="1786"/>
    <cellStyle name="20% - 강조색3 47 5" xfId="773"/>
    <cellStyle name="20% - 강조색3 47 6" xfId="763"/>
    <cellStyle name="20% - 강조색3 47 7" xfId="3235"/>
    <cellStyle name="20% - 강조색3 47 8" xfId="964"/>
    <cellStyle name="20% - 강조색3 47 9" xfId="3729"/>
    <cellStyle name="20% - 강조색3 48" xfId="712"/>
    <cellStyle name="20% - 강조색3 48 10" xfId="1332"/>
    <cellStyle name="20% - 강조색3 48 11" xfId="4707"/>
    <cellStyle name="20% - 강조색3 48 12" xfId="4497"/>
    <cellStyle name="20% - 강조색3 48 13" xfId="5646"/>
    <cellStyle name="20% - 강조색3 48 14" xfId="2068"/>
    <cellStyle name="20% - 강조색3 48 15" xfId="5392"/>
    <cellStyle name="20% - 강조색3 48 16" xfId="6466"/>
    <cellStyle name="20% - 강조색3 48 17" xfId="1326"/>
    <cellStyle name="20% - 강조색3 48 18" xfId="7122"/>
    <cellStyle name="20% - 강조색3 48 19" xfId="3742"/>
    <cellStyle name="20% - 강조색3 48 2" xfId="1731"/>
    <cellStyle name="20% - 강조색3 48 20" xfId="8009"/>
    <cellStyle name="20% - 강조색3 48 21" xfId="8391"/>
    <cellStyle name="20% - 강조색3 48 22" xfId="8759"/>
    <cellStyle name="20% - 강조색3 48 23" xfId="9257"/>
    <cellStyle name="20% - 강조색3 48 24" xfId="3796"/>
    <cellStyle name="20% - 강조색3 48 25" xfId="9739"/>
    <cellStyle name="20% - 강조색3 48 26" xfId="10243"/>
    <cellStyle name="20% - 강조색3 48 27" xfId="10577"/>
    <cellStyle name="20% - 강조색3 48 28" xfId="10068"/>
    <cellStyle name="20% - 강조색3 48 29" xfId="10447"/>
    <cellStyle name="20% - 강조색3 48 3" xfId="1335"/>
    <cellStyle name="20% - 강조색3 48 4" xfId="2157"/>
    <cellStyle name="20% - 강조색3 48 5" xfId="2574"/>
    <cellStyle name="20% - 강조색3 48 6" xfId="2905"/>
    <cellStyle name="20% - 강조색3 48 7" xfId="3176"/>
    <cellStyle name="20% - 강조색3 48 8" xfId="2458"/>
    <cellStyle name="20% - 강조색3 48 9" xfId="3840"/>
    <cellStyle name="20% - 강조색3 49" xfId="680"/>
    <cellStyle name="20% - 강조색3 49 10" xfId="1485"/>
    <cellStyle name="20% - 강조색3 49 11" xfId="4685"/>
    <cellStyle name="20% - 강조색3 49 12" xfId="771"/>
    <cellStyle name="20% - 강조색3 49 13" xfId="5635"/>
    <cellStyle name="20% - 강조색3 49 14" xfId="5668"/>
    <cellStyle name="20% - 강조색3 49 15" xfId="5110"/>
    <cellStyle name="20% - 강조색3 49 16" xfId="6072"/>
    <cellStyle name="20% - 강조색3 49 17" xfId="1896"/>
    <cellStyle name="20% - 강조색3 49 18" xfId="4569"/>
    <cellStyle name="20% - 강조색3 49 19" xfId="7571"/>
    <cellStyle name="20% - 강조색3 49 2" xfId="1642"/>
    <cellStyle name="20% - 강조색3 49 20" xfId="8214"/>
    <cellStyle name="20% - 강조색3 49 21" xfId="7774"/>
    <cellStyle name="20% - 강조색3 49 22" xfId="8979"/>
    <cellStyle name="20% - 강조색3 49 23" xfId="8814"/>
    <cellStyle name="20% - 강조색3 49 24" xfId="9410"/>
    <cellStyle name="20% - 강조색3 49 25" xfId="8407"/>
    <cellStyle name="20% - 강조색3 49 26" xfId="10259"/>
    <cellStyle name="20% - 강조색3 49 27" xfId="9744"/>
    <cellStyle name="20% - 강조색3 49 28" xfId="2866"/>
    <cellStyle name="20% - 강조색3 49 29" xfId="10714"/>
    <cellStyle name="20% - 강조색3 49 3" xfId="1984"/>
    <cellStyle name="20% - 강조색3 49 4" xfId="2265"/>
    <cellStyle name="20% - 강조색3 49 5" xfId="2615"/>
    <cellStyle name="20% - 강조색3 49 6" xfId="2886"/>
    <cellStyle name="20% - 강조색3 49 7" xfId="3202"/>
    <cellStyle name="20% - 강조색3 49 8" xfId="3450"/>
    <cellStyle name="20% - 강조색3 49 9" xfId="3763"/>
    <cellStyle name="20% - 강조색3 5" xfId="92"/>
    <cellStyle name="20% - 강조색3 50" xfId="649"/>
    <cellStyle name="20% - 강조색3 50 10" xfId="4132"/>
    <cellStyle name="20% - 강조색3 50 11" xfId="4676"/>
    <cellStyle name="20% - 강조색3 50 12" xfId="5375"/>
    <cellStyle name="20% - 강조색3 50 13" xfId="5170"/>
    <cellStyle name="20% - 강조색3 50 14" xfId="4881"/>
    <cellStyle name="20% - 강조색3 50 15" xfId="5548"/>
    <cellStyle name="20% - 강조색3 50 16" xfId="6242"/>
    <cellStyle name="20% - 강조색3 50 17" xfId="6918"/>
    <cellStyle name="20% - 강조색3 50 18" xfId="7321"/>
    <cellStyle name="20% - 강조색3 50 19" xfId="1027"/>
    <cellStyle name="20% - 강조색3 50 2" xfId="1748"/>
    <cellStyle name="20% - 강조색3 50 20" xfId="8226"/>
    <cellStyle name="20% - 강조색3 50 21" xfId="8583"/>
    <cellStyle name="20% - 강조색3 50 22" xfId="4438"/>
    <cellStyle name="20% - 강조색3 50 23" xfId="9062"/>
    <cellStyle name="20% - 강조색3 50 24" xfId="6070"/>
    <cellStyle name="20% - 강조색3 50 25" xfId="7994"/>
    <cellStyle name="20% - 강조색3 50 26" xfId="4586"/>
    <cellStyle name="20% - 강조색3 50 27" xfId="7412"/>
    <cellStyle name="20% - 강조색3 50 28" xfId="6209"/>
    <cellStyle name="20% - 강조색3 50 29" xfId="5046"/>
    <cellStyle name="20% - 강조색3 50 3" xfId="1993"/>
    <cellStyle name="20% - 강조색3 50 4" xfId="750"/>
    <cellStyle name="20% - 강조색3 50 5" xfId="2533"/>
    <cellStyle name="20% - 강조색3 50 6" xfId="2716"/>
    <cellStyle name="20% - 강조색3 50 7" xfId="3093"/>
    <cellStyle name="20% - 강조색3 50 8" xfId="2431"/>
    <cellStyle name="20% - 강조색3 50 9" xfId="2183"/>
    <cellStyle name="20% - 강조색3 51" xfId="693"/>
    <cellStyle name="20% - 강조색3 51 10" xfId="2189"/>
    <cellStyle name="20% - 강조색3 51 11" xfId="3036"/>
    <cellStyle name="20% - 강조색3 51 12" xfId="4924"/>
    <cellStyle name="20% - 강조색3 51 13" xfId="5505"/>
    <cellStyle name="20% - 강조색3 51 14" xfId="865"/>
    <cellStyle name="20% - 강조색3 51 15" xfId="5459"/>
    <cellStyle name="20% - 강조색3 51 16" xfId="1573"/>
    <cellStyle name="20% - 강조색3 51 17" xfId="6952"/>
    <cellStyle name="20% - 강조색3 51 18" xfId="7091"/>
    <cellStyle name="20% - 강조색3 51 19" xfId="7568"/>
    <cellStyle name="20% - 강조색3 51 2" xfId="1657"/>
    <cellStyle name="20% - 강조색3 51 20" xfId="7938"/>
    <cellStyle name="20% - 강조색3 51 21" xfId="8526"/>
    <cellStyle name="20% - 강조색3 51 22" xfId="8909"/>
    <cellStyle name="20% - 강조색3 51 23" xfId="6298"/>
    <cellStyle name="20% - 강조색3 51 24" xfId="9448"/>
    <cellStyle name="20% - 강조색3 51 25" xfId="9758"/>
    <cellStyle name="20% - 강조색3 51 26" xfId="7605"/>
    <cellStyle name="20% - 강조색3 51 27" xfId="10614"/>
    <cellStyle name="20% - 강조색3 51 28" xfId="8678"/>
    <cellStyle name="20% - 강조색3 51 29" xfId="2482"/>
    <cellStyle name="20% - 강조색3 51 3" xfId="1545"/>
    <cellStyle name="20% - 강조색3 51 4" xfId="1427"/>
    <cellStyle name="20% - 강조색3 51 5" xfId="2616"/>
    <cellStyle name="20% - 강조색3 51 6" xfId="2541"/>
    <cellStyle name="20% - 강조색3 51 7" xfId="948"/>
    <cellStyle name="20% - 강조색3 51 8" xfId="3144"/>
    <cellStyle name="20% - 강조색3 51 9" xfId="3988"/>
    <cellStyle name="20% - 강조색3 52" xfId="667"/>
    <cellStyle name="20% - 강조색3 52 10" xfId="4218"/>
    <cellStyle name="20% - 강조색3 52 11" xfId="4715"/>
    <cellStyle name="20% - 강조색3 52 12" xfId="4803"/>
    <cellStyle name="20% - 강조색3 52 13" xfId="5370"/>
    <cellStyle name="20% - 강조색3 52 14" xfId="5271"/>
    <cellStyle name="20% - 강조색3 52 15" xfId="4752"/>
    <cellStyle name="20% - 강조색3 52 16" xfId="6096"/>
    <cellStyle name="20% - 강조색3 52 17" xfId="7131"/>
    <cellStyle name="20% - 강조색3 52 18" xfId="6859"/>
    <cellStyle name="20% - 강조색3 52 19" xfId="7589"/>
    <cellStyle name="20% - 강조색3 52 2" xfId="1704"/>
    <cellStyle name="20% - 강조색3 52 20" xfId="8174"/>
    <cellStyle name="20% - 강조색3 52 21" xfId="2859"/>
    <cellStyle name="20% - 강조색3 52 22" xfId="8810"/>
    <cellStyle name="20% - 강조색3 52 23" xfId="9053"/>
    <cellStyle name="20% - 강조색3 52 24" xfId="7711"/>
    <cellStyle name="20% - 강조색3 52 25" xfId="9941"/>
    <cellStyle name="20% - 강조색3 52 26" xfId="903"/>
    <cellStyle name="20% - 강조색3 52 27" xfId="10535"/>
    <cellStyle name="20% - 강조색3 52 28" xfId="9947"/>
    <cellStyle name="20% - 강조색3 52 29" xfId="11185"/>
    <cellStyle name="20% - 강조색3 52 3" xfId="1988"/>
    <cellStyle name="20% - 강조색3 52 4" xfId="2242"/>
    <cellStyle name="20% - 강조색3 52 5" xfId="2584"/>
    <cellStyle name="20% - 강조색3 52 6" xfId="2812"/>
    <cellStyle name="20% - 강조색3 52 7" xfId="3310"/>
    <cellStyle name="20% - 강조색3 52 8" xfId="3644"/>
    <cellStyle name="20% - 강조색3 52 9" xfId="3864"/>
    <cellStyle name="20% - 강조색3 53" xfId="715"/>
    <cellStyle name="20% - 강조색3 53 10" xfId="4345"/>
    <cellStyle name="20% - 강조색3 53 11" xfId="4590"/>
    <cellStyle name="20% - 강조색3 53 12" xfId="5422"/>
    <cellStyle name="20% - 강조색3 53 13" xfId="5105"/>
    <cellStyle name="20% - 강조색3 53 14" xfId="4770"/>
    <cellStyle name="20% - 강조색3 53 15" xfId="4864"/>
    <cellStyle name="20% - 강조색3 53 16" xfId="2699"/>
    <cellStyle name="20% - 강조색3 53 17" xfId="5167"/>
    <cellStyle name="20% - 강조색3 53 18" xfId="7024"/>
    <cellStyle name="20% - 강조색3 53 19" xfId="7729"/>
    <cellStyle name="20% - 강조색3 53 2" xfId="1639"/>
    <cellStyle name="20% - 강조색3 53 20" xfId="1340"/>
    <cellStyle name="20% - 강조색3 53 21" xfId="8504"/>
    <cellStyle name="20% - 강조색3 53 22" xfId="8802"/>
    <cellStyle name="20% - 강조색3 53 23" xfId="8296"/>
    <cellStyle name="20% - 강조색3 53 24" xfId="4631"/>
    <cellStyle name="20% - 강조색3 53 25" xfId="9933"/>
    <cellStyle name="20% - 강조색3 53 26" xfId="10058"/>
    <cellStyle name="20% - 강조색3 53 27" xfId="10544"/>
    <cellStyle name="20% - 강조색3 53 28" xfId="4188"/>
    <cellStyle name="20% - 강조색3 53 29" xfId="11065"/>
    <cellStyle name="20% - 강조색3 53 3" xfId="1974"/>
    <cellStyle name="20% - 강조색3 53 4" xfId="2248"/>
    <cellStyle name="20% - 강조색3 53 5" xfId="2461"/>
    <cellStyle name="20% - 강조색3 53 6" xfId="2449"/>
    <cellStyle name="20% - 강조색3 53 7" xfId="3061"/>
    <cellStyle name="20% - 강조색3 53 8" xfId="3520"/>
    <cellStyle name="20% - 강조색3 53 9" xfId="1833"/>
    <cellStyle name="20% - 강조색3 54" xfId="1320"/>
    <cellStyle name="20% - 강조색3 54 10" xfId="3706"/>
    <cellStyle name="20% - 강조색3 54 11" xfId="4839"/>
    <cellStyle name="20% - 강조색3 54 12" xfId="4985"/>
    <cellStyle name="20% - 강조색3 54 13" xfId="5144"/>
    <cellStyle name="20% - 강조색3 54 14" xfId="5012"/>
    <cellStyle name="20% - 강조색3 54 15" xfId="6002"/>
    <cellStyle name="20% - 강조색3 54 16" xfId="6432"/>
    <cellStyle name="20% - 강조색3 54 17" xfId="6071"/>
    <cellStyle name="20% - 강조색3 54 18" xfId="4261"/>
    <cellStyle name="20% - 강조색3 54 19" xfId="7925"/>
    <cellStyle name="20% - 강조색3 54 2" xfId="2046"/>
    <cellStyle name="20% - 강조색3 54 20" xfId="8512"/>
    <cellStyle name="20% - 강조색3 54 21" xfId="8729"/>
    <cellStyle name="20% - 강조색3 54 22" xfId="3132"/>
    <cellStyle name="20% - 강조색3 54 23" xfId="9421"/>
    <cellStyle name="20% - 강조색3 54 24" xfId="7807"/>
    <cellStyle name="20% - 강조색3 54 25" xfId="10298"/>
    <cellStyle name="20% - 강조색3 54 26" xfId="4526"/>
    <cellStyle name="20% - 강조색3 54 27" xfId="6213"/>
    <cellStyle name="20% - 강조색3 54 28" xfId="8336"/>
    <cellStyle name="20% - 강조색3 54 3" xfId="2327"/>
    <cellStyle name="20% - 강조색3 54 4" xfId="2405"/>
    <cellStyle name="20% - 강조색3 54 5" xfId="1915"/>
    <cellStyle name="20% - 강조색3 54 6" xfId="3304"/>
    <cellStyle name="20% - 강조색3 54 7" xfId="3607"/>
    <cellStyle name="20% - 강조색3 54 8" xfId="3877"/>
    <cellStyle name="20% - 강조색3 54 9" xfId="3833"/>
    <cellStyle name="20% - 강조색3 55" xfId="2043"/>
    <cellStyle name="20% - 강조색3 55 10" xfId="4937"/>
    <cellStyle name="20% - 강조색3 55 11" xfId="5467"/>
    <cellStyle name="20% - 강조색3 55 12" xfId="5214"/>
    <cellStyle name="20% - 강조색3 55 13" xfId="4827"/>
    <cellStyle name="20% - 강조색3 55 14" xfId="6581"/>
    <cellStyle name="20% - 강조색3 55 15" xfId="6134"/>
    <cellStyle name="20% - 강조색3 55 16" xfId="7154"/>
    <cellStyle name="20% - 강조색3 55 17" xfId="7584"/>
    <cellStyle name="20% - 강조색3 55 18" xfId="4639"/>
    <cellStyle name="20% - 강조색3 55 19" xfId="8115"/>
    <cellStyle name="20% - 강조색3 55 2" xfId="2347"/>
    <cellStyle name="20% - 강조색3 55 20" xfId="8781"/>
    <cellStyle name="20% - 강조색3 55 21" xfId="7912"/>
    <cellStyle name="20% - 강조색3 55 22" xfId="8384"/>
    <cellStyle name="20% - 강조색3 55 23" xfId="10020"/>
    <cellStyle name="20% - 강조색3 55 24" xfId="8036"/>
    <cellStyle name="20% - 강조색3 55 25" xfId="9852"/>
    <cellStyle name="20% - 강조색3 55 26" xfId="10871"/>
    <cellStyle name="20% - 강조색3 55 27" xfId="11137"/>
    <cellStyle name="20% - 강조색3 55 3" xfId="2666"/>
    <cellStyle name="20% - 강조색3 55 4" xfId="2981"/>
    <cellStyle name="20% - 강조색3 55 5" xfId="3272"/>
    <cellStyle name="20% - 강조색3 55 6" xfId="3617"/>
    <cellStyle name="20% - 강조색3 55 7" xfId="3985"/>
    <cellStyle name="20% - 강조색3 55 8" xfId="4283"/>
    <cellStyle name="20% - 강조색3 55 9" xfId="4607"/>
    <cellStyle name="20% - 강조색3 56" xfId="2211"/>
    <cellStyle name="20% - 강조색3 56 10" xfId="4959"/>
    <cellStyle name="20% - 강조색3 56 11" xfId="5289"/>
    <cellStyle name="20% - 강조색3 56 12" xfId="5346"/>
    <cellStyle name="20% - 강조색3 56 13" xfId="2744"/>
    <cellStyle name="20% - 강조색3 56 14" xfId="7230"/>
    <cellStyle name="20% - 강조색3 56 15" xfId="1375"/>
    <cellStyle name="20% - 강조색3 56 16" xfId="7517"/>
    <cellStyle name="20% - 강조색3 56 17" xfId="8186"/>
    <cellStyle name="20% - 강조색3 56 18" xfId="3777"/>
    <cellStyle name="20% - 강조색3 56 19" xfId="8962"/>
    <cellStyle name="20% - 강조색3 56 2" xfId="2669"/>
    <cellStyle name="20% - 강조색3 56 20" xfId="6491"/>
    <cellStyle name="20% - 강조색3 56 21" xfId="7986"/>
    <cellStyle name="20% - 강조색3 56 22" xfId="5996"/>
    <cellStyle name="20% - 강조색3 56 23" xfId="6757"/>
    <cellStyle name="20% - 강조색3 56 24" xfId="3369"/>
    <cellStyle name="20% - 강조색3 56 25" xfId="10841"/>
    <cellStyle name="20% - 강조색3 56 26" xfId="11006"/>
    <cellStyle name="20% - 강조색3 56 3" xfId="2984"/>
    <cellStyle name="20% - 강조색3 56 4" xfId="3317"/>
    <cellStyle name="20% - 강조색3 56 5" xfId="3496"/>
    <cellStyle name="20% - 강조색3 56 6" xfId="3964"/>
    <cellStyle name="20% - 강조색3 56 7" xfId="4249"/>
    <cellStyle name="20% - 강조색3 56 8" xfId="954"/>
    <cellStyle name="20% - 강조색3 56 9" xfId="4887"/>
    <cellStyle name="20% - 강조색3 57" xfId="2617"/>
    <cellStyle name="20% - 강조색3 57 10" xfId="5084"/>
    <cellStyle name="20% - 강조색3 57 11" xfId="4266"/>
    <cellStyle name="20% - 강조색3 57 12" xfId="6509"/>
    <cellStyle name="20% - 강조색3 57 13" xfId="6911"/>
    <cellStyle name="20% - 강조색3 57 14" xfId="7303"/>
    <cellStyle name="20% - 강조색3 57 15" xfId="7723"/>
    <cellStyle name="20% - 강조색3 57 16" xfId="913"/>
    <cellStyle name="20% - 강조색3 57 17" xfId="5180"/>
    <cellStyle name="20% - 강조색3 57 18" xfId="8916"/>
    <cellStyle name="20% - 강조색3 57 19" xfId="9040"/>
    <cellStyle name="20% - 강조색3 57 2" xfId="2998"/>
    <cellStyle name="20% - 강조색3 57 20" xfId="5056"/>
    <cellStyle name="20% - 강조색3 57 21" xfId="9924"/>
    <cellStyle name="20% - 강조색3 57 22" xfId="8834"/>
    <cellStyle name="20% - 강조색3 57 23" xfId="10504"/>
    <cellStyle name="20% - 강조색3 57 24" xfId="10752"/>
    <cellStyle name="20% - 강조색3 57 25" xfId="2273"/>
    <cellStyle name="20% - 강조색3 57 3" xfId="3331"/>
    <cellStyle name="20% - 강조색3 57 4" xfId="3663"/>
    <cellStyle name="20% - 강조색3 57 5" xfId="1899"/>
    <cellStyle name="20% - 강조색3 57 6" xfId="4065"/>
    <cellStyle name="20% - 강조색3 57 7" xfId="818"/>
    <cellStyle name="20% - 강조색3 57 8" xfId="1868"/>
    <cellStyle name="20% - 강조색3 57 9" xfId="2079"/>
    <cellStyle name="20% - 강조색3 58" xfId="1934"/>
    <cellStyle name="20% - 강조색3 58 10" xfId="5135"/>
    <cellStyle name="20% - 강조색3 58 11" xfId="6189"/>
    <cellStyle name="20% - 강조색3 58 12" xfId="2707"/>
    <cellStyle name="20% - 강조색3 58 13" xfId="6025"/>
    <cellStyle name="20% - 강조색3 58 14" xfId="7490"/>
    <cellStyle name="20% - 강조색3 58 15" xfId="5602"/>
    <cellStyle name="20% - 강조색3 58 16" xfId="6788"/>
    <cellStyle name="20% - 강조색3 58 17" xfId="7665"/>
    <cellStyle name="20% - 강조색3 58 18" xfId="8068"/>
    <cellStyle name="20% - 강조색3 58 19" xfId="8392"/>
    <cellStyle name="20% - 강조색3 58 2" xfId="1005"/>
    <cellStyle name="20% - 강조색3 58 20" xfId="7531"/>
    <cellStyle name="20% - 강조색3 58 21" xfId="10147"/>
    <cellStyle name="20% - 강조색3 58 22" xfId="9859"/>
    <cellStyle name="20% - 강조색3 58 23" xfId="6052"/>
    <cellStyle name="20% - 강조색3 58 24" xfId="11231"/>
    <cellStyle name="20% - 강조색3 58 3" xfId="3395"/>
    <cellStyle name="20% - 강조색3 58 4" xfId="2860"/>
    <cellStyle name="20% - 강조색3 58 5" xfId="2217"/>
    <cellStyle name="20% - 강조색3 58 6" xfId="4570"/>
    <cellStyle name="20% - 강조색3 58 7" xfId="1890"/>
    <cellStyle name="20% - 강조색3 58 8" xfId="4410"/>
    <cellStyle name="20% - 강조색3 58 9" xfId="5146"/>
    <cellStyle name="20% - 강조색3 59" xfId="3282"/>
    <cellStyle name="20% - 강조색3 59 10" xfId="6126"/>
    <cellStyle name="20% - 강조색3 59 11" xfId="7099"/>
    <cellStyle name="20% - 강조색3 59 12" xfId="7241"/>
    <cellStyle name="20% - 강조색3 59 13" xfId="7805"/>
    <cellStyle name="20% - 강조색3 59 14" xfId="7909"/>
    <cellStyle name="20% - 강조색3 59 15" xfId="3718"/>
    <cellStyle name="20% - 강조색3 59 16" xfId="5179"/>
    <cellStyle name="20% - 강조색3 59 17" xfId="8932"/>
    <cellStyle name="20% - 강조색3 59 18" xfId="6860"/>
    <cellStyle name="20% - 강조색3 59 19" xfId="2086"/>
    <cellStyle name="20% - 강조색3 59 2" xfId="3685"/>
    <cellStyle name="20% - 강조색3 59 20" xfId="10181"/>
    <cellStyle name="20% - 강조색3 59 21" xfId="10653"/>
    <cellStyle name="20% - 강조색3 59 22" xfId="10815"/>
    <cellStyle name="20% - 강조색3 59 23" xfId="3548"/>
    <cellStyle name="20% - 강조색3 59 3" xfId="4024"/>
    <cellStyle name="20% - 강조색3 59 4" xfId="4360"/>
    <cellStyle name="20% - 강조색3 59 5" xfId="1038"/>
    <cellStyle name="20% - 강조색3 59 6" xfId="3491"/>
    <cellStyle name="20% - 강조색3 59 7" xfId="5204"/>
    <cellStyle name="20% - 강조색3 59 8" xfId="5043"/>
    <cellStyle name="20% - 강조색3 59 9" xfId="5692"/>
    <cellStyle name="20% - 강조색3 6" xfId="105"/>
    <cellStyle name="20% - 강조색3 60" xfId="3634"/>
    <cellStyle name="20% - 강조색3 60 10" xfId="5322"/>
    <cellStyle name="20% - 강조색3 60 11" xfId="7021"/>
    <cellStyle name="20% - 강조색3 60 12" xfId="7491"/>
    <cellStyle name="20% - 강조색3 60 13" xfId="8112"/>
    <cellStyle name="20% - 강조색3 60 14" xfId="6092"/>
    <cellStyle name="20% - 강조색3 60 15" xfId="8669"/>
    <cellStyle name="20% - 강조색3 60 16" xfId="6782"/>
    <cellStyle name="20% - 강조색3 60 17" xfId="2123"/>
    <cellStyle name="20% - 강조색3 60 18" xfId="9914"/>
    <cellStyle name="20% - 강조색3 60 19" xfId="4243"/>
    <cellStyle name="20% - 강조색3 60 2" xfId="4034"/>
    <cellStyle name="20% - 강조색3 60 20" xfId="10409"/>
    <cellStyle name="20% - 강조색3 60 21" xfId="10956"/>
    <cellStyle name="20% - 강조색3 60 22" xfId="5174"/>
    <cellStyle name="20% - 강조색3 60 3" xfId="4370"/>
    <cellStyle name="20% - 강조색3 60 4" xfId="4723"/>
    <cellStyle name="20% - 강조색3 60 5" xfId="5089"/>
    <cellStyle name="20% - 강조색3 60 6" xfId="5317"/>
    <cellStyle name="20% - 강조색3 60 7" xfId="2360"/>
    <cellStyle name="20% - 강조색3 60 8" xfId="5253"/>
    <cellStyle name="20% - 강조색3 60 9" xfId="6551"/>
    <cellStyle name="20% - 강조색3 61" xfId="3986"/>
    <cellStyle name="20% - 강조색3 61 10" xfId="3443"/>
    <cellStyle name="20% - 강조색3 61 11" xfId="7771"/>
    <cellStyle name="20% - 강조색3 61 12" xfId="8014"/>
    <cellStyle name="20% - 강조색3 61 13" xfId="8495"/>
    <cellStyle name="20% - 강조색3 61 14" xfId="8792"/>
    <cellStyle name="20% - 강조색3 61 15" xfId="9214"/>
    <cellStyle name="20% - 강조색3 61 16" xfId="9557"/>
    <cellStyle name="20% - 강조색3 61 17" xfId="8280"/>
    <cellStyle name="20% - 강조색3 61 18" xfId="10154"/>
    <cellStyle name="20% - 강조색3 61 19" xfId="10436"/>
    <cellStyle name="20% - 강조색3 61 2" xfId="4379"/>
    <cellStyle name="20% - 강조색3 61 20" xfId="10927"/>
    <cellStyle name="20% - 강조색3 61 21" xfId="11021"/>
    <cellStyle name="20% - 강조색3 61 3" xfId="4733"/>
    <cellStyle name="20% - 강조색3 61 4" xfId="5658"/>
    <cellStyle name="20% - 강조색3 61 5" xfId="3525"/>
    <cellStyle name="20% - 강조색3 61 6" xfId="4961"/>
    <cellStyle name="20% - 강조색3 61 7" xfId="4131"/>
    <cellStyle name="20% - 강조색3 61 8" xfId="6591"/>
    <cellStyle name="20% - 강조색3 61 9" xfId="3411"/>
    <cellStyle name="20% - 강조색3 62" xfId="4302"/>
    <cellStyle name="20% - 강조색3 62 10" xfId="7656"/>
    <cellStyle name="20% - 강조색3 62 11" xfId="5257"/>
    <cellStyle name="20% - 강조색3 62 12" xfId="8549"/>
    <cellStyle name="20% - 강조색3 62 13" xfId="3991"/>
    <cellStyle name="20% - 강조색3 62 14" xfId="5331"/>
    <cellStyle name="20% - 강조색3 62 15" xfId="9498"/>
    <cellStyle name="20% - 강조색3 62 16" xfId="9867"/>
    <cellStyle name="20% - 강조색3 62 17" xfId="8138"/>
    <cellStyle name="20% - 강조색3 62 18" xfId="10248"/>
    <cellStyle name="20% - 강조색3 62 19" xfId="9137"/>
    <cellStyle name="20% - 강조색3 62 2" xfId="4743"/>
    <cellStyle name="20% - 강조색3 62 20" xfId="7896"/>
    <cellStyle name="20% - 강조색3 62 3" xfId="5714"/>
    <cellStyle name="20% - 강조색3 62 4" xfId="5817"/>
    <cellStyle name="20% - 강조색3 62 5" xfId="5892"/>
    <cellStyle name="20% - 강조색3 62 6" xfId="5942"/>
    <cellStyle name="20% - 강조색3 62 7" xfId="6601"/>
    <cellStyle name="20% - 강조색3 62 8" xfId="1436"/>
    <cellStyle name="20% - 강조색3 62 9" xfId="6681"/>
    <cellStyle name="20% - 강조색3 63" xfId="4692"/>
    <cellStyle name="20% - 강조색3 63 10" xfId="8135"/>
    <cellStyle name="20% - 강조색3 63 11" xfId="5095"/>
    <cellStyle name="20% - 강조색3 63 12" xfId="6177"/>
    <cellStyle name="20% - 강조색3 63 13" xfId="9224"/>
    <cellStyle name="20% - 강조색3 63 14" xfId="3016"/>
    <cellStyle name="20% - 강조색3 63 15" xfId="8799"/>
    <cellStyle name="20% - 강조색3 63 16" xfId="7537"/>
    <cellStyle name="20% - 강조색3 63 17" xfId="6718"/>
    <cellStyle name="20% - 강조색3 63 18" xfId="9143"/>
    <cellStyle name="20% - 강조색3 63 19" xfId="11199"/>
    <cellStyle name="20% - 강조색3 63 2" xfId="5793"/>
    <cellStyle name="20% - 강조색3 63 3" xfId="5871"/>
    <cellStyle name="20% - 강조색3 63 4" xfId="5929"/>
    <cellStyle name="20% - 강조색3 63 5" xfId="5953"/>
    <cellStyle name="20% - 강조색3 63 6" xfId="6613"/>
    <cellStyle name="20% - 강조색3 63 7" xfId="7032"/>
    <cellStyle name="20% - 강조색3 63 8" xfId="7178"/>
    <cellStyle name="20% - 강조색3 63 9" xfId="7403"/>
    <cellStyle name="20% - 강조색3 64" xfId="5504"/>
    <cellStyle name="20% - 강조색3 64 10" xfId="9658"/>
    <cellStyle name="20% - 강조색3 64 11" xfId="9780"/>
    <cellStyle name="20% - 강조색3 64 12" xfId="10097"/>
    <cellStyle name="20% - 강조색3 64 13" xfId="9779"/>
    <cellStyle name="20% - 강조색3 64 14" xfId="8809"/>
    <cellStyle name="20% - 강조색3 64 15" xfId="11223"/>
    <cellStyle name="20% - 강조색3 64 2" xfId="6643"/>
    <cellStyle name="20% - 강조색3 64 3" xfId="7248"/>
    <cellStyle name="20% - 강조색3 64 4" xfId="7203"/>
    <cellStyle name="20% - 강조색3 64 5" xfId="7629"/>
    <cellStyle name="20% - 강조색3 64 6" xfId="8191"/>
    <cellStyle name="20% - 강조색3 64 7" xfId="8462"/>
    <cellStyle name="20% - 강조색3 64 8" xfId="2440"/>
    <cellStyle name="20% - 강조색3 64 9" xfId="7952"/>
    <cellStyle name="20% - 강조색3 65" xfId="5637"/>
    <cellStyle name="20% - 강조색3 65 10" xfId="4597"/>
    <cellStyle name="20% - 강조색3 65 11" xfId="5101"/>
    <cellStyle name="20% - 강조색3 65 12" xfId="10339"/>
    <cellStyle name="20% - 강조색3 65 13" xfId="6181"/>
    <cellStyle name="20% - 강조색3 65 14" xfId="6771"/>
    <cellStyle name="20% - 강조색3 65 15" xfId="10160"/>
    <cellStyle name="20% - 강조색3 65 2" xfId="6650"/>
    <cellStyle name="20% - 강조색3 65 3" xfId="7266"/>
    <cellStyle name="20% - 강조색3 65 4" xfId="4471"/>
    <cellStyle name="20% - 강조색3 65 5" xfId="7680"/>
    <cellStyle name="20% - 강조색3 65 6" xfId="4044"/>
    <cellStyle name="20% - 강조색3 65 7" xfId="8295"/>
    <cellStyle name="20% - 강조색3 65 8" xfId="3100"/>
    <cellStyle name="20% - 강조색3 65 9" xfId="774"/>
    <cellStyle name="20% - 강조색3 66" xfId="5704"/>
    <cellStyle name="20% - 강조색3 66 10" xfId="6984"/>
    <cellStyle name="20% - 강조색3 66 11" xfId="10022"/>
    <cellStyle name="20% - 강조색3 66 12" xfId="10218"/>
    <cellStyle name="20% - 강조색3 66 13" xfId="9432"/>
    <cellStyle name="20% - 강조색3 66 14" xfId="5187"/>
    <cellStyle name="20% - 강조색3 66 15" xfId="4633"/>
    <cellStyle name="20% - 강조색3 66 2" xfId="6652"/>
    <cellStyle name="20% - 강조색3 66 3" xfId="7275"/>
    <cellStyle name="20% - 강조색3 66 4" xfId="6900"/>
    <cellStyle name="20% - 강조색3 66 5" xfId="7820"/>
    <cellStyle name="20% - 강조색3 66 6" xfId="8074"/>
    <cellStyle name="20% - 강조색3 66 7" xfId="6854"/>
    <cellStyle name="20% - 강조색3 66 8" xfId="8778"/>
    <cellStyle name="20% - 강조색3 66 9" xfId="6362"/>
    <cellStyle name="20% - 강조색3 67" xfId="5809"/>
    <cellStyle name="20% - 강조색3 67 10" xfId="9437"/>
    <cellStyle name="20% - 강조색3 67 11" xfId="7682"/>
    <cellStyle name="20% - 강조색3 67 12" xfId="8297"/>
    <cellStyle name="20% - 강조색3 67 13" xfId="10407"/>
    <cellStyle name="20% - 강조색3 67 14" xfId="9746"/>
    <cellStyle name="20% - 강조색3 67 15" xfId="11172"/>
    <cellStyle name="20% - 강조색3 67 2" xfId="6658"/>
    <cellStyle name="20% - 강조색3 67 3" xfId="7284"/>
    <cellStyle name="20% - 강조색3 67 4" xfId="7320"/>
    <cellStyle name="20% - 강조색3 67 5" xfId="7826"/>
    <cellStyle name="20% - 강조색3 67 6" xfId="7943"/>
    <cellStyle name="20% - 강조색3 67 7" xfId="8464"/>
    <cellStyle name="20% - 강조색3 67 8" xfId="6381"/>
    <cellStyle name="20% - 강조색3 67 9" xfId="7477"/>
    <cellStyle name="20% - 강조색3 68" xfId="6504"/>
    <cellStyle name="20% - 강조색3 68 10" xfId="3397"/>
    <cellStyle name="20% - 강조색3 68 11" xfId="4936"/>
    <cellStyle name="20% - 강조색3 68 12" xfId="8315"/>
    <cellStyle name="20% - 강조색3 68 13" xfId="6678"/>
    <cellStyle name="20% - 강조색3 68 14" xfId="11091"/>
    <cellStyle name="20% - 강조색3 68 2" xfId="7326"/>
    <cellStyle name="20% - 강조색3 68 3" xfId="7352"/>
    <cellStyle name="20% - 강조색3 68 4" xfId="7841"/>
    <cellStyle name="20% - 강조색3 68 5" xfId="7959"/>
    <cellStyle name="20% - 강조색3 68 6" xfId="8523"/>
    <cellStyle name="20% - 강조색3 68 7" xfId="6777"/>
    <cellStyle name="20% - 강조색3 68 8" xfId="8037"/>
    <cellStyle name="20% - 강조색3 68 9" xfId="9669"/>
    <cellStyle name="20% - 강조색3 69" xfId="7228"/>
    <cellStyle name="20% - 강조색3 69 10" xfId="10477"/>
    <cellStyle name="20% - 강조색3 69 11" xfId="8503"/>
    <cellStyle name="20% - 강조색3 69 12" xfId="10725"/>
    <cellStyle name="20% - 강조색3 69 2" xfId="7856"/>
    <cellStyle name="20% - 강조색3 69 3" xfId="8250"/>
    <cellStyle name="20% - 강조색3 69 4" xfId="8612"/>
    <cellStyle name="20% - 강조색3 69 5" xfId="7716"/>
    <cellStyle name="20% - 강조색3 69 6" xfId="3439"/>
    <cellStyle name="20% - 강조색3 69 7" xfId="9415"/>
    <cellStyle name="20% - 강조색3 69 8" xfId="8285"/>
    <cellStyle name="20% - 강조색3 69 9" xfId="10276"/>
    <cellStyle name="20% - 강조색3 7" xfId="118"/>
    <cellStyle name="20% - 강조색3 70" xfId="7299"/>
    <cellStyle name="20% - 강조색3 70 10" xfId="10570"/>
    <cellStyle name="20% - 강조색3 70 11" xfId="9511"/>
    <cellStyle name="20% - 강조색3 70 12" xfId="4125"/>
    <cellStyle name="20% - 강조색3 70 2" xfId="7862"/>
    <cellStyle name="20% - 강조색3 70 3" xfId="8256"/>
    <cellStyle name="20% - 강조색3 70 4" xfId="8618"/>
    <cellStyle name="20% - 강조색3 70 5" xfId="4559"/>
    <cellStyle name="20% - 강조색3 70 6" xfId="9246"/>
    <cellStyle name="20% - 강조색3 70 7" xfId="8058"/>
    <cellStyle name="20% - 강조색3 70 8" xfId="3758"/>
    <cellStyle name="20% - 강조색3 70 9" xfId="3732"/>
    <cellStyle name="20% - 강조색3 71" xfId="7794"/>
    <cellStyle name="20% - 강조색3 71 10" xfId="10792"/>
    <cellStyle name="20% - 강조색3 71 11" xfId="6852"/>
    <cellStyle name="20% - 강조색3 71 2" xfId="8267"/>
    <cellStyle name="20% - 강조색3 71 3" xfId="8629"/>
    <cellStyle name="20% - 강조색3 71 4" xfId="8993"/>
    <cellStyle name="20% - 강조색3 71 5" xfId="9351"/>
    <cellStyle name="20% - 강조색3 71 6" xfId="4886"/>
    <cellStyle name="20% - 강조색3 71 7" xfId="10011"/>
    <cellStyle name="20% - 강조색3 71 8" xfId="8060"/>
    <cellStyle name="20% - 강조색3 71 9" xfId="10646"/>
    <cellStyle name="20% - 강조색3 72" xfId="7931"/>
    <cellStyle name="20% - 강조색3 72 10" xfId="11139"/>
    <cellStyle name="20% - 강조색3 72 2" xfId="8634"/>
    <cellStyle name="20% - 강조색3 72 3" xfId="8998"/>
    <cellStyle name="20% - 강조색3 72 4" xfId="9357"/>
    <cellStyle name="20% - 강조색3 72 5" xfId="3508"/>
    <cellStyle name="20% - 강조색3 72 6" xfId="9988"/>
    <cellStyle name="20% - 강조색3 72 7" xfId="6303"/>
    <cellStyle name="20% - 강조색3 72 8" xfId="6478"/>
    <cellStyle name="20% - 강조색3 72 9" xfId="10939"/>
    <cellStyle name="20% - 강조색3 73" xfId="5124"/>
    <cellStyle name="20% - 강조색3 73 2" xfId="8836"/>
    <cellStyle name="20% - 강조색3 73 3" xfId="9121"/>
    <cellStyle name="20% - 강조색3 73 4" xfId="9504"/>
    <cellStyle name="20% - 강조색3 73 5" xfId="3928"/>
    <cellStyle name="20% - 강조색3 73 6" xfId="7935"/>
    <cellStyle name="20% - 강조색3 73 7" xfId="10444"/>
    <cellStyle name="20% - 강조색3 73 8" xfId="10866"/>
    <cellStyle name="20% - 강조색3 73 9" xfId="11099"/>
    <cellStyle name="20% - 강조색3 74" xfId="8689"/>
    <cellStyle name="20% - 강조색3 74 2" xfId="9375"/>
    <cellStyle name="20% - 강조색3 74 3" xfId="9707"/>
    <cellStyle name="20% - 강조색3 74 4" xfId="10033"/>
    <cellStyle name="20% - 강조색3 74 5" xfId="10270"/>
    <cellStyle name="20% - 강조색3 74 6" xfId="10568"/>
    <cellStyle name="20% - 강조색3 74 7" xfId="8299"/>
    <cellStyle name="20% - 강조색3 74 8" xfId="8765"/>
    <cellStyle name="20% - 강조색3 75" xfId="9031"/>
    <cellStyle name="20% - 강조색3 75 2" xfId="9715"/>
    <cellStyle name="20% - 강조색3 75 3" xfId="10041"/>
    <cellStyle name="20% - 강조색3 75 4" xfId="10354"/>
    <cellStyle name="20% - 강조색3 75 5" xfId="10412"/>
    <cellStyle name="20% - 강조색3 75 6" xfId="8663"/>
    <cellStyle name="20% - 강조색3 75 7" xfId="11131"/>
    <cellStyle name="20% - 강조색3 76" xfId="9425"/>
    <cellStyle name="20% - 강조색3 76 2" xfId="10050"/>
    <cellStyle name="20% - 강조색3 76 3" xfId="10363"/>
    <cellStyle name="20% - 강조색3 76 4" xfId="10672"/>
    <cellStyle name="20% - 강조색3 76 5" xfId="10923"/>
    <cellStyle name="20% - 강조색3 76 6" xfId="1855"/>
    <cellStyle name="20% - 강조색3 77" xfId="9863"/>
    <cellStyle name="20% - 강조색3 77 2" xfId="10374"/>
    <cellStyle name="20% - 강조색3 77 3" xfId="10685"/>
    <cellStyle name="20% - 강조색3 77 4" xfId="10969"/>
    <cellStyle name="20% - 강조색3 77 5" xfId="11110"/>
    <cellStyle name="20% - 강조색3 78" xfId="9548"/>
    <cellStyle name="20% - 강조색3 78 2" xfId="10675"/>
    <cellStyle name="20% - 강조색3 78 3" xfId="10434"/>
    <cellStyle name="20% - 강조색3 78 4" xfId="2074"/>
    <cellStyle name="20% - 강조색3 79" xfId="10582"/>
    <cellStyle name="20% - 강조색3 79 2" xfId="10985"/>
    <cellStyle name="20% - 강조색3 79 3" xfId="11263"/>
    <cellStyle name="20% - 강조색3 8" xfId="131"/>
    <cellStyle name="20% - 강조색3 80" xfId="10943"/>
    <cellStyle name="20% - 강조색3 80 2" xfId="11275"/>
    <cellStyle name="20% - 강조색3 81" xfId="11130"/>
    <cellStyle name="20% - 강조색3 82" xfId="11296"/>
    <cellStyle name="20% - 강조색3 83" xfId="11429"/>
    <cellStyle name="20% - 강조색3 84" xfId="11344"/>
    <cellStyle name="20% - 강조색3 85" xfId="11387"/>
    <cellStyle name="20% - 강조색3 86" xfId="11440"/>
    <cellStyle name="20% - 강조색3 9" xfId="144"/>
    <cellStyle name="20% - 강조색4" xfId="31" builtinId="42" customBuiltin="1"/>
    <cellStyle name="20% - 강조색4 10" xfId="150"/>
    <cellStyle name="20% - 강조색4 11" xfId="163"/>
    <cellStyle name="20% - 강조색4 12" xfId="176"/>
    <cellStyle name="20% - 강조색4 13" xfId="189"/>
    <cellStyle name="20% - 강조색4 14" xfId="202"/>
    <cellStyle name="20% - 강조색4 15" xfId="215"/>
    <cellStyle name="20% - 강조색4 16" xfId="228"/>
    <cellStyle name="20% - 강조색4 17" xfId="241"/>
    <cellStyle name="20% - 강조색4 18" xfId="254"/>
    <cellStyle name="20% - 강조색4 19" xfId="267"/>
    <cellStyle name="20% - 강조색4 2" xfId="50"/>
    <cellStyle name="20% - 강조색4 20" xfId="280"/>
    <cellStyle name="20% - 강조색4 21" xfId="293"/>
    <cellStyle name="20% - 강조색4 22" xfId="306"/>
    <cellStyle name="20% - 강조색4 23" xfId="319"/>
    <cellStyle name="20% - 강조색4 24" xfId="332"/>
    <cellStyle name="20% - 강조색4 25" xfId="345"/>
    <cellStyle name="20% - 강조색4 26" xfId="358"/>
    <cellStyle name="20% - 강조색4 27" xfId="371"/>
    <cellStyle name="20% - 강조색4 28" xfId="384"/>
    <cellStyle name="20% - 강조색4 29" xfId="397"/>
    <cellStyle name="20% - 강조색4 3" xfId="78"/>
    <cellStyle name="20% - 강조색4 30" xfId="410"/>
    <cellStyle name="20% - 강조색4 31" xfId="423"/>
    <cellStyle name="20% - 강조색4 32" xfId="436"/>
    <cellStyle name="20% - 강조색4 33" xfId="448"/>
    <cellStyle name="20% - 강조색4 34" xfId="460"/>
    <cellStyle name="20% - 강조색4 35" xfId="472"/>
    <cellStyle name="20% - 강조색4 36" xfId="484"/>
    <cellStyle name="20% - 강조색4 37" xfId="495"/>
    <cellStyle name="20% - 강조색4 38" xfId="506"/>
    <cellStyle name="20% - 강조색4 39" xfId="517"/>
    <cellStyle name="20% - 강조색4 4" xfId="69"/>
    <cellStyle name="20% - 강조색4 40" xfId="548"/>
    <cellStyle name="20% - 강조색4 40 10" xfId="2760"/>
    <cellStyle name="20% - 강조색4 40 11" xfId="3212"/>
    <cellStyle name="20% - 강조색4 40 12" xfId="3997"/>
    <cellStyle name="20% - 강조색4 40 13" xfId="3745"/>
    <cellStyle name="20% - 강조색4 40 14" xfId="2121"/>
    <cellStyle name="20% - 강조색4 40 15" xfId="4984"/>
    <cellStyle name="20% - 강조색4 40 16" xfId="5404"/>
    <cellStyle name="20% - 강조색4 40 17" xfId="5533"/>
    <cellStyle name="20% - 강조색4 40 18" xfId="5426"/>
    <cellStyle name="20% - 강조색4 40 19" xfId="5991"/>
    <cellStyle name="20% - 강조색4 40 2" xfId="1047"/>
    <cellStyle name="20% - 강조색4 40 20" xfId="6781"/>
    <cellStyle name="20% - 강조색4 40 21" xfId="6937"/>
    <cellStyle name="20% - 강조색4 40 22" xfId="7582"/>
    <cellStyle name="20% - 강조색4 40 23" xfId="843"/>
    <cellStyle name="20% - 강조색4 40 24" xfId="3776"/>
    <cellStyle name="20% - 강조색4 40 25" xfId="8754"/>
    <cellStyle name="20% - 강조색4 40 26" xfId="5962"/>
    <cellStyle name="20% - 강조색4 40 27" xfId="2423"/>
    <cellStyle name="20% - 강조색4 40 28" xfId="9904"/>
    <cellStyle name="20% - 강조색4 40 29" xfId="6928"/>
    <cellStyle name="20% - 강조색4 40 3" xfId="1138"/>
    <cellStyle name="20% - 강조색4 40 30" xfId="10406"/>
    <cellStyle name="20% - 강조색4 40 31" xfId="10944"/>
    <cellStyle name="20% - 강조색4 40 32" xfId="11202"/>
    <cellStyle name="20% - 강조색4 40 33" xfId="11319"/>
    <cellStyle name="20% - 강조색4 40 34" xfId="11304"/>
    <cellStyle name="20% - 강조색4 40 35" xfId="11384"/>
    <cellStyle name="20% - 강조색4 40 36" xfId="11343"/>
    <cellStyle name="20% - 강조색4 40 4" xfId="1229"/>
    <cellStyle name="20% - 강조색4 40 5" xfId="1616"/>
    <cellStyle name="20% - 강조색4 40 6" xfId="901"/>
    <cellStyle name="20% - 강조색4 40 7" xfId="756"/>
    <cellStyle name="20% - 강조색4 40 8" xfId="2558"/>
    <cellStyle name="20% - 강조색4 40 9" xfId="2924"/>
    <cellStyle name="20% - 강조색4 41" xfId="601"/>
    <cellStyle name="20% - 강조색4 41 10" xfId="3150"/>
    <cellStyle name="20% - 강조색4 41 11" xfId="3567"/>
    <cellStyle name="20% - 강조색4 41 12" xfId="3998"/>
    <cellStyle name="20% - 강조색4 41 13" xfId="4323"/>
    <cellStyle name="20% - 강조색4 41 14" xfId="4679"/>
    <cellStyle name="20% - 강조색4 41 15" xfId="4240"/>
    <cellStyle name="20% - 강조색4 41 16" xfId="4844"/>
    <cellStyle name="20% - 강조색4 41 17" xfId="5657"/>
    <cellStyle name="20% - 강조색4 41 18" xfId="5286"/>
    <cellStyle name="20% - 강조색4 41 19" xfId="6218"/>
    <cellStyle name="20% - 강조색4 41 2" xfId="1100"/>
    <cellStyle name="20% - 강조색4 41 20" xfId="7235"/>
    <cellStyle name="20% - 강조색4 41 21" xfId="7176"/>
    <cellStyle name="20% - 강조색4 41 22" xfId="7411"/>
    <cellStyle name="20% - 강조색4 41 23" xfId="7949"/>
    <cellStyle name="20% - 강조색4 41 24" xfId="7360"/>
    <cellStyle name="20% - 강조색4 41 25" xfId="6333"/>
    <cellStyle name="20% - 강조색4 41 26" xfId="9261"/>
    <cellStyle name="20% - 강조색4 41 27" xfId="8219"/>
    <cellStyle name="20% - 강조색4 41 28" xfId="9795"/>
    <cellStyle name="20% - 강조색4 41 29" xfId="3640"/>
    <cellStyle name="20% - 강조색4 41 3" xfId="1191"/>
    <cellStyle name="20% - 강조색4 41 30" xfId="10471"/>
    <cellStyle name="20% - 강조색4 41 31" xfId="9434"/>
    <cellStyle name="20% - 강조색4 41 32" xfId="9776"/>
    <cellStyle name="20% - 강조색4 41 4" xfId="1282"/>
    <cellStyle name="20% - 강조색4 41 5" xfId="1732"/>
    <cellStyle name="20% - 강조색4 41 6" xfId="863"/>
    <cellStyle name="20% - 강조색4 41 7" xfId="2164"/>
    <cellStyle name="20% - 강조색4 41 8" xfId="2512"/>
    <cellStyle name="20% - 강조색4 41 9" xfId="2908"/>
    <cellStyle name="20% - 강조색4 42" xfId="595"/>
    <cellStyle name="20% - 강조색4 42 10" xfId="2443"/>
    <cellStyle name="20% - 강조색4 42 11" xfId="3559"/>
    <cellStyle name="20% - 강조색4 42 12" xfId="3918"/>
    <cellStyle name="20% - 강조색4 42 13" xfId="4321"/>
    <cellStyle name="20% - 강조색4 42 14" xfId="4049"/>
    <cellStyle name="20% - 강조색4 42 15" xfId="5339"/>
    <cellStyle name="20% - 강조색4 42 16" xfId="5785"/>
    <cellStyle name="20% - 강조색4 42 17" xfId="5864"/>
    <cellStyle name="20% - 강조색4 42 18" xfId="5922"/>
    <cellStyle name="20% - 강조색4 42 19" xfId="6075"/>
    <cellStyle name="20% - 강조색4 42 2" xfId="1094"/>
    <cellStyle name="20% - 강조색4 42 20" xfId="7138"/>
    <cellStyle name="20% - 강조색4 42 21" xfId="7270"/>
    <cellStyle name="20% - 강조색4 42 22" xfId="7480"/>
    <cellStyle name="20% - 강조색4 42 23" xfId="6542"/>
    <cellStyle name="20% - 강조색4 42 24" xfId="8326"/>
    <cellStyle name="20% - 강조색4 42 25" xfId="8897"/>
    <cellStyle name="20% - 강조색4 42 26" xfId="9202"/>
    <cellStyle name="20% - 강조색4 42 27" xfId="9309"/>
    <cellStyle name="20% - 강조색4 42 28" xfId="3693"/>
    <cellStyle name="20% - 강조색4 42 29" xfId="8431"/>
    <cellStyle name="20% - 강조색4 42 3" xfId="1185"/>
    <cellStyle name="20% - 강조색4 42 30" xfId="10579"/>
    <cellStyle name="20% - 강조색4 42 31" xfId="3108"/>
    <cellStyle name="20% - 강조색4 42 32" xfId="11046"/>
    <cellStyle name="20% - 강조색4 42 4" xfId="1276"/>
    <cellStyle name="20% - 강조색4 42 5" xfId="1635"/>
    <cellStyle name="20% - 강조색4 42 6" xfId="2005"/>
    <cellStyle name="20% - 강조색4 42 7" xfId="2243"/>
    <cellStyle name="20% - 강조색4 42 8" xfId="2385"/>
    <cellStyle name="20% - 강조색4 42 9" xfId="1017"/>
    <cellStyle name="20% - 강조색4 43" xfId="558"/>
    <cellStyle name="20% - 강조색4 43 10" xfId="3314"/>
    <cellStyle name="20% - 강조색4 43 11" xfId="2163"/>
    <cellStyle name="20% - 강조색4 43 12" xfId="1953"/>
    <cellStyle name="20% - 강조색4 43 13" xfId="4252"/>
    <cellStyle name="20% - 강조색4 43 14" xfId="4637"/>
    <cellStyle name="20% - 강조색4 43 15" xfId="5308"/>
    <cellStyle name="20% - 강조색4 43 16" xfId="4768"/>
    <cellStyle name="20% - 강조색4 43 17" xfId="5666"/>
    <cellStyle name="20% - 강조색4 43 18" xfId="3707"/>
    <cellStyle name="20% - 강조색4 43 19" xfId="3069"/>
    <cellStyle name="20% - 강조색4 43 2" xfId="1057"/>
    <cellStyle name="20% - 강조색4 43 20" xfId="7007"/>
    <cellStyle name="20% - 강조색4 43 21" xfId="6373"/>
    <cellStyle name="20% - 강조색4 43 22" xfId="7689"/>
    <cellStyle name="20% - 강조색4 43 23" xfId="8179"/>
    <cellStyle name="20% - 강조색4 43 24" xfId="6132"/>
    <cellStyle name="20% - 강조색4 43 25" xfId="8900"/>
    <cellStyle name="20% - 강조색4 43 26" xfId="3604"/>
    <cellStyle name="20% - 강조색4 43 27" xfId="9591"/>
    <cellStyle name="20% - 강조색4 43 28" xfId="9940"/>
    <cellStyle name="20% - 강조색4 43 29" xfId="6040"/>
    <cellStyle name="20% - 강조색4 43 3" xfId="1148"/>
    <cellStyle name="20% - 강조색4 43 30" xfId="9854"/>
    <cellStyle name="20% - 강조색4 43 31" xfId="10169"/>
    <cellStyle name="20% - 강조색4 43 32" xfId="9123"/>
    <cellStyle name="20% - 강조색4 43 4" xfId="1239"/>
    <cellStyle name="20% - 강조색4 43 5" xfId="1695"/>
    <cellStyle name="20% - 강조색4 43 6" xfId="1987"/>
    <cellStyle name="20% - 강조색4 43 7" xfId="2302"/>
    <cellStyle name="20% - 강조색4 43 8" xfId="2511"/>
    <cellStyle name="20% - 강조색4 43 9" xfId="1481"/>
    <cellStyle name="20% - 강조색4 44" xfId="579"/>
    <cellStyle name="20% - 강조색4 44 10" xfId="3280"/>
    <cellStyle name="20% - 강조색4 44 11" xfId="3618"/>
    <cellStyle name="20% - 강조색4 44 12" xfId="3812"/>
    <cellStyle name="20% - 강조색4 44 13" xfId="4306"/>
    <cellStyle name="20% - 강조색4 44 14" xfId="4698"/>
    <cellStyle name="20% - 강조색4 44 15" xfId="5162"/>
    <cellStyle name="20% - 강조색4 44 16" xfId="4215"/>
    <cellStyle name="20% - 강조색4 44 17" xfId="4207"/>
    <cellStyle name="20% - 강조색4 44 18" xfId="5531"/>
    <cellStyle name="20% - 강조색4 44 19" xfId="6317"/>
    <cellStyle name="20% - 강조색4 44 2" xfId="1078"/>
    <cellStyle name="20% - 강조색4 44 20" xfId="6418"/>
    <cellStyle name="20% - 강조색4 44 21" xfId="3585"/>
    <cellStyle name="20% - 강조색4 44 22" xfId="6531"/>
    <cellStyle name="20% - 강조색4 44 23" xfId="8185"/>
    <cellStyle name="20% - 강조색4 44 24" xfId="2180"/>
    <cellStyle name="20% - 강조색4 44 25" xfId="3358"/>
    <cellStyle name="20% - 강조색4 44 26" xfId="2717"/>
    <cellStyle name="20% - 강조색4 44 27" xfId="9570"/>
    <cellStyle name="20% - 강조색4 44 28" xfId="10010"/>
    <cellStyle name="20% - 강조색4 44 29" xfId="10253"/>
    <cellStyle name="20% - 강조색4 44 3" xfId="1169"/>
    <cellStyle name="20% - 강조색4 44 30" xfId="10581"/>
    <cellStyle name="20% - 강조색4 44 31" xfId="1386"/>
    <cellStyle name="20% - 강조색4 44 32" xfId="10810"/>
    <cellStyle name="20% - 강조색4 44 4" xfId="1260"/>
    <cellStyle name="20% - 강조색4 44 5" xfId="1713"/>
    <cellStyle name="20% - 강조색4 44 6" xfId="1014"/>
    <cellStyle name="20% - 강조색4 44 7" xfId="981"/>
    <cellStyle name="20% - 강조색4 44 8" xfId="2593"/>
    <cellStyle name="20% - 강조색4 44 9" xfId="2967"/>
    <cellStyle name="20% - 강조색4 45" xfId="568"/>
    <cellStyle name="20% - 강조색4 45 10" xfId="959"/>
    <cellStyle name="20% - 강조색4 45 11" xfId="3537"/>
    <cellStyle name="20% - 강조색4 45 12" xfId="2509"/>
    <cellStyle name="20% - 강조색4 45 13" xfId="2078"/>
    <cellStyle name="20% - 강조색4 45 14" xfId="4440"/>
    <cellStyle name="20% - 강조색4 45 15" xfId="3241"/>
    <cellStyle name="20% - 강조색4 45 16" xfId="5608"/>
    <cellStyle name="20% - 강조색4 45 17" xfId="4456"/>
    <cellStyle name="20% - 강조색4 45 18" xfId="3799"/>
    <cellStyle name="20% - 강조색4 45 19" xfId="1848"/>
    <cellStyle name="20% - 강조색4 45 2" xfId="1067"/>
    <cellStyle name="20% - 강조색4 45 20" xfId="7104"/>
    <cellStyle name="20% - 강조색4 45 21" xfId="1536"/>
    <cellStyle name="20% - 강조색4 45 22" xfId="757"/>
    <cellStyle name="20% - 강조색4 45 23" xfId="7974"/>
    <cellStyle name="20% - 강조색4 45 24" xfId="6086"/>
    <cellStyle name="20% - 강조색4 45 25" xfId="4203"/>
    <cellStyle name="20% - 강조색4 45 26" xfId="9077"/>
    <cellStyle name="20% - 강조색4 45 27" xfId="8750"/>
    <cellStyle name="20% - 강조색4 45 28" xfId="3414"/>
    <cellStyle name="20% - 강조색4 45 29" xfId="6790"/>
    <cellStyle name="20% - 강조색4 45 3" xfId="1158"/>
    <cellStyle name="20% - 강조색4 45 30" xfId="7528"/>
    <cellStyle name="20% - 강조색4 45 31" xfId="9642"/>
    <cellStyle name="20% - 강조색4 45 32" xfId="6902"/>
    <cellStyle name="20% - 강조색4 45 4" xfId="1249"/>
    <cellStyle name="20% - 강조색4 45 5" xfId="1734"/>
    <cellStyle name="20% - 강조색4 45 6" xfId="1590"/>
    <cellStyle name="20% - 강조색4 45 7" xfId="984"/>
    <cellStyle name="20% - 강조색4 45 8" xfId="2629"/>
    <cellStyle name="20% - 강조색4 45 9" xfId="2904"/>
    <cellStyle name="20% - 강조색4 46" xfId="600"/>
    <cellStyle name="20% - 강조색4 46 10" xfId="2796"/>
    <cellStyle name="20% - 강조색4 46 11" xfId="3649"/>
    <cellStyle name="20% - 강조색4 46 12" xfId="1921"/>
    <cellStyle name="20% - 강조색4 46 13" xfId="4262"/>
    <cellStyle name="20% - 강조색4 46 14" xfId="4565"/>
    <cellStyle name="20% - 강조색4 46 15" xfId="3090"/>
    <cellStyle name="20% - 강조색4 46 16" xfId="1373"/>
    <cellStyle name="20% - 강조색4 46 17" xfId="5686"/>
    <cellStyle name="20% - 강조색4 46 18" xfId="5791"/>
    <cellStyle name="20% - 강조색4 46 19" xfId="3416"/>
    <cellStyle name="20% - 강조색4 46 2" xfId="1099"/>
    <cellStyle name="20% - 강조색4 46 20" xfId="6862"/>
    <cellStyle name="20% - 강조색4 46 21" xfId="6791"/>
    <cellStyle name="20% - 강조색4 46 22" xfId="7808"/>
    <cellStyle name="20% - 강조색4 46 23" xfId="8120"/>
    <cellStyle name="20% - 강조색4 46 24" xfId="6291"/>
    <cellStyle name="20% - 강조색4 46 25" xfId="3901"/>
    <cellStyle name="20% - 강조색4 46 26" xfId="9148"/>
    <cellStyle name="20% - 강조색4 46 27" xfId="8324"/>
    <cellStyle name="20% - 강조색4 46 28" xfId="9992"/>
    <cellStyle name="20% - 강조색4 46 29" xfId="3754"/>
    <cellStyle name="20% - 강조색4 46 3" xfId="1190"/>
    <cellStyle name="20% - 강조색4 46 30" xfId="10481"/>
    <cellStyle name="20% - 강조색4 46 31" xfId="10890"/>
    <cellStyle name="20% - 강조색4 46 32" xfId="2492"/>
    <cellStyle name="20% - 강조색4 46 4" xfId="1281"/>
    <cellStyle name="20% - 강조색4 46 5" xfId="1736"/>
    <cellStyle name="20% - 강조색4 46 6" xfId="1511"/>
    <cellStyle name="20% - 강조색4 46 7" xfId="2181"/>
    <cellStyle name="20% - 강조색4 46 8" xfId="2578"/>
    <cellStyle name="20% - 강조색4 46 9" xfId="2930"/>
    <cellStyle name="20% - 강조색4 47" xfId="642"/>
    <cellStyle name="20% - 강조색4 47 10" xfId="4142"/>
    <cellStyle name="20% - 강조색4 47 11" xfId="3436"/>
    <cellStyle name="20% - 강조색4 47 12" xfId="4784"/>
    <cellStyle name="20% - 강조색4 47 13" xfId="5634"/>
    <cellStyle name="20% - 강조색4 47 14" xfId="5617"/>
    <cellStyle name="20% - 강조색4 47 15" xfId="5738"/>
    <cellStyle name="20% - 강조색4 47 16" xfId="6191"/>
    <cellStyle name="20% - 강조색4 47 17" xfId="6888"/>
    <cellStyle name="20% - 강조색4 47 18" xfId="4922"/>
    <cellStyle name="20% - 강조색4 47 19" xfId="7373"/>
    <cellStyle name="20% - 강조색4 47 2" xfId="1711"/>
    <cellStyle name="20% - 강조색4 47 20" xfId="8145"/>
    <cellStyle name="20% - 강조색4 47 21" xfId="8416"/>
    <cellStyle name="20% - 강조색4 47 22" xfId="7867"/>
    <cellStyle name="20% - 강조색4 47 23" xfId="9205"/>
    <cellStyle name="20% - 강조색4 47 24" xfId="9384"/>
    <cellStyle name="20% - 강조색4 47 25" xfId="9752"/>
    <cellStyle name="20% - 강조색4 47 26" xfId="2143"/>
    <cellStyle name="20% - 강조색4 47 27" xfId="10462"/>
    <cellStyle name="20% - 강조색4 47 28" xfId="10859"/>
    <cellStyle name="20% - 강조색4 47 29" xfId="3770"/>
    <cellStyle name="20% - 강조색4 47 3" xfId="1529"/>
    <cellStyle name="20% - 강조색4 47 30" xfId="11332"/>
    <cellStyle name="20% - 강조색4 47 31" xfId="11416"/>
    <cellStyle name="20% - 강조색4 47 32" xfId="11405"/>
    <cellStyle name="20% - 강조색4 47 33" xfId="11365"/>
    <cellStyle name="20% - 강조색4 47 4" xfId="2256"/>
    <cellStyle name="20% - 강조색4 47 5" xfId="2599"/>
    <cellStyle name="20% - 강조색4 47 6" xfId="2807"/>
    <cellStyle name="20% - 강조색4 47 7" xfId="3083"/>
    <cellStyle name="20% - 강조색4 47 8" xfId="3529"/>
    <cellStyle name="20% - 강조색4 47 9" xfId="1888"/>
    <cellStyle name="20% - 강조색4 48" xfId="708"/>
    <cellStyle name="20% - 강조색4 48 10" xfId="4228"/>
    <cellStyle name="20% - 강조색4 48 11" xfId="4420"/>
    <cellStyle name="20% - 강조색4 48 12" xfId="1826"/>
    <cellStyle name="20% - 강조색4 48 13" xfId="723"/>
    <cellStyle name="20% - 강조색4 48 14" xfId="4813"/>
    <cellStyle name="20% - 강조색4 48 15" xfId="5626"/>
    <cellStyle name="20% - 강조색4 48 16" xfId="6498"/>
    <cellStyle name="20% - 강조색4 48 17" xfId="747"/>
    <cellStyle name="20% - 강조색4 48 18" xfId="6944"/>
    <cellStyle name="20% - 강조색4 48 19" xfId="2276"/>
    <cellStyle name="20% - 강조색4 48 2" xfId="1672"/>
    <cellStyle name="20% - 강조색4 48 20" xfId="3123"/>
    <cellStyle name="20% - 강조색4 48 21" xfId="2821"/>
    <cellStyle name="20% - 강조색4 48 22" xfId="5963"/>
    <cellStyle name="20% - 강조색4 48 23" xfId="4133"/>
    <cellStyle name="20% - 강조색4 48 24" xfId="9164"/>
    <cellStyle name="20% - 강조색4 48 25" xfId="3697"/>
    <cellStyle name="20% - 강조색4 48 26" xfId="6827"/>
    <cellStyle name="20% - 강조색4 48 27" xfId="9190"/>
    <cellStyle name="20% - 강조색4 48 28" xfId="7590"/>
    <cellStyle name="20% - 강조색4 48 29" xfId="7372"/>
    <cellStyle name="20% - 강조색4 48 3" xfId="1345"/>
    <cellStyle name="20% - 강조색4 48 4" xfId="1898"/>
    <cellStyle name="20% - 강조색4 48 5" xfId="2496"/>
    <cellStyle name="20% - 강조색4 48 6" xfId="2876"/>
    <cellStyle name="20% - 강조색4 48 7" xfId="3142"/>
    <cellStyle name="20% - 강조색4 48 8" xfId="1852"/>
    <cellStyle name="20% - 강조색4 48 9" xfId="2375"/>
    <cellStyle name="20% - 강조색4 49" xfId="701"/>
    <cellStyle name="20% - 강조색4 49 10" xfId="4349"/>
    <cellStyle name="20% - 강조색4 49 11" xfId="4528"/>
    <cellStyle name="20% - 강조색4 49 12" xfId="5211"/>
    <cellStyle name="20% - 강조색4 49 13" xfId="1352"/>
    <cellStyle name="20% - 강조색4 49 14" xfId="5262"/>
    <cellStyle name="20% - 강조색4 49 15" xfId="5216"/>
    <cellStyle name="20% - 강조색4 49 16" xfId="6456"/>
    <cellStyle name="20% - 강조색4 49 17" xfId="7244"/>
    <cellStyle name="20% - 강조색4 49 18" xfId="6112"/>
    <cellStyle name="20% - 강조색4 49 19" xfId="7498"/>
    <cellStyle name="20% - 강조색4 49 2" xfId="1690"/>
    <cellStyle name="20% - 강조색4 49 20" xfId="6057"/>
    <cellStyle name="20% - 강조색4 49 21" xfId="8517"/>
    <cellStyle name="20% - 강조색4 49 22" xfId="8863"/>
    <cellStyle name="20% - 강조색4 49 23" xfId="9198"/>
    <cellStyle name="20% - 강조색4 49 24" xfId="2184"/>
    <cellStyle name="20% - 강조색4 49 25" xfId="10019"/>
    <cellStyle name="20% - 강조색4 49 26" xfId="5980"/>
    <cellStyle name="20% - 강조색4 49 27" xfId="10077"/>
    <cellStyle name="20% - 강조색4 49 28" xfId="10904"/>
    <cellStyle name="20% - 강조색4 49 29" xfId="5221"/>
    <cellStyle name="20% - 강조색4 49 3" xfId="2024"/>
    <cellStyle name="20% - 강조색4 49 4" xfId="2320"/>
    <cellStyle name="20% - 강조색4 49 5" xfId="2532"/>
    <cellStyle name="20% - 강조색4 49 6" xfId="2762"/>
    <cellStyle name="20% - 강조색4 49 7" xfId="3157"/>
    <cellStyle name="20% - 강조색4 49 8" xfId="3598"/>
    <cellStyle name="20% - 강조색4 49 9" xfId="3736"/>
    <cellStyle name="20% - 강조색4 5" xfId="81"/>
    <cellStyle name="20% - 강조색4 50" xfId="713"/>
    <cellStyle name="20% - 강조색4 50 10" xfId="4212"/>
    <cellStyle name="20% - 강조색4 50 11" xfId="4514"/>
    <cellStyle name="20% - 강조색4 50 12" xfId="4995"/>
    <cellStyle name="20% - 강조색4 50 13" xfId="5411"/>
    <cellStyle name="20% - 강조색4 50 14" xfId="4997"/>
    <cellStyle name="20% - 강조색4 50 15" xfId="5435"/>
    <cellStyle name="20% - 강조색4 50 16" xfId="6372"/>
    <cellStyle name="20% - 강조색4 50 17" xfId="2057"/>
    <cellStyle name="20% - 강조색4 50 18" xfId="7013"/>
    <cellStyle name="20% - 강조색4 50 19" xfId="7591"/>
    <cellStyle name="20% - 강조색4 50 2" xfId="1674"/>
    <cellStyle name="20% - 강조색4 50 20" xfId="6752"/>
    <cellStyle name="20% - 강조색4 50 21" xfId="8534"/>
    <cellStyle name="20% - 강조색4 50 22" xfId="6323"/>
    <cellStyle name="20% - 강조색4 50 23" xfId="9222"/>
    <cellStyle name="20% - 강조색4 50 24" xfId="3489"/>
    <cellStyle name="20% - 강조색4 50 25" xfId="6404"/>
    <cellStyle name="20% - 강조색4 50 26" xfId="10234"/>
    <cellStyle name="20% - 강조색4 50 27" xfId="3461"/>
    <cellStyle name="20% - 강조색4 50 28" xfId="7772"/>
    <cellStyle name="20% - 강조색4 50 29" xfId="3828"/>
    <cellStyle name="20% - 강조색4 50 3" xfId="1421"/>
    <cellStyle name="20% - 강조색4 50 4" xfId="1453"/>
    <cellStyle name="20% - 강조색4 50 5" xfId="777"/>
    <cellStyle name="20% - 강조색4 50 6" xfId="2873"/>
    <cellStyle name="20% - 강조색4 50 7" xfId="2113"/>
    <cellStyle name="20% - 강조색4 50 8" xfId="3622"/>
    <cellStyle name="20% - 강조색4 50 9" xfId="3908"/>
    <cellStyle name="20% - 강조색4 51" xfId="650"/>
    <cellStyle name="20% - 강조색4 51 10" xfId="875"/>
    <cellStyle name="20% - 강조색4 51 11" xfId="4523"/>
    <cellStyle name="20% - 강조색4 51 12" xfId="5439"/>
    <cellStyle name="20% - 강조색4 51 13" xfId="5013"/>
    <cellStyle name="20% - 강조색4 51 14" xfId="5445"/>
    <cellStyle name="20% - 강조색4 51 15" xfId="5201"/>
    <cellStyle name="20% - 강조색4 51 16" xfId="6473"/>
    <cellStyle name="20% - 강조색4 51 17" xfId="6906"/>
    <cellStyle name="20% - 강조색4 51 18" xfId="6976"/>
    <cellStyle name="20% - 강조색4 51 19" xfId="6297"/>
    <cellStyle name="20% - 강조색4 51 2" xfId="1738"/>
    <cellStyle name="20% - 강조색4 51 20" xfId="8217"/>
    <cellStyle name="20% - 강조색4 51 21" xfId="5003"/>
    <cellStyle name="20% - 강조색4 51 22" xfId="8748"/>
    <cellStyle name="20% - 강조색4 51 23" xfId="1592"/>
    <cellStyle name="20% - 강조색4 51 24" xfId="9502"/>
    <cellStyle name="20% - 강조색4 51 25" xfId="7718"/>
    <cellStyle name="20% - 강조색4 51 26" xfId="9536"/>
    <cellStyle name="20% - 강조색4 51 27" xfId="8788"/>
    <cellStyle name="20% - 강조색4 51 28" xfId="4794"/>
    <cellStyle name="20% - 강조색4 51 29" xfId="10222"/>
    <cellStyle name="20% - 강조색4 51 3" xfId="744"/>
    <cellStyle name="20% - 강조색4 51 4" xfId="2199"/>
    <cellStyle name="20% - 강조색4 51 5" xfId="2565"/>
    <cellStyle name="20% - 강조색4 51 6" xfId="2875"/>
    <cellStyle name="20% - 강조색4 51 7" xfId="3054"/>
    <cellStyle name="20% - 강조색4 51 8" xfId="3466"/>
    <cellStyle name="20% - 강조색4 51 9" xfId="3925"/>
    <cellStyle name="20% - 강조색4 52" xfId="677"/>
    <cellStyle name="20% - 강조색4 52 10" xfId="4281"/>
    <cellStyle name="20% - 강조색4 52 11" xfId="4536"/>
    <cellStyle name="20% - 강조색4 52 12" xfId="1831"/>
    <cellStyle name="20% - 강조색4 52 13" xfId="5064"/>
    <cellStyle name="20% - 강조색4 52 14" xfId="5297"/>
    <cellStyle name="20% - 강조색4 52 15" xfId="3469"/>
    <cellStyle name="20% - 강조색4 52 16" xfId="6570"/>
    <cellStyle name="20% - 강조색4 52 17" xfId="6991"/>
    <cellStyle name="20% - 강조색4 52 18" xfId="7001"/>
    <cellStyle name="20% - 강조색4 52 19" xfId="896"/>
    <cellStyle name="20% - 강조색4 52 2" xfId="1670"/>
    <cellStyle name="20% - 강조색4 52 20" xfId="4519"/>
    <cellStyle name="20% - 강조색4 52 21" xfId="6770"/>
    <cellStyle name="20% - 강조색4 52 22" xfId="8393"/>
    <cellStyle name="20% - 강조색4 52 23" xfId="7945"/>
    <cellStyle name="20% - 강조색4 52 24" xfId="9612"/>
    <cellStyle name="20% - 강조색4 52 25" xfId="7417"/>
    <cellStyle name="20% - 강조색4 52 26" xfId="3413"/>
    <cellStyle name="20% - 강조색4 52 27" xfId="10070"/>
    <cellStyle name="20% - 강조색4 52 28" xfId="10912"/>
    <cellStyle name="20% - 강조색4 52 29" xfId="4783"/>
    <cellStyle name="20% - 강조색4 52 3" xfId="1350"/>
    <cellStyle name="20% - 강조색4 52 4" xfId="898"/>
    <cellStyle name="20% - 강조색4 52 5" xfId="2460"/>
    <cellStyle name="20% - 강조색4 52 6" xfId="2912"/>
    <cellStyle name="20% - 강조색4 52 7" xfId="1943"/>
    <cellStyle name="20% - 강조색4 52 8" xfId="3540"/>
    <cellStyle name="20% - 강조색4 52 9" xfId="1515"/>
    <cellStyle name="20% - 강조색4 53" xfId="671"/>
    <cellStyle name="20% - 강조색4 53 10" xfId="3007"/>
    <cellStyle name="20% - 강조색4 53 11" xfId="772"/>
    <cellStyle name="20% - 강조색4 53 12" xfId="5388"/>
    <cellStyle name="20% - 강조색4 53 13" xfId="4899"/>
    <cellStyle name="20% - 강조색4 53 14" xfId="5268"/>
    <cellStyle name="20% - 강조색4 53 15" xfId="5652"/>
    <cellStyle name="20% - 강조색4 53 16" xfId="6325"/>
    <cellStyle name="20% - 강조색4 53 17" xfId="6857"/>
    <cellStyle name="20% - 강조색4 53 18" xfId="7225"/>
    <cellStyle name="20% - 강조색4 53 19" xfId="7485"/>
    <cellStyle name="20% - 강조색4 53 2" xfId="1746"/>
    <cellStyle name="20% - 강조색4 53 20" xfId="8055"/>
    <cellStyle name="20% - 강조색4 53 21" xfId="8601"/>
    <cellStyle name="20% - 강조색4 53 22" xfId="739"/>
    <cellStyle name="20% - 강조색4 53 23" xfId="7359"/>
    <cellStyle name="20% - 강조색4 53 24" xfId="9670"/>
    <cellStyle name="20% - 강조색4 53 25" xfId="7526"/>
    <cellStyle name="20% - 강조색4 53 26" xfId="10262"/>
    <cellStyle name="20% - 강조색4 53 27" xfId="10445"/>
    <cellStyle name="20% - 강조색4 53 28" xfId="6830"/>
    <cellStyle name="20% - 강조색4 53 29" xfId="8728"/>
    <cellStyle name="20% - 강조색4 53 3" xfId="2042"/>
    <cellStyle name="20% - 강조색4 53 4" xfId="2208"/>
    <cellStyle name="20% - 강조색4 53 5" xfId="2576"/>
    <cellStyle name="20% - 강조색4 53 6" xfId="2885"/>
    <cellStyle name="20% - 강조색4 53 7" xfId="2751"/>
    <cellStyle name="20% - 강조색4 53 8" xfId="3503"/>
    <cellStyle name="20% - 강조색4 53 9" xfId="993"/>
    <cellStyle name="20% - 강조색4 54" xfId="1525"/>
    <cellStyle name="20% - 강조색4 54 10" xfId="3379"/>
    <cellStyle name="20% - 강조색4 54 11" xfId="2191"/>
    <cellStyle name="20% - 강조색4 54 12" xfId="4987"/>
    <cellStyle name="20% - 강조색4 54 13" xfId="5549"/>
    <cellStyle name="20% - 강조색4 54 14" xfId="3067"/>
    <cellStyle name="20% - 강조색4 54 15" xfId="6435"/>
    <cellStyle name="20% - 강조색4 54 16" xfId="6926"/>
    <cellStyle name="20% - 강조색4 54 17" xfId="7312"/>
    <cellStyle name="20% - 강조색4 54 18" xfId="4057"/>
    <cellStyle name="20% - 강조색4 54 19" xfId="927"/>
    <cellStyle name="20% - 강조색4 54 2" xfId="2050"/>
    <cellStyle name="20% - 강조색4 54 20" xfId="3944"/>
    <cellStyle name="20% - 강조색4 54 21" xfId="8305"/>
    <cellStyle name="20% - 강조색4 54 22" xfId="9156"/>
    <cellStyle name="20% - 강조색4 54 23" xfId="8473"/>
    <cellStyle name="20% - 강조색4 54 24" xfId="1919"/>
    <cellStyle name="20% - 강조색4 54 25" xfId="10114"/>
    <cellStyle name="20% - 강조색4 54 26" xfId="10603"/>
    <cellStyle name="20% - 강조색4 54 27" xfId="9922"/>
    <cellStyle name="20% - 강조색4 54 28" xfId="10991"/>
    <cellStyle name="20% - 강조색4 54 3" xfId="2332"/>
    <cellStyle name="20% - 강조색4 54 4" xfId="1875"/>
    <cellStyle name="20% - 강조색4 54 5" xfId="2891"/>
    <cellStyle name="20% - 강조색4 54 6" xfId="3220"/>
    <cellStyle name="20% - 강조색4 54 7" xfId="3538"/>
    <cellStyle name="20% - 강조색4 54 8" xfId="2869"/>
    <cellStyle name="20% - 강조색4 54 9" xfId="4139"/>
    <cellStyle name="20% - 강조색4 55" xfId="1999"/>
    <cellStyle name="20% - 강조색4 55 10" xfId="5193"/>
    <cellStyle name="20% - 강조색4 55 11" xfId="1395"/>
    <cellStyle name="20% - 강조색4 55 12" xfId="5344"/>
    <cellStyle name="20% - 강조색4 55 13" xfId="5746"/>
    <cellStyle name="20% - 강조색4 55 14" xfId="6387"/>
    <cellStyle name="20% - 강조색4 55 15" xfId="6361"/>
    <cellStyle name="20% - 강조색4 55 16" xfId="6839"/>
    <cellStyle name="20% - 강조색4 55 17" xfId="6410"/>
    <cellStyle name="20% - 강조색4 55 18" xfId="7997"/>
    <cellStyle name="20% - 강조색4 55 19" xfId="6848"/>
    <cellStyle name="20% - 강조색4 55 2" xfId="2341"/>
    <cellStyle name="20% - 강조색4 55 20" xfId="6407"/>
    <cellStyle name="20% - 강조색4 55 21" xfId="7767"/>
    <cellStyle name="20% - 강조색4 55 22" xfId="9564"/>
    <cellStyle name="20% - 강조색4 55 23" xfId="9726"/>
    <cellStyle name="20% - 강조색4 55 24" xfId="7134"/>
    <cellStyle name="20% - 강조색4 55 25" xfId="2137"/>
    <cellStyle name="20% - 강조색4 55 26" xfId="10105"/>
    <cellStyle name="20% - 강조색4 55 27" xfId="6166"/>
    <cellStyle name="20% - 강조색4 55 3" xfId="2660"/>
    <cellStyle name="20% - 강조색4 55 4" xfId="2975"/>
    <cellStyle name="20% - 강조색4 55 5" xfId="3298"/>
    <cellStyle name="20% - 강조색4 55 6" xfId="2587"/>
    <cellStyle name="20% - 강조색4 55 7" xfId="3866"/>
    <cellStyle name="20% - 강조색4 55 8" xfId="2105"/>
    <cellStyle name="20% - 강조색4 55 9" xfId="2107"/>
    <cellStyle name="20% - 강조색4 56" xfId="2322"/>
    <cellStyle name="20% - 강조색4 56 10" xfId="3920"/>
    <cellStyle name="20% - 강조색4 56 11" xfId="5676"/>
    <cellStyle name="20% - 강조색4 56 12" xfId="5624"/>
    <cellStyle name="20% - 강조색4 56 13" xfId="6546"/>
    <cellStyle name="20% - 강조색4 56 14" xfId="6927"/>
    <cellStyle name="20% - 강조색4 56 15" xfId="4134"/>
    <cellStyle name="20% - 강조색4 56 16" xfId="3874"/>
    <cellStyle name="20% - 강조색4 56 17" xfId="8083"/>
    <cellStyle name="20% - 강조색4 56 18" xfId="8394"/>
    <cellStyle name="20% - 강조색4 56 19" xfId="3194"/>
    <cellStyle name="20% - 강조색4 56 2" xfId="2677"/>
    <cellStyle name="20% - 강조색4 56 20" xfId="2542"/>
    <cellStyle name="20% - 강조색4 56 21" xfId="9424"/>
    <cellStyle name="20% - 강조색4 56 22" xfId="7473"/>
    <cellStyle name="20% - 강조색4 56 23" xfId="9828"/>
    <cellStyle name="20% - 강조색4 56 24" xfId="10460"/>
    <cellStyle name="20% - 강조색4 56 25" xfId="10753"/>
    <cellStyle name="20% - 강조색4 56 26" xfId="8712"/>
    <cellStyle name="20% - 강조색4 56 3" xfId="2992"/>
    <cellStyle name="20% - 강조색4 56 4" xfId="3325"/>
    <cellStyle name="20% - 강조색4 56 5" xfId="3014"/>
    <cellStyle name="20% - 강조색4 56 6" xfId="1420"/>
    <cellStyle name="20% - 강조색4 56 7" xfId="2182"/>
    <cellStyle name="20% - 강조색4 56 8" xfId="4507"/>
    <cellStyle name="20% - 강조색4 56 9" xfId="4904"/>
    <cellStyle name="20% - 강조색4 57" xfId="2596"/>
    <cellStyle name="20% - 강조색4 57 10" xfId="5497"/>
    <cellStyle name="20% - 강조색4 57 11" xfId="4787"/>
    <cellStyle name="20% - 강조색4 57 12" xfId="6065"/>
    <cellStyle name="20% - 강조색4 57 13" xfId="1351"/>
    <cellStyle name="20% - 강조색4 57 14" xfId="7273"/>
    <cellStyle name="20% - 강조색4 57 15" xfId="6669"/>
    <cellStyle name="20% - 강조색4 57 16" xfId="4521"/>
    <cellStyle name="20% - 강조색4 57 17" xfId="4991"/>
    <cellStyle name="20% - 강조색4 57 18" xfId="788"/>
    <cellStyle name="20% - 강조색4 57 19" xfId="9300"/>
    <cellStyle name="20% - 강조색4 57 2" xfId="2997"/>
    <cellStyle name="20% - 강조색4 57 20" xfId="8770"/>
    <cellStyle name="20% - 강조색4 57 21" xfId="9977"/>
    <cellStyle name="20% - 강조색4 57 22" xfId="4691"/>
    <cellStyle name="20% - 강조색4 57 23" xfId="10506"/>
    <cellStyle name="20% - 강조색4 57 24" xfId="9289"/>
    <cellStyle name="20% - 강조색4 57 25" xfId="11003"/>
    <cellStyle name="20% - 강조색4 57 3" xfId="3330"/>
    <cellStyle name="20% - 강조색4 57 4" xfId="3662"/>
    <cellStyle name="20% - 강조색4 57 5" xfId="2494"/>
    <cellStyle name="20% - 강조색4 57 6" xfId="4066"/>
    <cellStyle name="20% - 강조색4 57 7" xfId="4540"/>
    <cellStyle name="20% - 강조색4 57 8" xfId="4043"/>
    <cellStyle name="20% - 강조색4 57 9" xfId="2814"/>
    <cellStyle name="20% - 강조색4 58" xfId="2900"/>
    <cellStyle name="20% - 강조색4 58 10" xfId="5291"/>
    <cellStyle name="20% - 강조색4 58 11" xfId="6587"/>
    <cellStyle name="20% - 강조색4 58 12" xfId="6041"/>
    <cellStyle name="20% - 강조색4 58 13" xfId="6965"/>
    <cellStyle name="20% - 강조색4 58 14" xfId="7625"/>
    <cellStyle name="20% - 강조색4 58 15" xfId="8173"/>
    <cellStyle name="20% - 강조색4 58 16" xfId="8502"/>
    <cellStyle name="20% - 강조색4 58 17" xfId="7603"/>
    <cellStyle name="20% - 강조색4 58 18" xfId="3050"/>
    <cellStyle name="20% - 강조색4 58 19" xfId="9413"/>
    <cellStyle name="20% - 강조색4 58 2" xfId="3340"/>
    <cellStyle name="20% - 강조색4 58 20" xfId="9916"/>
    <cellStyle name="20% - 강조색4 58 21" xfId="10323"/>
    <cellStyle name="20% - 강조색4 58 22" xfId="10453"/>
    <cellStyle name="20% - 강조색4 58 23" xfId="10922"/>
    <cellStyle name="20% - 강조색4 58 24" xfId="11060"/>
    <cellStyle name="20% - 강조색4 58 3" xfId="3673"/>
    <cellStyle name="20% - 강조색4 58 4" xfId="4011"/>
    <cellStyle name="20% - 강조색4 58 5" xfId="4096"/>
    <cellStyle name="20% - 강조색4 58 6" xfId="4610"/>
    <cellStyle name="20% - 강조색4 58 7" xfId="5010"/>
    <cellStyle name="20% - 강조색4 58 8" xfId="5373"/>
    <cellStyle name="20% - 강조색4 58 9" xfId="5572"/>
    <cellStyle name="20% - 강조색4 59" xfId="3043"/>
    <cellStyle name="20% - 강조색4 59 10" xfId="6472"/>
    <cellStyle name="20% - 강조색4 59 11" xfId="7171"/>
    <cellStyle name="20% - 강조색4 59 12" xfId="7315"/>
    <cellStyle name="20% - 강조색4 59 13" xfId="6887"/>
    <cellStyle name="20% - 강조색4 59 14" xfId="7876"/>
    <cellStyle name="20% - 강조색4 59 15" xfId="8494"/>
    <cellStyle name="20% - 강조색4 59 16" xfId="4190"/>
    <cellStyle name="20% - 강조색4 59 17" xfId="7504"/>
    <cellStyle name="20% - 강조색4 59 18" xfId="6036"/>
    <cellStyle name="20% - 강조색4 59 19" xfId="9051"/>
    <cellStyle name="20% - 강조색4 59 2" xfId="3680"/>
    <cellStyle name="20% - 강조색4 59 20" xfId="10304"/>
    <cellStyle name="20% - 강조색4 59 21" xfId="10602"/>
    <cellStyle name="20% - 강조색4 59 22" xfId="7954"/>
    <cellStyle name="20% - 강조색4 59 23" xfId="11242"/>
    <cellStyle name="20% - 강조색4 59 3" xfId="4019"/>
    <cellStyle name="20% - 강조색4 59 4" xfId="2848"/>
    <cellStyle name="20% - 강조색4 59 5" xfId="4553"/>
    <cellStyle name="20% - 강조색4 59 6" xfId="3087"/>
    <cellStyle name="20% - 강조색4 59 7" xfId="5002"/>
    <cellStyle name="20% - 강조색4 59 8" xfId="5227"/>
    <cellStyle name="20% - 강조색4 59 9" xfId="938"/>
    <cellStyle name="20% - 강조색4 6" xfId="98"/>
    <cellStyle name="20% - 강조색4 60" xfId="3597"/>
    <cellStyle name="20% - 강조색4 60 10" xfId="4441"/>
    <cellStyle name="20% - 강조색4 60 11" xfId="5087"/>
    <cellStyle name="20% - 강조색4 60 12" xfId="7604"/>
    <cellStyle name="20% - 강조색4 60 13" xfId="7874"/>
    <cellStyle name="20% - 강조색4 60 14" xfId="8479"/>
    <cellStyle name="20% - 강조색4 60 15" xfId="8742"/>
    <cellStyle name="20% - 강조색4 60 16" xfId="9299"/>
    <cellStyle name="20% - 강조색4 60 17" xfId="8421"/>
    <cellStyle name="20% - 강조색4 60 18" xfId="6077"/>
    <cellStyle name="20% - 강조색4 60 19" xfId="3186"/>
    <cellStyle name="20% - 강조색4 60 2" xfId="4032"/>
    <cellStyle name="20% - 강조색4 60 20" xfId="10529"/>
    <cellStyle name="20% - 강조색4 60 21" xfId="10852"/>
    <cellStyle name="20% - 강조색4 60 22" xfId="11015"/>
    <cellStyle name="20% - 강조색4 60 3" xfId="4368"/>
    <cellStyle name="20% - 강조색4 60 4" xfId="4721"/>
    <cellStyle name="20% - 강조색4 60 5" xfId="5295"/>
    <cellStyle name="20% - 강조색4 60 6" xfId="5342"/>
    <cellStyle name="20% - 강조색4 60 7" xfId="4880"/>
    <cellStyle name="20% - 강조색4 60 8" xfId="2278"/>
    <cellStyle name="20% - 강조색4 60 9" xfId="6078"/>
    <cellStyle name="20% - 강조색4 61" xfId="3955"/>
    <cellStyle name="20% - 강조색4 61 10" xfId="7144"/>
    <cellStyle name="20% - 강조색4 61 11" xfId="7681"/>
    <cellStyle name="20% - 강조색4 61 12" xfId="8199"/>
    <cellStyle name="20% - 강조색4 61 13" xfId="3722"/>
    <cellStyle name="20% - 강조색4 61 14" xfId="991"/>
    <cellStyle name="20% - 강조색4 61 15" xfId="9213"/>
    <cellStyle name="20% - 강조색4 61 16" xfId="9426"/>
    <cellStyle name="20% - 강조색4 61 17" xfId="9819"/>
    <cellStyle name="20% - 강조색4 61 18" xfId="10090"/>
    <cellStyle name="20% - 강조색4 61 19" xfId="9620"/>
    <cellStyle name="20% - 강조색4 61 2" xfId="4377"/>
    <cellStyle name="20% - 강조색4 61 20" xfId="9033"/>
    <cellStyle name="20% - 강조색4 61 21" xfId="8818"/>
    <cellStyle name="20% - 강조색4 61 3" xfId="4731"/>
    <cellStyle name="20% - 강조색4 61 4" xfId="5649"/>
    <cellStyle name="20% - 강조색4 61 5" xfId="5106"/>
    <cellStyle name="20% - 강조색4 61 6" xfId="1574"/>
    <cellStyle name="20% - 강조색4 61 7" xfId="5716"/>
    <cellStyle name="20% - 강조색4 61 8" xfId="6589"/>
    <cellStyle name="20% - 강조색4 61 9" xfId="7064"/>
    <cellStyle name="20% - 강조색4 62" xfId="4295"/>
    <cellStyle name="20% - 강조색4 62 10" xfId="7472"/>
    <cellStyle name="20% - 강조색4 62 11" xfId="8022"/>
    <cellStyle name="20% - 강조색4 62 12" xfId="8228"/>
    <cellStyle name="20% - 강조색4 62 13" xfId="8864"/>
    <cellStyle name="20% - 강조색4 62 14" xfId="9197"/>
    <cellStyle name="20% - 강조색4 62 15" xfId="9568"/>
    <cellStyle name="20% - 강조색4 62 16" xfId="9768"/>
    <cellStyle name="20% - 강조색4 62 17" xfId="10226"/>
    <cellStyle name="20% - 강조색4 62 18" xfId="10604"/>
    <cellStyle name="20% - 강조색4 62 19" xfId="9388"/>
    <cellStyle name="20% - 강조색4 62 2" xfId="4741"/>
    <cellStyle name="20% - 강조색4 62 20" xfId="10288"/>
    <cellStyle name="20% - 강조색4 62 3" xfId="5712"/>
    <cellStyle name="20% - 강조색4 62 4" xfId="5815"/>
    <cellStyle name="20% - 강조색4 62 5" xfId="5890"/>
    <cellStyle name="20% - 강조색4 62 6" xfId="5940"/>
    <cellStyle name="20% - 강조색4 62 7" xfId="6599"/>
    <cellStyle name="20% - 강조색4 62 8" xfId="1819"/>
    <cellStyle name="20% - 강조색4 62 9" xfId="7245"/>
    <cellStyle name="20% - 강조색4 63" xfId="4643"/>
    <cellStyle name="20% - 강조색4 63 10" xfId="8073"/>
    <cellStyle name="20% - 강조색4 63 11" xfId="8559"/>
    <cellStyle name="20% - 강조색4 63 12" xfId="4916"/>
    <cellStyle name="20% - 강조색4 63 13" xfId="9118"/>
    <cellStyle name="20% - 강조색4 63 14" xfId="7992"/>
    <cellStyle name="20% - 강조색4 63 15" xfId="8761"/>
    <cellStyle name="20% - 강조색4 63 16" xfId="10322"/>
    <cellStyle name="20% - 강조색4 63 17" xfId="6222"/>
    <cellStyle name="20% - 강조색4 63 18" xfId="9965"/>
    <cellStyle name="20% - 강조색4 63 19" xfId="11078"/>
    <cellStyle name="20% - 강조색4 63 2" xfId="5784"/>
    <cellStyle name="20% - 강조색4 63 3" xfId="5863"/>
    <cellStyle name="20% - 강조색4 63 4" xfId="5921"/>
    <cellStyle name="20% - 강조색4 63 5" xfId="5949"/>
    <cellStyle name="20% - 강조색4 63 6" xfId="6609"/>
    <cellStyle name="20% - 강조색4 63 7" xfId="7215"/>
    <cellStyle name="20% - 강조색4 63 8" xfId="1585"/>
    <cellStyle name="20% - 강조색4 63 9" xfId="7557"/>
    <cellStyle name="20% - 강조색4 64" xfId="5477"/>
    <cellStyle name="20% - 강조색4 64 10" xfId="9514"/>
    <cellStyle name="20% - 강조색4 64 11" xfId="4759"/>
    <cellStyle name="20% - 강조색4 64 12" xfId="10266"/>
    <cellStyle name="20% - 강조색4 64 13" xfId="10004"/>
    <cellStyle name="20% - 강조색4 64 14" xfId="10404"/>
    <cellStyle name="20% - 강조색4 64 15" xfId="11027"/>
    <cellStyle name="20% - 강조색4 64 2" xfId="6639"/>
    <cellStyle name="20% - 강조색4 64 3" xfId="4809"/>
    <cellStyle name="20% - 강조색4 64 4" xfId="6971"/>
    <cellStyle name="20% - 강조색4 64 5" xfId="7611"/>
    <cellStyle name="20% - 강조색4 64 6" xfId="8124"/>
    <cellStyle name="20% - 강조색4 64 7" xfId="6511"/>
    <cellStyle name="20% - 강조색4 64 8" xfId="2103"/>
    <cellStyle name="20% - 강조색4 64 9" xfId="9039"/>
    <cellStyle name="20% - 강조색4 65" xfId="5628"/>
    <cellStyle name="20% - 강조색4 65 10" xfId="2468"/>
    <cellStyle name="20% - 강조색4 65 11" xfId="8076"/>
    <cellStyle name="20% - 강조색4 65 12" xfId="8364"/>
    <cellStyle name="20% - 강조색4 65 13" xfId="10655"/>
    <cellStyle name="20% - 강조색4 65 14" xfId="6262"/>
    <cellStyle name="20% - 강조색4 65 15" xfId="9463"/>
    <cellStyle name="20% - 강조색4 65 2" xfId="6649"/>
    <cellStyle name="20% - 강조색4 65 3" xfId="7264"/>
    <cellStyle name="20% - 강조색4 65 4" xfId="7314"/>
    <cellStyle name="20% - 강조색4 65 5" xfId="1009"/>
    <cellStyle name="20% - 강조색4 65 6" xfId="5109"/>
    <cellStyle name="20% - 강조색4 65 7" xfId="1876"/>
    <cellStyle name="20% - 강조색4 65 8" xfId="4903"/>
    <cellStyle name="20% - 강조색4 65 9" xfId="9184"/>
    <cellStyle name="20% - 강조색4 66" xfId="5066"/>
    <cellStyle name="20% - 강조색4 66 10" xfId="8855"/>
    <cellStyle name="20% - 강조색4 66 11" xfId="9690"/>
    <cellStyle name="20% - 강조색4 66 12" xfId="8386"/>
    <cellStyle name="20% - 강조색4 66 13" xfId="10388"/>
    <cellStyle name="20% - 강조색4 66 14" xfId="10826"/>
    <cellStyle name="20% - 강조색4 66 15" xfId="8707"/>
    <cellStyle name="20% - 강조색4 66 2" xfId="6624"/>
    <cellStyle name="20% - 강조색4 66 3" xfId="6755"/>
    <cellStyle name="20% - 강조색4 66 4" xfId="7298"/>
    <cellStyle name="20% - 강조색4 66 5" xfId="1458"/>
    <cellStyle name="20% - 강조색4 66 6" xfId="6736"/>
    <cellStyle name="20% - 강조색4 66 7" xfId="2928"/>
    <cellStyle name="20% - 강조색4 66 8" xfId="8891"/>
    <cellStyle name="20% - 강조색4 66 9" xfId="8763"/>
    <cellStyle name="20% - 강조색4 67" xfId="4952"/>
    <cellStyle name="20% - 강조색4 67 10" xfId="8518"/>
    <cellStyle name="20% - 강조색4 67 11" xfId="9734"/>
    <cellStyle name="20% - 강조색4 67 12" xfId="10146"/>
    <cellStyle name="20% - 강조색4 67 13" xfId="8780"/>
    <cellStyle name="20% - 강조색4 67 14" xfId="10737"/>
    <cellStyle name="20% - 강조색4 67 15" xfId="10087"/>
    <cellStyle name="20% - 강조색4 67 2" xfId="6620"/>
    <cellStyle name="20% - 강조색4 67 3" xfId="6845"/>
    <cellStyle name="20% - 강조색4 67 4" xfId="6867"/>
    <cellStyle name="20% - 강조색4 67 5" xfId="3359"/>
    <cellStyle name="20% - 강조색4 67 6" xfId="7929"/>
    <cellStyle name="20% - 강조색4 67 7" xfId="826"/>
    <cellStyle name="20% - 강조색4 67 8" xfId="8817"/>
    <cellStyle name="20% - 강조색4 67 9" xfId="9175"/>
    <cellStyle name="20% - 강조색4 68" xfId="6293"/>
    <cellStyle name="20% - 강조색4 68 10" xfId="8158"/>
    <cellStyle name="20% - 강조색4 68 11" xfId="10242"/>
    <cellStyle name="20% - 강조색4 68 12" xfId="9409"/>
    <cellStyle name="20% - 강조색4 68 13" xfId="10731"/>
    <cellStyle name="20% - 강조색4 68 14" xfId="11082"/>
    <cellStyle name="20% - 강조색4 68 2" xfId="7309"/>
    <cellStyle name="20% - 강조색4 68 3" xfId="7346"/>
    <cellStyle name="20% - 강조색4 68 4" xfId="7835"/>
    <cellStyle name="20% - 강조색4 68 5" xfId="2148"/>
    <cellStyle name="20% - 강조색4 68 6" xfId="849"/>
    <cellStyle name="20% - 강조색4 68 7" xfId="8975"/>
    <cellStyle name="20% - 강조색4 68 8" xfId="7982"/>
    <cellStyle name="20% - 강조색4 68 9" xfId="7695"/>
    <cellStyle name="20% - 강조색4 69" xfId="6993"/>
    <cellStyle name="20% - 강조색4 69 10" xfId="10633"/>
    <cellStyle name="20% - 강조색4 69 11" xfId="10760"/>
    <cellStyle name="20% - 강조색4 69 12" xfId="3486"/>
    <cellStyle name="20% - 강조색4 69 2" xfId="7847"/>
    <cellStyle name="20% - 강조색4 69 3" xfId="8241"/>
    <cellStyle name="20% - 강조색4 69 4" xfId="8105"/>
    <cellStyle name="20% - 강조색4 69 5" xfId="4660"/>
    <cellStyle name="20% - 강조색4 69 6" xfId="7663"/>
    <cellStyle name="20% - 강조색4 69 7" xfId="8720"/>
    <cellStyle name="20% - 강조색4 69 8" xfId="9907"/>
    <cellStyle name="20% - 강조색4 69 9" xfId="10255"/>
    <cellStyle name="20% - 강조색4 7" xfId="111"/>
    <cellStyle name="20% - 강조색4 70" xfId="7335"/>
    <cellStyle name="20% - 강조색4 70 10" xfId="10437"/>
    <cellStyle name="20% - 강조색4 70 11" xfId="10732"/>
    <cellStyle name="20% - 강조색4 70 12" xfId="11011"/>
    <cellStyle name="20% - 강조색4 70 2" xfId="7863"/>
    <cellStyle name="20% - 강조색4 70 3" xfId="8257"/>
    <cellStyle name="20% - 강조색4 70 4" xfId="8619"/>
    <cellStyle name="20% - 강조색4 70 5" xfId="7519"/>
    <cellStyle name="20% - 강조색4 70 6" xfId="7405"/>
    <cellStyle name="20% - 강조색4 70 7" xfId="9436"/>
    <cellStyle name="20% - 강조색4 70 8" xfId="9762"/>
    <cellStyle name="20% - 강조색4 70 9" xfId="10175"/>
    <cellStyle name="20% - 강조색4 71" xfId="7815"/>
    <cellStyle name="20% - 강조색4 71 10" xfId="10804"/>
    <cellStyle name="20% - 강조색4 71 11" xfId="11168"/>
    <cellStyle name="20% - 강조색4 71 2" xfId="8268"/>
    <cellStyle name="20% - 강조색4 71 3" xfId="8630"/>
    <cellStyle name="20% - 강조색4 71 4" xfId="8994"/>
    <cellStyle name="20% - 강조색4 71 5" xfId="9352"/>
    <cellStyle name="20% - 강조색4 71 6" xfId="3854"/>
    <cellStyle name="20% - 강조색4 71 7" xfId="9839"/>
    <cellStyle name="20% - 강조색4 71 8" xfId="10215"/>
    <cellStyle name="20% - 강조색4 71 9" xfId="10491"/>
    <cellStyle name="20% - 강조색4 72" xfId="8132"/>
    <cellStyle name="20% - 강조색4 72 10" xfId="7666"/>
    <cellStyle name="20% - 강조색4 72 2" xfId="8635"/>
    <cellStyle name="20% - 강조색4 72 3" xfId="8999"/>
    <cellStyle name="20% - 강조색4 72 4" xfId="9358"/>
    <cellStyle name="20% - 강조색4 72 5" xfId="9573"/>
    <cellStyle name="20% - 강조색4 72 6" xfId="9917"/>
    <cellStyle name="20% - 강조색4 72 7" xfId="8681"/>
    <cellStyle name="20% - 강조색4 72 8" xfId="9177"/>
    <cellStyle name="20% - 강조색4 72 9" xfId="10950"/>
    <cellStyle name="20% - 강조색4 73" xfId="8595"/>
    <cellStyle name="20% - 강조색4 73 2" xfId="9013"/>
    <cellStyle name="20% - 강조색4 73 3" xfId="9372"/>
    <cellStyle name="20% - 강조색4 73 4" xfId="9704"/>
    <cellStyle name="20% - 강조색4 73 5" xfId="10030"/>
    <cellStyle name="20% - 강조색4 73 6" xfId="10161"/>
    <cellStyle name="20% - 강조색4 73 7" xfId="8456"/>
    <cellStyle name="20% - 강조색4 73 8" xfId="10726"/>
    <cellStyle name="20% - 강조색4 73 9" xfId="11146"/>
    <cellStyle name="20% - 강조색4 74" xfId="8971"/>
    <cellStyle name="20% - 강조색4 74 2" xfId="9381"/>
    <cellStyle name="20% - 강조색4 74 3" xfId="9713"/>
    <cellStyle name="20% - 강조색4 74 4" xfId="10039"/>
    <cellStyle name="20% - 강조색4 74 5" xfId="10352"/>
    <cellStyle name="20% - 강조색4 74 6" xfId="10127"/>
    <cellStyle name="20% - 강조색4 74 7" xfId="10718"/>
    <cellStyle name="20% - 강조색4 74 8" xfId="10439"/>
    <cellStyle name="20% - 강조색4 75" xfId="9340"/>
    <cellStyle name="20% - 강조색4 75 2" xfId="9722"/>
    <cellStyle name="20% - 강조색4 75 3" xfId="10048"/>
    <cellStyle name="20% - 강조색4 75 4" xfId="10361"/>
    <cellStyle name="20% - 강조색4 75 5" xfId="10670"/>
    <cellStyle name="20% - 강조색4 75 6" xfId="6670"/>
    <cellStyle name="20% - 강조색4 75 7" xfId="10021"/>
    <cellStyle name="20% - 강조색4 76" xfId="4779"/>
    <cellStyle name="20% - 강조색4 76 2" xfId="9932"/>
    <cellStyle name="20% - 강조색4 76 3" xfId="10313"/>
    <cellStyle name="20% - 강조색4 76 4" xfId="9728"/>
    <cellStyle name="20% - 강조색4 76 5" xfId="2710"/>
    <cellStyle name="20% - 강조색4 76 6" xfId="10699"/>
    <cellStyle name="20% - 강조색4 77" xfId="9959"/>
    <cellStyle name="20% - 강조색4 77 2" xfId="10377"/>
    <cellStyle name="20% - 강조색4 77 3" xfId="10688"/>
    <cellStyle name="20% - 강조색4 77 4" xfId="10972"/>
    <cellStyle name="20% - 강조색4 77 5" xfId="11248"/>
    <cellStyle name="20% - 강조색4 78" xfId="10341"/>
    <cellStyle name="20% - 강조색4 78 2" xfId="10697"/>
    <cellStyle name="20% - 강조색4 78 3" xfId="10981"/>
    <cellStyle name="20% - 강조색4 78 4" xfId="11258"/>
    <cellStyle name="20% - 강조색4 79" xfId="10649"/>
    <cellStyle name="20% - 강조색4 79 2" xfId="10989"/>
    <cellStyle name="20% - 강조색4 79 3" xfId="11267"/>
    <cellStyle name="20% - 강조색4 8" xfId="124"/>
    <cellStyle name="20% - 강조색4 80" xfId="10953"/>
    <cellStyle name="20% - 강조색4 80 2" xfId="11278"/>
    <cellStyle name="20% - 강조색4 81" xfId="11238"/>
    <cellStyle name="20% - 강조색4 82" xfId="11302"/>
    <cellStyle name="20% - 강조색4 83" xfId="11356"/>
    <cellStyle name="20% - 강조색4 84" xfId="11349"/>
    <cellStyle name="20% - 강조색4 85" xfId="11420"/>
    <cellStyle name="20% - 강조색4 86" xfId="11442"/>
    <cellStyle name="20% - 강조색4 9" xfId="137"/>
    <cellStyle name="20% - 강조색5" xfId="35" builtinId="46" customBuiltin="1"/>
    <cellStyle name="20% - 강조색5 10" xfId="174"/>
    <cellStyle name="20% - 강조색5 11" xfId="187"/>
    <cellStyle name="20% - 강조색5 12" xfId="200"/>
    <cellStyle name="20% - 강조색5 13" xfId="213"/>
    <cellStyle name="20% - 강조색5 14" xfId="226"/>
    <cellStyle name="20% - 강조색5 15" xfId="239"/>
    <cellStyle name="20% - 강조색5 16" xfId="252"/>
    <cellStyle name="20% - 강조색5 17" xfId="265"/>
    <cellStyle name="20% - 강조색5 18" xfId="278"/>
    <cellStyle name="20% - 강조색5 19" xfId="291"/>
    <cellStyle name="20% - 강조색5 2" xfId="52"/>
    <cellStyle name="20% - 강조색5 20" xfId="304"/>
    <cellStyle name="20% - 강조색5 21" xfId="317"/>
    <cellStyle name="20% - 강조색5 22" xfId="330"/>
    <cellStyle name="20% - 강조색5 23" xfId="343"/>
    <cellStyle name="20% - 강조색5 24" xfId="356"/>
    <cellStyle name="20% - 강조색5 25" xfId="369"/>
    <cellStyle name="20% - 강조색5 26" xfId="382"/>
    <cellStyle name="20% - 강조색5 27" xfId="395"/>
    <cellStyle name="20% - 강조색5 28" xfId="408"/>
    <cellStyle name="20% - 강조색5 29" xfId="421"/>
    <cellStyle name="20% - 강조색5 3" xfId="82"/>
    <cellStyle name="20% - 강조색5 30" xfId="434"/>
    <cellStyle name="20% - 강조색5 31" xfId="446"/>
    <cellStyle name="20% - 강조색5 32" xfId="458"/>
    <cellStyle name="20% - 강조색5 33" xfId="470"/>
    <cellStyle name="20% - 강조색5 34" xfId="482"/>
    <cellStyle name="20% - 강조색5 35" xfId="493"/>
    <cellStyle name="20% - 강조색5 36" xfId="504"/>
    <cellStyle name="20% - 강조색5 37" xfId="515"/>
    <cellStyle name="20% - 강조색5 38" xfId="525"/>
    <cellStyle name="20% - 강조색5 39" xfId="533"/>
    <cellStyle name="20% - 강조색5 4" xfId="96"/>
    <cellStyle name="20% - 강조색5 40" xfId="550"/>
    <cellStyle name="20% - 강조색5 40 10" xfId="2451"/>
    <cellStyle name="20% - 강조색5 40 11" xfId="1911"/>
    <cellStyle name="20% - 강조색5 40 12" xfId="3947"/>
    <cellStyle name="20% - 강조색5 40 13" xfId="4109"/>
    <cellStyle name="20% - 강조색5 40 14" xfId="4636"/>
    <cellStyle name="20% - 강조색5 40 15" xfId="3354"/>
    <cellStyle name="20% - 강조색5 40 16" xfId="5364"/>
    <cellStyle name="20% - 강조색5 40 17" xfId="5479"/>
    <cellStyle name="20% - 강조색5 40 18" xfId="1872"/>
    <cellStyle name="20% - 강조색5 40 19" xfId="6569"/>
    <cellStyle name="20% - 강조색5 40 2" xfId="1049"/>
    <cellStyle name="20% - 강조색5 40 20" xfId="6701"/>
    <cellStyle name="20% - 강조색5 40 21" xfId="6346"/>
    <cellStyle name="20% - 강조색5 40 22" xfId="7732"/>
    <cellStyle name="20% - 강조색5 40 23" xfId="4150"/>
    <cellStyle name="20% - 강조색5 40 24" xfId="8480"/>
    <cellStyle name="20% - 강조색5 40 25" xfId="1473"/>
    <cellStyle name="20% - 강조색5 40 26" xfId="9101"/>
    <cellStyle name="20% - 강조색5 40 27" xfId="9586"/>
    <cellStyle name="20% - 강조색5 40 28" xfId="9834"/>
    <cellStyle name="20% - 강조색5 40 29" xfId="6054"/>
    <cellStyle name="20% - 강조색5 40 3" xfId="1140"/>
    <cellStyle name="20% - 강조색5 40 30" xfId="10631"/>
    <cellStyle name="20% - 강조색5 40 31" xfId="10920"/>
    <cellStyle name="20% - 강조색5 40 32" xfId="10992"/>
    <cellStyle name="20% - 강조색5 40 33" xfId="11321"/>
    <cellStyle name="20% - 강조색5 40 34" xfId="11292"/>
    <cellStyle name="20% - 강조색5 40 35" xfId="11355"/>
    <cellStyle name="20% - 강조색5 40 36" xfId="11389"/>
    <cellStyle name="20% - 강조색5 40 4" xfId="1231"/>
    <cellStyle name="20% - 강조색5 40 5" xfId="1618"/>
    <cellStyle name="20% - 강조색5 40 6" xfId="1313"/>
    <cellStyle name="20% - 강조색5 40 7" xfId="2282"/>
    <cellStyle name="20% - 강조색5 40 8" xfId="2650"/>
    <cellStyle name="20% - 강조색5 40 9" xfId="2959"/>
    <cellStyle name="20% - 강조색5 41" xfId="592"/>
    <cellStyle name="20% - 강조색5 41 10" xfId="3281"/>
    <cellStyle name="20% - 강조색5 41 11" xfId="3473"/>
    <cellStyle name="20% - 강조색5 41 12" xfId="4008"/>
    <cellStyle name="20% - 강조색5 41 13" xfId="4326"/>
    <cellStyle name="20% - 강조색5 41 14" xfId="3766"/>
    <cellStyle name="20% - 강조색5 41 15" xfId="955"/>
    <cellStyle name="20% - 강조색5 41 16" xfId="4847"/>
    <cellStyle name="20% - 강조색5 41 17" xfId="5461"/>
    <cellStyle name="20% - 강조색5 41 18" xfId="4432"/>
    <cellStyle name="20% - 강조색5 41 19" xfId="3895"/>
    <cellStyle name="20% - 강조색5 41 2" xfId="1091"/>
    <cellStyle name="20% - 강조색5 41 20" xfId="7083"/>
    <cellStyle name="20% - 강조색5 41 21" xfId="6558"/>
    <cellStyle name="20% - 강조색5 41 22" xfId="4241"/>
    <cellStyle name="20% - 강조색5 41 23" xfId="8057"/>
    <cellStyle name="20% - 강조색5 41 24" xfId="8349"/>
    <cellStyle name="20% - 강조색5 41 25" xfId="8664"/>
    <cellStyle name="20% - 강조색5 41 26" xfId="6786"/>
    <cellStyle name="20% - 강조색5 41 27" xfId="9457"/>
    <cellStyle name="20% - 강조색5 41 28" xfId="9923"/>
    <cellStyle name="20% - 강조색5 41 29" xfId="2054"/>
    <cellStyle name="20% - 강조색5 41 3" xfId="1182"/>
    <cellStyle name="20% - 강조색5 41 30" xfId="6677"/>
    <cellStyle name="20% - 강조색5 41 31" xfId="4393"/>
    <cellStyle name="20% - 강조색5 41 32" xfId="11173"/>
    <cellStyle name="20% - 강조색5 41 4" xfId="1273"/>
    <cellStyle name="20% - 강조색5 41 5" xfId="1722"/>
    <cellStyle name="20% - 강조색5 41 6" xfId="1494"/>
    <cellStyle name="20% - 강조색5 41 7" xfId="2279"/>
    <cellStyle name="20% - 강조색5 41 8" xfId="876"/>
    <cellStyle name="20% - 강조색5 41 9" xfId="2951"/>
    <cellStyle name="20% - 강조색5 42" xfId="593"/>
    <cellStyle name="20% - 강조색5 42 10" xfId="3267"/>
    <cellStyle name="20% - 강조색5 42 11" xfId="1398"/>
    <cellStyle name="20% - 강조색5 42 12" xfId="3012"/>
    <cellStyle name="20% - 강조색5 42 13" xfId="4272"/>
    <cellStyle name="20% - 강조색5 42 14" xfId="4554"/>
    <cellStyle name="20% - 강조색5 42 15" xfId="5603"/>
    <cellStyle name="20% - 강조색5 42 16" xfId="5670"/>
    <cellStyle name="20% - 강조색5 42 17" xfId="5679"/>
    <cellStyle name="20% - 강조색5 42 18" xfId="5544"/>
    <cellStyle name="20% - 강조색5 42 19" xfId="6342"/>
    <cellStyle name="20% - 강조색5 42 2" xfId="1092"/>
    <cellStyle name="20% - 강조색5 42 20" xfId="7070"/>
    <cellStyle name="20% - 강조색5 42 21" xfId="4248"/>
    <cellStyle name="20% - 강조색5 42 22" xfId="4419"/>
    <cellStyle name="20% - 강조색5 42 23" xfId="7577"/>
    <cellStyle name="20% - 강조색5 42 24" xfId="3780"/>
    <cellStyle name="20% - 강조색5 42 25" xfId="8821"/>
    <cellStyle name="20% - 강조색5 42 26" xfId="9291"/>
    <cellStyle name="20% - 강조색5 42 27" xfId="9652"/>
    <cellStyle name="20% - 강조색5 42 28" xfId="3715"/>
    <cellStyle name="20% - 강조색5 42 29" xfId="10265"/>
    <cellStyle name="20% - 강조색5 42 3" xfId="1183"/>
    <cellStyle name="20% - 강조색5 42 30" xfId="10625"/>
    <cellStyle name="20% - 강조색5 42 31" xfId="9116"/>
    <cellStyle name="20% - 강조색5 42 32" xfId="11040"/>
    <cellStyle name="20% - 강조색5 42 4" xfId="1274"/>
    <cellStyle name="20% - 강조색5 42 5" xfId="1637"/>
    <cellStyle name="20% - 강조색5 42 6" xfId="2023"/>
    <cellStyle name="20% - 강조색5 42 7" xfId="2293"/>
    <cellStyle name="20% - 강조색5 42 8" xfId="2609"/>
    <cellStyle name="20% - 강조색5 42 9" xfId="2790"/>
    <cellStyle name="20% - 강조색5 43" xfId="597"/>
    <cellStyle name="20% - 강조색5 43 10" xfId="736"/>
    <cellStyle name="20% - 강조색5 43 11" xfId="3377"/>
    <cellStyle name="20% - 강조색5 43 12" xfId="3831"/>
    <cellStyle name="20% - 강조색5 43 13" xfId="4267"/>
    <cellStyle name="20% - 강조색5 43 14" xfId="4543"/>
    <cellStyle name="20% - 강조색5 43 15" xfId="4954"/>
    <cellStyle name="20% - 강조색5 43 16" xfId="1956"/>
    <cellStyle name="20% - 강조색5 43 17" xfId="825"/>
    <cellStyle name="20% - 강조색5 43 18" xfId="5503"/>
    <cellStyle name="20% - 강조색5 43 19" xfId="6578"/>
    <cellStyle name="20% - 강조색5 43 2" xfId="1096"/>
    <cellStyle name="20% - 강조색5 43 20" xfId="6179"/>
    <cellStyle name="20% - 강조색5 43 21" xfId="4390"/>
    <cellStyle name="20% - 강조색5 43 22" xfId="7559"/>
    <cellStyle name="20% - 강조색5 43 23" xfId="7961"/>
    <cellStyle name="20% - 강조색5 43 24" xfId="8359"/>
    <cellStyle name="20% - 강조색5 43 25" xfId="7515"/>
    <cellStyle name="20% - 강조색5 43 26" xfId="3846"/>
    <cellStyle name="20% - 강조색5 43 27" xfId="9648"/>
    <cellStyle name="20% - 강조색5 43 28" xfId="6123"/>
    <cellStyle name="20% - 강조색5 43 29" xfId="10327"/>
    <cellStyle name="20% - 강조색5 43 3" xfId="1187"/>
    <cellStyle name="20% - 강조색5 43 30" xfId="4907"/>
    <cellStyle name="20% - 강조색5 43 31" xfId="10139"/>
    <cellStyle name="20% - 강조색5 43 32" xfId="7586"/>
    <cellStyle name="20% - 강조색5 43 4" xfId="1278"/>
    <cellStyle name="20% - 강조색5 43 5" xfId="1660"/>
    <cellStyle name="20% - 강조색5 43 6" xfId="1861"/>
    <cellStyle name="20% - 강조색5 43 7" xfId="2210"/>
    <cellStyle name="20% - 강조색5 43 8" xfId="1916"/>
    <cellStyle name="20% - 강조색5 43 9" xfId="2898"/>
    <cellStyle name="20% - 강조색5 44" xfId="575"/>
    <cellStyle name="20% - 강조색5 44 10" xfId="3312"/>
    <cellStyle name="20% - 강조색5 44 11" xfId="3610"/>
    <cellStyle name="20% - 강조색5 44 12" xfId="3788"/>
    <cellStyle name="20% - 강조색5 44 13" xfId="4192"/>
    <cellStyle name="20% - 강조색5 44 14" xfId="4138"/>
    <cellStyle name="20% - 강조색5 44 15" xfId="3533"/>
    <cellStyle name="20% - 강조색5 44 16" xfId="5580"/>
    <cellStyle name="20% - 강조색5 44 17" xfId="1925"/>
    <cellStyle name="20% - 강조색5 44 18" xfId="5028"/>
    <cellStyle name="20% - 강조색5 44 19" xfId="6573"/>
    <cellStyle name="20% - 강조색5 44 2" xfId="1074"/>
    <cellStyle name="20% - 강조색5 44 20" xfId="7019"/>
    <cellStyle name="20% - 강조색5 44 21" xfId="3922"/>
    <cellStyle name="20% - 강조색5 44 22" xfId="4413"/>
    <cellStyle name="20% - 강조색5 44 23" xfId="4396"/>
    <cellStyle name="20% - 강조색5 44 24" xfId="5044"/>
    <cellStyle name="20% - 강조색5 44 25" xfId="8902"/>
    <cellStyle name="20% - 강조색5 44 26" xfId="8277"/>
    <cellStyle name="20% - 강조색5 44 27" xfId="9682"/>
    <cellStyle name="20% - 강조색5 44 28" xfId="6396"/>
    <cellStyle name="20% - 강조색5 44 29" xfId="10078"/>
    <cellStyle name="20% - 강조색5 44 3" xfId="1165"/>
    <cellStyle name="20% - 강조색5 44 30" xfId="10583"/>
    <cellStyle name="20% - 강조색5 44 31" xfId="4122"/>
    <cellStyle name="20% - 강조색5 44 32" xfId="11212"/>
    <cellStyle name="20% - 강조색5 44 4" xfId="1256"/>
    <cellStyle name="20% - 강조색5 44 5" xfId="1721"/>
    <cellStyle name="20% - 강조색5 44 6" xfId="909"/>
    <cellStyle name="20% - 강조색5 44 7" xfId="919"/>
    <cellStyle name="20% - 강조색5 44 8" xfId="2569"/>
    <cellStyle name="20% - 강조색5 44 9" xfId="2882"/>
    <cellStyle name="20% - 강조색5 45" xfId="564"/>
    <cellStyle name="20% - 강조색5 45 10" xfId="873"/>
    <cellStyle name="20% - 강조색5 45 11" xfId="3614"/>
    <cellStyle name="20% - 강조색5 45 12" xfId="3961"/>
    <cellStyle name="20% - 강조색5 45 13" xfId="4312"/>
    <cellStyle name="20% - 강조색5 45 14" xfId="4558"/>
    <cellStyle name="20% - 강조색5 45 15" xfId="5260"/>
    <cellStyle name="20% - 강조색5 45 16" xfId="1867"/>
    <cellStyle name="20% - 강조색5 45 17" xfId="3260"/>
    <cellStyle name="20% - 강조색5 45 18" xfId="5287"/>
    <cellStyle name="20% - 강조색5 45 19" xfId="6285"/>
    <cellStyle name="20% - 강조색5 45 2" xfId="1063"/>
    <cellStyle name="20% - 강조색5 45 20" xfId="7155"/>
    <cellStyle name="20% - 강조색5 45 21" xfId="6810"/>
    <cellStyle name="20% - 강조색5 45 22" xfId="6838"/>
    <cellStyle name="20% - 강조색5 45 23" xfId="8050"/>
    <cellStyle name="20% - 강조색5 45 24" xfId="7071"/>
    <cellStyle name="20% - 강조색5 45 25" xfId="2162"/>
    <cellStyle name="20% - 강조색5 45 26" xfId="8659"/>
    <cellStyle name="20% - 강조색5 45 27" xfId="4163"/>
    <cellStyle name="20% - 강조색5 45 28" xfId="9509"/>
    <cellStyle name="20% - 강조색5 45 29" xfId="10059"/>
    <cellStyle name="20% - 강조색5 45 3" xfId="1154"/>
    <cellStyle name="20% - 강조색5 45 30" xfId="10451"/>
    <cellStyle name="20% - 강조색5 45 31" xfId="10958"/>
    <cellStyle name="20% - 강조색5 45 32" xfId="11010"/>
    <cellStyle name="20% - 강조색5 45 4" xfId="1245"/>
    <cellStyle name="20% - 강조색5 45 5" xfId="1649"/>
    <cellStyle name="20% - 강조색5 45 6" xfId="857"/>
    <cellStyle name="20% - 강조색5 45 7" xfId="2280"/>
    <cellStyle name="20% - 강조색5 45 8" xfId="2463"/>
    <cellStyle name="20% - 강조색5 45 9" xfId="2840"/>
    <cellStyle name="20% - 강조색5 46" xfId="555"/>
    <cellStyle name="20% - 강조색5 46 10" xfId="3109"/>
    <cellStyle name="20% - 강조색5 46 11" xfId="3421"/>
    <cellStyle name="20% - 강조색5 46 12" xfId="3771"/>
    <cellStyle name="20% - 강조색5 46 13" xfId="4184"/>
    <cellStyle name="20% - 강조색5 46 14" xfId="4605"/>
    <cellStyle name="20% - 강조색5 46 15" xfId="5588"/>
    <cellStyle name="20% - 강조색5 46 16" xfId="5199"/>
    <cellStyle name="20% - 강조색5 46 17" xfId="5242"/>
    <cellStyle name="20% - 강조색5 46 18" xfId="4147"/>
    <cellStyle name="20% - 강조색5 46 19" xfId="6517"/>
    <cellStyle name="20% - 강조색5 46 2" xfId="1054"/>
    <cellStyle name="20% - 강조색5 46 20" xfId="2071"/>
    <cellStyle name="20% - 강조색5 46 21" xfId="3024"/>
    <cellStyle name="20% - 강조색5 46 22" xfId="5143"/>
    <cellStyle name="20% - 강조색5 46 23" xfId="8082"/>
    <cellStyle name="20% - 강조색5 46 24" xfId="8540"/>
    <cellStyle name="20% - 강조색5 46 25" xfId="3168"/>
    <cellStyle name="20% - 강조색5 46 26" xfId="6066"/>
    <cellStyle name="20% - 강조색5 46 27" xfId="8081"/>
    <cellStyle name="20% - 강조색5 46 28" xfId="9950"/>
    <cellStyle name="20% - 강조색5 46 29" xfId="10279"/>
    <cellStyle name="20% - 강조색5 46 3" xfId="1145"/>
    <cellStyle name="20% - 강조색5 46 30" xfId="6167"/>
    <cellStyle name="20% - 강조색5 46 31" xfId="6106"/>
    <cellStyle name="20% - 강조색5 46 32" xfId="8767"/>
    <cellStyle name="20% - 강조색5 46 4" xfId="1236"/>
    <cellStyle name="20% - 강조색5 46 5" xfId="1655"/>
    <cellStyle name="20% - 강조색5 46 6" xfId="1474"/>
    <cellStyle name="20% - 강조색5 46 7" xfId="2174"/>
    <cellStyle name="20% - 강조색5 46 8" xfId="2495"/>
    <cellStyle name="20% - 강조색5 46 9" xfId="2701"/>
    <cellStyle name="20% - 강조색5 47" xfId="644"/>
    <cellStyle name="20% - 강조색5 47 10" xfId="4294"/>
    <cellStyle name="20% - 강조색5 47 11" xfId="4640"/>
    <cellStyle name="20% - 강조색5 47 12" xfId="4870"/>
    <cellStyle name="20% - 강조색5 47 13" xfId="5213"/>
    <cellStyle name="20% - 강조색5 47 14" xfId="2363"/>
    <cellStyle name="20% - 강조색5 47 15" xfId="4856"/>
    <cellStyle name="20% - 강조색5 47 16" xfId="2216"/>
    <cellStyle name="20% - 강조색5 47 17" xfId="6390"/>
    <cellStyle name="20% - 강조색5 47 18" xfId="7175"/>
    <cellStyle name="20% - 강조색5 47 19" xfId="1397"/>
    <cellStyle name="20% - 강조색5 47 2" xfId="1645"/>
    <cellStyle name="20% - 강조색5 47 20" xfId="8163"/>
    <cellStyle name="20% - 강조색5 47 21" xfId="5070"/>
    <cellStyle name="20% - 강조색5 47 22" xfId="8933"/>
    <cellStyle name="20% - 강조색5 47 23" xfId="9201"/>
    <cellStyle name="20% - 강조색5 47 24" xfId="9247"/>
    <cellStyle name="20% - 강조색5 47 25" xfId="9958"/>
    <cellStyle name="20% - 강조색5 47 26" xfId="10217"/>
    <cellStyle name="20% - 강조색5 47 27" xfId="8722"/>
    <cellStyle name="20% - 강조색5 47 28" xfId="6272"/>
    <cellStyle name="20% - 강조색5 47 29" xfId="10856"/>
    <cellStyle name="20% - 강조색5 47 3" xfId="1986"/>
    <cellStyle name="20% - 강조색5 47 30" xfId="11325"/>
    <cellStyle name="20% - 강조색5 47 31" xfId="11432"/>
    <cellStyle name="20% - 강조색5 47 32" xfId="11433"/>
    <cellStyle name="20% - 강조색5 47 33" xfId="11434"/>
    <cellStyle name="20% - 강조색5 47 4" xfId="2313"/>
    <cellStyle name="20% - 강조색5 47 5" xfId="995"/>
    <cellStyle name="20% - 강조색5 47 6" xfId="1893"/>
    <cellStyle name="20% - 강조색5 47 7" xfId="3248"/>
    <cellStyle name="20% - 강조색5 47 8" xfId="3655"/>
    <cellStyle name="20% - 강조색5 47 9" xfId="2827"/>
    <cellStyle name="20% - 강조색5 48" xfId="702"/>
    <cellStyle name="20% - 강조색5 48 10" xfId="4200"/>
    <cellStyle name="20% - 강조색5 48 11" xfId="4549"/>
    <cellStyle name="20% - 강조색5 48 12" xfId="5556"/>
    <cellStyle name="20% - 강조색5 48 13" xfId="5430"/>
    <cellStyle name="20% - 강조색5 48 14" xfId="2740"/>
    <cellStyle name="20% - 강조색5 48 15" xfId="4957"/>
    <cellStyle name="20% - 강조색5 48 16" xfId="4098"/>
    <cellStyle name="20% - 강조색5 48 17" xfId="6913"/>
    <cellStyle name="20% - 강조색5 48 18" xfId="7305"/>
    <cellStyle name="20% - 강조색5 48 19" xfId="7743"/>
    <cellStyle name="20% - 강조색5 48 2" xfId="1676"/>
    <cellStyle name="20% - 강조색5 48 20" xfId="8069"/>
    <cellStyle name="20% - 강조색5 48 21" xfId="8565"/>
    <cellStyle name="20% - 강조색5 48 22" xfId="7394"/>
    <cellStyle name="20% - 강조색5 48 23" xfId="6516"/>
    <cellStyle name="20% - 강조색5 48 24" xfId="9510"/>
    <cellStyle name="20% - 강조색5 48 25" xfId="9738"/>
    <cellStyle name="20% - 강조색5 48 26" xfId="10167"/>
    <cellStyle name="20% - 강조색5 48 27" xfId="10586"/>
    <cellStyle name="20% - 강조색5 48 28" xfId="10411"/>
    <cellStyle name="20% - 강조색5 48 29" xfId="9488"/>
    <cellStyle name="20% - 강조색5 48 3" xfId="952"/>
    <cellStyle name="20% - 강조색5 48 4" xfId="2186"/>
    <cellStyle name="20% - 강조색5 48 5" xfId="2465"/>
    <cellStyle name="20% - 강조색5 48 6" xfId="862"/>
    <cellStyle name="20% - 강조색5 48 7" xfId="3096"/>
    <cellStyle name="20% - 강조색5 48 8" xfId="3405"/>
    <cellStyle name="20% - 강조색5 48 9" xfId="3982"/>
    <cellStyle name="20% - 강조색5 49" xfId="699"/>
    <cellStyle name="20% - 강조색5 49 10" xfId="4258"/>
    <cellStyle name="20% - 강조색5 49 11" xfId="4682"/>
    <cellStyle name="20% - 강조색5 49 12" xfId="3911"/>
    <cellStyle name="20% - 강조색5 49 13" xfId="5787"/>
    <cellStyle name="20% - 강조색5 49 14" xfId="5866"/>
    <cellStyle name="20% - 강조색5 49 15" xfId="5924"/>
    <cellStyle name="20% - 강조색5 49 16" xfId="823"/>
    <cellStyle name="20% - 강조색5 49 17" xfId="6140"/>
    <cellStyle name="20% - 강조색5 49 18" xfId="7195"/>
    <cellStyle name="20% - 강조색5 49 19" xfId="7601"/>
    <cellStyle name="20% - 강조색5 49 2" xfId="1653"/>
    <cellStyle name="20% - 강조색5 49 20" xfId="8104"/>
    <cellStyle name="20% - 강조색5 49 21" xfId="8584"/>
    <cellStyle name="20% - 강조색5 49 22" xfId="8829"/>
    <cellStyle name="20% - 강조색5 49 23" xfId="9088"/>
    <cellStyle name="20% - 강조색5 49 24" xfId="9569"/>
    <cellStyle name="20% - 강조색5 49 25" xfId="6513"/>
    <cellStyle name="20% - 강조색5 49 26" xfId="10178"/>
    <cellStyle name="20% - 강조색5 49 27" xfId="10654"/>
    <cellStyle name="20% - 강조색5 49 28" xfId="3437"/>
    <cellStyle name="20% - 강조색5 49 29" xfId="10903"/>
    <cellStyle name="20% - 강조색5 49 3" xfId="1558"/>
    <cellStyle name="20% - 강조색5 49 4" xfId="1416"/>
    <cellStyle name="20% - 강조색5 49 5" xfId="2580"/>
    <cellStyle name="20% - 강조색5 49 6" xfId="2816"/>
    <cellStyle name="20% - 강조색5 49 7" xfId="3211"/>
    <cellStyle name="20% - 강조색5 49 8" xfId="3611"/>
    <cellStyle name="20% - 강조색5 49 9" xfId="1938"/>
    <cellStyle name="20% - 강조색5 5" xfId="109"/>
    <cellStyle name="20% - 강조색5 50" xfId="654"/>
    <cellStyle name="20% - 강조색5 50 10" xfId="4101"/>
    <cellStyle name="20% - 강조색5 50 11" xfId="4568"/>
    <cellStyle name="20% - 강조색5 50 12" xfId="4416"/>
    <cellStyle name="20% - 강조색5 50 13" xfId="5191"/>
    <cellStyle name="20% - 강조색5 50 14" xfId="5380"/>
    <cellStyle name="20% - 강조색5 50 15" xfId="5068"/>
    <cellStyle name="20% - 강조색5 50 16" xfId="3867"/>
    <cellStyle name="20% - 강조색5 50 17" xfId="7130"/>
    <cellStyle name="20% - 강조색5 50 18" xfId="6885"/>
    <cellStyle name="20% - 강조색5 50 19" xfId="7809"/>
    <cellStyle name="20% - 강조색5 50 2" xfId="1622"/>
    <cellStyle name="20% - 강조색5 50 20" xfId="7897"/>
    <cellStyle name="20% - 강조색5 50 21" xfId="8378"/>
    <cellStyle name="20% - 강조색5 50 22" xfId="7745"/>
    <cellStyle name="20% - 강조색5 50 23" xfId="3435"/>
    <cellStyle name="20% - 강조색5 50 24" xfId="9563"/>
    <cellStyle name="20% - 강조색5 50 25" xfId="8672"/>
    <cellStyle name="20% - 강조색5 50 26" xfId="10292"/>
    <cellStyle name="20% - 강조색5 50 27" xfId="10545"/>
    <cellStyle name="20% - 강조색5 50 28" xfId="10745"/>
    <cellStyle name="20% - 강조색5 50 29" xfId="3118"/>
    <cellStyle name="20% - 강조색5 50 3" xfId="1463"/>
    <cellStyle name="20% - 강조색5 50 4" xfId="2289"/>
    <cellStyle name="20% - 강조색5 50 5" xfId="2583"/>
    <cellStyle name="20% - 강조색5 50 6" xfId="2472"/>
    <cellStyle name="20% - 강조색5 50 7" xfId="3187"/>
    <cellStyle name="20% - 강조색5 50 8" xfId="3463"/>
    <cellStyle name="20% - 강조색5 50 9" xfId="3930"/>
    <cellStyle name="20% - 강조색5 51" xfId="662"/>
    <cellStyle name="20% - 강조색5 51 10" xfId="4194"/>
    <cellStyle name="20% - 강조색5 51 11" xfId="3778"/>
    <cellStyle name="20% - 강조색5 51 12" xfId="3879"/>
    <cellStyle name="20% - 강조색5 51 13" xfId="5407"/>
    <cellStyle name="20% - 강조색5 51 14" xfId="5579"/>
    <cellStyle name="20% - 강조색5 51 15" xfId="5493"/>
    <cellStyle name="20% - 강조색5 51 16" xfId="3288"/>
    <cellStyle name="20% - 강조색5 51 17" xfId="7140"/>
    <cellStyle name="20% - 강조색5 51 18" xfId="7003"/>
    <cellStyle name="20% - 강조색5 51 19" xfId="3023"/>
    <cellStyle name="20% - 강조색5 51 2" xfId="1769"/>
    <cellStyle name="20% - 강조색5 51 20" xfId="7960"/>
    <cellStyle name="20% - 강조색5 51 21" xfId="8519"/>
    <cellStyle name="20% - 강조색5 51 22" xfId="8856"/>
    <cellStyle name="20% - 강조색5 51 23" xfId="8434"/>
    <cellStyle name="20% - 강조색5 51 24" xfId="9661"/>
    <cellStyle name="20% - 강조색5 51 25" xfId="8746"/>
    <cellStyle name="20% - 강조색5 51 26" xfId="10290"/>
    <cellStyle name="20% - 강조색5 51 27" xfId="10157"/>
    <cellStyle name="20% - 강조색5 51 28" xfId="10836"/>
    <cellStyle name="20% - 강조색5 51 29" xfId="11105"/>
    <cellStyle name="20% - 강조색5 51 3" xfId="1580"/>
    <cellStyle name="20% - 강조색5 51 4" xfId="2315"/>
    <cellStyle name="20% - 강조색5 51 5" xfId="2146"/>
    <cellStyle name="20% - 강조색5 51 6" xfId="1387"/>
    <cellStyle name="20% - 강조색5 51 7" xfId="1396"/>
    <cellStyle name="20% - 강조색5 51 8" xfId="1602"/>
    <cellStyle name="20% - 강조색5 51 9" xfId="3973"/>
    <cellStyle name="20% - 강조색5 52" xfId="686"/>
    <cellStyle name="20% - 강조색5 52 10" xfId="4213"/>
    <cellStyle name="20% - 강조색5 52 11" xfId="4689"/>
    <cellStyle name="20% - 강조색5 52 12" xfId="4771"/>
    <cellStyle name="20% - 강조색5 52 13" xfId="5789"/>
    <cellStyle name="20% - 강조색5 52 14" xfId="5868"/>
    <cellStyle name="20% - 강조색5 52 15" xfId="5926"/>
    <cellStyle name="20% - 강조색5 52 16" xfId="6255"/>
    <cellStyle name="20% - 강조색5 52 17" xfId="872"/>
    <cellStyle name="20% - 강조색5 52 18" xfId="1408"/>
    <cellStyle name="20% - 강조색5 52 19" xfId="7554"/>
    <cellStyle name="20% - 강조색5 52 2" xfId="1631"/>
    <cellStyle name="20% - 강조색5 52 20" xfId="2427"/>
    <cellStyle name="20% - 강조색5 52 21" xfId="6762"/>
    <cellStyle name="20% - 강조색5 52 22" xfId="4046"/>
    <cellStyle name="20% - 강조색5 52 23" xfId="9298"/>
    <cellStyle name="20% - 강조색5 52 24" xfId="9519"/>
    <cellStyle name="20% - 강조색5 52 25" xfId="9824"/>
    <cellStyle name="20% - 강조색5 52 26" xfId="9226"/>
    <cellStyle name="20% - 강조색5 52 27" xfId="9740"/>
    <cellStyle name="20% - 강조색5 52 28" xfId="8852"/>
    <cellStyle name="20% - 강조색5 52 29" xfId="6784"/>
    <cellStyle name="20% - 강조색5 52 3" xfId="2029"/>
    <cellStyle name="20% - 강조색5 52 4" xfId="2241"/>
    <cellStyle name="20% - 강조색5 52 5" xfId="2637"/>
    <cellStyle name="20% - 강조색5 52 6" xfId="2753"/>
    <cellStyle name="20% - 강조색5 52 7" xfId="3249"/>
    <cellStyle name="20% - 강조색5 52 8" xfId="2488"/>
    <cellStyle name="20% - 강조색5 52 9" xfId="3978"/>
    <cellStyle name="20% - 강조색5 53" xfId="689"/>
    <cellStyle name="20% - 강조색5 53 10" xfId="4076"/>
    <cellStyle name="20% - 강조색5 53 11" xfId="949"/>
    <cellStyle name="20% - 강조색5 53 12" xfId="5607"/>
    <cellStyle name="20% - 강조색5 53 13" xfId="5623"/>
    <cellStyle name="20% - 강조색5 53 14" xfId="5367"/>
    <cellStyle name="20% - 강조색5 53 15" xfId="5555"/>
    <cellStyle name="20% - 강조색5 53 16" xfId="4835"/>
    <cellStyle name="20% - 강조색5 53 17" xfId="4094"/>
    <cellStyle name="20% - 강조색5 53 18" xfId="6882"/>
    <cellStyle name="20% - 강조색5 53 19" xfId="7599"/>
    <cellStyle name="20% - 강조색5 53 2" xfId="1777"/>
    <cellStyle name="20% - 강조색5 53 20" xfId="4871"/>
    <cellStyle name="20% - 강조색5 53 21" xfId="5083"/>
    <cellStyle name="20% - 강조색5 53 22" xfId="6796"/>
    <cellStyle name="20% - 강조색5 53 23" xfId="4939"/>
    <cellStyle name="20% - 강조색5 53 24" xfId="8769"/>
    <cellStyle name="20% - 강조색5 53 25" xfId="9882"/>
    <cellStyle name="20% - 강조색5 53 26" xfId="10291"/>
    <cellStyle name="20% - 강조색5 53 27" xfId="8415"/>
    <cellStyle name="20% - 강조색5 53 28" xfId="4751"/>
    <cellStyle name="20% - 강조색5 53 29" xfId="11072"/>
    <cellStyle name="20% - 강조색5 53 3" xfId="1361"/>
    <cellStyle name="20% - 강조색5 53 4" xfId="2240"/>
    <cellStyle name="20% - 강조색5 53 5" xfId="2467"/>
    <cellStyle name="20% - 강조색5 53 6" xfId="2846"/>
    <cellStyle name="20% - 강조색5 53 7" xfId="2381"/>
    <cellStyle name="20% - 강조색5 53 8" xfId="1969"/>
    <cellStyle name="20% - 강조색5 53 9" xfId="3475"/>
    <cellStyle name="20% - 강조색5 54" xfId="1563"/>
    <cellStyle name="20% - 강조색5 54 10" xfId="4535"/>
    <cellStyle name="20% - 강조색5 54 11" xfId="5063"/>
    <cellStyle name="20% - 강조색5 54 12" xfId="4796"/>
    <cellStyle name="20% - 강조색5 54 13" xfId="5340"/>
    <cellStyle name="20% - 강조색5 54 14" xfId="5496"/>
    <cellStyle name="20% - 강조색5 54 15" xfId="6506"/>
    <cellStyle name="20% - 강조색5 54 16" xfId="6744"/>
    <cellStyle name="20% - 강조색5 54 17" xfId="6173"/>
    <cellStyle name="20% - 강조색5 54 18" xfId="7775"/>
    <cellStyle name="20% - 강조색5 54 19" xfId="8159"/>
    <cellStyle name="20% - 강조색5 54 2" xfId="2052"/>
    <cellStyle name="20% - 강조색5 54 20" xfId="8576"/>
    <cellStyle name="20% - 강조색5 54 21" xfId="7486"/>
    <cellStyle name="20% - 강조색5 54 22" xfId="9256"/>
    <cellStyle name="20% - 강조색5 54 23" xfId="9679"/>
    <cellStyle name="20% - 강조색5 54 24" xfId="9866"/>
    <cellStyle name="20% - 강조색5 54 25" xfId="10197"/>
    <cellStyle name="20% - 강조색5 54 26" xfId="10415"/>
    <cellStyle name="20% - 강조색5 54 27" xfId="10713"/>
    <cellStyle name="20% - 강조색5 54 28" xfId="9016"/>
    <cellStyle name="20% - 강조색5 54 3" xfId="2334"/>
    <cellStyle name="20% - 강조색5 54 4" xfId="2471"/>
    <cellStyle name="20% - 강조색5 54 5" xfId="2842"/>
    <cellStyle name="20% - 강조색5 54 6" xfId="3111"/>
    <cellStyle name="20% - 강조색5 54 7" xfId="1553"/>
    <cellStyle name="20% - 강조색5 54 8" xfId="3803"/>
    <cellStyle name="20% - 강조색5 54 9" xfId="4084"/>
    <cellStyle name="20% - 강조색5 55" xfId="1992"/>
    <cellStyle name="20% - 강조색5 55 10" xfId="5210"/>
    <cellStyle name="20% - 강조색5 55 11" xfId="4496"/>
    <cellStyle name="20% - 강조색5 55 12" xfId="2173"/>
    <cellStyle name="20% - 강조색5 55 13" xfId="4766"/>
    <cellStyle name="20% - 강조색5 55 14" xfId="6484"/>
    <cellStyle name="20% - 강조색5 55 15" xfId="6977"/>
    <cellStyle name="20% - 강조색5 55 16" xfId="6873"/>
    <cellStyle name="20% - 강조색5 55 17" xfId="7495"/>
    <cellStyle name="20% - 강조색5 55 18" xfId="8160"/>
    <cellStyle name="20% - 강조색5 55 19" xfId="2479"/>
    <cellStyle name="20% - 강조색5 55 2" xfId="2340"/>
    <cellStyle name="20% - 강조색5 55 20" xfId="8812"/>
    <cellStyle name="20% - 강조색5 55 21" xfId="9334"/>
    <cellStyle name="20% - 강조색5 55 22" xfId="9466"/>
    <cellStyle name="20% - 강조색5 55 23" xfId="9769"/>
    <cellStyle name="20% - 강조색5 55 24" xfId="4341"/>
    <cellStyle name="20% - 강조색5 55 25" xfId="10426"/>
    <cellStyle name="20% - 강조색5 55 26" xfId="8322"/>
    <cellStyle name="20% - 강조색5 55 27" xfId="11133"/>
    <cellStyle name="20% - 강조색5 55 3" xfId="2659"/>
    <cellStyle name="20% - 강조색5 55 4" xfId="2974"/>
    <cellStyle name="20% - 강조색5 55 5" xfId="3276"/>
    <cellStyle name="20% - 강조색5 55 6" xfId="3425"/>
    <cellStyle name="20% - 강조색5 55 7" xfId="3492"/>
    <cellStyle name="20% - 강조색5 55 8" xfId="4232"/>
    <cellStyle name="20% - 강조색5 55 9" xfId="4621"/>
    <cellStyle name="20% - 강조색5 56" xfId="2303"/>
    <cellStyle name="20% - 강조색5 56 10" xfId="4793"/>
    <cellStyle name="20% - 강조색5 56 11" xfId="4826"/>
    <cellStyle name="20% - 강조색5 56 12" xfId="5258"/>
    <cellStyle name="20% - 강조색5 56 13" xfId="6312"/>
    <cellStyle name="20% - 강조색5 56 14" xfId="7191"/>
    <cellStyle name="20% - 강조색5 56 15" xfId="7251"/>
    <cellStyle name="20% - 강조색5 56 16" xfId="1870"/>
    <cellStyle name="20% - 강조색5 56 17" xfId="2963"/>
    <cellStyle name="20% - 강조색5 56 18" xfId="8508"/>
    <cellStyle name="20% - 강조색5 56 19" xfId="7447"/>
    <cellStyle name="20% - 강조색5 56 2" xfId="2674"/>
    <cellStyle name="20% - 강조색5 56 20" xfId="6699"/>
    <cellStyle name="20% - 강조색5 56 21" xfId="9596"/>
    <cellStyle name="20% - 강조색5 56 22" xfId="9060"/>
    <cellStyle name="20% - 강조색5 56 23" xfId="6299"/>
    <cellStyle name="20% - 강조색5 56 24" xfId="10392"/>
    <cellStyle name="20% - 강조색5 56 25" xfId="10393"/>
    <cellStyle name="20% - 강조색5 56 26" xfId="11221"/>
    <cellStyle name="20% - 강조색5 56 3" xfId="2989"/>
    <cellStyle name="20% - 강조색5 56 4" xfId="3322"/>
    <cellStyle name="20% - 강조색5 56 5" xfId="3612"/>
    <cellStyle name="20% - 강조색5 56 6" xfId="3958"/>
    <cellStyle name="20% - 강조색5 56 7" xfId="956"/>
    <cellStyle name="20% - 강조색5 56 8" xfId="3717"/>
    <cellStyle name="20% - 강조색5 56 9" xfId="5292"/>
    <cellStyle name="20% - 강조색5 57" xfId="2651"/>
    <cellStyle name="20% - 강조색5 57 10" xfId="5853"/>
    <cellStyle name="20% - 강조색5 57 11" xfId="5914"/>
    <cellStyle name="20% - 강조색5 57 12" xfId="4217"/>
    <cellStyle name="20% - 강조색5 57 13" xfId="5356"/>
    <cellStyle name="20% - 강조색5 57 14" xfId="7046"/>
    <cellStyle name="20% - 강조색5 57 15" xfId="7652"/>
    <cellStyle name="20% - 강조색5 57 16" xfId="6178"/>
    <cellStyle name="20% - 강조색5 57 17" xfId="3006"/>
    <cellStyle name="20% - 강조색5 57 18" xfId="8284"/>
    <cellStyle name="20% - 강조색5 57 19" xfId="9025"/>
    <cellStyle name="20% - 강조색5 57 2" xfId="3002"/>
    <cellStyle name="20% - 강조색5 57 20" xfId="9540"/>
    <cellStyle name="20% - 강조색5 57 21" xfId="8786"/>
    <cellStyle name="20% - 강조색5 57 22" xfId="8024"/>
    <cellStyle name="20% - 강조색5 57 23" xfId="8950"/>
    <cellStyle name="20% - 강조색5 57 24" xfId="3113"/>
    <cellStyle name="20% - 강조색5 57 25" xfId="4165"/>
    <cellStyle name="20% - 강조색5 57 3" xfId="3335"/>
    <cellStyle name="20% - 강조색5 57 4" xfId="3667"/>
    <cellStyle name="20% - 강조색5 57 5" xfId="3945"/>
    <cellStyle name="20% - 강조색5 57 6" xfId="4270"/>
    <cellStyle name="20% - 강조색5 57 7" xfId="4684"/>
    <cellStyle name="20% - 강조색5 57 8" xfId="3695"/>
    <cellStyle name="20% - 강조색5 57 9" xfId="5766"/>
    <cellStyle name="20% - 강조색5 58" xfId="2777"/>
    <cellStyle name="20% - 강조색5 58 10" xfId="5732"/>
    <cellStyle name="20% - 강조색5 58 11" xfId="6050"/>
    <cellStyle name="20% - 강조색5 58 12" xfId="6930"/>
    <cellStyle name="20% - 강조색5 58 13" xfId="6104"/>
    <cellStyle name="20% - 강조색5 58 14" xfId="3576"/>
    <cellStyle name="20% - 강조색5 58 15" xfId="8213"/>
    <cellStyle name="20% - 강조색5 58 16" xfId="8347"/>
    <cellStyle name="20% - 강조색5 58 17" xfId="8692"/>
    <cellStyle name="20% - 강조색5 58 18" xfId="9069"/>
    <cellStyle name="20% - 강조색5 58 19" xfId="2872"/>
    <cellStyle name="20% - 강조색5 58 2" xfId="3337"/>
    <cellStyle name="20% - 강조색5 58 20" xfId="9890"/>
    <cellStyle name="20% - 강조색5 58 21" xfId="10306"/>
    <cellStyle name="20% - 강조색5 58 22" xfId="10617"/>
    <cellStyle name="20% - 강조색5 58 23" xfId="9482"/>
    <cellStyle name="20% - 강조색5 58 24" xfId="8654"/>
    <cellStyle name="20% - 강조색5 58 3" xfId="3670"/>
    <cellStyle name="20% - 강조색5 58 4" xfId="3761"/>
    <cellStyle name="20% - 강조색5 58 5" xfId="1512"/>
    <cellStyle name="20% - 강조색5 58 6" xfId="3195"/>
    <cellStyle name="20% - 강조색5 58 7" xfId="2428"/>
    <cellStyle name="20% - 강조색5 58 8" xfId="5680"/>
    <cellStyle name="20% - 강조색5 58 9" xfId="5574"/>
    <cellStyle name="20% - 강조색5 59" xfId="3089"/>
    <cellStyle name="20% - 강조색5 59 10" xfId="6486"/>
    <cellStyle name="20% - 강조색5 59 11" xfId="7128"/>
    <cellStyle name="20% - 강조색5 59 12" xfId="7226"/>
    <cellStyle name="20% - 강조색5 59 13" xfId="7569"/>
    <cellStyle name="20% - 강조색5 59 14" xfId="8100"/>
    <cellStyle name="20% - 강조색5 59 15" xfId="6522"/>
    <cellStyle name="20% - 강조색5 59 16" xfId="8745"/>
    <cellStyle name="20% - 강조색5 59 17" xfId="9094"/>
    <cellStyle name="20% - 강조색5 59 18" xfId="8313"/>
    <cellStyle name="20% - 강조색5 59 19" xfId="3189"/>
    <cellStyle name="20% - 강조색5 59 2" xfId="3681"/>
    <cellStyle name="20% - 강조색5 59 20" xfId="9065"/>
    <cellStyle name="20% - 강조색5 59 21" xfId="5153"/>
    <cellStyle name="20% - 강조색5 59 22" xfId="10932"/>
    <cellStyle name="20% - 강조색5 59 23" xfId="10799"/>
    <cellStyle name="20% - 강조색5 59 3" xfId="4020"/>
    <cellStyle name="20% - 강조색5 59 4" xfId="4356"/>
    <cellStyle name="20% - 강조색5 59 5" xfId="4051"/>
    <cellStyle name="20% - 강조색5 59 6" xfId="4121"/>
    <cellStyle name="20% - 강조색5 59 7" xfId="5801"/>
    <cellStyle name="20% - 강조색5 59 8" xfId="5878"/>
    <cellStyle name="20% - 강조색5 59 9" xfId="5934"/>
    <cellStyle name="20% - 강조색5 6" xfId="122"/>
    <cellStyle name="20% - 강조색5 60" xfId="2227"/>
    <cellStyle name="20% - 강조색5 60 10" xfId="3793"/>
    <cellStyle name="20% - 강조색5 60 11" xfId="7123"/>
    <cellStyle name="20% - 강조색5 60 12" xfId="6865"/>
    <cellStyle name="20% - 강조색5 60 13" xfId="7432"/>
    <cellStyle name="20% - 강조색5 60 14" xfId="8466"/>
    <cellStyle name="20% - 강조색5 60 15" xfId="8749"/>
    <cellStyle name="20% - 강조색5 60 16" xfId="9207"/>
    <cellStyle name="20% - 강조색5 60 17" xfId="7492"/>
    <cellStyle name="20% - 강조색5 60 18" xfId="6295"/>
    <cellStyle name="20% - 강조색5 60 19" xfId="1810"/>
    <cellStyle name="20% - 강조색5 60 2" xfId="3989"/>
    <cellStyle name="20% - 강조색5 60 20" xfId="10599"/>
    <cellStyle name="20% - 강조색5 60 21" xfId="10698"/>
    <cellStyle name="20% - 강조색5 60 22" xfId="11077"/>
    <cellStyle name="20% - 강조색5 60 3" xfId="4216"/>
    <cellStyle name="20% - 강조색5 60 4" xfId="4435"/>
    <cellStyle name="20% - 강조색5 60 5" xfId="5224"/>
    <cellStyle name="20% - 강조색5 60 6" xfId="5080"/>
    <cellStyle name="20% - 강조색5 60 7" xfId="3772"/>
    <cellStyle name="20% - 강조색5 60 8" xfId="5541"/>
    <cellStyle name="20% - 강조색5 60 9" xfId="6225"/>
    <cellStyle name="20% - 강조색5 61" xfId="3719"/>
    <cellStyle name="20% - 강조색5 61 10" xfId="6881"/>
    <cellStyle name="20% - 강조색5 61 11" xfId="4054"/>
    <cellStyle name="20% - 강조색5 61 12" xfId="6083"/>
    <cellStyle name="20% - 강조색5 61 13" xfId="8521"/>
    <cellStyle name="20% - 강조색5 61 14" xfId="8871"/>
    <cellStyle name="20% - 강조색5 61 15" xfId="4451"/>
    <cellStyle name="20% - 강조색5 61 16" xfId="9657"/>
    <cellStyle name="20% - 강조색5 61 17" xfId="9872"/>
    <cellStyle name="20% - 강조색5 61 18" xfId="6743"/>
    <cellStyle name="20% - 강조색5 61 19" xfId="10580"/>
    <cellStyle name="20% - 강조색5 61 2" xfId="4372"/>
    <cellStyle name="20% - 강조색5 61 20" xfId="10748"/>
    <cellStyle name="20% - 강조색5 61 21" xfId="11234"/>
    <cellStyle name="20% - 강조색5 61 3" xfId="4725"/>
    <cellStyle name="20% - 강조색5 61 4" xfId="5283"/>
    <cellStyle name="20% - 강조색5 61 5" xfId="1814"/>
    <cellStyle name="20% - 강조색5 61 6" xfId="4836"/>
    <cellStyle name="20% - 강조색5 61 7" xfId="5673"/>
    <cellStyle name="20% - 강조색5 61 8" xfId="1857"/>
    <cellStyle name="20% - 강조색5 61 9" xfId="7150"/>
    <cellStyle name="20% - 강조색5 62" xfId="4292"/>
    <cellStyle name="20% - 강조색5 62 10" xfId="7744"/>
    <cellStyle name="20% - 강조색5 62 11" xfId="7991"/>
    <cellStyle name="20% - 강조색5 62 12" xfId="1873"/>
    <cellStyle name="20% - 강조색5 62 13" xfId="8976"/>
    <cellStyle name="20% - 강조색5 62 14" xfId="9320"/>
    <cellStyle name="20% - 강조색5 62 15" xfId="9537"/>
    <cellStyle name="20% - 강조색5 62 16" xfId="9850"/>
    <cellStyle name="20% - 강조색5 62 17" xfId="8516"/>
    <cellStyle name="20% - 강조색5 62 18" xfId="10578"/>
    <cellStyle name="20% - 강조색5 62 19" xfId="10130"/>
    <cellStyle name="20% - 강조색5 62 2" xfId="4740"/>
    <cellStyle name="20% - 강조색5 62 20" xfId="6094"/>
    <cellStyle name="20% - 강조색5 62 3" xfId="5711"/>
    <cellStyle name="20% - 강조색5 62 4" xfId="5814"/>
    <cellStyle name="20% - 강조색5 62 5" xfId="5889"/>
    <cellStyle name="20% - 강조색5 62 6" xfId="5939"/>
    <cellStyle name="20% - 강조색5 62 7" xfId="6598"/>
    <cellStyle name="20% - 강조색5 62 8" xfId="6999"/>
    <cellStyle name="20% - 강조색5 62 9" xfId="7265"/>
    <cellStyle name="20% - 강조색5 63" xfId="4655"/>
    <cellStyle name="20% - 강조색5 63 10" xfId="8197"/>
    <cellStyle name="20% - 강조색5 63 11" xfId="8477"/>
    <cellStyle name="20% - 강조색5 63 12" xfId="8901"/>
    <cellStyle name="20% - 강조색5 63 13" xfId="4351"/>
    <cellStyle name="20% - 강조색5 63 14" xfId="8061"/>
    <cellStyle name="20% - 강조색5 63 15" xfId="8694"/>
    <cellStyle name="20% - 강조색5 63 16" xfId="10318"/>
    <cellStyle name="20% - 강조색5 63 17" xfId="10609"/>
    <cellStyle name="20% - 강조색5 63 18" xfId="1377"/>
    <cellStyle name="20% - 강조색5 63 19" xfId="7378"/>
    <cellStyle name="20% - 강조색5 63 2" xfId="5786"/>
    <cellStyle name="20% - 강조색5 63 3" xfId="5865"/>
    <cellStyle name="20% - 강조색5 63 4" xfId="5923"/>
    <cellStyle name="20% - 강조색5 63 5" xfId="5950"/>
    <cellStyle name="20% - 강조색5 63 6" xfId="6610"/>
    <cellStyle name="20% - 강조색5 63 7" xfId="7009"/>
    <cellStyle name="20% - 강조색5 63 8" xfId="6821"/>
    <cellStyle name="20% - 강조색5 63 9" xfId="7414"/>
    <cellStyle name="20% - 강조색5 64" xfId="5055"/>
    <cellStyle name="20% - 강조색5 64 10" xfId="6731"/>
    <cellStyle name="20% - 강조색5 64 11" xfId="9883"/>
    <cellStyle name="20% - 강조색5 64 12" xfId="6328"/>
    <cellStyle name="20% - 강조색5 64 13" xfId="10512"/>
    <cellStyle name="20% - 강조색5 64 14" xfId="4580"/>
    <cellStyle name="20% - 강조색5 64 15" xfId="11013"/>
    <cellStyle name="20% - 강조색5 64 2" xfId="6623"/>
    <cellStyle name="20% - 강조색5 64 3" xfId="6894"/>
    <cellStyle name="20% - 강조색5 64 4" xfId="7339"/>
    <cellStyle name="20% - 강조색5 64 5" xfId="7369"/>
    <cellStyle name="20% - 강조색5 64 6" xfId="8015"/>
    <cellStyle name="20% - 강조색5 64 7" xfId="1961"/>
    <cellStyle name="20% - 강조색5 64 8" xfId="8884"/>
    <cellStyle name="20% - 강조색5 64 9" xfId="9136"/>
    <cellStyle name="20% - 강조색5 65" xfId="4823"/>
    <cellStyle name="20% - 강조색5 65 10" xfId="9526"/>
    <cellStyle name="20% - 강조색5 65 11" xfId="2855"/>
    <cellStyle name="20% - 강조색5 65 12" xfId="10195"/>
    <cellStyle name="20% - 강조색5 65 13" xfId="10540"/>
    <cellStyle name="20% - 강조색5 65 14" xfId="6009"/>
    <cellStyle name="20% - 강조색5 65 15" xfId="11101"/>
    <cellStyle name="20% - 강조색5 65 2" xfId="6615"/>
    <cellStyle name="20% - 강조색5 65 3" xfId="7201"/>
    <cellStyle name="20% - 강조색5 65 4" xfId="7311"/>
    <cellStyle name="20% - 강조색5 65 5" xfId="7760"/>
    <cellStyle name="20% - 강조색5 65 6" xfId="4829"/>
    <cellStyle name="20% - 강조색5 65 7" xfId="1534"/>
    <cellStyle name="20% - 강조색5 65 8" xfId="8708"/>
    <cellStyle name="20% - 강조색5 65 9" xfId="8873"/>
    <cellStyle name="20% - 강조색5 66" xfId="904"/>
    <cellStyle name="20% - 강조색5 66 10" xfId="9637"/>
    <cellStyle name="20% - 강조색5 66 11" xfId="2797"/>
    <cellStyle name="20% - 강조색5 66 12" xfId="9023"/>
    <cellStyle name="20% - 강조색5 66 13" xfId="10421"/>
    <cellStyle name="20% - 강조색5 66 14" xfId="9091"/>
    <cellStyle name="20% - 강조색5 66 15" xfId="8644"/>
    <cellStyle name="20% - 강조색5 66 2" xfId="1356"/>
    <cellStyle name="20% - 강조색5 66 3" xfId="7017"/>
    <cellStyle name="20% - 강조색5 66 4" xfId="7132"/>
    <cellStyle name="20% - 강조색5 66 5" xfId="7677"/>
    <cellStyle name="20% - 강조색5 66 6" xfId="6296"/>
    <cellStyle name="20% - 강조색5 66 7" xfId="8485"/>
    <cellStyle name="20% - 강조색5 66 8" xfId="4041"/>
    <cellStyle name="20% - 강조색5 66 9" xfId="3174"/>
    <cellStyle name="20% - 강조색5 67" xfId="5086"/>
    <cellStyle name="20% - 강조색5 67 10" xfId="9390"/>
    <cellStyle name="20% - 강조색5 67 11" xfId="10003"/>
    <cellStyle name="20% - 강조색5 67 12" xfId="10296"/>
    <cellStyle name="20% - 강조색5 67 13" xfId="10595"/>
    <cellStyle name="20% - 강조색5 67 14" xfId="10934"/>
    <cellStyle name="20% - 강조색5 67 15" xfId="9900"/>
    <cellStyle name="20% - 강조색5 67 2" xfId="6625"/>
    <cellStyle name="20% - 강조색5 67 3" xfId="6966"/>
    <cellStyle name="20% - 강조색5 67 4" xfId="7283"/>
    <cellStyle name="20% - 강조색5 67 5" xfId="6267"/>
    <cellStyle name="20% - 강조색5 67 6" xfId="8161"/>
    <cellStyle name="20% - 강조색5 67 7" xfId="8375"/>
    <cellStyle name="20% - 강조색5 67 8" xfId="8880"/>
    <cellStyle name="20% - 강조색5 67 9" xfId="9209"/>
    <cellStyle name="20% - 강조색5 68" xfId="6301"/>
    <cellStyle name="20% - 강조색5 68 10" xfId="9826"/>
    <cellStyle name="20% - 강조색5 68 11" xfId="10287"/>
    <cellStyle name="20% - 강조색5 68 12" xfId="10615"/>
    <cellStyle name="20% - 강조색5 68 13" xfId="10838"/>
    <cellStyle name="20% - 강조색5 68 14" xfId="11009"/>
    <cellStyle name="20% - 강조색5 68 2" xfId="7310"/>
    <cellStyle name="20% - 강조색5 68 3" xfId="7347"/>
    <cellStyle name="20% - 강조색5 68 4" xfId="7836"/>
    <cellStyle name="20% - 강조색5 68 5" xfId="7892"/>
    <cellStyle name="20% - 강조색5 68 6" xfId="7512"/>
    <cellStyle name="20% - 강조색5 68 7" xfId="8785"/>
    <cellStyle name="20% - 강조색5 68 8" xfId="4491"/>
    <cellStyle name="20% - 강조색5 68 9" xfId="9416"/>
    <cellStyle name="20% - 강조색5 69" xfId="6934"/>
    <cellStyle name="20% - 강조색5 69 10" xfId="10382"/>
    <cellStyle name="20% - 강조색5 69 11" xfId="9961"/>
    <cellStyle name="20% - 강조색5 69 12" xfId="10474"/>
    <cellStyle name="20% - 강조색5 69 2" xfId="7846"/>
    <cellStyle name="20% - 강조색5 69 3" xfId="8240"/>
    <cellStyle name="20% - 강조색5 69 4" xfId="8461"/>
    <cellStyle name="20% - 강조색5 69 5" xfId="8858"/>
    <cellStyle name="20% - 강조색5 69 6" xfId="1540"/>
    <cellStyle name="20% - 강조색5 69 7" xfId="9619"/>
    <cellStyle name="20% - 강조색5 69 8" xfId="9937"/>
    <cellStyle name="20% - 강조색5 69 9" xfId="10203"/>
    <cellStyle name="20% - 강조색5 7" xfId="135"/>
    <cellStyle name="20% - 강조색5 70" xfId="7274"/>
    <cellStyle name="20% - 강조색5 70 10" xfId="6497"/>
    <cellStyle name="20% - 강조색5 70 11" xfId="10935"/>
    <cellStyle name="20% - 강조색5 70 12" xfId="4492"/>
    <cellStyle name="20% - 강조색5 70 2" xfId="7859"/>
    <cellStyle name="20% - 강조색5 70 3" xfId="8253"/>
    <cellStyle name="20% - 강조색5 70 4" xfId="8615"/>
    <cellStyle name="20% - 강조색5 70 5" xfId="3724"/>
    <cellStyle name="20% - 강조색5 70 6" xfId="9158"/>
    <cellStyle name="20% - 강조색5 70 7" xfId="9468"/>
    <cellStyle name="20% - 강조색5 70 8" xfId="9888"/>
    <cellStyle name="20% - 강조색5 70 9" xfId="6455"/>
    <cellStyle name="20% - 강조색5 71" xfId="7717"/>
    <cellStyle name="20% - 강조색5 71 10" xfId="10784"/>
    <cellStyle name="20% - 강조색5 71 11" xfId="846"/>
    <cellStyle name="20% - 강조색5 71 2" xfId="8264"/>
    <cellStyle name="20% - 강조색5 71 3" xfId="8626"/>
    <cellStyle name="20% - 강조색5 71 4" xfId="8990"/>
    <cellStyle name="20% - 강조색5 71 5" xfId="8716"/>
    <cellStyle name="20% - 강조색5 71 6" xfId="9641"/>
    <cellStyle name="20% - 강조색5 71 7" xfId="9777"/>
    <cellStyle name="20% - 강조색5 71 8" xfId="10219"/>
    <cellStyle name="20% - 강조색5 71 9" xfId="10381"/>
    <cellStyle name="20% - 강조색5 72" xfId="5131"/>
    <cellStyle name="20% - 강조색5 72 10" xfId="9021"/>
    <cellStyle name="20% - 강조색5 72 2" xfId="8476"/>
    <cellStyle name="20% - 강조색5 72 3" xfId="8365"/>
    <cellStyle name="20% - 강조색5 72 4" xfId="9283"/>
    <cellStyle name="20% - 강조색5 72 5" xfId="7563"/>
    <cellStyle name="20% - 강조색5 72 6" xfId="9905"/>
    <cellStyle name="20% - 강조색5 72 7" xfId="10257"/>
    <cellStyle name="20% - 강조색5 72 8" xfId="10430"/>
    <cellStyle name="20% - 강조색5 72 9" xfId="10820"/>
    <cellStyle name="20% - 강조색5 73" xfId="8591"/>
    <cellStyle name="20% - 강조색5 73 2" xfId="9012"/>
    <cellStyle name="20% - 강조색5 73 3" xfId="9371"/>
    <cellStyle name="20% - 강조색5 73 4" xfId="9703"/>
    <cellStyle name="20% - 강조색5 73 5" xfId="10029"/>
    <cellStyle name="20% - 강조색5 73 6" xfId="4762"/>
    <cellStyle name="20% - 강조색5 73 7" xfId="6319"/>
    <cellStyle name="20% - 강조색5 73 8" xfId="10791"/>
    <cellStyle name="20% - 강조색5 73 9" xfId="9034"/>
    <cellStyle name="20% - 강조색5 74" xfId="8867"/>
    <cellStyle name="20% - 강조색5 74 2" xfId="9377"/>
    <cellStyle name="20% - 강조색5 74 3" xfId="9709"/>
    <cellStyle name="20% - 강조색5 74 4" xfId="10035"/>
    <cellStyle name="20% - 강조색5 74 5" xfId="10348"/>
    <cellStyle name="20% - 강조색5 74 6" xfId="8721"/>
    <cellStyle name="20% - 강조색5 74 7" xfId="10886"/>
    <cellStyle name="20% - 강조색5 74 8" xfId="6541"/>
    <cellStyle name="20% - 강조색5 75" xfId="2361"/>
    <cellStyle name="20% - 강조색5 75 2" xfId="8438"/>
    <cellStyle name="20% - 강조색5 75 3" xfId="8004"/>
    <cellStyle name="20% - 강조색5 75 4" xfId="10074"/>
    <cellStyle name="20% - 강조색5 75 5" xfId="7648"/>
    <cellStyle name="20% - 강조색5 75 6" xfId="7928"/>
    <cellStyle name="20% - 강조색5 75 7" xfId="11209"/>
    <cellStyle name="20% - 강조색5 76" xfId="9645"/>
    <cellStyle name="20% - 강조색5 76 2" xfId="10054"/>
    <cellStyle name="20% - 강조색5 76 3" xfId="10368"/>
    <cellStyle name="20% - 강조색5 76 4" xfId="10678"/>
    <cellStyle name="20% - 강조색5 76 5" xfId="10961"/>
    <cellStyle name="20% - 강조색5 76 6" xfId="11184"/>
    <cellStyle name="20% - 강조색5 77" xfId="3738"/>
    <cellStyle name="20% - 강조색5 77 2" xfId="10309"/>
    <cellStyle name="20% - 강조색5 77 3" xfId="2104"/>
    <cellStyle name="20% - 강조색5 77 4" xfId="10822"/>
    <cellStyle name="20% - 강조색5 77 5" xfId="11064"/>
    <cellStyle name="20% - 강조색5 78" xfId="3783"/>
    <cellStyle name="20% - 강조색5 78 2" xfId="3806"/>
    <cellStyle name="20% - 강조색5 78 3" xfId="10954"/>
    <cellStyle name="20% - 강조색5 78 4" xfId="11245"/>
    <cellStyle name="20% - 강조색5 79" xfId="10507"/>
    <cellStyle name="20% - 강조색5 79 2" xfId="10983"/>
    <cellStyle name="20% - 강조색5 79 3" xfId="11261"/>
    <cellStyle name="20% - 강조색5 8" xfId="148"/>
    <cellStyle name="20% - 강조색5 80" xfId="1809"/>
    <cellStyle name="20% - 강조색5 80 2" xfId="7575"/>
    <cellStyle name="20% - 강조색5 81" xfId="11121"/>
    <cellStyle name="20% - 강조색5 82" xfId="11287"/>
    <cellStyle name="20% - 강조색5 83" xfId="11364"/>
    <cellStyle name="20% - 강조색5 84" xfId="11373"/>
    <cellStyle name="20% - 강조색5 85" xfId="11394"/>
    <cellStyle name="20% - 강조색5 86" xfId="11444"/>
    <cellStyle name="20% - 강조색5 9" xfId="161"/>
    <cellStyle name="20% - 강조색6" xfId="39" builtinId="50" customBuiltin="1"/>
    <cellStyle name="20% - 강조색6 10" xfId="177"/>
    <cellStyle name="20% - 강조색6 11" xfId="190"/>
    <cellStyle name="20% - 강조색6 12" xfId="203"/>
    <cellStyle name="20% - 강조색6 13" xfId="216"/>
    <cellStyle name="20% - 강조색6 14" xfId="229"/>
    <cellStyle name="20% - 강조색6 15" xfId="242"/>
    <cellStyle name="20% - 강조색6 16" xfId="255"/>
    <cellStyle name="20% - 강조색6 17" xfId="268"/>
    <cellStyle name="20% - 강조색6 18" xfId="281"/>
    <cellStyle name="20% - 강조색6 19" xfId="294"/>
    <cellStyle name="20% - 강조색6 2" xfId="54"/>
    <cellStyle name="20% - 강조색6 20" xfId="307"/>
    <cellStyle name="20% - 강조색6 21" xfId="320"/>
    <cellStyle name="20% - 강조색6 22" xfId="333"/>
    <cellStyle name="20% - 강조색6 23" xfId="346"/>
    <cellStyle name="20% - 강조색6 24" xfId="359"/>
    <cellStyle name="20% - 강조색6 25" xfId="372"/>
    <cellStyle name="20% - 강조색6 26" xfId="385"/>
    <cellStyle name="20% - 강조색6 27" xfId="398"/>
    <cellStyle name="20% - 강조색6 28" xfId="411"/>
    <cellStyle name="20% - 강조색6 29" xfId="424"/>
    <cellStyle name="20% - 강조색6 3" xfId="86"/>
    <cellStyle name="20% - 강조색6 30" xfId="437"/>
    <cellStyle name="20% - 강조색6 31" xfId="449"/>
    <cellStyle name="20% - 강조색6 32" xfId="461"/>
    <cellStyle name="20% - 강조색6 33" xfId="473"/>
    <cellStyle name="20% - 강조색6 34" xfId="485"/>
    <cellStyle name="20% - 강조색6 35" xfId="496"/>
    <cellStyle name="20% - 강조색6 36" xfId="507"/>
    <cellStyle name="20% - 강조색6 37" xfId="518"/>
    <cellStyle name="20% - 강조색6 38" xfId="527"/>
    <cellStyle name="20% - 강조색6 39" xfId="535"/>
    <cellStyle name="20% - 강조색6 4" xfId="99"/>
    <cellStyle name="20% - 강조색6 40" xfId="552"/>
    <cellStyle name="20% - 강조색6 40 10" xfId="3190"/>
    <cellStyle name="20% - 강조색6 40 11" xfId="3372"/>
    <cellStyle name="20% - 강조색6 40 12" xfId="3904"/>
    <cellStyle name="20% - 강조색6 40 13" xfId="4136"/>
    <cellStyle name="20% - 강조색6 40 14" xfId="2497"/>
    <cellStyle name="20% - 강조색6 40 15" xfId="5466"/>
    <cellStyle name="20% - 강조색6 40 16" xfId="4414"/>
    <cellStyle name="20% - 강조색6 40 17" xfId="3127"/>
    <cellStyle name="20% - 강조색6 40 18" xfId="4863"/>
    <cellStyle name="20% - 강조색6 40 19" xfId="6518"/>
    <cellStyle name="20% - 강조색6 40 2" xfId="1051"/>
    <cellStyle name="20% - 강조색6 40 20" xfId="3875"/>
    <cellStyle name="20% - 강조색6 40 21" xfId="6022"/>
    <cellStyle name="20% - 강조색6 40 22" xfId="7784"/>
    <cellStyle name="20% - 강조색6 40 23" xfId="8089"/>
    <cellStyle name="20% - 강조색6 40 24" xfId="8354"/>
    <cellStyle name="20% - 강조색6 40 25" xfId="8787"/>
    <cellStyle name="20% - 강조색6 40 26" xfId="7396"/>
    <cellStyle name="20% - 강조색6 40 27" xfId="6461"/>
    <cellStyle name="20% - 강조색6 40 28" xfId="9155"/>
    <cellStyle name="20% - 강조색6 40 29" xfId="10156"/>
    <cellStyle name="20% - 강조색6 40 3" xfId="1142"/>
    <cellStyle name="20% - 강조색6 40 30" xfId="10565"/>
    <cellStyle name="20% - 강조색6 40 31" xfId="10715"/>
    <cellStyle name="20% - 강조색6 40 32" xfId="11090"/>
    <cellStyle name="20% - 강조색6 40 33" xfId="11323"/>
    <cellStyle name="20% - 강조색6 40 34" xfId="11280"/>
    <cellStyle name="20% - 강조색6 40 35" xfId="11369"/>
    <cellStyle name="20% - 강조색6 40 36" xfId="11395"/>
    <cellStyle name="20% - 강조색6 40 4" xfId="1233"/>
    <cellStyle name="20% - 강조색6 40 5" xfId="1620"/>
    <cellStyle name="20% - 강조색6 40 6" xfId="883"/>
    <cellStyle name="20% - 강조색6 40 7" xfId="2281"/>
    <cellStyle name="20% - 강조색6 40 8" xfId="2635"/>
    <cellStyle name="20% - 강조색6 40 9" xfId="2906"/>
    <cellStyle name="20% - 강조색6 41" xfId="554"/>
    <cellStyle name="20% - 강조색6 41 10" xfId="3283"/>
    <cellStyle name="20% - 강조색6 41 11" xfId="2811"/>
    <cellStyle name="20% - 강조색6 41 12" xfId="1821"/>
    <cellStyle name="20% - 강조색6 41 13" xfId="3119"/>
    <cellStyle name="20% - 강조색6 41 14" xfId="4601"/>
    <cellStyle name="20% - 강조색6 41 15" xfId="3556"/>
    <cellStyle name="20% - 강조색6 41 16" xfId="5689"/>
    <cellStyle name="20% - 강조색6 41 17" xfId="3873"/>
    <cellStyle name="20% - 강조색6 41 18" xfId="4940"/>
    <cellStyle name="20% - 강조색6 41 19" xfId="6510"/>
    <cellStyle name="20% - 강조색6 41 2" xfId="1053"/>
    <cellStyle name="20% - 강조색6 41 20" xfId="7012"/>
    <cellStyle name="20% - 강조색6 41 21" xfId="3709"/>
    <cellStyle name="20% - 강조색6 41 22" xfId="7616"/>
    <cellStyle name="20% - 강조색6 41 23" xfId="8154"/>
    <cellStyle name="20% - 강조색6 41 24" xfId="8406"/>
    <cellStyle name="20% - 강조색6 41 25" xfId="8955"/>
    <cellStyle name="20% - 강조색6 41 26" xfId="9229"/>
    <cellStyle name="20% - 강조색6 41 27" xfId="9400"/>
    <cellStyle name="20% - 강조색6 41 28" xfId="2774"/>
    <cellStyle name="20% - 강조색6 41 29" xfId="10277"/>
    <cellStyle name="20% - 강조색6 41 3" xfId="1144"/>
    <cellStyle name="20% - 강조색6 41 30" xfId="10566"/>
    <cellStyle name="20% - 강조색6 41 31" xfId="1929"/>
    <cellStyle name="20% - 강조색6 41 32" xfId="7678"/>
    <cellStyle name="20% - 강조색6 41 4" xfId="1235"/>
    <cellStyle name="20% - 강조색6 41 5" xfId="1709"/>
    <cellStyle name="20% - 강조색6 41 6" xfId="928"/>
    <cellStyle name="20% - 강조색6 41 7" xfId="2205"/>
    <cellStyle name="20% - 강조색6 41 8" xfId="2626"/>
    <cellStyle name="20% - 강조색6 41 9" xfId="2787"/>
    <cellStyle name="20% - 강조색6 42" xfId="617"/>
    <cellStyle name="20% - 강조색6 42 10" xfId="3224"/>
    <cellStyle name="20% - 강조색6 42 11" xfId="3562"/>
    <cellStyle name="20% - 강조색6 42 12" xfId="3712"/>
    <cellStyle name="20% - 강조색6 42 13" xfId="4173"/>
    <cellStyle name="20% - 강조색6 42 14" xfId="4571"/>
    <cellStyle name="20% - 강조색6 42 15" xfId="5228"/>
    <cellStyle name="20% - 강조색6 42 16" xfId="5696"/>
    <cellStyle name="20% - 강조색6 42 17" xfId="5088"/>
    <cellStyle name="20% - 강조색6 42 18" xfId="5699"/>
    <cellStyle name="20% - 강조색6 42 19" xfId="6366"/>
    <cellStyle name="20% - 강조색6 42 2" xfId="1116"/>
    <cellStyle name="20% - 강조색6 42 20" xfId="6776"/>
    <cellStyle name="20% - 강조색6 42 21" xfId="7214"/>
    <cellStyle name="20% - 강조색6 42 22" xfId="4843"/>
    <cellStyle name="20% - 강조색6 42 23" xfId="6230"/>
    <cellStyle name="20% - 강조색6 42 24" xfId="2373"/>
    <cellStyle name="20% - 강조색6 42 25" xfId="3584"/>
    <cellStyle name="20% - 강조색6 42 26" xfId="9279"/>
    <cellStyle name="20% - 강조색6 42 27" xfId="8209"/>
    <cellStyle name="20% - 강조색6 42 28" xfId="2551"/>
    <cellStyle name="20% - 강조색6 42 29" xfId="10194"/>
    <cellStyle name="20% - 강조색6 42 3" xfId="1207"/>
    <cellStyle name="20% - 강조색6 42 30" xfId="10475"/>
    <cellStyle name="20% - 강조색6 42 31" xfId="10742"/>
    <cellStyle name="20% - 강조색6 42 32" xfId="11055"/>
    <cellStyle name="20% - 강조색6 42 4" xfId="1298"/>
    <cellStyle name="20% - 강조색6 42 5" xfId="1628"/>
    <cellStyle name="20% - 강조색6 42 6" xfId="2035"/>
    <cellStyle name="20% - 강조색6 42 7" xfId="1928"/>
    <cellStyle name="20% - 강조색6 42 8" xfId="2623"/>
    <cellStyle name="20% - 강조색6 42 9" xfId="2956"/>
    <cellStyle name="20% - 강조색6 43" xfId="588"/>
    <cellStyle name="20% - 강조색6 43 10" xfId="3030"/>
    <cellStyle name="20% - 강조색6 43 11" xfId="3400"/>
    <cellStyle name="20% - 강조색6 43 12" xfId="1344"/>
    <cellStyle name="20% - 강조색6 43 13" xfId="4338"/>
    <cellStyle name="20% - 강조색6 43 14" xfId="3389"/>
    <cellStyle name="20% - 강조색6 43 15" xfId="5159"/>
    <cellStyle name="20% - 강조색6 43 16" xfId="5695"/>
    <cellStyle name="20% - 강조색6 43 17" xfId="5090"/>
    <cellStyle name="20% - 강조색6 43 18" xfId="900"/>
    <cellStyle name="20% - 강조색6 43 19" xfId="1024"/>
    <cellStyle name="20% - 강조색6 43 2" xfId="1087"/>
    <cellStyle name="20% - 강조색6 43 20" xfId="7166"/>
    <cellStyle name="20% - 강조색6 43 21" xfId="7194"/>
    <cellStyle name="20% - 강조색6 43 22" xfId="7608"/>
    <cellStyle name="20% - 강조색6 43 23" xfId="7971"/>
    <cellStyle name="20% - 강조색6 43 24" xfId="7926"/>
    <cellStyle name="20% - 강조색6 43 25" xfId="8670"/>
    <cellStyle name="20% - 강조색6 43 26" xfId="9070"/>
    <cellStyle name="20% - 강조색6 43 27" xfId="8044"/>
    <cellStyle name="20% - 강조색6 43 28" xfId="9823"/>
    <cellStyle name="20% - 강조색6 43 29" xfId="10308"/>
    <cellStyle name="20% - 강조색6 43 3" xfId="1178"/>
    <cellStyle name="20% - 강조색6 43 30" xfId="10473"/>
    <cellStyle name="20% - 강조색6 43 31" xfId="7987"/>
    <cellStyle name="20% - 강조색6 43 32" xfId="11024"/>
    <cellStyle name="20% - 강조색6 43 4" xfId="1269"/>
    <cellStyle name="20% - 강조색6 43 5" xfId="1661"/>
    <cellStyle name="20% - 강조색6 43 6" xfId="1372"/>
    <cellStyle name="20% - 강조색6 43 7" xfId="2218"/>
    <cellStyle name="20% - 강조색6 43 8" xfId="2515"/>
    <cellStyle name="20% - 강조색6 43 9" xfId="2849"/>
    <cellStyle name="20% - 강조색6 44" xfId="569"/>
    <cellStyle name="20% - 강조색6 44 10" xfId="3299"/>
    <cellStyle name="20% - 강조색6 44 11" xfId="3403"/>
    <cellStyle name="20% - 강조색6 44 12" xfId="3430"/>
    <cellStyle name="20% - 강조색6 44 13" xfId="4153"/>
    <cellStyle name="20% - 강조색6 44 14" xfId="3053"/>
    <cellStyle name="20% - 강조색6 44 15" xfId="4154"/>
    <cellStyle name="20% - 강조색6 44 16" xfId="5267"/>
    <cellStyle name="20% - 강조색6 44 17" xfId="5341"/>
    <cellStyle name="20% - 강조색6 44 18" xfId="5798"/>
    <cellStyle name="20% - 강조색6 44 19" xfId="1535"/>
    <cellStyle name="20% - 강조색6 44 2" xfId="1068"/>
    <cellStyle name="20% - 강조색6 44 20" xfId="6871"/>
    <cellStyle name="20% - 강조색6 44 21" xfId="4595"/>
    <cellStyle name="20% - 강조색6 44 22" xfId="6010"/>
    <cellStyle name="20% - 강조색6 44 23" xfId="8205"/>
    <cellStyle name="20% - 강조색6 44 24" xfId="7475"/>
    <cellStyle name="20% - 강조색6 44 25" xfId="8905"/>
    <cellStyle name="20% - 강조색6 44 26" xfId="9188"/>
    <cellStyle name="20% - 강조색6 44 27" xfId="9681"/>
    <cellStyle name="20% - 강조색6 44 28" xfId="7979"/>
    <cellStyle name="20% - 강조색6 44 29" xfId="10158"/>
    <cellStyle name="20% - 강조색6 44 3" xfId="1159"/>
    <cellStyle name="20% - 강조색6 44 30" xfId="4158"/>
    <cellStyle name="20% - 강조색6 44 31" xfId="10798"/>
    <cellStyle name="20% - 강조색6 44 32" xfId="11235"/>
    <cellStyle name="20% - 강조색6 44 4" xfId="1250"/>
    <cellStyle name="20% - 강조색6 44 5" xfId="1700"/>
    <cellStyle name="20% - 강조색6 44 6" xfId="2004"/>
    <cellStyle name="20% - 강조색6 44 7" xfId="2249"/>
    <cellStyle name="20% - 강조색6 44 8" xfId="2111"/>
    <cellStyle name="20% - 강조색6 44 9" xfId="1951"/>
    <cellStyle name="20% - 강조색6 45" xfId="604"/>
    <cellStyle name="20% - 강조색6 45 10" xfId="1591"/>
    <cellStyle name="20% - 강조색6 45 11" xfId="3528"/>
    <cellStyle name="20% - 강조색6 45 12" xfId="3757"/>
    <cellStyle name="20% - 강조색6 45 13" xfId="3532"/>
    <cellStyle name="20% - 강조색6 45 14" xfId="3375"/>
    <cellStyle name="20% - 강조색6 45 15" xfId="5203"/>
    <cellStyle name="20% - 강조색6 45 16" xfId="2355"/>
    <cellStyle name="20% - 강조색6 45 17" xfId="5425"/>
    <cellStyle name="20% - 강조색6 45 18" xfId="2187"/>
    <cellStyle name="20% - 강조색6 45 19" xfId="5960"/>
    <cellStyle name="20% - 강조색6 45 2" xfId="1103"/>
    <cellStyle name="20% - 강조색6 45 20" xfId="6849"/>
    <cellStyle name="20% - 강조색6 45 21" xfId="7216"/>
    <cellStyle name="20% - 강조색6 45 22" xfId="7737"/>
    <cellStyle name="20% - 강조색6 45 23" xfId="4859"/>
    <cellStyle name="20% - 강조색6 45 24" xfId="8419"/>
    <cellStyle name="20% - 강조색6 45 25" xfId="1431"/>
    <cellStyle name="20% - 강조색6 45 26" xfId="4391"/>
    <cellStyle name="20% - 강조색6 45 27" xfId="9603"/>
    <cellStyle name="20% - 강조색6 45 28" xfId="4327"/>
    <cellStyle name="20% - 강조색6 45 29" xfId="9146"/>
    <cellStyle name="20% - 강조색6 45 3" xfId="1194"/>
    <cellStyle name="20% - 강조색6 45 30" xfId="1488"/>
    <cellStyle name="20% - 강조색6 45 31" xfId="10746"/>
    <cellStyle name="20% - 강조색6 45 32" xfId="7421"/>
    <cellStyle name="20% - 강조색6 45 4" xfId="1285"/>
    <cellStyle name="20% - 강조색6 45 5" xfId="1656"/>
    <cellStyle name="20% - 강조색6 45 6" xfId="743"/>
    <cellStyle name="20% - 강조색6 45 7" xfId="2188"/>
    <cellStyle name="20% - 강조색6 45 8" xfId="2470"/>
    <cellStyle name="20% - 강조색6 45 9" xfId="2720"/>
    <cellStyle name="20% - 강조색6 46" xfId="562"/>
    <cellStyle name="20% - 강조색6 46 10" xfId="3139"/>
    <cellStyle name="20% - 강조색6 46 11" xfId="1836"/>
    <cellStyle name="20% - 강조색6 46 12" xfId="3960"/>
    <cellStyle name="20% - 강조색6 46 13" xfId="4140"/>
    <cellStyle name="20% - 강조색6 46 14" xfId="4265"/>
    <cellStyle name="20% - 강조색6 46 15" xfId="5313"/>
    <cellStyle name="20% - 강조색6 46 16" xfId="5678"/>
    <cellStyle name="20% - 강조색6 46 17" xfId="5009"/>
    <cellStyle name="20% - 강조색6 46 18" xfId="5681"/>
    <cellStyle name="20% - 강조색6 46 19" xfId="6500"/>
    <cellStyle name="20% - 강조색6 46 2" xfId="1061"/>
    <cellStyle name="20% - 강조색6 46 20" xfId="7236"/>
    <cellStyle name="20% - 강조색6 46 21" xfId="6815"/>
    <cellStyle name="20% - 강조색6 46 22" xfId="7547"/>
    <cellStyle name="20% - 강조색6 46 23" xfId="8168"/>
    <cellStyle name="20% - 강조색6 46 24" xfId="8597"/>
    <cellStyle name="20% - 강조색6 46 25" xfId="3197"/>
    <cellStyle name="20% - 강조색6 46 26" xfId="6000"/>
    <cellStyle name="20% - 강조색6 46 27" xfId="8469"/>
    <cellStyle name="20% - 강조색6 46 28" xfId="9264"/>
    <cellStyle name="20% - 강조색6 46 29" xfId="10338"/>
    <cellStyle name="20% - 강조색6 46 3" xfId="1152"/>
    <cellStyle name="20% - 강조색6 46 30" xfId="7953"/>
    <cellStyle name="20% - 강조색6 46 31" xfId="10925"/>
    <cellStyle name="20% - 강조색6 46 32" xfId="9020"/>
    <cellStyle name="20% - 강조색6 46 4" xfId="1243"/>
    <cellStyle name="20% - 강조색6 46 5" xfId="1750"/>
    <cellStyle name="20% - 강조색6 46 6" xfId="2000"/>
    <cellStyle name="20% - 강조색6 46 7" xfId="1589"/>
    <cellStyle name="20% - 강조색6 46 8" xfId="2597"/>
    <cellStyle name="20% - 강조색6 46 9" xfId="2948"/>
    <cellStyle name="20% - 강조색6 47" xfId="646"/>
    <cellStyle name="20% - 강조색6 47 10" xfId="4149"/>
    <cellStyle name="20% - 강조색6 47 11" xfId="4551"/>
    <cellStyle name="20% - 강조색6 47 12" xfId="1429"/>
    <cellStyle name="20% - 강조색6 47 13" xfId="5226"/>
    <cellStyle name="20% - 강조색6 47 14" xfId="5729"/>
    <cellStyle name="20% - 강조색6 47 15" xfId="5828"/>
    <cellStyle name="20% - 강조색6 47 16" xfId="3245"/>
    <cellStyle name="20% - 강조색6 47 17" xfId="6294"/>
    <cellStyle name="20% - 강조색6 47 18" xfId="7057"/>
    <cellStyle name="20% - 강조색6 47 19" xfId="5218"/>
    <cellStyle name="20% - 강조색6 47 2" xfId="1755"/>
    <cellStyle name="20% - 강조색6 47 20" xfId="2352"/>
    <cellStyle name="20% - 강조색6 47 21" xfId="8337"/>
    <cellStyle name="20% - 강조색6 47 22" xfId="7613"/>
    <cellStyle name="20% - 강조색6 47 23" xfId="8413"/>
    <cellStyle name="20% - 강조색6 47 24" xfId="9583"/>
    <cellStyle name="20% - 강조색6 47 25" xfId="9396"/>
    <cellStyle name="20% - 강조색6 47 26" xfId="6702"/>
    <cellStyle name="20% - 강조색6 47 27" xfId="9530"/>
    <cellStyle name="20% - 강조색6 47 28" xfId="9220"/>
    <cellStyle name="20% - 강조색6 47 29" xfId="9017"/>
    <cellStyle name="20% - 강조색6 47 3" xfId="2033"/>
    <cellStyle name="20% - 강조색6 47 30" xfId="11334"/>
    <cellStyle name="20% - 강조색6 47 31" xfId="11388"/>
    <cellStyle name="20% - 강조색6 47 32" xfId="11398"/>
    <cellStyle name="20% - 강조색6 47 33" xfId="11413"/>
    <cellStyle name="20% - 강조색6 47 4" xfId="1510"/>
    <cellStyle name="20% - 강조색6 47 5" xfId="2083"/>
    <cellStyle name="20% - 강조색6 47 6" xfId="2836"/>
    <cellStyle name="20% - 강조색6 47 7" xfId="2815"/>
    <cellStyle name="20% - 강조색6 47 8" xfId="3579"/>
    <cellStyle name="20% - 강조색6 47 9" xfId="3999"/>
    <cellStyle name="20% - 강조색6 48" xfId="694"/>
    <cellStyle name="20% - 강조색6 48 10" xfId="4144"/>
    <cellStyle name="20% - 강조색6 48 11" xfId="1437"/>
    <cellStyle name="20% - 강조색6 48 12" xfId="881"/>
    <cellStyle name="20% - 강조색6 48 13" xfId="5472"/>
    <cellStyle name="20% - 강조색6 48 14" xfId="3836"/>
    <cellStyle name="20% - 강조색6 48 15" xfId="5742"/>
    <cellStyle name="20% - 강조색6 48 16" xfId="1894"/>
    <cellStyle name="20% - 강조색6 48 17" xfId="6826"/>
    <cellStyle name="20% - 강조색6 48 18" xfId="6585"/>
    <cellStyle name="20% - 강조색6 48 19" xfId="6340"/>
    <cellStyle name="20% - 강조색6 48 2" xfId="1759"/>
    <cellStyle name="20% - 강조색6 48 20" xfId="8210"/>
    <cellStyle name="20% - 강조색6 48 21" xfId="8547"/>
    <cellStyle name="20% - 강조색6 48 22" xfId="8685"/>
    <cellStyle name="20% - 강조색6 48 23" xfId="9130"/>
    <cellStyle name="20% - 강조색6 48 24" xfId="9411"/>
    <cellStyle name="20% - 강조색6 48 25" xfId="9978"/>
    <cellStyle name="20% - 강조색6 48 26" xfId="7098"/>
    <cellStyle name="20% - 강조색6 48 27" xfId="6726"/>
    <cellStyle name="20% - 강조색6 48 28" xfId="10514"/>
    <cellStyle name="20% - 강조색6 48 29" xfId="11122"/>
    <cellStyle name="20% - 강조색6 48 3" xfId="2002"/>
    <cellStyle name="20% - 강조색6 48 4" xfId="1842"/>
    <cellStyle name="20% - 강조색6 48 5" xfId="2498"/>
    <cellStyle name="20% - 강조색6 48 6" xfId="1001"/>
    <cellStyle name="20% - 강조색6 48 7" xfId="3066"/>
    <cellStyle name="20% - 강조색6 48 8" xfId="1370"/>
    <cellStyle name="20% - 강조색6 48 9" xfId="867"/>
    <cellStyle name="20% - 강조색6 49" xfId="663"/>
    <cellStyle name="20% - 강조색6 49 10" xfId="4304"/>
    <cellStyle name="20% - 강조색6 49 11" xfId="4474"/>
    <cellStyle name="20% - 강조색6 49 12" xfId="4699"/>
    <cellStyle name="20% - 강조색6 49 13" xfId="5682"/>
    <cellStyle name="20% - 강조색6 49 14" xfId="4953"/>
    <cellStyle name="20% - 강조색6 49 15" xfId="5440"/>
    <cellStyle name="20% - 강조색6 49 16" xfId="6412"/>
    <cellStyle name="20% - 강조색6 49 17" xfId="6239"/>
    <cellStyle name="20% - 강조색6 49 18" xfId="7165"/>
    <cellStyle name="20% - 강조색6 49 19" xfId="6082"/>
    <cellStyle name="20% - 강조색6 49 2" xfId="1763"/>
    <cellStyle name="20% - 강조색6 49 20" xfId="7422"/>
    <cellStyle name="20% - 강조색6 49 21" xfId="8533"/>
    <cellStyle name="20% - 강조색6 49 22" xfId="8910"/>
    <cellStyle name="20% - 강조색6 49 23" xfId="9325"/>
    <cellStyle name="20% - 강조색6 49 24" xfId="7660"/>
    <cellStyle name="20% - 강조색6 49 25" xfId="7439"/>
    <cellStyle name="20% - 강조색6 49 26" xfId="10073"/>
    <cellStyle name="20% - 강조색6 49 27" xfId="10618"/>
    <cellStyle name="20% - 강조색6 49 28" xfId="8303"/>
    <cellStyle name="20% - 강조색6 49 29" xfId="11203"/>
    <cellStyle name="20% - 강조색6 49 3" xfId="1990"/>
    <cellStyle name="20% - 강조색6 49 4" xfId="2285"/>
    <cellStyle name="20% - 강조색6 49 5" xfId="2406"/>
    <cellStyle name="20% - 강조색6 49 6" xfId="2931"/>
    <cellStyle name="20% - 강조색6 49 7" xfId="3088"/>
    <cellStyle name="20% - 강조색6 49 8" xfId="3583"/>
    <cellStyle name="20% - 강조색6 49 9" xfId="1493"/>
    <cellStyle name="20% - 강조색6 5" xfId="112"/>
    <cellStyle name="20% - 강조색6 50" xfId="703"/>
    <cellStyle name="20% - 강조색6 50 10" xfId="4245"/>
    <cellStyle name="20% - 강조색6 50 11" xfId="4625"/>
    <cellStyle name="20% - 강조색6 50 12" xfId="5421"/>
    <cellStyle name="20% - 강조색6 50 13" xfId="5266"/>
    <cellStyle name="20% - 강조색6 50 14" xfId="5763"/>
    <cellStyle name="20% - 강조색6 50 15" xfId="5850"/>
    <cellStyle name="20% - 강조색6 50 16" xfId="1912"/>
    <cellStyle name="20% - 강조색6 50 17" xfId="7023"/>
    <cellStyle name="20% - 강조색6 50 18" xfId="7269"/>
    <cellStyle name="20% - 강조색6 50 19" xfId="6276"/>
    <cellStyle name="20% - 강조색6 50 2" xfId="1666"/>
    <cellStyle name="20% - 강조색6 50 20" xfId="8098"/>
    <cellStyle name="20% - 강조색6 50 21" xfId="8342"/>
    <cellStyle name="20% - 강조색6 50 22" xfId="8951"/>
    <cellStyle name="20% - 강조색6 50 23" xfId="9082"/>
    <cellStyle name="20% - 강조색6 50 24" xfId="4529"/>
    <cellStyle name="20% - 강조색6 50 25" xfId="4632"/>
    <cellStyle name="20% - 강조색6 50 26" xfId="10093"/>
    <cellStyle name="20% - 강조색6 50 27" xfId="10102"/>
    <cellStyle name="20% - 강조색6 50 28" xfId="10830"/>
    <cellStyle name="20% - 강조색6 50 29" xfId="11228"/>
    <cellStyle name="20% - 강조색6 50 3" xfId="1321"/>
    <cellStyle name="20% - 강조색6 50 4" xfId="2231"/>
    <cellStyle name="20% - 강조색6 50 5" xfId="1450"/>
    <cellStyle name="20% - 강조색6 50 6" xfId="2883"/>
    <cellStyle name="20% - 강조색6 50 7" xfId="866"/>
    <cellStyle name="20% - 강조색6 50 8" xfId="899"/>
    <cellStyle name="20% - 강조색6 50 9" xfId="3972"/>
    <cellStyle name="20% - 강조색6 51" xfId="679"/>
    <cellStyle name="20% - 강조색6 51 10" xfId="4293"/>
    <cellStyle name="20% - 강조색6 51 11" xfId="4470"/>
    <cellStyle name="20% - 강조색6 51 12" xfId="5183"/>
    <cellStyle name="20% - 강조색6 51 13" xfId="1447"/>
    <cellStyle name="20% - 강조색6 51 14" xfId="5683"/>
    <cellStyle name="20% - 강조색6 51 15" xfId="4820"/>
    <cellStyle name="20% - 강조색6 51 16" xfId="6532"/>
    <cellStyle name="20% - 강조색6 51 17" xfId="7038"/>
    <cellStyle name="20% - 강조색6 51 18" xfId="4487"/>
    <cellStyle name="20% - 강조색6 51 19" xfId="7470"/>
    <cellStyle name="20% - 강조색6 51 2" xfId="1638"/>
    <cellStyle name="20% - 강조색6 51 20" xfId="2453"/>
    <cellStyle name="20% - 강조색6 51 21" xfId="8411"/>
    <cellStyle name="20% - 강조색6 51 22" xfId="6308"/>
    <cellStyle name="20% - 강조색6 51 23" xfId="7868"/>
    <cellStyle name="20% - 강조색6 51 24" xfId="992"/>
    <cellStyle name="20% - 강조색6 51 25" xfId="9203"/>
    <cellStyle name="20% - 강조색6 51 26" xfId="7040"/>
    <cellStyle name="20% - 강조색6 51 27" xfId="10530"/>
    <cellStyle name="20% - 강조색6 51 28" xfId="10706"/>
    <cellStyle name="20% - 강조색6 51 29" xfId="11150"/>
    <cellStyle name="20% - 강조색6 51 3" xfId="1997"/>
    <cellStyle name="20% - 강조색6 51 4" xfId="2267"/>
    <cellStyle name="20% - 강조색6 51 5" xfId="2579"/>
    <cellStyle name="20% - 강조색6 51 6" xfId="2739"/>
    <cellStyle name="20% - 강조색6 51 7" xfId="3254"/>
    <cellStyle name="20% - 강조색6 51 8" xfId="2708"/>
    <cellStyle name="20% - 강조색6 51 9" xfId="3699"/>
    <cellStyle name="20% - 강조색6 52" xfId="651"/>
    <cellStyle name="20% - 강조색6 52 10" xfId="4324"/>
    <cellStyle name="20% - 강조색6 52 11" xfId="4646"/>
    <cellStyle name="20% - 강조색6 52 12" xfId="5247"/>
    <cellStyle name="20% - 강조색6 52 13" xfId="5274"/>
    <cellStyle name="20% - 강조색6 52 14" xfId="3081"/>
    <cellStyle name="20% - 강조색6 52 15" xfId="5767"/>
    <cellStyle name="20% - 강조색6 52 16" xfId="6519"/>
    <cellStyle name="20% - 강조색6 52 17" xfId="6843"/>
    <cellStyle name="20% - 강조색6 52 18" xfId="4082"/>
    <cellStyle name="20% - 강조색6 52 19" xfId="7655"/>
    <cellStyle name="20% - 강조색6 52 2" xfId="1643"/>
    <cellStyle name="20% - 강조색6 52 20" xfId="8202"/>
    <cellStyle name="20% - 강조색6 52 21" xfId="2529"/>
    <cellStyle name="20% - 강조색6 52 22" xfId="3120"/>
    <cellStyle name="20% - 강조색6 52 23" xfId="8596"/>
    <cellStyle name="20% - 강조색6 52 24" xfId="9483"/>
    <cellStyle name="20% - 강조색6 52 25" xfId="4947"/>
    <cellStyle name="20% - 강조색6 52 26" xfId="10247"/>
    <cellStyle name="20% - 강조색6 52 27" xfId="9892"/>
    <cellStyle name="20% - 강조색6 52 28" xfId="9809"/>
    <cellStyle name="20% - 강조색6 52 29" xfId="11129"/>
    <cellStyle name="20% - 강조색6 52 3" xfId="2036"/>
    <cellStyle name="20% - 강조색6 52 4" xfId="2246"/>
    <cellStyle name="20% - 강조색6 52 5" xfId="2572"/>
    <cellStyle name="20% - 강조색6 52 6" xfId="2718"/>
    <cellStyle name="20% - 강조색6 52 7" xfId="3302"/>
    <cellStyle name="20% - 강조색6 52 8" xfId="3657"/>
    <cellStyle name="20% - 강조색6 52 9" xfId="3859"/>
    <cellStyle name="20% - 강조색6 53" xfId="697"/>
    <cellStyle name="20% - 강조색6 53 10" xfId="4316"/>
    <cellStyle name="20% - 강조색6 53 11" xfId="2150"/>
    <cellStyle name="20% - 강조색6 53 12" xfId="4795"/>
    <cellStyle name="20% - 강조색6 53 13" xfId="5745"/>
    <cellStyle name="20% - 강조색6 53 14" xfId="5837"/>
    <cellStyle name="20% - 강조색6 53 15" xfId="5904"/>
    <cellStyle name="20% - 강조색6 53 16" xfId="6419"/>
    <cellStyle name="20% - 강조색6 53 17" xfId="6300"/>
    <cellStyle name="20% - 강조색6 53 18" xfId="6091"/>
    <cellStyle name="20% - 강조색6 53 19" xfId="7688"/>
    <cellStyle name="20% - 강조색6 53 2" xfId="1669"/>
    <cellStyle name="20% - 강조색6 53 20" xfId="6101"/>
    <cellStyle name="20% - 강조색6 53 21" xfId="8484"/>
    <cellStyle name="20% - 강조색6 53 22" xfId="7443"/>
    <cellStyle name="20% - 강조색6 53 23" xfId="9191"/>
    <cellStyle name="20% - 강조색6 53 24" xfId="7620"/>
    <cellStyle name="20% - 강조색6 53 25" xfId="10001"/>
    <cellStyle name="20% - 강조색6 53 26" xfId="7510"/>
    <cellStyle name="20% - 강조색6 53 27" xfId="10413"/>
    <cellStyle name="20% - 강조색6 53 28" xfId="10730"/>
    <cellStyle name="20% - 강조색6 53 29" xfId="11191"/>
    <cellStyle name="20% - 강조색6 53 3" xfId="807"/>
    <cellStyle name="20% - 강조색6 53 4" xfId="963"/>
    <cellStyle name="20% - 강조색6 53 5" xfId="1446"/>
    <cellStyle name="20% - 강조색6 53 6" xfId="2480"/>
    <cellStyle name="20% - 강조색6 53 7" xfId="1595"/>
    <cellStyle name="20% - 강조색6 53 8" xfId="3596"/>
    <cellStyle name="20% - 강조색6 53 9" xfId="974"/>
    <cellStyle name="20% - 강조색6 54" xfId="1582"/>
    <cellStyle name="20% - 강조색6 54 10" xfId="2444"/>
    <cellStyle name="20% - 강조색6 54 11" xfId="5565"/>
    <cellStyle name="20% - 강조색6 54 12" xfId="2638"/>
    <cellStyle name="20% - 강조색6 54 13" xfId="5279"/>
    <cellStyle name="20% - 강조색6 54 14" xfId="2803"/>
    <cellStyle name="20% - 강조색6 54 15" xfId="6080"/>
    <cellStyle name="20% - 강조색6 54 16" xfId="6742"/>
    <cellStyle name="20% - 강조색6 54 17" xfId="6437"/>
    <cellStyle name="20% - 강조색6 54 18" xfId="1909"/>
    <cellStyle name="20% - 강조색6 54 19" xfId="8194"/>
    <cellStyle name="20% - 강조색6 54 2" xfId="2053"/>
    <cellStyle name="20% - 강조색6 54 20" xfId="8344"/>
    <cellStyle name="20% - 강조색6 54 21" xfId="8666"/>
    <cellStyle name="20% - 강조색6 54 22" xfId="9259"/>
    <cellStyle name="20% - 강조색6 54 23" xfId="9639"/>
    <cellStyle name="20% - 강조색6 54 24" xfId="2779"/>
    <cellStyle name="20% - 강조색6 54 25" xfId="10321"/>
    <cellStyle name="20% - 강조색6 54 26" xfId="10142"/>
    <cellStyle name="20% - 강조색6 54 27" xfId="6043"/>
    <cellStyle name="20% - 강조색6 54 28" xfId="11056"/>
    <cellStyle name="20% - 강조색6 54 3" xfId="2335"/>
    <cellStyle name="20% - 강조색6 54 4" xfId="2654"/>
    <cellStyle name="20% - 강조색6 54 5" xfId="2114"/>
    <cellStyle name="20% - 강조색6 54 6" xfId="1520"/>
    <cellStyle name="20% - 강조색6 54 7" xfId="3522"/>
    <cellStyle name="20% - 강조색6 54 8" xfId="3830"/>
    <cellStyle name="20% - 강조색6 54 9" xfId="4198"/>
    <cellStyle name="20% - 강조색6 55" xfId="2026"/>
    <cellStyle name="20% - 강조색6 55 10" xfId="5052"/>
    <cellStyle name="20% - 강조색6 55 11" xfId="4944"/>
    <cellStyle name="20% - 강조색6 55 12" xfId="5332"/>
    <cellStyle name="20% - 강조색6 55 13" xfId="5656"/>
    <cellStyle name="20% - 강조색6 55 14" xfId="6336"/>
    <cellStyle name="20% - 강조색6 55 15" xfId="2417"/>
    <cellStyle name="20% - 강조색6 55 16" xfId="6807"/>
    <cellStyle name="20% - 강조색6 55 17" xfId="7725"/>
    <cellStyle name="20% - 강조색6 55 18" xfId="8028"/>
    <cellStyle name="20% - 강조색6 55 19" xfId="8489"/>
    <cellStyle name="20% - 강조색6 55 2" xfId="2345"/>
    <cellStyle name="20% - 강조색6 55 20" xfId="8928"/>
    <cellStyle name="20% - 강조색6 55 21" xfId="9176"/>
    <cellStyle name="20% - 강조색6 55 22" xfId="9402"/>
    <cellStyle name="20% - 강조색6 55 23" xfId="9953"/>
    <cellStyle name="20% - 강조색6 55 24" xfId="10107"/>
    <cellStyle name="20% - 강조색6 55 25" xfId="7941"/>
    <cellStyle name="20% - 강조색6 55 26" xfId="7944"/>
    <cellStyle name="20% - 강조색6 55 27" xfId="9443"/>
    <cellStyle name="20% - 강조색6 55 3" xfId="2664"/>
    <cellStyle name="20% - 강조색6 55 4" xfId="2979"/>
    <cellStyle name="20% - 강조색6 55 5" xfId="3206"/>
    <cellStyle name="20% - 강조색6 55 6" xfId="3633"/>
    <cellStyle name="20% - 강조색6 55 7" xfId="1475"/>
    <cellStyle name="20% - 강조색6 55 8" xfId="929"/>
    <cellStyle name="20% - 강조색6 55 9" xfId="4617"/>
    <cellStyle name="20% - 강조색6 56" xfId="2306"/>
    <cellStyle name="20% - 강조색6 56 10" xfId="4781"/>
    <cellStyle name="20% - 강조색6 56 11" xfId="5717"/>
    <cellStyle name="20% - 강조색6 56 12" xfId="5819"/>
    <cellStyle name="20% - 강조색6 56 13" xfId="4447"/>
    <cellStyle name="20% - 강조색6 56 14" xfId="7016"/>
    <cellStyle name="20% - 강조색6 56 15" xfId="4400"/>
    <cellStyle name="20% - 강조색6 56 16" xfId="1596"/>
    <cellStyle name="20% - 강조색6 56 17" xfId="8096"/>
    <cellStyle name="20% - 강조색6 56 18" xfId="6816"/>
    <cellStyle name="20% - 강조색6 56 19" xfId="1316"/>
    <cellStyle name="20% - 강조색6 56 2" xfId="2675"/>
    <cellStyle name="20% - 강조색6 56 20" xfId="9075"/>
    <cellStyle name="20% - 강조색6 56 21" xfId="5982"/>
    <cellStyle name="20% - 강조색6 56 22" xfId="8272"/>
    <cellStyle name="20% - 강조색6 56 23" xfId="8753"/>
    <cellStyle name="20% - 강조색6 56 24" xfId="7588"/>
    <cellStyle name="20% - 강조색6 56 25" xfId="2809"/>
    <cellStyle name="20% - 강조색6 56 26" xfId="10429"/>
    <cellStyle name="20% - 강조색6 56 3" xfId="2990"/>
    <cellStyle name="20% - 강조색6 56 4" xfId="3323"/>
    <cellStyle name="20% - 강조색6 56 5" xfId="3233"/>
    <cellStyle name="20% - 강조색6 56 6" xfId="3954"/>
    <cellStyle name="20% - 강조색6 56 7" xfId="4328"/>
    <cellStyle name="20% - 강조색6 56 8" xfId="4687"/>
    <cellStyle name="20% - 강조색6 56 9" xfId="5061"/>
    <cellStyle name="20% - 강조색6 57" xfId="2647"/>
    <cellStyle name="20% - 강조색6 57 10" xfId="5223"/>
    <cellStyle name="20% - 강조색6 57 11" xfId="5705"/>
    <cellStyle name="20% - 강조색6 57 12" xfId="3785"/>
    <cellStyle name="20% - 강조색6 57 13" xfId="7035"/>
    <cellStyle name="20% - 강조색6 57 14" xfId="4576"/>
    <cellStyle name="20% - 강조색6 57 15" xfId="920"/>
    <cellStyle name="20% - 강조색6 57 16" xfId="8025"/>
    <cellStyle name="20% - 강조색6 57 17" xfId="8357"/>
    <cellStyle name="20% - 강조색6 57 18" xfId="8845"/>
    <cellStyle name="20% - 강조색6 57 19" xfId="7880"/>
    <cellStyle name="20% - 강조색6 57 2" xfId="3001"/>
    <cellStyle name="20% - 강조색6 57 20" xfId="8647"/>
    <cellStyle name="20% - 강조색6 57 21" xfId="8067"/>
    <cellStyle name="20% - 강조색6 57 22" xfId="10250"/>
    <cellStyle name="20% - 강조색6 57 23" xfId="10619"/>
    <cellStyle name="20% - 강조색6 57 24" xfId="10780"/>
    <cellStyle name="20% - 강조색6 57 25" xfId="11033"/>
    <cellStyle name="20% - 강조색6 57 3" xfId="3334"/>
    <cellStyle name="20% - 강조색6 57 4" xfId="3666"/>
    <cellStyle name="20% - 강조색6 57 5" xfId="3931"/>
    <cellStyle name="20% - 강조색6 57 6" xfId="4247"/>
    <cellStyle name="20% - 강조색6 57 7" xfId="1892"/>
    <cellStyle name="20% - 강조색6 57 8" xfId="5233"/>
    <cellStyle name="20% - 강조색6 57 9" xfId="4975"/>
    <cellStyle name="20% - 강조색6 58" xfId="2958"/>
    <cellStyle name="20% - 강조색6 58 10" xfId="5405"/>
    <cellStyle name="20% - 강조색6 58 11" xfId="6575"/>
    <cellStyle name="20% - 강조색6 58 12" xfId="7075"/>
    <cellStyle name="20% - 강조색6 58 13" xfId="6925"/>
    <cellStyle name="20% - 강조색6 58 14" xfId="7685"/>
    <cellStyle name="20% - 강조색6 58 15" xfId="8101"/>
    <cellStyle name="20% - 강조색6 58 16" xfId="8390"/>
    <cellStyle name="20% - 강조색6 58 17" xfId="1588"/>
    <cellStyle name="20% - 강조색6 58 18" xfId="9144"/>
    <cellStyle name="20% - 강조색6 58 19" xfId="9431"/>
    <cellStyle name="20% - 강조색6 58 2" xfId="3344"/>
    <cellStyle name="20% - 강조색6 58 20" xfId="4877"/>
    <cellStyle name="20% - 강조색6 58 21" xfId="10286"/>
    <cellStyle name="20% - 강조색6 58 22" xfId="10551"/>
    <cellStyle name="20% - 강조색6 58 23" xfId="10947"/>
    <cellStyle name="20% - 강조색6 58 24" xfId="11135"/>
    <cellStyle name="20% - 강조색6 58 3" xfId="3677"/>
    <cellStyle name="20% - 강조색6 58 4" xfId="4015"/>
    <cellStyle name="20% - 강조색6 58 5" xfId="4234"/>
    <cellStyle name="20% - 강조색6 58 6" xfId="4445"/>
    <cellStyle name="20% - 강조색6 58 7" xfId="4048"/>
    <cellStyle name="20% - 강조색6 58 8" xfId="3756"/>
    <cellStyle name="20% - 강조색6 58 9" xfId="5248"/>
    <cellStyle name="20% - 강조색6 59" xfId="2168"/>
    <cellStyle name="20% - 강조색6 59 10" xfId="6125"/>
    <cellStyle name="20% - 강조색6 59 11" xfId="6901"/>
    <cellStyle name="20% - 강조색6 59 12" xfId="6986"/>
    <cellStyle name="20% - 강조색6 59 13" xfId="7753"/>
    <cellStyle name="20% - 강조색6 59 14" xfId="2680"/>
    <cellStyle name="20% - 강조색6 59 15" xfId="7903"/>
    <cellStyle name="20% - 강조색6 59 16" xfId="8957"/>
    <cellStyle name="20% - 강조색6 59 17" xfId="9042"/>
    <cellStyle name="20% - 강조색6 59 18" xfId="9506"/>
    <cellStyle name="20% - 강조색6 59 19" xfId="8715"/>
    <cellStyle name="20% - 강조색6 59 2" xfId="2116"/>
    <cellStyle name="20% - 강조색6 59 20" xfId="8312"/>
    <cellStyle name="20% - 강조색6 59 21" xfId="9078"/>
    <cellStyle name="20% - 강조색6 59 22" xfId="8445"/>
    <cellStyle name="20% - 강조색6 59 23" xfId="4642"/>
    <cellStyle name="20% - 강조색6 59 3" xfId="1823"/>
    <cellStyle name="20% - 강조색6 59 4" xfId="4067"/>
    <cellStyle name="20% - 강조색6 59 5" xfId="2059"/>
    <cellStyle name="20% - 강조색6 59 6" xfId="2404"/>
    <cellStyle name="20% - 강조색6 59 7" xfId="3166"/>
    <cellStyle name="20% - 강조색6 59 8" xfId="4882"/>
    <cellStyle name="20% - 강조색6 59 9" xfId="4948"/>
    <cellStyle name="20% - 강조색6 6" xfId="125"/>
    <cellStyle name="20% - 강조색6 60" xfId="3514"/>
    <cellStyle name="20% - 강조색6 60 10" xfId="6774"/>
    <cellStyle name="20% - 강조색6 60 11" xfId="7114"/>
    <cellStyle name="20% - 강조색6 60 12" xfId="7428"/>
    <cellStyle name="20% - 강조색6 60 13" xfId="7542"/>
    <cellStyle name="20% - 강조색6 60 14" xfId="8363"/>
    <cellStyle name="20% - 강조색6 60 15" xfId="8961"/>
    <cellStyle name="20% - 강조색6 60 16" xfId="8291"/>
    <cellStyle name="20% - 강조색6 60 17" xfId="3051"/>
    <cellStyle name="20% - 강조색6 60 18" xfId="9747"/>
    <cellStyle name="20% - 강조색6 60 19" xfId="10164"/>
    <cellStyle name="20% - 강조색6 60 2" xfId="4029"/>
    <cellStyle name="20% - 강조색6 60 20" xfId="8292"/>
    <cellStyle name="20% - 강조색6 60 21" xfId="9731"/>
    <cellStyle name="20% - 강조색6 60 22" xfId="10772"/>
    <cellStyle name="20% - 강조색6 60 3" xfId="4365"/>
    <cellStyle name="20% - 강조색6 60 4" xfId="4718"/>
    <cellStyle name="20% - 강조색6 60 5" xfId="5423"/>
    <cellStyle name="20% - 강조색6 60 6" xfId="5665"/>
    <cellStyle name="20% - 강조색6 60 7" xfId="5033"/>
    <cellStyle name="20% - 강조색6 60 8" xfId="5736"/>
    <cellStyle name="20% - 강조색6 60 9" xfId="6538"/>
    <cellStyle name="20% - 강조색6 61" xfId="3820"/>
    <cellStyle name="20% - 강조색6 61 10" xfId="7328"/>
    <cellStyle name="20% - 강조색6 61 11" xfId="7593"/>
    <cellStyle name="20% - 강조색6 61 12" xfId="8218"/>
    <cellStyle name="20% - 강조색6 61 13" xfId="8399"/>
    <cellStyle name="20% - 강조색6 61 14" xfId="3924"/>
    <cellStyle name="20% - 강조색6 61 15" xfId="3432"/>
    <cellStyle name="20% - 강조색6 61 16" xfId="9503"/>
    <cellStyle name="20% - 강조색6 61 17" xfId="9929"/>
    <cellStyle name="20% - 강조색6 61 18" xfId="1532"/>
    <cellStyle name="20% - 강조색6 61 19" xfId="10109"/>
    <cellStyle name="20% - 강조색6 61 2" xfId="4375"/>
    <cellStyle name="20% - 강조색6 61 20" xfId="10880"/>
    <cellStyle name="20% - 강조색6 61 21" xfId="11193"/>
    <cellStyle name="20% - 강조색6 61 3" xfId="4728"/>
    <cellStyle name="20% - 강조색6 61 4" xfId="5622"/>
    <cellStyle name="20% - 강조색6 61 5" xfId="3786"/>
    <cellStyle name="20% - 강조색6 61 6" xfId="5779"/>
    <cellStyle name="20% - 강조색6 61 7" xfId="5860"/>
    <cellStyle name="20% - 강조색6 61 8" xfId="6363"/>
    <cellStyle name="20% - 강조색6 61 9" xfId="6808"/>
    <cellStyle name="20% - 강조색6 62" xfId="4301"/>
    <cellStyle name="20% - 강조색6 62 10" xfId="7710"/>
    <cellStyle name="20% - 강조색6 62 11" xfId="4869"/>
    <cellStyle name="20% - 강조색6 62 12" xfId="8541"/>
    <cellStyle name="20% - 강조색6 62 13" xfId="8227"/>
    <cellStyle name="20% - 강조색6 62 14" xfId="958"/>
    <cellStyle name="20% - 강조색6 62 15" xfId="9561"/>
    <cellStyle name="20% - 강조색6 62 16" xfId="3730"/>
    <cellStyle name="20% - 강조색6 62 17" xfId="9122"/>
    <cellStyle name="20% - 강조색6 62 18" xfId="10408"/>
    <cellStyle name="20% - 강조색6 62 19" xfId="3357"/>
    <cellStyle name="20% - 강조색6 62 2" xfId="4742"/>
    <cellStyle name="20% - 강조색6 62 20" xfId="6039"/>
    <cellStyle name="20% - 강조색6 62 3" xfId="5713"/>
    <cellStyle name="20% - 강조색6 62 4" xfId="5816"/>
    <cellStyle name="20% - 강조색6 62 5" xfId="5891"/>
    <cellStyle name="20% - 강조색6 62 6" xfId="5941"/>
    <cellStyle name="20% - 강조색6 62 7" xfId="6600"/>
    <cellStyle name="20% - 강조색6 62 8" xfId="7177"/>
    <cellStyle name="20% - 강조색6 62 9" xfId="7199"/>
    <cellStyle name="20% - 강조색6 63" xfId="4671"/>
    <cellStyle name="20% - 강조색6 63 10" xfId="8125"/>
    <cellStyle name="20% - 강조색6 63 11" xfId="6747"/>
    <cellStyle name="20% - 강조색6 63 12" xfId="8940"/>
    <cellStyle name="20% - 강조색6 63 13" xfId="8768"/>
    <cellStyle name="20% - 강조색6 63 14" xfId="7520"/>
    <cellStyle name="20% - 강조색6 63 15" xfId="9037"/>
    <cellStyle name="20% - 강조색6 63 16" xfId="10189"/>
    <cellStyle name="20% - 강조색6 63 17" xfId="10542"/>
    <cellStyle name="20% - 강조색6 63 18" xfId="9161"/>
    <cellStyle name="20% - 강조색6 63 19" xfId="6012"/>
    <cellStyle name="20% - 강조색6 63 2" xfId="5790"/>
    <cellStyle name="20% - 강조색6 63 3" xfId="5869"/>
    <cellStyle name="20% - 강조색6 63 4" xfId="5927"/>
    <cellStyle name="20% - 강조색6 63 5" xfId="5952"/>
    <cellStyle name="20% - 강조색6 63 6" xfId="6612"/>
    <cellStyle name="20% - 강조색6 63 7" xfId="7127"/>
    <cellStyle name="20% - 강조색6 63 8" xfId="2784"/>
    <cellStyle name="20% - 강조색6 63 9" xfId="7761"/>
    <cellStyle name="20% - 강조색6 64" xfId="5530"/>
    <cellStyle name="20% - 강조색6 64 10" xfId="9665"/>
    <cellStyle name="20% - 강조색6 64 11" xfId="9886"/>
    <cellStyle name="20% - 강조색6 64 12" xfId="9724"/>
    <cellStyle name="20% - 강조색6 64 13" xfId="1584"/>
    <cellStyle name="20% - 강조색6 64 14" xfId="9131"/>
    <cellStyle name="20% - 강조색6 64 15" xfId="10281"/>
    <cellStyle name="20% - 강조색6 64 2" xfId="6645"/>
    <cellStyle name="20% - 강조색6 64 3" xfId="7254"/>
    <cellStyle name="20% - 강조색6 64 4" xfId="6676"/>
    <cellStyle name="20% - 강조색6 64 5" xfId="5078"/>
    <cellStyle name="20% - 강조색6 64 6" xfId="4070"/>
    <cellStyle name="20% - 강조색6 64 7" xfId="8338"/>
    <cellStyle name="20% - 강조색6 64 8" xfId="8965"/>
    <cellStyle name="20% - 강조색6 64 9" xfId="4533"/>
    <cellStyle name="20% - 강조색6 65" xfId="5715"/>
    <cellStyle name="20% - 강조색6 65 10" xfId="9638"/>
    <cellStyle name="20% - 강조색6 65 11" xfId="9837"/>
    <cellStyle name="20% - 강조색6 65 12" xfId="10121"/>
    <cellStyle name="20% - 강조색6 65 13" xfId="10486"/>
    <cellStyle name="20% - 강조색6 65 14" xfId="3102"/>
    <cellStyle name="20% - 강조색6 65 15" xfId="6049"/>
    <cellStyle name="20% - 강조색6 65 2" xfId="6653"/>
    <cellStyle name="20% - 강조색6 65 3" xfId="7276"/>
    <cellStyle name="20% - 강조색6 65 4" xfId="7033"/>
    <cellStyle name="20% - 강조색6 65 5" xfId="7821"/>
    <cellStyle name="20% - 강조색6 65 6" xfId="7790"/>
    <cellStyle name="20% - 강조색6 65 7" xfId="8428"/>
    <cellStyle name="20% - 강조색6 65 8" xfId="870"/>
    <cellStyle name="20% - 강조색6 65 9" xfId="6833"/>
    <cellStyle name="20% - 강조색6 66" xfId="5818"/>
    <cellStyle name="20% - 강조색6 66 10" xfId="4343"/>
    <cellStyle name="20% - 강조색6 66 11" xfId="3623"/>
    <cellStyle name="20% - 강조색6 66 12" xfId="10113"/>
    <cellStyle name="20% - 강조색6 66 13" xfId="10592"/>
    <cellStyle name="20% - 강조색6 66 14" xfId="10931"/>
    <cellStyle name="20% - 강조색6 66 15" xfId="3768"/>
    <cellStyle name="20% - 강조색6 66 2" xfId="6659"/>
    <cellStyle name="20% - 강조색6 66 3" xfId="7285"/>
    <cellStyle name="20% - 강조색6 66 4" xfId="6800"/>
    <cellStyle name="20% - 강조색6 66 5" xfId="7827"/>
    <cellStyle name="20% - 강조색6 66 6" xfId="8182"/>
    <cellStyle name="20% - 강조색6 66 7" xfId="8388"/>
    <cellStyle name="20% - 강조색6 66 8" xfId="4481"/>
    <cellStyle name="20% - 강조색6 66 9" xfId="9304"/>
    <cellStyle name="20% - 강조색6 67" xfId="5893"/>
    <cellStyle name="20% - 강조색6 67 10" xfId="4915"/>
    <cellStyle name="20% - 강조색6 67 11" xfId="6147"/>
    <cellStyle name="20% - 강조색6 67 12" xfId="10198"/>
    <cellStyle name="20% - 강조색6 67 13" xfId="6122"/>
    <cellStyle name="20% - 강조색6 67 14" xfId="9216"/>
    <cellStyle name="20% - 강조색6 67 15" xfId="11075"/>
    <cellStyle name="20% - 강조색6 67 2" xfId="6661"/>
    <cellStyle name="20% - 강조색6 67 3" xfId="7294"/>
    <cellStyle name="20% - 강조색6 67 4" xfId="7341"/>
    <cellStyle name="20% - 강조색6 67 5" xfId="7829"/>
    <cellStyle name="20% - 강조색6 67 6" xfId="8002"/>
    <cellStyle name="20% - 강조색6 67 7" xfId="8379"/>
    <cellStyle name="20% - 강조색6 67 8" xfId="8727"/>
    <cellStyle name="20% - 강조색6 67 9" xfId="2865"/>
    <cellStyle name="20% - 강조색6 68" xfId="6555"/>
    <cellStyle name="20% - 강조색6 68 10" xfId="7919"/>
    <cellStyle name="20% - 강조색6 68 11" xfId="9057"/>
    <cellStyle name="20% - 강조색6 68 12" xfId="10588"/>
    <cellStyle name="20% - 강조색6 68 13" xfId="10921"/>
    <cellStyle name="20% - 강조색6 68 14" xfId="8743"/>
    <cellStyle name="20% - 강조색6 68 2" xfId="7331"/>
    <cellStyle name="20% - 강조색6 68 3" xfId="7353"/>
    <cellStyle name="20% - 강조색6 68 4" xfId="7842"/>
    <cellStyle name="20% - 강조색6 68 5" xfId="8031"/>
    <cellStyle name="20% - 강조색6 68 6" xfId="8441"/>
    <cellStyle name="20% - 강조색6 68 7" xfId="6909"/>
    <cellStyle name="20% - 강조색6 68 8" xfId="7190"/>
    <cellStyle name="20% - 강조색6 68 9" xfId="9655"/>
    <cellStyle name="20% - 강조색6 69" xfId="7116"/>
    <cellStyle name="20% - 강조색6 69 10" xfId="6879"/>
    <cellStyle name="20% - 강조색6 69 11" xfId="6261"/>
    <cellStyle name="20% - 강조색6 69 12" xfId="9225"/>
    <cellStyle name="20% - 강조색6 69 2" xfId="7851"/>
    <cellStyle name="20% - 강조색6 69 3" xfId="8245"/>
    <cellStyle name="20% - 강조색6 69 4" xfId="8607"/>
    <cellStyle name="20% - 강조색6 69 5" xfId="6095"/>
    <cellStyle name="20% - 강조색6 69 6" xfId="9127"/>
    <cellStyle name="20% - 강조색6 69 7" xfId="9580"/>
    <cellStyle name="20% - 강조색6 69 8" xfId="6142"/>
    <cellStyle name="20% - 강조색6 69 9" xfId="10063"/>
    <cellStyle name="20% - 강조색6 7" xfId="138"/>
    <cellStyle name="20% - 강조색6 70" xfId="7137"/>
    <cellStyle name="20% - 강조색6 70 10" xfId="3252"/>
    <cellStyle name="20% - 강조색6 70 11" xfId="10833"/>
    <cellStyle name="20% - 강조색6 70 12" xfId="11230"/>
    <cellStyle name="20% - 강조색6 70 2" xfId="7853"/>
    <cellStyle name="20% - 강조색6 70 3" xfId="8247"/>
    <cellStyle name="20% - 강조색6 70 4" xfId="8609"/>
    <cellStyle name="20% - 강조색6 70 5" xfId="8730"/>
    <cellStyle name="20% - 강조색6 70 6" xfId="9056"/>
    <cellStyle name="20% - 강조색6 70 7" xfId="8423"/>
    <cellStyle name="20% - 강조색6 70 8" xfId="10017"/>
    <cellStyle name="20% - 강조색6 70 9" xfId="8493"/>
    <cellStyle name="20% - 강조색6 71" xfId="7541"/>
    <cellStyle name="20% - 강조색6 71 10" xfId="10868"/>
    <cellStyle name="20% - 강조색6 71 11" xfId="11094"/>
    <cellStyle name="20% - 강조색6 71 2" xfId="8261"/>
    <cellStyle name="20% - 강조색6 71 3" xfId="8623"/>
    <cellStyle name="20% - 강조색6 71 4" xfId="8987"/>
    <cellStyle name="20% - 강조색6 71 5" xfId="9266"/>
    <cellStyle name="20% - 강조색6 71 6" xfId="9405"/>
    <cellStyle name="20% - 강조색6 71 7" xfId="8288"/>
    <cellStyle name="20% - 강조색6 71 8" xfId="10190"/>
    <cellStyle name="20% - 강조색6 71 9" xfId="10533"/>
    <cellStyle name="20% - 강조색6 72" xfId="8156"/>
    <cellStyle name="20% - 강조색6 72 10" xfId="11140"/>
    <cellStyle name="20% - 강조색6 72 2" xfId="8637"/>
    <cellStyle name="20% - 강조색6 72 3" xfId="9001"/>
    <cellStyle name="20% - 강조색6 72 4" xfId="9360"/>
    <cellStyle name="20% - 강조색6 72 5" xfId="9692"/>
    <cellStyle name="20% - 강조색6 72 6" xfId="9113"/>
    <cellStyle name="20% - 강조색6 72 7" xfId="2359"/>
    <cellStyle name="20% - 강조색6 72 8" xfId="10547"/>
    <cellStyle name="20% - 강조색6 72 9" xfId="10769"/>
    <cellStyle name="20% - 강조색6 73" xfId="8585"/>
    <cellStyle name="20% - 강조색6 73 2" xfId="9011"/>
    <cellStyle name="20% - 강조색6 73 3" xfId="9370"/>
    <cellStyle name="20% - 강조색6 73 4" xfId="9702"/>
    <cellStyle name="20% - 강조색6 73 5" xfId="10028"/>
    <cellStyle name="20% - 강조색6 73 6" xfId="10293"/>
    <cellStyle name="20% - 강조색6 73 7" xfId="10597"/>
    <cellStyle name="20% - 강조색6 73 8" xfId="10719"/>
    <cellStyle name="20% - 강조색6 73 9" xfId="6543"/>
    <cellStyle name="20% - 강조색6 74" xfId="8946"/>
    <cellStyle name="20% - 강조색6 74 2" xfId="9378"/>
    <cellStyle name="20% - 강조색6 74 3" xfId="9710"/>
    <cellStyle name="20% - 강조색6 74 4" xfId="10036"/>
    <cellStyle name="20% - 강조색6 74 5" xfId="10349"/>
    <cellStyle name="20% - 강조색6 74 6" xfId="10480"/>
    <cellStyle name="20% - 강조색6 74 7" xfId="10873"/>
    <cellStyle name="20% - 강조색6 74 8" xfId="11210"/>
    <cellStyle name="20% - 강조색6 75" xfId="9036"/>
    <cellStyle name="20% - 강조색6 75 2" xfId="9716"/>
    <cellStyle name="20% - 강조색6 75 3" xfId="10042"/>
    <cellStyle name="20% - 강조색6 75 4" xfId="10355"/>
    <cellStyle name="20% - 강조색6 75 5" xfId="9244"/>
    <cellStyle name="20% - 강조색6 75 6" xfId="10761"/>
    <cellStyle name="20% - 강조색6 75 7" xfId="11176"/>
    <cellStyle name="20% - 강조색6 76" xfId="9644"/>
    <cellStyle name="20% - 강조색6 76 2" xfId="10053"/>
    <cellStyle name="20% - 강조색6 76 3" xfId="10367"/>
    <cellStyle name="20% - 강조색6 76 4" xfId="10677"/>
    <cellStyle name="20% - 강조색6 76 5" xfId="10960"/>
    <cellStyle name="20% - 강조색6 76 6" xfId="1844"/>
    <cellStyle name="20% - 강조색6 77" xfId="9562"/>
    <cellStyle name="20% - 강조색6 77 2" xfId="10366"/>
    <cellStyle name="20% - 강조색6 77 3" xfId="10676"/>
    <cellStyle name="20% - 강조색6 77 4" xfId="10959"/>
    <cellStyle name="20% - 강조색6 77 5" xfId="3713"/>
    <cellStyle name="20% - 강조색6 78" xfId="10258"/>
    <cellStyle name="20% - 강조색6 78 2" xfId="10693"/>
    <cellStyle name="20% - 강조색6 78 3" xfId="10977"/>
    <cellStyle name="20% - 강조색6 78 4" xfId="11254"/>
    <cellStyle name="20% - 강조색6 79" xfId="9018"/>
    <cellStyle name="20% - 강조색6 79 2" xfId="3849"/>
    <cellStyle name="20% - 강조색6 79 3" xfId="11068"/>
    <cellStyle name="20% - 강조색6 8" xfId="151"/>
    <cellStyle name="20% - 강조색6 80" xfId="10910"/>
    <cellStyle name="20% - 강조색6 80 2" xfId="11272"/>
    <cellStyle name="20% - 강조색6 81" xfId="9576"/>
    <cellStyle name="20% - 강조색6 82" xfId="11300"/>
    <cellStyle name="20% - 강조색6 83" xfId="11421"/>
    <cellStyle name="20% - 강조색6 84" xfId="11309"/>
    <cellStyle name="20% - 강조색6 85" xfId="11352"/>
    <cellStyle name="20% - 강조색6 86" xfId="11446"/>
    <cellStyle name="20% - 강조색6 9" xfId="164"/>
    <cellStyle name="40% - 강조색1" xfId="20" builtinId="31" customBuiltin="1"/>
    <cellStyle name="40% - 강조색1 10" xfId="166"/>
    <cellStyle name="40% - 강조색1 11" xfId="179"/>
    <cellStyle name="40% - 강조색1 12" xfId="192"/>
    <cellStyle name="40% - 강조색1 13" xfId="205"/>
    <cellStyle name="40% - 강조색1 14" xfId="218"/>
    <cellStyle name="40% - 강조색1 15" xfId="231"/>
    <cellStyle name="40% - 강조색1 16" xfId="244"/>
    <cellStyle name="40% - 강조색1 17" xfId="257"/>
    <cellStyle name="40% - 강조색1 18" xfId="270"/>
    <cellStyle name="40% - 강조색1 19" xfId="283"/>
    <cellStyle name="40% - 강조색1 2" xfId="45"/>
    <cellStyle name="40% - 강조색1 20" xfId="296"/>
    <cellStyle name="40% - 강조색1 21" xfId="309"/>
    <cellStyle name="40% - 강조색1 22" xfId="322"/>
    <cellStyle name="40% - 강조색1 23" xfId="335"/>
    <cellStyle name="40% - 강조색1 24" xfId="348"/>
    <cellStyle name="40% - 강조색1 25" xfId="361"/>
    <cellStyle name="40% - 강조색1 26" xfId="374"/>
    <cellStyle name="40% - 강조색1 27" xfId="387"/>
    <cellStyle name="40% - 강조색1 28" xfId="400"/>
    <cellStyle name="40% - 강조색1 29" xfId="413"/>
    <cellStyle name="40% - 강조색1 3" xfId="68"/>
    <cellStyle name="40% - 강조색1 30" xfId="426"/>
    <cellStyle name="40% - 강조색1 31" xfId="439"/>
    <cellStyle name="40% - 강조색1 32" xfId="451"/>
    <cellStyle name="40% - 강조색1 33" xfId="463"/>
    <cellStyle name="40% - 강조색1 34" xfId="475"/>
    <cellStyle name="40% - 강조색1 35" xfId="487"/>
    <cellStyle name="40% - 강조색1 36" xfId="498"/>
    <cellStyle name="40% - 강조색1 37" xfId="509"/>
    <cellStyle name="40% - 강조색1 38" xfId="520"/>
    <cellStyle name="40% - 강조색1 39" xfId="529"/>
    <cellStyle name="40% - 강조색1 4" xfId="85"/>
    <cellStyle name="40% - 강조색1 40" xfId="543"/>
    <cellStyle name="40% - 강조색1 40 10" xfId="935"/>
    <cellStyle name="40% - 강조색1 40 11" xfId="2383"/>
    <cellStyle name="40% - 강조색1 40 12" xfId="3971"/>
    <cellStyle name="40% - 강조색1 40 13" xfId="4221"/>
    <cellStyle name="40% - 강조색1 40 14" xfId="2198"/>
    <cellStyle name="40% - 강조색1 40 15" xfId="5116"/>
    <cellStyle name="40% - 강조색1 40 16" xfId="5429"/>
    <cellStyle name="40% - 강조색1 40 17" xfId="5726"/>
    <cellStyle name="40% - 강조색1 40 18" xfId="5826"/>
    <cellStyle name="40% - 강조색1 40 19" xfId="4045"/>
    <cellStyle name="40% - 강조색1 40 2" xfId="1042"/>
    <cellStyle name="40% - 강조색1 40 20" xfId="7186"/>
    <cellStyle name="40% - 강조색1 40 21" xfId="7262"/>
    <cellStyle name="40% - 강조색1 40 22" xfId="7552"/>
    <cellStyle name="40% - 강조색1 40 23" xfId="7893"/>
    <cellStyle name="40% - 강조색1 40 24" xfId="8590"/>
    <cellStyle name="40% - 강조색1 40 25" xfId="8848"/>
    <cellStyle name="40% - 강조색1 40 26" xfId="9312"/>
    <cellStyle name="40% - 강조색1 40 27" xfId="9399"/>
    <cellStyle name="40% - 강조색1 40 28" xfId="9386"/>
    <cellStyle name="40% - 강조색1 40 29" xfId="10186"/>
    <cellStyle name="40% - 강조색1 40 3" xfId="1133"/>
    <cellStyle name="40% - 강조색1 40 30" xfId="10538"/>
    <cellStyle name="40% - 강조색1 40 31" xfId="6067"/>
    <cellStyle name="40% - 강조색1 40 32" xfId="5091"/>
    <cellStyle name="40% - 강조색1 40 33" xfId="11314"/>
    <cellStyle name="40% - 강조색1 40 34" xfId="11284"/>
    <cellStyle name="40% - 강조색1 40 35" xfId="11360"/>
    <cellStyle name="40% - 강조색1 40 36" xfId="11386"/>
    <cellStyle name="40% - 강조색1 40 4" xfId="1224"/>
    <cellStyle name="40% - 강조색1 40 5" xfId="1611"/>
    <cellStyle name="40% - 강조색1 40 6" xfId="1578"/>
    <cellStyle name="40% - 강조색1 40 7" xfId="1936"/>
    <cellStyle name="40% - 강조색1 40 8" xfId="1829"/>
    <cellStyle name="40% - 강조색1 40 9" xfId="2715"/>
    <cellStyle name="40% - 강조색1 41" xfId="619"/>
    <cellStyle name="40% - 강조색1 41 10" xfId="3243"/>
    <cellStyle name="40% - 강조색1 41 11" xfId="3636"/>
    <cellStyle name="40% - 강조색1 41 12" xfId="2215"/>
    <cellStyle name="40% - 강조색1 41 13" xfId="4314"/>
    <cellStyle name="40% - 강조색1 41 14" xfId="4527"/>
    <cellStyle name="40% - 강조색1 41 15" xfId="5151"/>
    <cellStyle name="40% - 강조색1 41 16" xfId="5427"/>
    <cellStyle name="40% - 강조색1 41 17" xfId="1358"/>
    <cellStyle name="40% - 강조색1 41 18" xfId="4966"/>
    <cellStyle name="40% - 강조색1 41 19" xfId="6283"/>
    <cellStyle name="40% - 강조색1 41 2" xfId="1118"/>
    <cellStyle name="40% - 강조색1 41 20" xfId="6684"/>
    <cellStyle name="40% - 강조색1 41 21" xfId="7249"/>
    <cellStyle name="40% - 강조색1 41 22" xfId="7610"/>
    <cellStyle name="40% - 강조색1 41 23" xfId="8119"/>
    <cellStyle name="40% - 강조색1 41 24" xfId="8274"/>
    <cellStyle name="40% - 강조색1 41 25" xfId="8808"/>
    <cellStyle name="40% - 강조색1 41 26" xfId="7511"/>
    <cellStyle name="40% - 강조색1 41 27" xfId="1815"/>
    <cellStyle name="40% - 강조색1 41 28" xfId="9928"/>
    <cellStyle name="40% - 강조색1 41 29" xfId="10246"/>
    <cellStyle name="40% - 강조색1 41 3" xfId="1209"/>
    <cellStyle name="40% - 강조색1 41 30" xfId="9748"/>
    <cellStyle name="40% - 강조색1 41 31" xfId="6266"/>
    <cellStyle name="40% - 강조색1 41 32" xfId="1486"/>
    <cellStyle name="40% - 강조색1 41 4" xfId="1300"/>
    <cellStyle name="40% - 강조색1 41 5" xfId="1644"/>
    <cellStyle name="40% - 강조색1 41 6" xfId="2010"/>
    <cellStyle name="40% - 강조색1 41 7" xfId="1521"/>
    <cellStyle name="40% - 강조색1 41 8" xfId="1388"/>
    <cellStyle name="40% - 강조색1 41 9" xfId="2714"/>
    <cellStyle name="40% - 강조색1 42" xfId="565"/>
    <cellStyle name="40% - 강조색1 42 10" xfId="3177"/>
    <cellStyle name="40% - 강조색1 42 11" xfId="3526"/>
    <cellStyle name="40% - 강조색1 42 12" xfId="2506"/>
    <cellStyle name="40% - 강조색1 42 13" xfId="4226"/>
    <cellStyle name="40% - 강조색1 42 14" xfId="4446"/>
    <cellStyle name="40% - 강조색1 42 15" xfId="3191"/>
    <cellStyle name="40% - 강조색1 42 16" xfId="5446"/>
    <cellStyle name="40% - 강조색1 42 17" xfId="2554"/>
    <cellStyle name="40% - 강조색1 42 18" xfId="4806"/>
    <cellStyle name="40% - 강조색1 42 19" xfId="6165"/>
    <cellStyle name="40% - 강조색1 42 2" xfId="1064"/>
    <cellStyle name="40% - 강조색1 42 20" xfId="6115"/>
    <cellStyle name="40% - 강조색1 42 21" xfId="7164"/>
    <cellStyle name="40% - 강조색1 42 22" xfId="6384"/>
    <cellStyle name="40% - 강조색1 42 23" xfId="8150"/>
    <cellStyle name="40% - 강조색1 42 24" xfId="8370"/>
    <cellStyle name="40% - 강조색1 42 25" xfId="8947"/>
    <cellStyle name="40% - 강조색1 42 26" xfId="9150"/>
    <cellStyle name="40% - 강조색1 42 27" xfId="6358"/>
    <cellStyle name="40% - 강조색1 42 28" xfId="9808"/>
    <cellStyle name="40% - 강조색1 42 29" xfId="8652"/>
    <cellStyle name="40% - 강조색1 42 3" xfId="1155"/>
    <cellStyle name="40% - 강조색1 42 30" xfId="10610"/>
    <cellStyle name="40% - 강조색1 42 31" xfId="10853"/>
    <cellStyle name="40% - 강조색1 42 32" xfId="10883"/>
    <cellStyle name="40% - 강조색1 42 4" xfId="1246"/>
    <cellStyle name="40% - 강조색1 42 5" xfId="1710"/>
    <cellStyle name="40% - 강조색1 42 6" xfId="753"/>
    <cellStyle name="40% - 강조색1 42 7" xfId="2304"/>
    <cellStyle name="40% - 강조색1 42 8" xfId="2588"/>
    <cellStyle name="40% - 강조색1 42 9" xfId="1824"/>
    <cellStyle name="40% - 강조색1 43" xfId="573"/>
    <cellStyle name="40% - 강조색1 43 10" xfId="3042"/>
    <cellStyle name="40% - 강조색1 43 11" xfId="3505"/>
    <cellStyle name="40% - 강조색1 43 12" xfId="3953"/>
    <cellStyle name="40% - 강조색1 43 13" xfId="4275"/>
    <cellStyle name="40% - 강조색1 43 14" xfId="4176"/>
    <cellStyle name="40% - 강조색1 43 15" xfId="4696"/>
    <cellStyle name="40% - 강조색1 43 16" xfId="3741"/>
    <cellStyle name="40% - 강조색1 43 17" xfId="4928"/>
    <cellStyle name="40% - 강조색1 43 18" xfId="5215"/>
    <cellStyle name="40% - 강조색1 43 19" xfId="6526"/>
    <cellStyle name="40% - 강조색1 43 2" xfId="1072"/>
    <cellStyle name="40% - 강조색1 43 20" xfId="6785"/>
    <cellStyle name="40% - 강조색1 43 21" xfId="6183"/>
    <cellStyle name="40% - 강조색1 43 22" xfId="7795"/>
    <cellStyle name="40% - 강조색1 43 23" xfId="7628"/>
    <cellStyle name="40% - 강조색1 43 24" xfId="6151"/>
    <cellStyle name="40% - 강조색1 43 25" xfId="8859"/>
    <cellStyle name="40% - 강조색1 43 26" xfId="9059"/>
    <cellStyle name="40% - 강조색1 43 27" xfId="8146"/>
    <cellStyle name="40% - 강조색1 43 28" xfId="7409"/>
    <cellStyle name="40% - 강조색1 43 29" xfId="7728"/>
    <cellStyle name="40% - 강조색1 43 3" xfId="1163"/>
    <cellStyle name="40% - 강조색1 43 30" xfId="10466"/>
    <cellStyle name="40% - 강조색1 43 31" xfId="4812"/>
    <cellStyle name="40% - 강조색1 43 32" xfId="9485"/>
    <cellStyle name="40% - 강조색1 43 4" xfId="1254"/>
    <cellStyle name="40% - 강조색1 43 5" xfId="1677"/>
    <cellStyle name="40% - 강조색1 43 6" xfId="1319"/>
    <cellStyle name="40% - 강조색1 43 7" xfId="2221"/>
    <cellStyle name="40% - 강조색1 43 8" xfId="1394"/>
    <cellStyle name="40% - 강조색1 43 9" xfId="1881"/>
    <cellStyle name="40% - 강조색1 44" xfId="581"/>
    <cellStyle name="40% - 강조색1 44 10" xfId="2369"/>
    <cellStyle name="40% - 강조색1 44 11" xfId="3619"/>
    <cellStyle name="40% - 강조색1 44 12" xfId="3382"/>
    <cellStyle name="40% - 강조색1 44 13" xfId="4330"/>
    <cellStyle name="40% - 강조색1 44 14" xfId="1541"/>
    <cellStyle name="40% - 강조색1 44 15" xfId="5454"/>
    <cellStyle name="40% - 강조색1 44 16" xfId="5640"/>
    <cellStyle name="40% - 강조색1 44 17" xfId="5737"/>
    <cellStyle name="40% - 강조색1 44 18" xfId="5832"/>
    <cellStyle name="40% - 강조색1 44 19" xfId="5997"/>
    <cellStyle name="40% - 강조색1 44 2" xfId="1080"/>
    <cellStyle name="40% - 강조색1 44 20" xfId="7187"/>
    <cellStyle name="40% - 강조색1 44 21" xfId="7100"/>
    <cellStyle name="40% - 강조색1 44 22" xfId="7380"/>
    <cellStyle name="40% - 강조색1 44 23" xfId="3513"/>
    <cellStyle name="40% - 강조색1 44 24" xfId="6767"/>
    <cellStyle name="40% - 강조색1 44 25" xfId="6719"/>
    <cellStyle name="40% - 강조색1 44 26" xfId="2961"/>
    <cellStyle name="40% - 강조색1 44 27" xfId="9479"/>
    <cellStyle name="40% - 강조색1 44 28" xfId="2450"/>
    <cellStyle name="40% - 강조색1 44 29" xfId="10131"/>
    <cellStyle name="40% - 강조색1 44 3" xfId="1171"/>
    <cellStyle name="40% - 강조색1 44 30" xfId="10550"/>
    <cellStyle name="40% - 강조색1 44 31" xfId="10727"/>
    <cellStyle name="40% - 강조색1 44 32" xfId="11002"/>
    <cellStyle name="40% - 강조색1 44 4" xfId="1262"/>
    <cellStyle name="40% - 강조색1 44 5" xfId="1648"/>
    <cellStyle name="40% - 강조색1 44 6" xfId="1973"/>
    <cellStyle name="40% - 강조색1 44 7" xfId="801"/>
    <cellStyle name="40% - 강조색1 44 8" xfId="2575"/>
    <cellStyle name="40% - 강조색1 44 9" xfId="2884"/>
    <cellStyle name="40% - 강조색1 45" xfId="610"/>
    <cellStyle name="40% - 강조색1 45 10" xfId="3097"/>
    <cellStyle name="40% - 강조색1 45 11" xfId="3424"/>
    <cellStyle name="40% - 강조색1 45 12" xfId="3942"/>
    <cellStyle name="40% - 강조색1 45 13" xfId="4152"/>
    <cellStyle name="40% - 강조색1 45 14" xfId="3448"/>
    <cellStyle name="40% - 강조색1 45 15" xfId="4834"/>
    <cellStyle name="40% - 강조색1 45 16" xfId="4250"/>
    <cellStyle name="40% - 강조색1 45 17" xfId="5198"/>
    <cellStyle name="40% - 강조색1 45 18" xfId="5613"/>
    <cellStyle name="40% - 강조색1 45 19" xfId="6281"/>
    <cellStyle name="40% - 강조색1 45 2" xfId="1109"/>
    <cellStyle name="40% - 강조색1 45 20" xfId="1364"/>
    <cellStyle name="40% - 강조색1 45 21" xfId="7027"/>
    <cellStyle name="40% - 강조색1 45 22" xfId="7375"/>
    <cellStyle name="40% - 강조색1 45 23" xfId="8033"/>
    <cellStyle name="40% - 강조색1 45 24" xfId="6345"/>
    <cellStyle name="40% - 강조색1 45 25" xfId="8935"/>
    <cellStyle name="40% - 강조색1 45 26" xfId="7371"/>
    <cellStyle name="40% - 강조색1 45 27" xfId="9675"/>
    <cellStyle name="40% - 강조색1 45 28" xfId="9528"/>
    <cellStyle name="40% - 강조색1 45 29" xfId="7595"/>
    <cellStyle name="40% - 강조색1 45 3" xfId="1200"/>
    <cellStyle name="40% - 강조색1 45 30" xfId="2130"/>
    <cellStyle name="40% - 강조색1 45 31" xfId="10735"/>
    <cellStyle name="40% - 강조색1 45 32" xfId="11071"/>
    <cellStyle name="40% - 강조색1 45 4" xfId="1291"/>
    <cellStyle name="40% - 강조색1 45 5" xfId="1659"/>
    <cellStyle name="40% - 강조색1 45 6" xfId="742"/>
    <cellStyle name="40% - 강조색1 45 7" xfId="796"/>
    <cellStyle name="40% - 강조색1 45 8" xfId="1467"/>
    <cellStyle name="40% - 강조색1 45 9" xfId="2741"/>
    <cellStyle name="40% - 강조색1 46" xfId="572"/>
    <cellStyle name="40% - 강조색1 46 10" xfId="3291"/>
    <cellStyle name="40% - 강조색1 46 11" xfId="3396"/>
    <cellStyle name="40% - 강조색1 46 12" xfId="4006"/>
    <cellStyle name="40% - 강조색1 46 13" xfId="4257"/>
    <cellStyle name="40% - 강조색1 46 14" xfId="4675"/>
    <cellStyle name="40% - 강조색1 46 15" xfId="5527"/>
    <cellStyle name="40% - 강조색1 46 16" xfId="5594"/>
    <cellStyle name="40% - 강조색1 46 17" xfId="4708"/>
    <cellStyle name="40% - 강조색1 46 18" xfId="1923"/>
    <cellStyle name="40% - 강조색1 46 19" xfId="6421"/>
    <cellStyle name="40% - 강조색1 46 2" xfId="1071"/>
    <cellStyle name="40% - 강조색1 46 20" xfId="5288"/>
    <cellStyle name="40% - 강조색1 46 21" xfId="7174"/>
    <cellStyle name="40% - 강조색1 46 22" xfId="7583"/>
    <cellStyle name="40% - 강조색1 46 23" xfId="4998"/>
    <cellStyle name="40% - 강조색1 46 24" xfId="6257"/>
    <cellStyle name="40% - 강조색1 46 25" xfId="8833"/>
    <cellStyle name="40% - 강조색1 46 26" xfId="9166"/>
    <cellStyle name="40% - 강조색1 46 27" xfId="9524"/>
    <cellStyle name="40% - 강조색1 46 28" xfId="8820"/>
    <cellStyle name="40% - 강조색1 46 29" xfId="10163"/>
    <cellStyle name="40% - 강조색1 46 3" xfId="1162"/>
    <cellStyle name="40% - 강조색1 46 30" xfId="10532"/>
    <cellStyle name="40% - 강조색1 46 31" xfId="3782"/>
    <cellStyle name="40% - 강조색1 46 32" xfId="9584"/>
    <cellStyle name="40% - 강조색1 46 4" xfId="1253"/>
    <cellStyle name="40% - 강조색1 46 5" xfId="1725"/>
    <cellStyle name="40% - 강조색1 46 6" xfId="850"/>
    <cellStyle name="40% - 강조색1 46 7" xfId="782"/>
    <cellStyle name="40% - 강조색1 46 8" xfId="2606"/>
    <cellStyle name="40% - 강조색1 46 9" xfId="2945"/>
    <cellStyle name="40% - 강조색1 47" xfId="636"/>
    <cellStyle name="40% - 강조색1 47 10" xfId="4077"/>
    <cellStyle name="40% - 강조색1 47 11" xfId="3103"/>
    <cellStyle name="40% - 강조색1 47 12" xfId="2706"/>
    <cellStyle name="40% - 강조색1 47 13" xfId="3237"/>
    <cellStyle name="40% - 강조색1 47 14" xfId="5633"/>
    <cellStyle name="40% - 강조색1 47 15" xfId="3353"/>
    <cellStyle name="40% - 강조색1 47 16" xfId="6344"/>
    <cellStyle name="40% - 강조색1 47 17" xfId="6850"/>
    <cellStyle name="40% - 강조색1 47 18" xfId="2082"/>
    <cellStyle name="40% - 강조색1 47 19" xfId="7615"/>
    <cellStyle name="40% - 강조색1 47 2" xfId="1687"/>
    <cellStyle name="40% - 강조색1 47 20" xfId="8109"/>
    <cellStyle name="40% - 강조색1 47 21" xfId="4156"/>
    <cellStyle name="40% - 강조색1 47 22" xfId="2726"/>
    <cellStyle name="40% - 강조색1 47 23" xfId="9046"/>
    <cellStyle name="40% - 강조색1 47 24" xfId="727"/>
    <cellStyle name="40% - 강조색1 47 25" xfId="8823"/>
    <cellStyle name="40% - 강조색1 47 26" xfId="1329"/>
    <cellStyle name="40% - 강조색1 47 27" xfId="9520"/>
    <cellStyle name="40% - 강조색1 47 28" xfId="10733"/>
    <cellStyle name="40% - 강조색1 47 29" xfId="11112"/>
    <cellStyle name="40% - 강조색1 47 3" xfId="2039"/>
    <cellStyle name="40% - 강조색1 47 30" xfId="11328"/>
    <cellStyle name="40% - 강조색1 47 31" xfId="11406"/>
    <cellStyle name="40% - 강조색1 47 32" xfId="11412"/>
    <cellStyle name="40% - 강조색1 47 33" xfId="11393"/>
    <cellStyle name="40% - 강조색1 47 4" xfId="726"/>
    <cellStyle name="40% - 강조색1 47 5" xfId="2392"/>
    <cellStyle name="40% - 강조색1 47 6" xfId="932"/>
    <cellStyle name="40% - 강조색1 47 7" xfId="1418"/>
    <cellStyle name="40% - 강조색1 47 8" xfId="3049"/>
    <cellStyle name="40% - 강조색1 47 9" xfId="3843"/>
    <cellStyle name="40% - 강조색1 48" xfId="665"/>
    <cellStyle name="40% - 강조색1 48 10" xfId="4178"/>
    <cellStyle name="40% - 강조색1 48 11" xfId="2874"/>
    <cellStyle name="40% - 강조색1 48 12" xfId="2630"/>
    <cellStyle name="40% - 강조색1 48 13" xfId="5797"/>
    <cellStyle name="40% - 강조색1 48 14" xfId="5875"/>
    <cellStyle name="40% - 강조색1 48 15" xfId="5932"/>
    <cellStyle name="40% - 강조색1 48 16" xfId="6583"/>
    <cellStyle name="40% - 강조색1 48 17" xfId="6162"/>
    <cellStyle name="40% - 강조색1 48 18" xfId="7073"/>
    <cellStyle name="40% - 강조색1 48 19" xfId="5578"/>
    <cellStyle name="40% - 강조색1 48 2" xfId="1625"/>
    <cellStyle name="40% - 강조색1 48 20" xfId="4495"/>
    <cellStyle name="40% - 강조색1 48 21" xfId="8448"/>
    <cellStyle name="40% - 강조색1 48 22" xfId="3841"/>
    <cellStyle name="40% - 강조색1 48 23" xfId="9153"/>
    <cellStyle name="40% - 강조색1 48 24" xfId="2202"/>
    <cellStyle name="40% - 강조색1 48 25" xfId="9920"/>
    <cellStyle name="40% - 강조색1 48 26" xfId="10289"/>
    <cellStyle name="40% - 강조색1 48 27" xfId="10405"/>
    <cellStyle name="40% - 강조색1 48 28" xfId="10786"/>
    <cellStyle name="40% - 강조색1 48 29" xfId="11096"/>
    <cellStyle name="40% - 강조색1 48 3" xfId="861"/>
    <cellStyle name="40% - 강조색1 48 4" xfId="2290"/>
    <cellStyle name="40% - 강조색1 48 5" xfId="2632"/>
    <cellStyle name="40% - 강조색1 48 6" xfId="2944"/>
    <cellStyle name="40% - 강조색1 48 7" xfId="1531"/>
    <cellStyle name="40% - 강조색1 48 8" xfId="3558"/>
    <cellStyle name="40% - 강조색1 48 9" xfId="3155"/>
    <cellStyle name="40% - 강조색1 49" xfId="673"/>
    <cellStyle name="40% - 강조색1 49 10" xfId="4238"/>
    <cellStyle name="40% - 강조색1 49 11" xfId="3501"/>
    <cellStyle name="40% - 강조색1 49 12" xfId="5502"/>
    <cellStyle name="40% - 강조색1 49 13" xfId="5684"/>
    <cellStyle name="40% - 강조색1 49 14" xfId="5019"/>
    <cellStyle name="40% - 강조색1 49 15" xfId="5182"/>
    <cellStyle name="40% - 강조색1 49 16" xfId="6427"/>
    <cellStyle name="40% - 강조색1 49 17" xfId="3883"/>
    <cellStyle name="40% - 강조색1 49 18" xfId="7301"/>
    <cellStyle name="40% - 강조색1 49 19" xfId="1907"/>
    <cellStyle name="40% - 강조색1 49 2" xfId="1689"/>
    <cellStyle name="40% - 강조색1 49 20" xfId="7958"/>
    <cellStyle name="40% - 강조색1 49 21" xfId="8498"/>
    <cellStyle name="40% - 강조색1 49 22" xfId="8734"/>
    <cellStyle name="40% - 강조색1 49 23" xfId="9178"/>
    <cellStyle name="40% - 강조색1 49 24" xfId="9633"/>
    <cellStyle name="40% - 강조색1 49 25" xfId="9860"/>
    <cellStyle name="40% - 강조색1 49 26" xfId="9492"/>
    <cellStyle name="40% - 강조색1 49 27" xfId="7764"/>
    <cellStyle name="40% - 강조색1 49 28" xfId="10900"/>
    <cellStyle name="40% - 강조색1 49 29" xfId="11026"/>
    <cellStyle name="40% - 강조색1 49 3" xfId="1989"/>
    <cellStyle name="40% - 강조색1 49 4" xfId="2229"/>
    <cellStyle name="40% - 강조색1 49 5" xfId="808"/>
    <cellStyle name="40% - 강조색1 49 6" xfId="2863"/>
    <cellStyle name="40% - 강조색1 49 7" xfId="3165"/>
    <cellStyle name="40% - 강조색1 49 8" xfId="2694"/>
    <cellStyle name="40% - 강조색1 49 9" xfId="3739"/>
    <cellStyle name="40% - 강조색1 5" xfId="101"/>
    <cellStyle name="40% - 강조색1 50" xfId="652"/>
    <cellStyle name="40% - 강조색1 50 10" xfId="4286"/>
    <cellStyle name="40% - 강조색1 50 11" xfId="4686"/>
    <cellStyle name="40% - 강조색1 50 12" xfId="5458"/>
    <cellStyle name="40% - 강조색1 50 13" xfId="4951"/>
    <cellStyle name="40% - 강조색1 50 14" xfId="4422"/>
    <cellStyle name="40% - 강조색1 50 15" xfId="5599"/>
    <cellStyle name="40% - 강조색1 50 16" xfId="4111"/>
    <cellStyle name="40% - 강조색1 50 17" xfId="3863"/>
    <cellStyle name="40% - 강조색1 50 18" xfId="2096"/>
    <cellStyle name="40% - 강조색1 50 19" xfId="7751"/>
    <cellStyle name="40% - 강조색1 50 2" xfId="1714"/>
    <cellStyle name="40% - 강조색1 50 20" xfId="3116"/>
    <cellStyle name="40% - 강조색1 50 21" xfId="8343"/>
    <cellStyle name="40% - 강조색1 50 22" xfId="8757"/>
    <cellStyle name="40% - 강조색1 50 23" xfId="6135"/>
    <cellStyle name="40% - 강조색1 50 24" xfId="1479"/>
    <cellStyle name="40% - 강조색1 50 25" xfId="9999"/>
    <cellStyle name="40% - 강조색1 50 26" xfId="2134"/>
    <cellStyle name="40% - 강조색1 50 27" xfId="10523"/>
    <cellStyle name="40% - 강조색1 50 28" xfId="10458"/>
    <cellStyle name="40% - 강조색1 50 29" xfId="11148"/>
    <cellStyle name="40% - 강조색1 50 3" xfId="983"/>
    <cellStyle name="40% - 강조색1 50 4" xfId="2283"/>
    <cellStyle name="40% - 강조색1 50 5" xfId="2607"/>
    <cellStyle name="40% - 강조색1 50 6" xfId="2964"/>
    <cellStyle name="40% - 강조색1 50 7" xfId="1008"/>
    <cellStyle name="40% - 강조색1 50 8" xfId="3434"/>
    <cellStyle name="40% - 강조색1 50 9" xfId="3844"/>
    <cellStyle name="40% - 강조색1 51" xfId="648"/>
    <cellStyle name="40% - 강조색1 51 10" xfId="3011"/>
    <cellStyle name="40% - 강조색1 51 11" xfId="4386"/>
    <cellStyle name="40% - 강조색1 51 12" xfId="5060"/>
    <cellStyle name="40% - 강조색1 51 13" xfId="3797"/>
    <cellStyle name="40% - 강조색1 51 14" xfId="5377"/>
    <cellStyle name="40% - 강조색1 51 15" xfId="3228"/>
    <cellStyle name="40% - 강조색1 51 16" xfId="2364"/>
    <cellStyle name="40% - 강조색1 51 17" xfId="7037"/>
    <cellStyle name="40% - 강조색1 51 18" xfId="7025"/>
    <cellStyle name="40% - 강조색1 51 19" xfId="4062"/>
    <cellStyle name="40% - 강조색1 51 2" xfId="1771"/>
    <cellStyle name="40% - 강조색1 51 20" xfId="8203"/>
    <cellStyle name="40% - 강조색1 51 21" xfId="4517"/>
    <cellStyle name="40% - 강조색1 51 22" xfId="4968"/>
    <cellStyle name="40% - 강조색1 51 23" xfId="6190"/>
    <cellStyle name="40% - 강조색1 51 24" xfId="4408"/>
    <cellStyle name="40% - 강조색1 51 25" xfId="9579"/>
    <cellStyle name="40% - 강조색1 51 26" xfId="3364"/>
    <cellStyle name="40% - 강조색1 51 27" xfId="9028"/>
    <cellStyle name="40% - 강조색1 51 28" xfId="10111"/>
    <cellStyle name="40% - 강조색1 51 29" xfId="6547"/>
    <cellStyle name="40% - 강조색1 51 3" xfId="835"/>
    <cellStyle name="40% - 강조색1 51 4" xfId="2297"/>
    <cellStyle name="40% - 강조색1 51 5" xfId="2481"/>
    <cellStyle name="40% - 강조색1 51 6" xfId="2844"/>
    <cellStyle name="40% - 강조색1 51 7" xfId="3240"/>
    <cellStyle name="40% - 강조색1 51 8" xfId="975"/>
    <cellStyle name="40% - 강조색1 51 9" xfId="1457"/>
    <cellStyle name="40% - 강조색1 52" xfId="685"/>
    <cellStyle name="40% - 강조색1 52 10" xfId="4093"/>
    <cellStyle name="40% - 강조색1 52 11" xfId="3059"/>
    <cellStyle name="40% - 강조색1 52 12" xfId="3701"/>
    <cellStyle name="40% - 강조색1 52 13" xfId="5727"/>
    <cellStyle name="40% - 강조색1 52 14" xfId="5827"/>
    <cellStyle name="40% - 강조색1 52 15" xfId="5898"/>
    <cellStyle name="40% - 강조색1 52 16" xfId="4071"/>
    <cellStyle name="40% - 강조색1 52 17" xfId="4889"/>
    <cellStyle name="40% - 강조색1 52 18" xfId="5071"/>
    <cellStyle name="40% - 강조색1 52 19" xfId="3010"/>
    <cellStyle name="40% - 강조색1 52 2" xfId="1632"/>
    <cellStyle name="40% - 강조색1 52 20" xfId="2445"/>
    <cellStyle name="40% - 강조색1 52 21" xfId="8509"/>
    <cellStyle name="40% - 강조색1 52 22" xfId="8827"/>
    <cellStyle name="40% - 강조색1 52 23" xfId="9032"/>
    <cellStyle name="40% - 강조색1 52 24" xfId="9539"/>
    <cellStyle name="40% - 강조색1 52 25" xfId="9801"/>
    <cellStyle name="40% - 강조색1 52 26" xfId="10123"/>
    <cellStyle name="40% - 강조색1 52 27" xfId="7392"/>
    <cellStyle name="40% - 강조색1 52 28" xfId="10926"/>
    <cellStyle name="40% - 강조색1 52 29" xfId="3167"/>
    <cellStyle name="40% - 강조색1 52 3" xfId="2003"/>
    <cellStyle name="40% - 강조색1 52 4" xfId="2234"/>
    <cellStyle name="40% - 강조색1 52 5" xfId="2620"/>
    <cellStyle name="40% - 강조색1 52 6" xfId="2933"/>
    <cellStyle name="40% - 강조색1 52 7" xfId="3026"/>
    <cellStyle name="40% - 강조색1 52 8" xfId="3527"/>
    <cellStyle name="40% - 강조색1 52 9" xfId="3464"/>
    <cellStyle name="40% - 강조색1 53" xfId="707"/>
    <cellStyle name="40% - 강조색1 53 10" xfId="1389"/>
    <cellStyle name="40% - 강조색1 53 11" xfId="4525"/>
    <cellStyle name="40% - 강조색1 53 12" xfId="5514"/>
    <cellStyle name="40% - 강조색1 53 13" xfId="1847"/>
    <cellStyle name="40% - 강조색1 53 14" xfId="4950"/>
    <cellStyle name="40% - 강조색1 53 15" xfId="5468"/>
    <cellStyle name="40% - 강조색1 53 16" xfId="6568"/>
    <cellStyle name="40% - 강조색1 53 17" xfId="6352"/>
    <cellStyle name="40% - 강조색1 53 18" xfId="3580"/>
    <cellStyle name="40% - 강조색1 53 19" xfId="7617"/>
    <cellStyle name="40% - 강조색1 53 2" xfId="1701"/>
    <cellStyle name="40% - 강조색1 53 20" xfId="8176"/>
    <cellStyle name="40% - 강조색1 53 21" xfId="3135"/>
    <cellStyle name="40% - 강조색1 53 22" xfId="8908"/>
    <cellStyle name="40% - 강조색1 53 23" xfId="6877"/>
    <cellStyle name="40% - 강조색1 53 24" xfId="9674"/>
    <cellStyle name="40% - 강조색1 53 25" xfId="3474"/>
    <cellStyle name="40% - 강조색1 53 26" xfId="10120"/>
    <cellStyle name="40% - 강조색1 53 27" xfId="9910"/>
    <cellStyle name="40% - 강조색1 53 28" xfId="6811"/>
    <cellStyle name="40% - 강조색1 53 29" xfId="8167"/>
    <cellStyle name="40% - 강조색1 53 3" xfId="1980"/>
    <cellStyle name="40% - 강조색1 53 4" xfId="822"/>
    <cellStyle name="40% - 강조색1 53 5" xfId="2548"/>
    <cellStyle name="40% - 강조색1 53 6" xfId="2789"/>
    <cellStyle name="40% - 강조색1 53 7" xfId="2733"/>
    <cellStyle name="40% - 강조색1 53 8" xfId="3587"/>
    <cellStyle name="40% - 강조색1 53 9" xfId="1031"/>
    <cellStyle name="40% - 강조색1 54" xfId="858"/>
    <cellStyle name="40% - 강조색1 54 10" xfId="2101"/>
    <cellStyle name="40% - 강조색1 54 11" xfId="4894"/>
    <cellStyle name="40% - 강조색1 54 12" xfId="3433"/>
    <cellStyle name="40% - 강조색1 54 13" xfId="5166"/>
    <cellStyle name="40% - 강조색1 54 14" xfId="4115"/>
    <cellStyle name="40% - 강조색1 54 15" xfId="6249"/>
    <cellStyle name="40% - 강조색1 54 16" xfId="7056"/>
    <cellStyle name="40% - 강조색1 54 17" xfId="5501"/>
    <cellStyle name="40% - 강조색1 54 18" xfId="2559"/>
    <cellStyle name="40% - 강조색1 54 19" xfId="8206"/>
    <cellStyle name="40% - 강조색1 54 2" xfId="1023"/>
    <cellStyle name="40% - 강조색1 54 20" xfId="6783"/>
    <cellStyle name="40% - 강조색1 54 21" xfId="4103"/>
    <cellStyle name="40% - 강조색1 54 22" xfId="7618"/>
    <cellStyle name="40% - 강조색1 54 23" xfId="9428"/>
    <cellStyle name="40% - 강조색1 54 24" xfId="9047"/>
    <cellStyle name="40% - 강조색1 54 25" xfId="10330"/>
    <cellStyle name="40% - 강조색1 54 26" xfId="4385"/>
    <cellStyle name="40% - 강조색1 54 27" xfId="8843"/>
    <cellStyle name="40% - 강조색1 54 28" xfId="11108"/>
    <cellStyle name="40% - 강조색1 54 3" xfId="2165"/>
    <cellStyle name="40% - 강조색1 54 4" xfId="1518"/>
    <cellStyle name="40% - 강조색1 54 5" xfId="2232"/>
    <cellStyle name="40% - 강조색1 54 6" xfId="1021"/>
    <cellStyle name="40% - 강조색1 54 7" xfId="3497"/>
    <cellStyle name="40% - 강조색1 54 8" xfId="3746"/>
    <cellStyle name="40% - 강조색1 54 9" xfId="4350"/>
    <cellStyle name="40% - 강조색1 55" xfId="1859"/>
    <cellStyle name="40% - 강조색1 55 10" xfId="5272"/>
    <cellStyle name="40% - 강조색1 55 11" xfId="3981"/>
    <cellStyle name="40% - 강조색1 55 12" xfId="5690"/>
    <cellStyle name="40% - 강조색1 55 13" xfId="5769"/>
    <cellStyle name="40% - 강조색1 55 14" xfId="6492"/>
    <cellStyle name="40% - 강조색1 55 15" xfId="7232"/>
    <cellStyle name="40% - 강조색1 55 16" xfId="4619"/>
    <cellStyle name="40% - 강조색1 55 17" xfId="768"/>
    <cellStyle name="40% - 강조색1 55 18" xfId="5164"/>
    <cellStyle name="40% - 강조색1 55 19" xfId="7523"/>
    <cellStyle name="40% - 강조색1 55 2" xfId="2336"/>
    <cellStyle name="40% - 강조색1 55 20" xfId="6248"/>
    <cellStyle name="40% - 강조색1 55 21" xfId="2120"/>
    <cellStyle name="40% - 강조색1 55 22" xfId="4485"/>
    <cellStyle name="40% - 강조색1 55 23" xfId="1800"/>
    <cellStyle name="40% - 강조색1 55 24" xfId="10141"/>
    <cellStyle name="40% - 강조색1 55 25" xfId="10539"/>
    <cellStyle name="40% - 강조색1 55 26" xfId="10881"/>
    <cellStyle name="40% - 강조색1 55 27" xfId="11187"/>
    <cellStyle name="40% - 강조색1 55 3" xfId="2655"/>
    <cellStyle name="40% - 강조색1 55 4" xfId="2969"/>
    <cellStyle name="40% - 강조색1 55 5" xfId="3077"/>
    <cellStyle name="40% - 강조색1 55 6" xfId="3594"/>
    <cellStyle name="40% - 강조색1 55 7" xfId="2410"/>
    <cellStyle name="40% - 강조색1 55 8" xfId="4186"/>
    <cellStyle name="40% - 강조색1 55 9" xfId="3020"/>
    <cellStyle name="40% - 강조색1 56" xfId="878"/>
    <cellStyle name="40% - 강조색1 56 10" xfId="2696"/>
    <cellStyle name="40% - 강조색1 56 11" xfId="5721"/>
    <cellStyle name="40% - 강조색1 56 12" xfId="5821"/>
    <cellStyle name="40% - 강조색1 56 13" xfId="6469"/>
    <cellStyle name="40% - 강조색1 56 14" xfId="7084"/>
    <cellStyle name="40% - 강조색1 56 15" xfId="7145"/>
    <cellStyle name="40% - 강조색1 56 16" xfId="3222"/>
    <cellStyle name="40% - 강조색1 56 17" xfId="8169"/>
    <cellStyle name="40% - 강조색1 56 18" xfId="8300"/>
    <cellStyle name="40% - 강조색1 56 19" xfId="4857"/>
    <cellStyle name="40% - 강조색1 56 2" xfId="2538"/>
    <cellStyle name="40% - 강조색1 56 20" xfId="9252"/>
    <cellStyle name="40% - 강조색1 56 21" xfId="6008"/>
    <cellStyle name="40% - 강조색1 56 22" xfId="3311"/>
    <cellStyle name="40% - 강조색1 56 23" xfId="4513"/>
    <cellStyle name="40% - 강조색1 56 24" xfId="10605"/>
    <cellStyle name="40% - 강조색1 56 25" xfId="10777"/>
    <cellStyle name="40% - 강조색1 56 26" xfId="5355"/>
    <cellStyle name="40% - 강조색1 56 3" xfId="2914"/>
    <cellStyle name="40% - 강조색1 56 4" xfId="3217"/>
    <cellStyle name="40% - 강조색1 56 5" xfId="3625"/>
    <cellStyle name="40% - 강조색1 56 6" xfId="1466"/>
    <cellStyle name="40% - 강조색1 56 7" xfId="1838"/>
    <cellStyle name="40% - 강조색1 56 8" xfId="3802"/>
    <cellStyle name="40% - 강조색1 56 9" xfId="5094"/>
    <cellStyle name="40% - 강조색1 57" xfId="2416"/>
    <cellStyle name="40% - 강조색1 57 10" xfId="5874"/>
    <cellStyle name="40% - 강조색1 57 11" xfId="5931"/>
    <cellStyle name="40% - 강조색1 57 12" xfId="6444"/>
    <cellStyle name="40% - 강조색1 57 13" xfId="5036"/>
    <cellStyle name="40% - 강조색1 57 14" xfId="6697"/>
    <cellStyle name="40% - 강조색1 57 15" xfId="7803"/>
    <cellStyle name="40% - 강조색1 57 16" xfId="8052"/>
    <cellStyle name="40% - 강조색1 57 17" xfId="8334"/>
    <cellStyle name="40% - 강조색1 57 18" xfId="6883"/>
    <cellStyle name="40% - 강조색1 57 19" xfId="7734"/>
    <cellStyle name="40% - 강조색1 57 2" xfId="2994"/>
    <cellStyle name="40% - 강조색1 57 20" xfId="9611"/>
    <cellStyle name="40% - 강조색1 57 21" xfId="6433"/>
    <cellStyle name="40% - 강조색1 57 22" xfId="6943"/>
    <cellStyle name="40% - 강조색1 57 23" xfId="2527"/>
    <cellStyle name="40% - 강조색1 57 24" xfId="10872"/>
    <cellStyle name="40% - 강조색1 57 25" xfId="11063"/>
    <cellStyle name="40% - 강조색1 57 3" xfId="3327"/>
    <cellStyle name="40% - 강조색1 57 4" xfId="3512"/>
    <cellStyle name="40% - 강조색1 57 5" xfId="3980"/>
    <cellStyle name="40% - 강조색1 57 6" xfId="4191"/>
    <cellStyle name="40% - 강조색1 57 7" xfId="4494"/>
    <cellStyle name="40% - 강조색1 57 8" xfId="3459"/>
    <cellStyle name="40% - 강조색1 57 9" xfId="5796"/>
    <cellStyle name="40% - 강조색1 58" xfId="1034"/>
    <cellStyle name="40% - 강조색1 58 10" xfId="5237"/>
    <cellStyle name="40% - 강조색1 58 11" xfId="6579"/>
    <cellStyle name="40% - 강조색1 58 12" xfId="3063"/>
    <cellStyle name="40% - 강조색1 58 13" xfId="7337"/>
    <cellStyle name="40% - 강조색1 58 14" xfId="7437"/>
    <cellStyle name="40% - 강조색1 58 15" xfId="6912"/>
    <cellStyle name="40% - 강조색1 58 16" xfId="8482"/>
    <cellStyle name="40% - 강조색1 58 17" xfId="6691"/>
    <cellStyle name="40% - 강조색1 58 18" xfId="5154"/>
    <cellStyle name="40% - 강조색1 58 19" xfId="9624"/>
    <cellStyle name="40% - 강조색1 58 2" xfId="3138"/>
    <cellStyle name="40% - 강조색1 58 20" xfId="3510"/>
    <cellStyle name="40% - 강조색1 58 21" xfId="10340"/>
    <cellStyle name="40% - 강조색1 58 22" xfId="10644"/>
    <cellStyle name="40% - 강조색1 58 23" xfId="10775"/>
    <cellStyle name="40% - 강조색1 58 24" xfId="7452"/>
    <cellStyle name="40% - 강조색1 58 3" xfId="3507"/>
    <cellStyle name="40% - 강조색1 58 4" xfId="3791"/>
    <cellStyle name="40% - 강조색1 58 5" xfId="804"/>
    <cellStyle name="40% - 강조색1 58 6" xfId="4550"/>
    <cellStyle name="40% - 강조색1 58 7" xfId="4225"/>
    <cellStyle name="40% - 강조색1 58 8" xfId="5389"/>
    <cellStyle name="40% - 강조색1 58 9" xfId="5100"/>
    <cellStyle name="40% - 강조색1 59" xfId="968"/>
    <cellStyle name="40% - 강조색1 59 10" xfId="6021"/>
    <cellStyle name="40% - 강조색1 59 11" xfId="7129"/>
    <cellStyle name="40% - 강조색1 59 12" xfId="7318"/>
    <cellStyle name="40% - 강조색1 59 13" xfId="7650"/>
    <cellStyle name="40% - 강조색1 59 14" xfId="8106"/>
    <cellStyle name="40% - 강조색1 59 15" xfId="6416"/>
    <cellStyle name="40% - 강조색1 59 16" xfId="5039"/>
    <cellStyle name="40% - 강조색1 59 17" xfId="6910"/>
    <cellStyle name="40% - 강조색1 59 18" xfId="2464"/>
    <cellStyle name="40% - 강조색1 59 19" xfId="9889"/>
    <cellStyle name="40% - 강조색1 59 2" xfId="2766"/>
    <cellStyle name="40% - 강조색1 59 20" xfId="9476"/>
    <cellStyle name="40% - 강조색1 59 21" xfId="10641"/>
    <cellStyle name="40% - 강조색1 59 22" xfId="10743"/>
    <cellStyle name="40% - 강조색1 59 23" xfId="11208"/>
    <cellStyle name="40% - 강조색1 59 3" xfId="3769"/>
    <cellStyle name="40% - 강조색1 59 4" xfId="1567"/>
    <cellStyle name="40% - 강조색1 59 5" xfId="851"/>
    <cellStyle name="40% - 강조색1 59 6" xfId="1341"/>
    <cellStyle name="40% - 강조색1 59 7" xfId="5464"/>
    <cellStyle name="40% - 강조색1 59 8" xfId="4865"/>
    <cellStyle name="40% - 강조색1 59 9" xfId="5434"/>
    <cellStyle name="40% - 강조색1 6" xfId="114"/>
    <cellStyle name="40% - 강조색1 60" xfId="3022"/>
    <cellStyle name="40% - 강조색1 60 10" xfId="7120"/>
    <cellStyle name="40% - 강조색1 60 11" xfId="4462"/>
    <cellStyle name="40% - 강조색1 60 12" xfId="3892"/>
    <cellStyle name="40% - 강조색1 60 13" xfId="7955"/>
    <cellStyle name="40% - 강조색1 60 14" xfId="7999"/>
    <cellStyle name="40% - 강조색1 60 15" xfId="2522"/>
    <cellStyle name="40% - 강조색1 60 16" xfId="7458"/>
    <cellStyle name="40% - 강조색1 60 17" xfId="9458"/>
    <cellStyle name="40% - 강조색1 60 18" xfId="2435"/>
    <cellStyle name="40% - 강조색1 60 19" xfId="10264"/>
    <cellStyle name="40% - 강조색1 60 2" xfId="4017"/>
    <cellStyle name="40% - 강조색1 60 20" xfId="6424"/>
    <cellStyle name="40% - 강조색1 60 21" xfId="10860"/>
    <cellStyle name="40% - 강조색1 60 22" xfId="11244"/>
    <cellStyle name="40% - 강조색1 60 3" xfId="916"/>
    <cellStyle name="40% - 강조색1 60 4" xfId="4588"/>
    <cellStyle name="40% - 강조색1 60 5" xfId="5278"/>
    <cellStyle name="40% - 강조색1 60 6" xfId="5662"/>
    <cellStyle name="40% - 강조색1 60 7" xfId="4973"/>
    <cellStyle name="40% - 강조색1 60 8" xfId="2910"/>
    <cellStyle name="40% - 강조색1 60 9" xfId="3085"/>
    <cellStyle name="40% - 강조색1 61" xfId="2235"/>
    <cellStyle name="40% - 강조색1 61 10" xfId="4211"/>
    <cellStyle name="40% - 강조색1 61 11" xfId="7770"/>
    <cellStyle name="40% - 강조색1 61 12" xfId="8164"/>
    <cellStyle name="40% - 강조색1 61 13" xfId="8404"/>
    <cellStyle name="40% - 강조색1 61 14" xfId="6998"/>
    <cellStyle name="40% - 강조색1 61 15" xfId="8006"/>
    <cellStyle name="40% - 강조색1 61 16" xfId="9594"/>
    <cellStyle name="40% - 강조색1 61 17" xfId="9812"/>
    <cellStyle name="40% - 강조색1 61 18" xfId="9135"/>
    <cellStyle name="40% - 강조색1 61 19" xfId="10659"/>
    <cellStyle name="40% - 강조색1 61 2" xfId="3565"/>
    <cellStyle name="40% - 강조색1 61 20" xfId="10827"/>
    <cellStyle name="40% - 강조색1 61 21" xfId="11054"/>
    <cellStyle name="40% - 강조색1 61 3" xfId="4072"/>
    <cellStyle name="40% - 강조색1 61 4" xfId="5140"/>
    <cellStyle name="40% - 강조색1 61 5" xfId="5663"/>
    <cellStyle name="40% - 강조색1 61 6" xfId="1502"/>
    <cellStyle name="40% - 강조색1 61 7" xfId="5396"/>
    <cellStyle name="40% - 강조색1 61 8" xfId="1603"/>
    <cellStyle name="40% - 강조색1 61 9" xfId="7085"/>
    <cellStyle name="40% - 강조색1 62" xfId="4157"/>
    <cellStyle name="40% - 강조색1 62 10" xfId="7687"/>
    <cellStyle name="40% - 강조색1 62 11" xfId="7932"/>
    <cellStyle name="40% - 강조색1 62 12" xfId="8604"/>
    <cellStyle name="40% - 강조색1 62 13" xfId="8824"/>
    <cellStyle name="40% - 강조색1 62 14" xfId="9284"/>
    <cellStyle name="40% - 강조색1 62 15" xfId="9677"/>
    <cellStyle name="40% - 강조색1 62 16" xfId="7966"/>
    <cellStyle name="40% - 강조색1 62 17" xfId="2213"/>
    <cellStyle name="40% - 강조색1 62 18" xfId="10642"/>
    <cellStyle name="40% - 강조색1 62 19" xfId="6797"/>
    <cellStyle name="40% - 강조색1 62 2" xfId="4737"/>
    <cellStyle name="40% - 강조색1 62 20" xfId="11022"/>
    <cellStyle name="40% - 강조색1 62 3" xfId="5688"/>
    <cellStyle name="40% - 강조색1 62 4" xfId="5560"/>
    <cellStyle name="40% - 강조색1 62 5" xfId="4756"/>
    <cellStyle name="40% - 강조색1 62 6" xfId="5397"/>
    <cellStyle name="40% - 강조색1 62 7" xfId="6595"/>
    <cellStyle name="40% - 강조색1 62 8" xfId="6905"/>
    <cellStyle name="40% - 강조색1 62 9" xfId="7161"/>
    <cellStyle name="40% - 강조색1 63" xfId="3367"/>
    <cellStyle name="40% - 강조색1 63 10" xfId="4285"/>
    <cellStyle name="40% - 강조색1 63 11" xfId="8420"/>
    <cellStyle name="40% - 강조색1 63 12" xfId="8977"/>
    <cellStyle name="40% - 강조색1 63 13" xfId="9072"/>
    <cellStyle name="40% - 강조색1 63 14" xfId="9685"/>
    <cellStyle name="40% - 강조색1 63 15" xfId="9775"/>
    <cellStyle name="40% - 강조색1 63 16" xfId="7930"/>
    <cellStyle name="40% - 강조색1 63 17" xfId="10060"/>
    <cellStyle name="40% - 강조색1 63 18" xfId="10892"/>
    <cellStyle name="40% - 강조색1 63 19" xfId="11067"/>
    <cellStyle name="40% - 강조색1 63 2" xfId="5234"/>
    <cellStyle name="40% - 강조색1 63 3" xfId="5486"/>
    <cellStyle name="40% - 강조색1 63 4" xfId="2545"/>
    <cellStyle name="40% - 강조색1 63 5" xfId="3518"/>
    <cellStyle name="40% - 강조색1 63 6" xfId="6051"/>
    <cellStyle name="40% - 강조색1 63 7" xfId="6897"/>
    <cellStyle name="40% - 강조색1 63 8" xfId="2722"/>
    <cellStyle name="40% - 강조색1 63 9" xfId="7431"/>
    <cellStyle name="40% - 강조색1 64" xfId="5029"/>
    <cellStyle name="40% - 강조색1 64 10" xfId="9433"/>
    <cellStyle name="40% - 강조색1 64 11" xfId="4931"/>
    <cellStyle name="40% - 강조색1 64 12" xfId="8514"/>
    <cellStyle name="40% - 강조색1 64 13" xfId="9786"/>
    <cellStyle name="40% - 강조색1 64 14" xfId="8323"/>
    <cellStyle name="40% - 강조색1 64 15" xfId="2775"/>
    <cellStyle name="40% - 강조색1 64 2" xfId="6622"/>
    <cellStyle name="40% - 강조색1 64 3" xfId="2402"/>
    <cellStyle name="40% - 강조색1 64 4" xfId="4466"/>
    <cellStyle name="40% - 강조색1 64 5" xfId="4875"/>
    <cellStyle name="40% - 강조색1 64 6" xfId="8151"/>
    <cellStyle name="40% - 강조색1 64 7" xfId="3409"/>
    <cellStyle name="40% - 강조색1 64 8" xfId="8872"/>
    <cellStyle name="40% - 강조색1 64 9" xfId="9287"/>
    <cellStyle name="40% - 강조색1 65" xfId="5378"/>
    <cellStyle name="40% - 강조색1 65 10" xfId="9567"/>
    <cellStyle name="40% - 강조색1 65 11" xfId="1444"/>
    <cellStyle name="40% - 강조색1 65 12" xfId="8332"/>
    <cellStyle name="40% - 강조색1 65 13" xfId="10558"/>
    <cellStyle name="40% - 강조색1 65 14" xfId="10874"/>
    <cellStyle name="40% - 강조색1 65 15" xfId="11213"/>
    <cellStyle name="40% - 강조색1 65 2" xfId="6635"/>
    <cellStyle name="40% - 강조색1 65 3" xfId="6907"/>
    <cellStyle name="40% - 강조색1 65 4" xfId="3703"/>
    <cellStyle name="40% - 강조색1 65 5" xfId="7383"/>
    <cellStyle name="40% - 강조색1 65 6" xfId="7993"/>
    <cellStyle name="40% - 강조색1 65 7" xfId="4039"/>
    <cellStyle name="40% - 강조색1 65 8" xfId="8308"/>
    <cellStyle name="40% - 강조색1 65 9" xfId="7622"/>
    <cellStyle name="40% - 강조색1 66" xfId="4896"/>
    <cellStyle name="40% - 강조색1 66 10" xfId="7659"/>
    <cellStyle name="40% - 강조색1 66 11" xfId="8122"/>
    <cellStyle name="40% - 강조색1 66 12" xfId="9903"/>
    <cellStyle name="40% - 강조색1 66 13" xfId="4484"/>
    <cellStyle name="40% - 강조색1 66 14" xfId="1837"/>
    <cellStyle name="40% - 강조색1 66 15" xfId="7361"/>
    <cellStyle name="40% - 강조색1 66 2" xfId="6617"/>
    <cellStyle name="40% - 강조색1 66 3" xfId="7069"/>
    <cellStyle name="40% - 강조색1 66 4" xfId="2212"/>
    <cellStyle name="40% - 강조색1 66 5" xfId="2108"/>
    <cellStyle name="40% - 강조색1 66 6" xfId="6803"/>
    <cellStyle name="40% - 강조색1 66 7" xfId="1368"/>
    <cellStyle name="40% - 강조색1 66 8" xfId="8737"/>
    <cellStyle name="40% - 강조색1 66 9" xfId="2118"/>
    <cellStyle name="40% - 강조색1 67" xfId="4932"/>
    <cellStyle name="40% - 강조색1 67 10" xfId="9414"/>
    <cellStyle name="40% - 강조색1 67 11" xfId="2735"/>
    <cellStyle name="40% - 강조색1 67 12" xfId="10295"/>
    <cellStyle name="40% - 강조색1 67 13" xfId="8811"/>
    <cellStyle name="40% - 강조색1 67 14" xfId="6047"/>
    <cellStyle name="40% - 강조색1 67 15" xfId="2586"/>
    <cellStyle name="40% - 강조색1 67 2" xfId="6619"/>
    <cellStyle name="40% - 강조색1 67 3" xfId="6664"/>
    <cellStyle name="40% - 강조색1 67 4" xfId="7096"/>
    <cellStyle name="40% - 강조색1 67 5" xfId="7449"/>
    <cellStyle name="40% - 강조색1 67 6" xfId="8190"/>
    <cellStyle name="40% - 강조색1 67 7" xfId="8084"/>
    <cellStyle name="40% - 강조색1 67 8" xfId="8835"/>
    <cellStyle name="40% - 강조색1 67 9" xfId="7947"/>
    <cellStyle name="40% - 강조색1 68" xfId="6056"/>
    <cellStyle name="40% - 강조색1 68 10" xfId="8724"/>
    <cellStyle name="40% - 강조색1 68 11" xfId="10112"/>
    <cellStyle name="40% - 강조색1 68 12" xfId="9771"/>
    <cellStyle name="40% - 강조색1 68 13" xfId="7908"/>
    <cellStyle name="40% - 강조색1 68 14" xfId="11192"/>
    <cellStyle name="40% - 강조색1 68 2" xfId="7304"/>
    <cellStyle name="40% - 강조색1 68 3" xfId="7344"/>
    <cellStyle name="40% - 강조색1 68 4" xfId="7832"/>
    <cellStyle name="40% - 강조색1 68 5" xfId="8088"/>
    <cellStyle name="40% - 강조색1 68 6" xfId="8442"/>
    <cellStyle name="40% - 강조색1 68 7" xfId="2403"/>
    <cellStyle name="40% - 강조색1 68 8" xfId="4063"/>
    <cellStyle name="40% - 강조색1 68 9" xfId="4537"/>
    <cellStyle name="40% - 강조색1 69" xfId="871"/>
    <cellStyle name="40% - 강조색1 69 10" xfId="9842"/>
    <cellStyle name="40% - 강조색1 69 11" xfId="10711"/>
    <cellStyle name="40% - 강조색1 69 12" xfId="7436"/>
    <cellStyle name="40% - 강조색1 69 2" xfId="7524"/>
    <cellStyle name="40% - 강조색1 69 3" xfId="7990"/>
    <cellStyle name="40% - 강조색1 69 4" xfId="8309"/>
    <cellStyle name="40% - 강조색1 69 5" xfId="6169"/>
    <cellStyle name="40% - 강조색1 69 6" xfId="5337"/>
    <cellStyle name="40% - 강조색1 69 7" xfId="7657"/>
    <cellStyle name="40% - 강조색1 69 8" xfId="7357"/>
    <cellStyle name="40% - 강조색1 69 9" xfId="6327"/>
    <cellStyle name="40% - 강조색1 7" xfId="127"/>
    <cellStyle name="40% - 강조색1 70" xfId="1886"/>
    <cellStyle name="40% - 강조색1 70 10" xfId="7376"/>
    <cellStyle name="40% - 강조색1 70 11" xfId="9134"/>
    <cellStyle name="40% - 강조색1 70 12" xfId="829"/>
    <cellStyle name="40% - 강조색1 70 2" xfId="4624"/>
    <cellStyle name="40% - 강조색1 70 3" xfId="8177"/>
    <cellStyle name="40% - 강조색1 70 4" xfId="8331"/>
    <cellStyle name="40% - 강조색1 70 5" xfId="6118"/>
    <cellStyle name="40% - 강조색1 70 6" xfId="9294"/>
    <cellStyle name="40% - 강조색1 70 7" xfId="5041"/>
    <cellStyle name="40% - 강조색1 70 8" xfId="9973"/>
    <cellStyle name="40% - 강조색1 70 9" xfId="1568"/>
    <cellStyle name="40% - 강조색1 71" xfId="1557"/>
    <cellStyle name="40% - 강조색1 71 10" xfId="10911"/>
    <cellStyle name="40% - 강조색1 71 11" xfId="10101"/>
    <cellStyle name="40% - 강조색1 71 2" xfId="7866"/>
    <cellStyle name="40% - 강조색1 71 3" xfId="6339"/>
    <cellStyle name="40% - 강조색1 71 4" xfId="8796"/>
    <cellStyle name="40% - 강조색1 71 5" xfId="6713"/>
    <cellStyle name="40% - 강조색1 71 6" xfId="7712"/>
    <cellStyle name="40% - 강조색1 71 7" xfId="3481"/>
    <cellStyle name="40% - 강조색1 71 8" xfId="9486"/>
    <cellStyle name="40% - 강조색1 71 9" xfId="7567"/>
    <cellStyle name="40% - 강조색1 72" xfId="3376"/>
    <cellStyle name="40% - 강조색1 72 10" xfId="11038"/>
    <cellStyle name="40% - 강조색1 72 2" xfId="926"/>
    <cellStyle name="40% - 강조색1 72 3" xfId="6730"/>
    <cellStyle name="40% - 강조색1 72 4" xfId="8042"/>
    <cellStyle name="40% - 강조색1 72 5" xfId="7440"/>
    <cellStyle name="40% - 강조색1 72 6" xfId="3380"/>
    <cellStyle name="40% - 강조색1 72 7" xfId="6208"/>
    <cellStyle name="40% - 강조색1 72 8" xfId="945"/>
    <cellStyle name="40% - 강조색1 72 9" xfId="10759"/>
    <cellStyle name="40% - 강조색1 73" xfId="8430"/>
    <cellStyle name="40% - 강조색1 73 2" xfId="9007"/>
    <cellStyle name="40% - 강조색1 73 3" xfId="9366"/>
    <cellStyle name="40% - 강조색1 73 4" xfId="9698"/>
    <cellStyle name="40% - 강조색1 73 5" xfId="7080"/>
    <cellStyle name="40% - 강조색1 73 6" xfId="5976"/>
    <cellStyle name="40% - 강조색1 73 7" xfId="10662"/>
    <cellStyle name="40% - 강조색1 73 8" xfId="6919"/>
    <cellStyle name="40% - 강조색1 73 9" xfId="11066"/>
    <cellStyle name="40% - 강조색1 74" xfId="7715"/>
    <cellStyle name="40% - 강조색1 74 2" xfId="9313"/>
    <cellStyle name="40% - 강조색1 74 3" xfId="9654"/>
    <cellStyle name="40% - 강조색1 74 4" xfId="5959"/>
    <cellStyle name="40% - 강조색1 74 5" xfId="8658"/>
    <cellStyle name="40% - 강조색1 74 6" xfId="10629"/>
    <cellStyle name="40% - 강조색1 74 7" xfId="9422"/>
    <cellStyle name="40% - 강조색1 74 8" xfId="3444"/>
    <cellStyle name="40% - 강조색1 75" xfId="9208"/>
    <cellStyle name="40% - 강조색1 75 2" xfId="9717"/>
    <cellStyle name="40% - 강조색1 75 3" xfId="10043"/>
    <cellStyle name="40% - 강조색1 75 4" xfId="10356"/>
    <cellStyle name="40% - 강조색1 75 5" xfId="10665"/>
    <cellStyle name="40% - 강조색1 75 6" xfId="1533"/>
    <cellStyle name="40% - 강조색1 75 7" xfId="7503"/>
    <cellStyle name="40% - 강조색1 76" xfId="2397"/>
    <cellStyle name="40% - 강조색1 76 2" xfId="9925"/>
    <cellStyle name="40% - 강조색1 76 3" xfId="10212"/>
    <cellStyle name="40% - 강조색1 76 4" xfId="8733"/>
    <cellStyle name="40% - 강조색1 76 5" xfId="9807"/>
    <cellStyle name="40% - 강조색1 76 6" xfId="11225"/>
    <cellStyle name="40% - 강조색1 77" xfId="9829"/>
    <cellStyle name="40% - 강조색1 77 2" xfId="10373"/>
    <cellStyle name="40% - 강조색1 77 3" xfId="10684"/>
    <cellStyle name="40% - 강조색1 77 4" xfId="10968"/>
    <cellStyle name="40% - 강조색1 77 5" xfId="3744"/>
    <cellStyle name="40% - 강조색1 78" xfId="10170"/>
    <cellStyle name="40% - 강조색1 78 2" xfId="10691"/>
    <cellStyle name="40% - 강조색1 78 3" xfId="10975"/>
    <cellStyle name="40% - 강조색1 78 4" xfId="11252"/>
    <cellStyle name="40% - 강조색1 79" xfId="6667"/>
    <cellStyle name="40% - 강조색1 79 2" xfId="10757"/>
    <cellStyle name="40% - 강조색1 79 3" xfId="11032"/>
    <cellStyle name="40% - 강조색1 8" xfId="140"/>
    <cellStyle name="40% - 강조색1 80" xfId="10817"/>
    <cellStyle name="40% - 강조색1 80 2" xfId="11270"/>
    <cellStyle name="40% - 강조색1 81" xfId="6109"/>
    <cellStyle name="40% - 강조색1 82" xfId="11281"/>
    <cellStyle name="40% - 강조색1 83" xfId="11410"/>
    <cellStyle name="40% - 강조색1 84" xfId="11362"/>
    <cellStyle name="40% - 강조색1 85" xfId="11370"/>
    <cellStyle name="40% - 강조색1 86" xfId="11437"/>
    <cellStyle name="40% - 강조색1 9" xfId="153"/>
    <cellStyle name="40% - 강조색2" xfId="24" builtinId="35" customBuiltin="1"/>
    <cellStyle name="40% - 강조색2 10" xfId="62"/>
    <cellStyle name="40% - 강조색2 11" xfId="65"/>
    <cellStyle name="40% - 강조색2 12" xfId="90"/>
    <cellStyle name="40% - 강조색2 13" xfId="91"/>
    <cellStyle name="40% - 강조색2 14" xfId="104"/>
    <cellStyle name="40% - 강조색2 15" xfId="117"/>
    <cellStyle name="40% - 강조색2 16" xfId="130"/>
    <cellStyle name="40% - 강조색2 17" xfId="143"/>
    <cellStyle name="40% - 강조색2 18" xfId="156"/>
    <cellStyle name="40% - 강조색2 19" xfId="169"/>
    <cellStyle name="40% - 강조색2 2" xfId="47"/>
    <cellStyle name="40% - 강조색2 20" xfId="182"/>
    <cellStyle name="40% - 강조색2 21" xfId="195"/>
    <cellStyle name="40% - 강조색2 22" xfId="208"/>
    <cellStyle name="40% - 강조색2 23" xfId="221"/>
    <cellStyle name="40% - 강조색2 24" xfId="234"/>
    <cellStyle name="40% - 강조색2 25" xfId="247"/>
    <cellStyle name="40% - 강조색2 26" xfId="260"/>
    <cellStyle name="40% - 강조색2 27" xfId="273"/>
    <cellStyle name="40% - 강조색2 28" xfId="286"/>
    <cellStyle name="40% - 강조색2 29" xfId="299"/>
    <cellStyle name="40% - 강조색2 3" xfId="72"/>
    <cellStyle name="40% - 강조색2 30" xfId="312"/>
    <cellStyle name="40% - 강조색2 31" xfId="325"/>
    <cellStyle name="40% - 강조색2 32" xfId="338"/>
    <cellStyle name="40% - 강조색2 33" xfId="351"/>
    <cellStyle name="40% - 강조색2 34" xfId="364"/>
    <cellStyle name="40% - 강조색2 35" xfId="377"/>
    <cellStyle name="40% - 강조색2 36" xfId="390"/>
    <cellStyle name="40% - 강조색2 37" xfId="403"/>
    <cellStyle name="40% - 강조색2 38" xfId="416"/>
    <cellStyle name="40% - 강조색2 39" xfId="429"/>
    <cellStyle name="40% - 강조색2 4" xfId="70"/>
    <cellStyle name="40% - 강조색2 40" xfId="545"/>
    <cellStyle name="40% - 강조색2 40 10" xfId="3159"/>
    <cellStyle name="40% - 강조색2 40 11" xfId="3571"/>
    <cellStyle name="40% - 강조색2 40 12" xfId="3885"/>
    <cellStyle name="40% - 강조색2 40 13" xfId="4205"/>
    <cellStyle name="40% - 강조색2 40 14" xfId="897"/>
    <cellStyle name="40% - 강조색2 40 15" xfId="836"/>
    <cellStyle name="40% - 강조색2 40 16" xfId="5538"/>
    <cellStyle name="40% - 강조색2 40 17" xfId="2390"/>
    <cellStyle name="40% - 강조색2 40 18" xfId="4434"/>
    <cellStyle name="40% - 강조색2 40 19" xfId="6131"/>
    <cellStyle name="40% - 강조색2 40 2" xfId="1044"/>
    <cellStyle name="40% - 강조색2 40 20" xfId="6729"/>
    <cellStyle name="40% - 강조색2 40 21" xfId="6256"/>
    <cellStyle name="40% - 강조색2 40 22" xfId="7500"/>
    <cellStyle name="40% - 강조색2 40 23" xfId="6525"/>
    <cellStyle name="40% - 강조색2 40 24" xfId="8561"/>
    <cellStyle name="40% - 강조색2 40 25" xfId="8697"/>
    <cellStyle name="40% - 강조색2 40 26" xfId="9306"/>
    <cellStyle name="40% - 강조색2 40 27" xfId="9577"/>
    <cellStyle name="40% - 강조색2 40 28" xfId="6020"/>
    <cellStyle name="40% - 강조색2 40 29" xfId="10273"/>
    <cellStyle name="40% - 강조색2 40 3" xfId="1135"/>
    <cellStyle name="40% - 강조색2 40 30" xfId="10442"/>
    <cellStyle name="40% - 강조색2 40 31" xfId="8356"/>
    <cellStyle name="40% - 강조색2 40 32" xfId="11034"/>
    <cellStyle name="40% - 강조색2 40 33" xfId="11316"/>
    <cellStyle name="40% - 강조색2 40 34" xfId="11297"/>
    <cellStyle name="40% - 강조색2 40 35" xfId="11423"/>
    <cellStyle name="40% - 강조색2 40 36" xfId="11351"/>
    <cellStyle name="40% - 강조색2 40 4" xfId="1226"/>
    <cellStyle name="40% - 강조색2 40 5" xfId="1613"/>
    <cellStyle name="40% - 강조색2 40 6" xfId="1597"/>
    <cellStyle name="40% - 강조색2 40 7" xfId="2194"/>
    <cellStyle name="40% - 강조색2 40 8" xfId="2457"/>
    <cellStyle name="40% - 강조색2 40 9" xfId="2915"/>
    <cellStyle name="40% - 강조색2 41" xfId="611"/>
    <cellStyle name="40% - 강조색2 41 10" xfId="3269"/>
    <cellStyle name="40% - 강조색2 41 11" xfId="2442"/>
    <cellStyle name="40% - 강조색2 41 12" xfId="3391"/>
    <cellStyle name="40% - 강조색2 41 13" xfId="4148"/>
    <cellStyle name="40% - 강조색2 41 14" xfId="2350"/>
    <cellStyle name="40% - 강조색2 41 15" xfId="2950"/>
    <cellStyle name="40% - 강조색2 41 16" xfId="5650"/>
    <cellStyle name="40% - 강조색2 41 17" xfId="5774"/>
    <cellStyle name="40% - 강조색2 41 18" xfId="5857"/>
    <cellStyle name="40% - 강조색2 41 19" xfId="6350"/>
    <cellStyle name="40% - 강조색2 41 2" xfId="1110"/>
    <cellStyle name="40% - 강조색2 41 20" xfId="7222"/>
    <cellStyle name="40% - 강조색2 41 21" xfId="6842"/>
    <cellStyle name="40% - 강조색2 41 22" xfId="7758"/>
    <cellStyle name="40% - 강조색2 41 23" xfId="8034"/>
    <cellStyle name="40% - 강조색2 41 24" xfId="8558"/>
    <cellStyle name="40% - 강조색2 41 25" xfId="4546"/>
    <cellStyle name="40% - 강조색2 41 26" xfId="7637"/>
    <cellStyle name="40% - 강조색2 41 27" xfId="6145"/>
    <cellStyle name="40% - 강조색2 41 28" xfId="9893"/>
    <cellStyle name="40% - 강조색2 41 29" xfId="10325"/>
    <cellStyle name="40% - 강조색2 41 3" xfId="1201"/>
    <cellStyle name="40% - 강조색2 41 30" xfId="10524"/>
    <cellStyle name="40% - 강조색2 41 31" xfId="10069"/>
    <cellStyle name="40% - 강조색2 41 32" xfId="10788"/>
    <cellStyle name="40% - 강조색2 41 4" xfId="1292"/>
    <cellStyle name="40% - 강조색2 41 5" xfId="1751"/>
    <cellStyle name="40% - 강조색2 41 6" xfId="1977"/>
    <cellStyle name="40% - 강조색2 41 7" xfId="1917"/>
    <cellStyle name="40% - 강조색2 41 8" xfId="2566"/>
    <cellStyle name="40% - 강조색2 41 9" xfId="2925"/>
    <cellStyle name="40% - 강조색2 42" xfId="623"/>
    <cellStyle name="40% - 강조색2 42 10" xfId="3238"/>
    <cellStyle name="40% - 강조색2 42 11" xfId="3553"/>
    <cellStyle name="40% - 강조색2 42 12" xfId="3968"/>
    <cellStyle name="40% - 강조색2 42 13" xfId="3234"/>
    <cellStyle name="40% - 강조색2 42 14" xfId="4680"/>
    <cellStyle name="40% - 강조색2 42 15" xfId="5345"/>
    <cellStyle name="40% - 강조색2 42 16" xfId="5382"/>
    <cellStyle name="40% - 강조색2 42 17" xfId="1963"/>
    <cellStyle name="40% - 강조색2 42 18" xfId="5251"/>
    <cellStyle name="40% - 강조색2 42 19" xfId="4755"/>
    <cellStyle name="40% - 강조색2 42 2" xfId="1122"/>
    <cellStyle name="40% - 강조색2 42 20" xfId="2771"/>
    <cellStyle name="40% - 강조색2 42 21" xfId="7141"/>
    <cellStyle name="40% - 강조색2 42 22" xfId="6704"/>
    <cellStyle name="40% - 강조색2 42 23" xfId="8099"/>
    <cellStyle name="40% - 강조색2 42 24" xfId="8573"/>
    <cellStyle name="40% - 강조색2 42 25" xfId="4853"/>
    <cellStyle name="40% - 강조색2 42 26" xfId="9074"/>
    <cellStyle name="40% - 강조색2 42 27" xfId="7476"/>
    <cellStyle name="40% - 강조색2 42 28" xfId="9781"/>
    <cellStyle name="40% - 강조색2 42 29" xfId="6502"/>
    <cellStyle name="40% - 강조색2 42 3" xfId="1213"/>
    <cellStyle name="40% - 강조색2 42 30" xfId="7780"/>
    <cellStyle name="40% - 강조색2 42 31" xfId="2155"/>
    <cellStyle name="40% - 강조색2 42 32" xfId="7413"/>
    <cellStyle name="40% - 강조색2 42 4" xfId="1304"/>
    <cellStyle name="40% - 강조색2 42 5" xfId="1756"/>
    <cellStyle name="40% - 강조색2 42 6" xfId="2007"/>
    <cellStyle name="40% - 강조색2 42 7" xfId="2185"/>
    <cellStyle name="40% - 강조색2 42 8" xfId="2420"/>
    <cellStyle name="40% - 강조색2 42 9" xfId="2941"/>
    <cellStyle name="40% - 강조색2 43" xfId="607"/>
    <cellStyle name="40% - 강조색2 43 10" xfId="3015"/>
    <cellStyle name="40% - 강조색2 43 11" xfId="3390"/>
    <cellStyle name="40% - 강조색2 43 12" xfId="2136"/>
    <cellStyle name="40% - 강조색2 43 13" xfId="4127"/>
    <cellStyle name="40% - 강조색2 43 14" xfId="4236"/>
    <cellStyle name="40% - 강조색2 43 15" xfId="5024"/>
    <cellStyle name="40% - 강조색2 43 16" xfId="4798"/>
    <cellStyle name="40% - 강조색2 43 17" xfId="1946"/>
    <cellStyle name="40% - 강조색2 43 18" xfId="5042"/>
    <cellStyle name="40% - 강조색2 43 19" xfId="6577"/>
    <cellStyle name="40% - 강조색2 43 2" xfId="1106"/>
    <cellStyle name="40% - 강조색2 43 20" xfId="2175"/>
    <cellStyle name="40% - 강조색2 43 21" xfId="6705"/>
    <cellStyle name="40% - 강조색2 43 22" xfId="7551"/>
    <cellStyle name="40% - 강조색2 43 23" xfId="8204"/>
    <cellStyle name="40% - 강조색2 43 24" xfId="8556"/>
    <cellStyle name="40% - 강조색2 43 25" xfId="7797"/>
    <cellStyle name="40% - 강조색2 43 26" xfId="1016"/>
    <cellStyle name="40% - 강조색2 43 27" xfId="4488"/>
    <cellStyle name="40% - 강조색2 43 28" xfId="9966"/>
    <cellStyle name="40% - 강조색2 43 29" xfId="10269"/>
    <cellStyle name="40% - 강조색2 43 3" xfId="1197"/>
    <cellStyle name="40% - 강조색2 43 30" xfId="6119"/>
    <cellStyle name="40% - 강조색2 43 31" xfId="8790"/>
    <cellStyle name="40% - 강조색2 43 32" xfId="11160"/>
    <cellStyle name="40% - 강조색2 43 4" xfId="1288"/>
    <cellStyle name="40% - 강조색2 43 5" xfId="1760"/>
    <cellStyle name="40% - 강조색2 43 6" xfId="1978"/>
    <cellStyle name="40% - 강조색2 43 7" xfId="1902"/>
    <cellStyle name="40% - 강조색2 43 8" xfId="2513"/>
    <cellStyle name="40% - 강조색2 43 9" xfId="2697"/>
    <cellStyle name="40% - 강조색2 44" xfId="628"/>
    <cellStyle name="40% - 강조색2 44 10" xfId="3025"/>
    <cellStyle name="40% - 강조색2 44 11" xfId="1528"/>
    <cellStyle name="40% - 강조색2 44 12" xfId="3939"/>
    <cellStyle name="40% - 강조색2 44 13" xfId="4287"/>
    <cellStyle name="40% - 강조색2 44 14" xfId="4702"/>
    <cellStyle name="40% - 강조색2 44 15" xfId="5150"/>
    <cellStyle name="40% - 강조색2 44 16" xfId="4962"/>
    <cellStyle name="40% - 강조색2 44 17" xfId="4945"/>
    <cellStyle name="40% - 강조색2 44 18" xfId="937"/>
    <cellStyle name="40% - 강조색2 44 19" xfId="6496"/>
    <cellStyle name="40% - 강조색2 44 2" xfId="1127"/>
    <cellStyle name="40% - 강조색2 44 20" xfId="6945"/>
    <cellStyle name="40% - 강조색2 44 21" xfId="6284"/>
    <cellStyle name="40% - 강조색2 44 22" xfId="4990"/>
    <cellStyle name="40% - 강조색2 44 23" xfId="7894"/>
    <cellStyle name="40% - 강조색2 44 24" xfId="8557"/>
    <cellStyle name="40% - 강조색2 44 25" xfId="8804"/>
    <cellStyle name="40% - 강조색2 44 26" xfId="9295"/>
    <cellStyle name="40% - 강조색2 44 27" xfId="9607"/>
    <cellStyle name="40% - 강조색2 44 28" xfId="5176"/>
    <cellStyle name="40% - 강조색2 44 29" xfId="3412"/>
    <cellStyle name="40% - 강조색2 44 3" xfId="1218"/>
    <cellStyle name="40% - 강조색2 44 30" xfId="10534"/>
    <cellStyle name="40% - 강조색2 44 31" xfId="10168"/>
    <cellStyle name="40% - 강조색2 44 32" xfId="11186"/>
    <cellStyle name="40% - 강조색2 44 4" xfId="1309"/>
    <cellStyle name="40% - 강조색2 44 5" xfId="1764"/>
    <cellStyle name="40% - 강조색2 44 6" xfId="2020"/>
    <cellStyle name="40% - 강조색2 44 7" xfId="2305"/>
    <cellStyle name="40% - 강조색2 44 8" xfId="911"/>
    <cellStyle name="40% - 강조색2 44 9" xfId="2879"/>
    <cellStyle name="40% - 강조색2 45" xfId="629"/>
    <cellStyle name="40% - 강조색2 45 10" xfId="2764"/>
    <cellStyle name="40% - 강조색2 45 11" xfId="3500"/>
    <cellStyle name="40% - 강조색2 45 12" xfId="1432"/>
    <cellStyle name="40% - 강조색2 45 13" xfId="2871"/>
    <cellStyle name="40% - 강조색2 45 14" xfId="1825"/>
    <cellStyle name="40% - 강조색2 45 15" xfId="5290"/>
    <cellStyle name="40% - 강조색2 45 16" xfId="4509"/>
    <cellStyle name="40% - 강조색2 45 17" xfId="5805"/>
    <cellStyle name="40% - 강조색2 45 18" xfId="5881"/>
    <cellStyle name="40% - 강조색2 45 19" xfId="6329"/>
    <cellStyle name="40% - 강조색2 45 2" xfId="1128"/>
    <cellStyle name="40% - 강조색2 45 20" xfId="7231"/>
    <cellStyle name="40% - 강조색2 45 21" xfId="7280"/>
    <cellStyle name="40% - 강조색2 45 22" xfId="7806"/>
    <cellStyle name="40% - 강조색2 45 23" xfId="8020"/>
    <cellStyle name="40% - 강조색2 45 24" xfId="8578"/>
    <cellStyle name="40% - 강조색2 45 25" xfId="6890"/>
    <cellStyle name="40% - 강조색2 45 26" xfId="9248"/>
    <cellStyle name="40% - 강조색2 45 27" xfId="9516"/>
    <cellStyle name="40% - 강조색2 45 28" xfId="7703"/>
    <cellStyle name="40% - 강조색2 45 29" xfId="3239"/>
    <cellStyle name="40% - 강조색2 45 3" xfId="1219"/>
    <cellStyle name="40% - 강조색2 45 30" xfId="8931"/>
    <cellStyle name="40% - 강조색2 45 31" xfId="2773"/>
    <cellStyle name="40% - 강조색2 45 32" xfId="3541"/>
    <cellStyle name="40% - 강조색2 45 4" xfId="1310"/>
    <cellStyle name="40% - 강조색2 45 5" xfId="1767"/>
    <cellStyle name="40% - 강조색2 45 6" xfId="860"/>
    <cellStyle name="40% - 강조색2 45 7" xfId="749"/>
    <cellStyle name="40% - 강조색2 45 8" xfId="2564"/>
    <cellStyle name="40% - 강조색2 45 9" xfId="2139"/>
    <cellStyle name="40% - 강조색2 46" xfId="630"/>
    <cellStyle name="40% - 강조색2 46 10" xfId="2466"/>
    <cellStyle name="40% - 강조색2 46 11" xfId="1470"/>
    <cellStyle name="40% - 강조색2 46 12" xfId="3504"/>
    <cellStyle name="40% - 강조색2 46 13" xfId="4251"/>
    <cellStyle name="40% - 강조색2 46 14" xfId="2126"/>
    <cellStyle name="40% - 강조색2 46 15" xfId="2351"/>
    <cellStyle name="40% - 강조색2 46 16" xfId="5570"/>
    <cellStyle name="40% - 강조색2 46 17" xfId="5419"/>
    <cellStyle name="40% - 강조색2 46 18" xfId="5021"/>
    <cellStyle name="40% - 강조색2 46 19" xfId="6129"/>
    <cellStyle name="40% - 강조색2 46 2" xfId="1129"/>
    <cellStyle name="40% - 강조색2 46 20" xfId="7047"/>
    <cellStyle name="40% - 강조색2 46 21" xfId="6665"/>
    <cellStyle name="40% - 강조색2 46 22" xfId="6029"/>
    <cellStyle name="40% - 강조색2 46 23" xfId="7951"/>
    <cellStyle name="40% - 강조색2 46 24" xfId="4411"/>
    <cellStyle name="40% - 강조색2 46 25" xfId="8903"/>
    <cellStyle name="40% - 강조색2 46 26" xfId="8702"/>
    <cellStyle name="40% - 강조색2 46 27" xfId="9394"/>
    <cellStyle name="40% - 강조색2 46 28" xfId="9895"/>
    <cellStyle name="40% - 강조색2 46 29" xfId="5156"/>
    <cellStyle name="40% - 강조색2 46 3" xfId="1220"/>
    <cellStyle name="40% - 강조색2 46 30" xfId="10503"/>
    <cellStyle name="40% - 강조색2 46 31" xfId="9237"/>
    <cellStyle name="40% - 강조색2 46 32" xfId="11113"/>
    <cellStyle name="40% - 강조색2 46 4" xfId="1311"/>
    <cellStyle name="40% - 강조색2 46 5" xfId="1770"/>
    <cellStyle name="40% - 강조색2 46 6" xfId="778"/>
    <cellStyle name="40% - 강조색2 46 7" xfId="2300"/>
    <cellStyle name="40% - 강조색2 46 8" xfId="2167"/>
    <cellStyle name="40% - 강조색2 46 9" xfId="2897"/>
    <cellStyle name="40% - 강조색2 47" xfId="638"/>
    <cellStyle name="40% - 강조색2 47 10" xfId="4317"/>
    <cellStyle name="40% - 강조색2 47 11" xfId="4690"/>
    <cellStyle name="40% - 강조색2 47 12" xfId="4983"/>
    <cellStyle name="40% - 강조색2 47 13" xfId="3201"/>
    <cellStyle name="40% - 강조색2 47 14" xfId="5751"/>
    <cellStyle name="40% - 강조색2 47 15" xfId="5841"/>
    <cellStyle name="40% - 강조색2 47 16" xfId="6564"/>
    <cellStyle name="40% - 강조색2 47 17" xfId="6775"/>
    <cellStyle name="40% - 강조색2 47 18" xfId="842"/>
    <cellStyle name="40% - 강조색2 47 19" xfId="6804"/>
    <cellStyle name="40% - 강조색2 47 2" xfId="1773"/>
    <cellStyle name="40% - 강조색2 47 20" xfId="8027"/>
    <cellStyle name="40% - 강조색2 47 21" xfId="3983"/>
    <cellStyle name="40% - 강조색2 47 22" xfId="8876"/>
    <cellStyle name="40% - 강조색2 47 23" xfId="9243"/>
    <cellStyle name="40% - 강조색2 47 24" xfId="9550"/>
    <cellStyle name="40% - 강조색2 47 25" xfId="9891"/>
    <cellStyle name="40% - 강조색2 47 26" xfId="4603"/>
    <cellStyle name="40% - 강조색2 47 27" xfId="10521"/>
    <cellStyle name="40% - 강조색2 47 28" xfId="8041"/>
    <cellStyle name="40% - 강조색2 47 29" xfId="11152"/>
    <cellStyle name="40% - 강조색2 47 3" xfId="1507"/>
    <cellStyle name="40% - 강조색2 47 30" xfId="11336"/>
    <cellStyle name="40% - 강조색2 47 31" xfId="11431"/>
    <cellStyle name="40% - 강조색2 47 32" xfId="11418"/>
    <cellStyle name="40% - 강조색2 47 33" xfId="11339"/>
    <cellStyle name="40% - 강조색2 47 4" xfId="2252"/>
    <cellStyle name="40% - 강조색2 47 5" xfId="2557"/>
    <cellStyle name="40% - 강조색2 47 6" xfId="2802"/>
    <cellStyle name="40% - 강조색2 47 7" xfId="3178"/>
    <cellStyle name="40% - 강조색2 47 8" xfId="936"/>
    <cellStyle name="40% - 강조색2 47 9" xfId="3878"/>
    <cellStyle name="40% - 강조색2 48" xfId="716"/>
    <cellStyle name="40% - 강조색2 48 10" xfId="4230"/>
    <cellStyle name="40% - 강조색2 48 11" xfId="4591"/>
    <cellStyle name="40% - 강조색2 48 12" xfId="5611"/>
    <cellStyle name="40% - 강조색2 48 13" xfId="5674"/>
    <cellStyle name="40% - 강조색2 48 14" xfId="5115"/>
    <cellStyle name="40% - 강조색2 48 15" xfId="4986"/>
    <cellStyle name="40% - 강조색2 48 16" xfId="6462"/>
    <cellStyle name="40% - 강조색2 48 17" xfId="6914"/>
    <cellStyle name="40% - 강조색2 48 18" xfId="3966"/>
    <cellStyle name="40% - 강조색2 48 19" xfId="7664"/>
    <cellStyle name="40% - 강조색2 48 2" xfId="1776"/>
    <cellStyle name="40% - 강조색2 48 20" xfId="6099"/>
    <cellStyle name="40% - 강조색2 48 21" xfId="2437"/>
    <cellStyle name="40% - 강조색2 48 22" xfId="3716"/>
    <cellStyle name="40% - 강조색2 48 23" xfId="9182"/>
    <cellStyle name="40% - 강조색2 48 24" xfId="3773"/>
    <cellStyle name="40% - 강조색2 48 25" xfId="9832"/>
    <cellStyle name="40% - 강조색2 48 26" xfId="10312"/>
    <cellStyle name="40% - 강조색2 48 27" xfId="10562"/>
    <cellStyle name="40% - 강조색2 48 28" xfId="10800"/>
    <cellStyle name="40% - 강조색2 48 29" xfId="4942"/>
    <cellStyle name="40% - 강조색2 48 3" xfId="931"/>
    <cellStyle name="40% - 강조색2 48 4" xfId="2257"/>
    <cellStyle name="40% - 강조색2 48 5" xfId="2493"/>
    <cellStyle name="40% - 강조색2 48 6" xfId="2877"/>
    <cellStyle name="40% - 강조색2 48 7" xfId="3086"/>
    <cellStyle name="40% - 강조색2 48 8" xfId="2125"/>
    <cellStyle name="40% - 강조색2 48 9" xfId="3941"/>
    <cellStyle name="40% - 강조색2 49" xfId="717"/>
    <cellStyle name="40% - 강조색2 49 10" xfId="3847"/>
    <cellStyle name="40% - 강조색2 49 11" xfId="4500"/>
    <cellStyle name="40% - 강조색2 49 12" xfId="5205"/>
    <cellStyle name="40% - 강조색2 49 13" xfId="3564"/>
    <cellStyle name="40% - 강조색2 49 14" xfId="2204"/>
    <cellStyle name="40% - 강조색2 49 15" xfId="5524"/>
    <cellStyle name="40% - 강조색2 49 16" xfId="6533"/>
    <cellStyle name="40% - 강조색2 49 17" xfId="6523"/>
    <cellStyle name="40% - 강조색2 49 18" xfId="7316"/>
    <cellStyle name="40% - 강조색2 49 19" xfId="7670"/>
    <cellStyle name="40% - 강조색2 49 2" xfId="1779"/>
    <cellStyle name="40% - 강조색2 49 20" xfId="7460"/>
    <cellStyle name="40% - 강조색2 49 21" xfId="8410"/>
    <cellStyle name="40% - 강조색2 49 22" xfId="8381"/>
    <cellStyle name="40% - 강조색2 49 23" xfId="6114"/>
    <cellStyle name="40% - 강조색2 49 24" xfId="8771"/>
    <cellStyle name="40% - 강조색2 49 25" xfId="9997"/>
    <cellStyle name="40% - 강조색2 49 26" xfId="8648"/>
    <cellStyle name="40% - 강조색2 49 27" xfId="10389"/>
    <cellStyle name="40% - 강조색2 49 28" xfId="9456"/>
    <cellStyle name="40% - 강조색2 49 29" xfId="11052"/>
    <cellStyle name="40% - 강조색2 49 3" xfId="1554"/>
    <cellStyle name="40% - 강조색2 49 4" xfId="2314"/>
    <cellStyle name="40% - 강조색2 49 5" xfId="2549"/>
    <cellStyle name="40% - 강조색2 49 6" xfId="2411"/>
    <cellStyle name="40% - 강조색2 49 7" xfId="1804"/>
    <cellStyle name="40% - 강조색2 49 8" xfId="1030"/>
    <cellStyle name="40% - 강조색2 49 9" xfId="961"/>
    <cellStyle name="40% - 강조색2 5" xfId="77"/>
    <cellStyle name="40% - 강조색2 50" xfId="718"/>
    <cellStyle name="40% - 강조색2 50 10" xfId="4175"/>
    <cellStyle name="40% - 강조색2 50 11" xfId="4409"/>
    <cellStyle name="40% - 강조색2 50 12" xfId="5512"/>
    <cellStyle name="40% - 강조색2 50 13" xfId="5642"/>
    <cellStyle name="40% - 강조색2 50 14" xfId="1327"/>
    <cellStyle name="40% - 강조색2 50 15" xfId="5354"/>
    <cellStyle name="40% - 강조색2 50 16" xfId="6011"/>
    <cellStyle name="40% - 강조색2 50 17" xfId="6990"/>
    <cellStyle name="40% - 강조색2 50 18" xfId="7000"/>
    <cellStyle name="40% - 강조색2 50 19" xfId="7632"/>
    <cellStyle name="40% - 강조색2 50 2" xfId="1629"/>
    <cellStyle name="40% - 강조색2 50 20" xfId="7871"/>
    <cellStyle name="40% - 강조색2 50 21" xfId="8474"/>
    <cellStyle name="40% - 강조색2 50 22" xfId="8930"/>
    <cellStyle name="40% - 강조색2 50 23" xfId="7558"/>
    <cellStyle name="40% - 강조색2 50 24" xfId="8011"/>
    <cellStyle name="40% - 강조색2 50 25" xfId="1482"/>
    <cellStyle name="40% - 강조색2 50 26" xfId="6834"/>
    <cellStyle name="40% - 강조색2 50 27" xfId="10571"/>
    <cellStyle name="40% - 강조색2 50 28" xfId="8914"/>
    <cellStyle name="40% - 강조색2 50 29" xfId="11189"/>
    <cellStyle name="40% - 강조색2 50 3" xfId="2009"/>
    <cellStyle name="40% - 강조색2 50 4" xfId="2288"/>
    <cellStyle name="40% - 강조색2 50 5" xfId="2648"/>
    <cellStyle name="40% - 강조색2 50 6" xfId="2795"/>
    <cellStyle name="40% - 강조색2 50 7" xfId="3296"/>
    <cellStyle name="40% - 강조색2 50 8" xfId="1841"/>
    <cellStyle name="40% - 강조색2 50 9" xfId="2698"/>
    <cellStyle name="40% - 강조색2 51" xfId="678"/>
    <cellStyle name="40% - 강조색2 51 10" xfId="2868"/>
    <cellStyle name="40% - 강조색2 51 11" xfId="4677"/>
    <cellStyle name="40% - 강조색2 51 12" xfId="5539"/>
    <cellStyle name="40% - 강조색2 51 13" xfId="5601"/>
    <cellStyle name="40% - 강조색2 51 14" xfId="1430"/>
    <cellStyle name="40% - 강조색2 51 15" xfId="4427"/>
    <cellStyle name="40% - 강조색2 51 16" xfId="4229"/>
    <cellStyle name="40% - 강조색2 51 17" xfId="6824"/>
    <cellStyle name="40% - 강조색2 51 18" xfId="6841"/>
    <cellStyle name="40% - 강조색2 51 19" xfId="7782"/>
    <cellStyle name="40% - 강조색2 51 2" xfId="1781"/>
    <cellStyle name="40% - 강조색2 51 20" xfId="8123"/>
    <cellStyle name="40% - 강조색2 51 21" xfId="4867"/>
    <cellStyle name="40% - 강조색2 51 22" xfId="8032"/>
    <cellStyle name="40% - 강조색2 51 23" xfId="2379"/>
    <cellStyle name="40% - 강조색2 51 24" xfId="4833"/>
    <cellStyle name="40% - 강조색2 51 25" xfId="9811"/>
    <cellStyle name="40% - 강조색2 51 26" xfId="10104"/>
    <cellStyle name="40% - 강조색2 51 27" xfId="4965"/>
    <cellStyle name="40% - 강조색2 51 28" xfId="10755"/>
    <cellStyle name="40% - 강조색2 51 29" xfId="11047"/>
    <cellStyle name="40% - 강조색2 51 3" xfId="1456"/>
    <cellStyle name="40% - 강조색2 51 4" xfId="2251"/>
    <cellStyle name="40% - 강조색2 51 5" xfId="1586"/>
    <cellStyle name="40% - 강조색2 51 6" xfId="2692"/>
    <cellStyle name="40% - 강조색2 51 7" xfId="1414"/>
    <cellStyle name="40% - 강조색2 51 8" xfId="3659"/>
    <cellStyle name="40% - 강조색2 51 9" xfId="3431"/>
    <cellStyle name="40% - 강조색2 52" xfId="687"/>
    <cellStyle name="40% - 강조색2 52 10" xfId="3454"/>
    <cellStyle name="40% - 강조색2 52 11" xfId="3530"/>
    <cellStyle name="40% - 강조색2 52 12" xfId="3360"/>
    <cellStyle name="40% - 강조색2 52 13" xfId="5756"/>
    <cellStyle name="40% - 강조색2 52 14" xfId="5846"/>
    <cellStyle name="40% - 강조색2 52 15" xfId="5909"/>
    <cellStyle name="40% - 강조색2 52 16" xfId="2391"/>
    <cellStyle name="40% - 강조색2 52 17" xfId="6778"/>
    <cellStyle name="40% - 강조색2 52 18" xfId="6234"/>
    <cellStyle name="40% - 강조색2 52 19" xfId="7389"/>
    <cellStyle name="40% - 강조색2 52 2" xfId="1784"/>
    <cellStyle name="40% - 강조색2 52 20" xfId="6386"/>
    <cellStyle name="40% - 강조색2 52 21" xfId="8097"/>
    <cellStyle name="40% - 강조색2 52 22" xfId="848"/>
    <cellStyle name="40% - 강조색2 52 23" xfId="9311"/>
    <cellStyle name="40% - 강조색2 52 24" xfId="9083"/>
    <cellStyle name="40% - 강조색2 52 25" xfId="1348"/>
    <cellStyle name="40% - 강조색2 52 26" xfId="10267"/>
    <cellStyle name="40% - 강조색2 52 27" xfId="9439"/>
    <cellStyle name="40% - 강조색2 52 28" xfId="9210"/>
    <cellStyle name="40% - 강조색2 52 29" xfId="11111"/>
    <cellStyle name="40% - 강조색2 52 3" xfId="2044"/>
    <cellStyle name="40% - 강조색2 52 4" xfId="1845"/>
    <cellStyle name="40% - 강조색2 52 5" xfId="2487"/>
    <cellStyle name="40% - 강조색2 52 6" xfId="1564"/>
    <cellStyle name="40% - 강조색2 52 7" xfId="1342"/>
    <cellStyle name="40% - 강조색2 52 8" xfId="3639"/>
    <cellStyle name="40% - 강조색2 52 9" xfId="1527"/>
    <cellStyle name="40% - 강조색2 53" xfId="721"/>
    <cellStyle name="40% - 강조색2 53 10" xfId="1028"/>
    <cellStyle name="40% - 강조색2 53 11" xfId="2085"/>
    <cellStyle name="40% - 강조색2 53 12" xfId="4910"/>
    <cellStyle name="40% - 강조색2 53 13" xfId="5585"/>
    <cellStyle name="40% - 강조색2 53 14" xfId="1794"/>
    <cellStyle name="40% - 강조색2 53 15" xfId="5747"/>
    <cellStyle name="40% - 강조색2 53 16" xfId="6413"/>
    <cellStyle name="40% - 강조색2 53 17" xfId="3203"/>
    <cellStyle name="40% - 강조색2 53 18" xfId="7336"/>
    <cellStyle name="40% - 강조색2 53 19" xfId="4902"/>
    <cellStyle name="40% - 강조색2 53 2" xfId="1785"/>
    <cellStyle name="40% - 강조색2 53 20" xfId="8062"/>
    <cellStyle name="40% - 강조색2 53 21" xfId="5133"/>
    <cellStyle name="40% - 강조색2 53 22" xfId="6014"/>
    <cellStyle name="40% - 강조색2 53 23" xfId="9029"/>
    <cellStyle name="40% - 강조색2 53 24" xfId="9615"/>
    <cellStyle name="40% - 강조색2 53 25" xfId="9952"/>
    <cellStyle name="40% - 강조색2 53 26" xfId="6238"/>
    <cellStyle name="40% - 강조색2 53 27" xfId="8571"/>
    <cellStyle name="40% - 강조색2 53 28" xfId="10751"/>
    <cellStyle name="40% - 강조색2 53 29" xfId="9089"/>
    <cellStyle name="40% - 강조색2 53 3" xfId="2045"/>
    <cellStyle name="40% - 강조색2 53 4" xfId="2153"/>
    <cellStyle name="40% - 강조색2 53 5" xfId="2446"/>
    <cellStyle name="40% - 강조색2 53 6" xfId="2145"/>
    <cellStyle name="40% - 강조색2 53 7" xfId="1546"/>
    <cellStyle name="40% - 강조색2 53 8" xfId="3629"/>
    <cellStyle name="40% - 강조색2 53 9" xfId="3764"/>
    <cellStyle name="40% - 강조색2 54" xfId="1472"/>
    <cellStyle name="40% - 강조색2 54 10" xfId="4593"/>
    <cellStyle name="40% - 강조색2 54 11" xfId="5447"/>
    <cellStyle name="40% - 강조색2 54 12" xfId="2160"/>
    <cellStyle name="40% - 강조색2 54 13" xfId="5030"/>
    <cellStyle name="40% - 강조색2 54 14" xfId="4778"/>
    <cellStyle name="40% - 강조색2 54 15" xfId="6334"/>
    <cellStyle name="40% - 강조색2 54 16" xfId="7110"/>
    <cellStyle name="40% - 강조색2 54 17" xfId="6880"/>
    <cellStyle name="40% - 강조색2 54 18" xfId="7804"/>
    <cellStyle name="40% - 강조색2 54 19" xfId="8212"/>
    <cellStyle name="40% - 강조색2 54 2" xfId="2049"/>
    <cellStyle name="40% - 강조색2 54 20" xfId="6813"/>
    <cellStyle name="40% - 강조색2 54 21" xfId="6015"/>
    <cellStyle name="40% - 강조색2 54 22" xfId="9099"/>
    <cellStyle name="40% - 강조색2 54 23" xfId="9613"/>
    <cellStyle name="40% - 강조색2 54 24" xfId="9858"/>
    <cellStyle name="40% - 강조색2 54 25" xfId="10064"/>
    <cellStyle name="40% - 강조색2 54 26" xfId="4763"/>
    <cellStyle name="40% - 강조색2 54 27" xfId="2176"/>
    <cellStyle name="40% - 강조색2 54 28" xfId="11106"/>
    <cellStyle name="40% - 강조색2 54 3" xfId="2331"/>
    <cellStyle name="40% - 강조색2 54 4" xfId="2462"/>
    <cellStyle name="40% - 강조색2 54 5" xfId="2516"/>
    <cellStyle name="40% - 강조색2 54 6" xfId="3273"/>
    <cellStyle name="40% - 강조색2 54 7" xfId="3037"/>
    <cellStyle name="40% - 강조색2 54 8" xfId="3852"/>
    <cellStyle name="40% - 강조색2 54 9" xfId="793"/>
    <cellStyle name="40% - 강조색2 55" xfId="2028"/>
    <cellStyle name="40% - 강조색2 55 10" xfId="5415"/>
    <cellStyle name="40% - 강조색2 55 11" xfId="789"/>
    <cellStyle name="40% - 강조색2 55 12" xfId="4750"/>
    <cellStyle name="40% - 강조색2 55 13" xfId="5506"/>
    <cellStyle name="40% - 강조색2 55 14" xfId="6377"/>
    <cellStyle name="40% - 강조색2 55 15" xfId="6467"/>
    <cellStyle name="40% - 강조색2 55 16" xfId="6855"/>
    <cellStyle name="40% - 강조색2 55 17" xfId="7469"/>
    <cellStyle name="40% - 강조색2 55 18" xfId="7948"/>
    <cellStyle name="40% - 강조색2 55 19" xfId="8589"/>
    <cellStyle name="40% - 강조색2 55 2" xfId="2346"/>
    <cellStyle name="40% - 강조색2 55 20" xfId="8803"/>
    <cellStyle name="40% - 강조색2 55 21" xfId="8402"/>
    <cellStyle name="40% - 강조색2 55 22" xfId="764"/>
    <cellStyle name="40% - 강조색2 55 23" xfId="9980"/>
    <cellStyle name="40% - 강조색2 55 24" xfId="6237"/>
    <cellStyle name="40% - 강조색2 55 25" xfId="10511"/>
    <cellStyle name="40% - 강조색2 55 26" xfId="6441"/>
    <cellStyle name="40% - 강조색2 55 27" xfId="10418"/>
    <cellStyle name="40% - 강조색2 55 3" xfId="2665"/>
    <cellStyle name="40% - 강조색2 55 4" xfId="2980"/>
    <cellStyle name="40% - 강조색2 55 5" xfId="3307"/>
    <cellStyle name="40% - 강조색2 55 6" xfId="3651"/>
    <cellStyle name="40% - 강조색2 55 7" xfId="3767"/>
    <cellStyle name="40% - 강조색2 55 8" xfId="4333"/>
    <cellStyle name="40% - 강조색2 55 9" xfId="4478"/>
    <cellStyle name="40% - 강조색2 56" xfId="2310"/>
    <cellStyle name="40% - 강조색2 56 10" xfId="5265"/>
    <cellStyle name="40% - 강조색2 56 11" xfId="4994"/>
    <cellStyle name="40% - 강조색2 56 12" xfId="5195"/>
    <cellStyle name="40% - 강조색2 56 13" xfId="6364"/>
    <cellStyle name="40% - 강조색2 56 14" xfId="2151"/>
    <cellStyle name="40% - 강조색2 56 15" xfId="7059"/>
    <cellStyle name="40% - 강조색2 56 16" xfId="7572"/>
    <cellStyle name="40% - 강조색2 56 17" xfId="2056"/>
    <cellStyle name="40% - 강조색2 56 18" xfId="8566"/>
    <cellStyle name="40% - 강조색2 56 19" xfId="8837"/>
    <cellStyle name="40% - 강조색2 56 2" xfId="2676"/>
    <cellStyle name="40% - 강조색2 56 20" xfId="4431"/>
    <cellStyle name="40% - 강조색2 56 21" xfId="9471"/>
    <cellStyle name="40% - 강조색2 56 22" xfId="9964"/>
    <cellStyle name="40% - 강조색2 56 23" xfId="10320"/>
    <cellStyle name="40% - 강조색2 56 24" xfId="10391"/>
    <cellStyle name="40% - 강조색2 56 25" xfId="10700"/>
    <cellStyle name="40% - 강조색2 56 26" xfId="11218"/>
    <cellStyle name="40% - 강조색2 56 3" xfId="2991"/>
    <cellStyle name="40% - 강조색2 56 4" xfId="3324"/>
    <cellStyle name="40% - 강조색2 56 5" xfId="3592"/>
    <cellStyle name="40% - 강조색2 56 6" xfId="3871"/>
    <cellStyle name="40% - 강조색2 56 7" xfId="4220"/>
    <cellStyle name="40% - 강조색2 56 8" xfId="4404"/>
    <cellStyle name="40% - 강조색2 56 9" xfId="2728"/>
    <cellStyle name="40% - 강조색2 57" xfId="840"/>
    <cellStyle name="40% - 강조색2 57 10" xfId="4825"/>
    <cellStyle name="40% - 강조색2 57 11" xfId="5067"/>
    <cellStyle name="40% - 강조색2 57 12" xfId="4524"/>
    <cellStyle name="40% - 강조색2 57 13" xfId="6735"/>
    <cellStyle name="40% - 강조색2 57 14" xfId="7234"/>
    <cellStyle name="40% - 강조색2 57 15" xfId="7738"/>
    <cellStyle name="40% - 강조색2 57 16" xfId="6192"/>
    <cellStyle name="40% - 강조색2 57 17" xfId="8414"/>
    <cellStyle name="40% - 강조색2 57 18" xfId="4426"/>
    <cellStyle name="40% - 강조색2 57 19" xfId="9219"/>
    <cellStyle name="40% - 강조색2 57 2" xfId="1491"/>
    <cellStyle name="40% - 강조색2 57 20" xfId="9438"/>
    <cellStyle name="40% - 강조색2 57 21" xfId="9876"/>
    <cellStyle name="40% - 강조색2 57 22" xfId="10065"/>
    <cellStyle name="40% - 강조색2 57 23" xfId="10171"/>
    <cellStyle name="40% - 강조색2 57 24" xfId="10806"/>
    <cellStyle name="40% - 강조색2 57 25" xfId="11007"/>
    <cellStyle name="40% - 강조색2 57 3" xfId="3110"/>
    <cellStyle name="40% - 강조색2 57 4" xfId="3603"/>
    <cellStyle name="40% - 강조색2 57 5" xfId="3850"/>
    <cellStyle name="40% - 강조색2 57 6" xfId="4310"/>
    <cellStyle name="40% - 강조색2 57 7" xfId="3647"/>
    <cellStyle name="40% - 강조색2 57 8" xfId="746"/>
    <cellStyle name="40% - 강조색2 57 9" xfId="5406"/>
    <cellStyle name="40% - 강조색2 58" xfId="2957"/>
    <cellStyle name="40% - 강조색2 58 10" xfId="5499"/>
    <cellStyle name="40% - 강조색2 58 11" xfId="6121"/>
    <cellStyle name="40% - 강조색2 58 12" xfId="7170"/>
    <cellStyle name="40% - 강조색2 58 13" xfId="7060"/>
    <cellStyle name="40% - 강조색2 58 14" xfId="6847"/>
    <cellStyle name="40% - 강조색2 58 15" xfId="8235"/>
    <cellStyle name="40% - 강조색2 58 16" xfId="1422"/>
    <cellStyle name="40% - 강조색2 58 17" xfId="8686"/>
    <cellStyle name="40% - 강조색2 58 18" xfId="7169"/>
    <cellStyle name="40% - 강조색2 58 19" xfId="8661"/>
    <cellStyle name="40% - 강조색2 58 2" xfId="3343"/>
    <cellStyle name="40% - 강조색2 58 20" xfId="3857"/>
    <cellStyle name="40% - 강조색2 58 21" xfId="8468"/>
    <cellStyle name="40% - 강조색2 58 22" xfId="8427"/>
    <cellStyle name="40% - 강조색2 58 23" xfId="10722"/>
    <cellStyle name="40% - 강조색2 58 24" xfId="11162"/>
    <cellStyle name="40% - 강조색2 58 3" xfId="3676"/>
    <cellStyle name="40% - 강조색2 58 4" xfId="4014"/>
    <cellStyle name="40% - 강조색2 58 5" xfId="4255"/>
    <cellStyle name="40% - 강조색2 58 6" xfId="4463"/>
    <cellStyle name="40% - 강조색2 58 7" xfId="4980"/>
    <cellStyle name="40% - 강조색2 58 8" xfId="5620"/>
    <cellStyle name="40% - 강조색2 58 9" xfId="5476"/>
    <cellStyle name="40% - 강조색2 59" xfId="3315"/>
    <cellStyle name="40% - 강조색2 59 10" xfId="6503"/>
    <cellStyle name="40% - 강조색2 59 11" xfId="4906"/>
    <cellStyle name="40% - 강조색2 59 12" xfId="1970"/>
    <cellStyle name="40% - 강조색2 59 13" xfId="6471"/>
    <cellStyle name="40% - 강조색2 59 14" xfId="7022"/>
    <cellStyle name="40% - 강조색2 59 15" xfId="8350"/>
    <cellStyle name="40% - 강조색2 59 16" xfId="6143"/>
    <cellStyle name="40% - 강조색2 59 17" xfId="8714"/>
    <cellStyle name="40% - 강조색2 59 18" xfId="8667"/>
    <cellStyle name="40% - 강조색2 59 19" xfId="9982"/>
    <cellStyle name="40% - 강조색2 59 2" xfId="3686"/>
    <cellStyle name="40% - 강조색2 59 20" xfId="8844"/>
    <cellStyle name="40% - 강조색2 59 21" xfId="6159"/>
    <cellStyle name="40% - 강조색2 59 22" xfId="10842"/>
    <cellStyle name="40% - 강조색2 59 23" xfId="11181"/>
    <cellStyle name="40% - 강조색2 59 3" xfId="4025"/>
    <cellStyle name="40% - 강조색2 59 4" xfId="4361"/>
    <cellStyle name="40% - 강조색2 59 5" xfId="4706"/>
    <cellStyle name="40% - 강조색2 59 6" xfId="5048"/>
    <cellStyle name="40% - 강조색2 59 7" xfId="5122"/>
    <cellStyle name="40% - 강조색2 59 8" xfId="2077"/>
    <cellStyle name="40% - 강조색2 59 9" xfId="4785"/>
    <cellStyle name="40% - 강조색2 6" xfId="73"/>
    <cellStyle name="40% - 강조색2 60" xfId="3656"/>
    <cellStyle name="40% - 강조색2 60 10" xfId="6874"/>
    <cellStyle name="40% - 강조색2 60 11" xfId="7014"/>
    <cellStyle name="40% - 강조색2 60 12" xfId="6207"/>
    <cellStyle name="40% - 강조색2 60 13" xfId="8079"/>
    <cellStyle name="40% - 강조색2 60 14" xfId="7543"/>
    <cellStyle name="40% - 강조색2 60 15" xfId="8747"/>
    <cellStyle name="40% - 강조색2 60 16" xfId="9343"/>
    <cellStyle name="40% - 강조색2 60 17" xfId="6006"/>
    <cellStyle name="40% - 강조색2 60 18" xfId="7487"/>
    <cellStyle name="40% - 강조색2 60 19" xfId="10285"/>
    <cellStyle name="40% - 강조색2 60 2" xfId="4035"/>
    <cellStyle name="40% - 강조색2 60 20" xfId="8298"/>
    <cellStyle name="40% - 강조색2 60 21" xfId="10941"/>
    <cellStyle name="40% - 강조색2 60 22" xfId="11089"/>
    <cellStyle name="40% - 강조색2 60 3" xfId="4371"/>
    <cellStyle name="40% - 강조색2 60 4" xfId="4724"/>
    <cellStyle name="40% - 강조색2 60 5" xfId="5310"/>
    <cellStyle name="40% - 강조색2 60 6" xfId="4925"/>
    <cellStyle name="40% - 강조색2 60 7" xfId="3029"/>
    <cellStyle name="40% - 강조색2 60 8" xfId="1840"/>
    <cellStyle name="40% - 강조색2 60 9" xfId="6429"/>
    <cellStyle name="40% - 강조색2 61" xfId="3993"/>
    <cellStyle name="40% - 강조색2 61 10" xfId="795"/>
    <cellStyle name="40% - 강조색2 61 11" xfId="4299"/>
    <cellStyle name="40% - 강조색2 61 12" xfId="8211"/>
    <cellStyle name="40% - 강조색2 61 13" xfId="8087"/>
    <cellStyle name="40% - 강조색2 61 14" xfId="1957"/>
    <cellStyle name="40% - 강조색2 61 15" xfId="4085"/>
    <cellStyle name="40% - 강조색2 61 16" xfId="9480"/>
    <cellStyle name="40% - 강조색2 61 17" xfId="9836"/>
    <cellStyle name="40% - 강조색2 61 18" xfId="6712"/>
    <cellStyle name="40% - 강조색2 61 19" xfId="10549"/>
    <cellStyle name="40% - 강조색2 61 2" xfId="4380"/>
    <cellStyle name="40% - 강조색2 61 20" xfId="10484"/>
    <cellStyle name="40% - 강조색2 61 21" xfId="9108"/>
    <cellStyle name="40% - 강조색2 61 3" xfId="4734"/>
    <cellStyle name="40% - 강조색2 61 4" xfId="5660"/>
    <cellStyle name="40% - 강조색2 61 5" xfId="5661"/>
    <cellStyle name="40% - 강조색2 61 6" xfId="5027"/>
    <cellStyle name="40% - 강조색2 61 7" xfId="4883"/>
    <cellStyle name="40% - 강조색2 61 8" xfId="6592"/>
    <cellStyle name="40% - 강조색2 61 9" xfId="7030"/>
    <cellStyle name="40% - 강조색2 62" xfId="4352"/>
    <cellStyle name="40% - 강조색2 62 10" xfId="3263"/>
    <cellStyle name="40% - 강조색2 62 11" xfId="3346"/>
    <cellStyle name="40% - 강조색2 62 12" xfId="8369"/>
    <cellStyle name="40% - 강조색2 62 13" xfId="4885"/>
    <cellStyle name="40% - 강조색2 62 14" xfId="9260"/>
    <cellStyle name="40% - 강조색2 62 15" xfId="9656"/>
    <cellStyle name="40% - 강조색2 62 16" xfId="8047"/>
    <cellStyle name="40% - 강조색2 62 17" xfId="6916"/>
    <cellStyle name="40% - 강조색2 62 18" xfId="10490"/>
    <cellStyle name="40% - 강조색2 62 19" xfId="10918"/>
    <cellStyle name="40% - 강조색2 62 2" xfId="4744"/>
    <cellStyle name="40% - 강조색2 62 20" xfId="10193"/>
    <cellStyle name="40% - 강조색2 62 3" xfId="5723"/>
    <cellStyle name="40% - 강조색2 62 4" xfId="5823"/>
    <cellStyle name="40% - 강조색2 62 5" xfId="5895"/>
    <cellStyle name="40% - 강조색2 62 6" xfId="5943"/>
    <cellStyle name="40% - 강조색2 62 7" xfId="6602"/>
    <cellStyle name="40% - 강조색2 62 8" xfId="6972"/>
    <cellStyle name="40% - 강조색2 62 9" xfId="6703"/>
    <cellStyle name="40% - 강조색2 63" xfId="4703"/>
    <cellStyle name="40% - 강조색2 63 10" xfId="1884"/>
    <cellStyle name="40% - 강조색2 63 11" xfId="2433"/>
    <cellStyle name="40% - 강조색2 63 12" xfId="4845"/>
    <cellStyle name="40% - 강조색2 63 13" xfId="9140"/>
    <cellStyle name="40% - 강조색2 63 14" xfId="9651"/>
    <cellStyle name="40% - 강조색2 63 15" xfId="9984"/>
    <cellStyle name="40% - 강조색2 63 16" xfId="5955"/>
    <cellStyle name="40% - 강조색2 63 17" xfId="10573"/>
    <cellStyle name="40% - 강조색2 63 18" xfId="10441"/>
    <cellStyle name="40% - 강조색2 63 19" xfId="8483"/>
    <cellStyle name="40% - 강조색2 63 2" xfId="5794"/>
    <cellStyle name="40% - 강조색2 63 3" xfId="5872"/>
    <cellStyle name="40% - 강조색2 63 4" xfId="5930"/>
    <cellStyle name="40% - 강조색2 63 5" xfId="5954"/>
    <cellStyle name="40% - 강조색2 63 6" xfId="6614"/>
    <cellStyle name="40% - 강조색2 63 7" xfId="6997"/>
    <cellStyle name="40% - 강조색2 63 8" xfId="7306"/>
    <cellStyle name="40% - 강조색2 63 9" xfId="7358"/>
    <cellStyle name="40% - 강조색2 64" xfId="5515"/>
    <cellStyle name="40% - 강조색2 64 10" xfId="9497"/>
    <cellStyle name="40% - 강조색2 64 11" xfId="9880"/>
    <cellStyle name="40% - 강조색2 64 12" xfId="6822"/>
    <cellStyle name="40% - 강조색2 64 13" xfId="7627"/>
    <cellStyle name="40% - 강조색2 64 14" xfId="10723"/>
    <cellStyle name="40% - 강조색2 64 15" xfId="11175"/>
    <cellStyle name="40% - 강조색2 64 2" xfId="6644"/>
    <cellStyle name="40% - 강조색2 64 3" xfId="7252"/>
    <cellStyle name="40% - 강조색2 64 4" xfId="7259"/>
    <cellStyle name="40% - 강조색2 64 5" xfId="7525"/>
    <cellStyle name="40% - 강조색2 64 6" xfId="8149"/>
    <cellStyle name="40% - 강조색2 64 7" xfId="8515"/>
    <cellStyle name="40% - 강조색2 64 8" xfId="7740"/>
    <cellStyle name="40% - 강조색2 64 9" xfId="9086"/>
    <cellStyle name="40% - 강조색2 65" xfId="5722"/>
    <cellStyle name="40% - 강조색2 65 10" xfId="8665"/>
    <cellStyle name="40% - 강조색2 65 11" xfId="9878"/>
    <cellStyle name="40% - 강조색2 65 12" xfId="9417"/>
    <cellStyle name="40% - 강조색2 65 13" xfId="10066"/>
    <cellStyle name="40% - 강조색2 65 14" xfId="6494"/>
    <cellStyle name="40% - 강조색2 65 15" xfId="7889"/>
    <cellStyle name="40% - 강조색2 65 2" xfId="6654"/>
    <cellStyle name="40% - 강조색2 65 3" xfId="7277"/>
    <cellStyle name="40% - 강조색2 65 4" xfId="6064"/>
    <cellStyle name="40% - 강조색2 65 5" xfId="7822"/>
    <cellStyle name="40% - 강조색2 65 6" xfId="7964"/>
    <cellStyle name="40% - 강조색2 65 7" xfId="8412"/>
    <cellStyle name="40% - 강조색2 65 8" xfId="8121"/>
    <cellStyle name="40% - 강조색2 65 9" xfId="9106"/>
    <cellStyle name="40% - 강조색2 66" xfId="5822"/>
    <cellStyle name="40% - 강조색2 66 10" xfId="9455"/>
    <cellStyle name="40% - 강조색2 66 11" xfId="5273"/>
    <cellStyle name="40% - 강조색2 66 12" xfId="3019"/>
    <cellStyle name="40% - 강조색2 66 13" xfId="6157"/>
    <cellStyle name="40% - 강조색2 66 14" xfId="9442"/>
    <cellStyle name="40% - 강조색2 66 15" xfId="1354"/>
    <cellStyle name="40% - 강조색2 66 2" xfId="6660"/>
    <cellStyle name="40% - 강조색2 66 3" xfId="7286"/>
    <cellStyle name="40% - 강조색2 66 4" xfId="6802"/>
    <cellStyle name="40% - 강조색2 66 5" xfId="7828"/>
    <cellStyle name="40% - 강조색2 66 6" xfId="6370"/>
    <cellStyle name="40% - 강조색2 66 7" xfId="7915"/>
    <cellStyle name="40% - 강조색2 66 8" xfId="4544"/>
    <cellStyle name="40% - 강조색2 66 9" xfId="3691"/>
    <cellStyle name="40% - 강조색2 67" xfId="5894"/>
    <cellStyle name="40% - 강조색2 67 10" xfId="9684"/>
    <cellStyle name="40% - 강조색2 67 11" xfId="9870"/>
    <cellStyle name="40% - 강조색2 67 12" xfId="10140"/>
    <cellStyle name="40% - 강조색2 67 13" xfId="10416"/>
    <cellStyle name="40% - 강조색2 67 14" xfId="10717"/>
    <cellStyle name="40% - 강조색2 67 15" xfId="6728"/>
    <cellStyle name="40% - 강조색2 67 2" xfId="6662"/>
    <cellStyle name="40% - 강조색2 67 3" xfId="7295"/>
    <cellStyle name="40% - 강조색2 67 4" xfId="7342"/>
    <cellStyle name="40% - 강조색2 67 5" xfId="7830"/>
    <cellStyle name="40% - 강조색2 67 6" xfId="7950"/>
    <cellStyle name="40% - 강조색2 67 7" xfId="1811"/>
    <cellStyle name="40% - 강조색2 67 8" xfId="3823"/>
    <cellStyle name="40% - 강조색2 67 9" xfId="3078"/>
    <cellStyle name="40% - 강조색2 68" xfId="6557"/>
    <cellStyle name="40% - 강조색2 68 10" xfId="8577"/>
    <cellStyle name="40% - 강조색2 68 11" xfId="2177"/>
    <cellStyle name="40% - 강조색2 68 12" xfId="4888"/>
    <cellStyle name="40% - 강조색2 68 13" xfId="10946"/>
    <cellStyle name="40% - 강조색2 68 14" xfId="11119"/>
    <cellStyle name="40% - 강조색2 68 2" xfId="7332"/>
    <cellStyle name="40% - 강조색2 68 3" xfId="7354"/>
    <cellStyle name="40% - 강조색2 68 4" xfId="7843"/>
    <cellStyle name="40% - 강조색2 68 5" xfId="810"/>
    <cellStyle name="40% - 강조색2 68 6" xfId="8497"/>
    <cellStyle name="40% - 강조색2 68 7" xfId="7882"/>
    <cellStyle name="40% - 강조색2 68 8" xfId="9066"/>
    <cellStyle name="40% - 강조색2 68 9" xfId="2763"/>
    <cellStyle name="40% - 강조색2 69" xfId="7238"/>
    <cellStyle name="40% - 강조색2 69 10" xfId="5082"/>
    <cellStyle name="40% - 강조색2 69 11" xfId="9554"/>
    <cellStyle name="40% - 강조색2 69 12" xfId="11165"/>
    <cellStyle name="40% - 강조색2 69 2" xfId="7857"/>
    <cellStyle name="40% - 강조색2 69 3" xfId="8251"/>
    <cellStyle name="40% - 강조색2 69 4" xfId="8613"/>
    <cellStyle name="40% - 강조색2 69 5" xfId="6529"/>
    <cellStyle name="40% - 강조색2 69 6" xfId="9076"/>
    <cellStyle name="40% - 강조색2 69 7" xfId="9653"/>
    <cellStyle name="40% - 강조색2 69 8" xfId="9756"/>
    <cellStyle name="40% - 강조색2 69 9" xfId="10117"/>
    <cellStyle name="40% - 강조색2 7" xfId="66"/>
    <cellStyle name="40% - 강조색2 70" xfId="7338"/>
    <cellStyle name="40% - 강조색2 70 10" xfId="2772"/>
    <cellStyle name="40% - 강조색2 70 11" xfId="10811"/>
    <cellStyle name="40% - 강조색2 70 12" xfId="11157"/>
    <cellStyle name="40% - 강조색2 70 2" xfId="7864"/>
    <cellStyle name="40% - 강조색2 70 3" xfId="8258"/>
    <cellStyle name="40% - 강조색2 70 4" xfId="8620"/>
    <cellStyle name="40% - 강조색2 70 5" xfId="8316"/>
    <cellStyle name="40% - 강조색2 70 6" xfId="8400"/>
    <cellStyle name="40% - 강조색2 70 7" xfId="7724"/>
    <cellStyle name="40% - 강조색2 70 8" xfId="9749"/>
    <cellStyle name="40% - 강조색2 70 9" xfId="10196"/>
    <cellStyle name="40% - 강조색2 71" xfId="7818"/>
    <cellStyle name="40% - 강조색2 71 10" xfId="10796"/>
    <cellStyle name="40% - 강조색2 71 11" xfId="11141"/>
    <cellStyle name="40% - 강조색2 71 2" xfId="8269"/>
    <cellStyle name="40% - 강조색2 71 3" xfId="8631"/>
    <cellStyle name="40% - 강조색2 71 4" xfId="8995"/>
    <cellStyle name="40% - 강조색2 71 5" xfId="9353"/>
    <cellStyle name="40% - 강조색2 71 6" xfId="9515"/>
    <cellStyle name="40% - 강조색2 71 7" xfId="9975"/>
    <cellStyle name="40% - 강조색2 71 8" xfId="941"/>
    <cellStyle name="40% - 강조색2 71 9" xfId="10596"/>
    <cellStyle name="40% - 강조색2 72" xfId="8221"/>
    <cellStyle name="40% - 강조색2 72 10" xfId="10184"/>
    <cellStyle name="40% - 강조색2 72 2" xfId="8640"/>
    <cellStyle name="40% - 강조색2 72 3" xfId="9004"/>
    <cellStyle name="40% - 강조색2 72 4" xfId="9363"/>
    <cellStyle name="40% - 강조색2 72 5" xfId="9695"/>
    <cellStyle name="40% - 강조색2 72 6" xfId="6155"/>
    <cellStyle name="40% - 강조색2 72 7" xfId="10302"/>
    <cellStyle name="40% - 강조색2 72 8" xfId="4319"/>
    <cellStyle name="40% - 강조색2 72 9" xfId="9141"/>
    <cellStyle name="40% - 강조색2 73" xfId="8598"/>
    <cellStyle name="40% - 강조색2 73 2" xfId="9014"/>
    <cellStyle name="40% - 강조색2 73 3" xfId="9373"/>
    <cellStyle name="40% - 강조색2 73 4" xfId="9705"/>
    <cellStyle name="40% - 강조색2 73 5" xfId="10031"/>
    <cellStyle name="40% - 강조색2 73 6" xfId="7801"/>
    <cellStyle name="40% - 강조색2 73 7" xfId="7730"/>
    <cellStyle name="40% - 강조색2 73 8" xfId="9173"/>
    <cellStyle name="40% - 강조색2 73 9" xfId="8475"/>
    <cellStyle name="40% - 강조색2 74" xfId="1594"/>
    <cellStyle name="40% - 강조색2 74 2" xfId="856"/>
    <cellStyle name="40% - 강조색2 74 3" xfId="9395"/>
    <cellStyle name="40% - 강조색2 74 4" xfId="7556"/>
    <cellStyle name="40% - 강조색2 74 5" xfId="6457"/>
    <cellStyle name="40% - 강조색2 74 6" xfId="10452"/>
    <cellStyle name="40% - 강조색2 74 7" xfId="6425"/>
    <cellStyle name="40% - 강조색2 74 8" xfId="11123"/>
    <cellStyle name="40% - 강조색2 75" xfId="9270"/>
    <cellStyle name="40% - 강조색2 75 2" xfId="9719"/>
    <cellStyle name="40% - 강조색2 75 3" xfId="10045"/>
    <cellStyle name="40% - 강조색2 75 4" xfId="10358"/>
    <cellStyle name="40% - 강조색2 75 5" xfId="10667"/>
    <cellStyle name="40% - 강조색2 75 6" xfId="5985"/>
    <cellStyle name="40% - 강조색2 75 7" xfId="7910"/>
    <cellStyle name="40% - 강조색2 76" xfId="6149"/>
    <cellStyle name="40% - 강조색2 76 2" xfId="8465"/>
    <cellStyle name="40% - 강조색2 76 3" xfId="8383"/>
    <cellStyle name="40% - 강조색2 76 4" xfId="9128"/>
    <cellStyle name="40% - 강조색2 76 5" xfId="2732"/>
    <cellStyle name="40% - 강조색2 76 6" xfId="3429"/>
    <cellStyle name="40% - 강조색2 77" xfId="10023"/>
    <cellStyle name="40% - 강조색2 77 2" xfId="10379"/>
    <cellStyle name="40% - 강조색2 77 3" xfId="10690"/>
    <cellStyle name="40% - 강조색2 77 4" xfId="10974"/>
    <cellStyle name="40% - 강조색2 77 5" xfId="11250"/>
    <cellStyle name="40% - 강조색2 78" xfId="10336"/>
    <cellStyle name="40% - 강조색2 78 2" xfId="10696"/>
    <cellStyle name="40% - 강조색2 78 3" xfId="10980"/>
    <cellStyle name="40% - 강조색2 78 4" xfId="11257"/>
    <cellStyle name="40% - 강조색2 79" xfId="10651"/>
    <cellStyle name="40% - 강조색2 79 2" xfId="10990"/>
    <cellStyle name="40% - 강조색2 79 3" xfId="11268"/>
    <cellStyle name="40% - 강조색2 8" xfId="60"/>
    <cellStyle name="40% - 강조색2 80" xfId="10948"/>
    <cellStyle name="40% - 강조색2 80 2" xfId="11276"/>
    <cellStyle name="40% - 강조색2 81" xfId="11243"/>
    <cellStyle name="40% - 강조색2 82" xfId="11289"/>
    <cellStyle name="40% - 강조색2 83" xfId="11430"/>
    <cellStyle name="40% - 강조색2 84" xfId="11342"/>
    <cellStyle name="40% - 강조색2 85" xfId="11428"/>
    <cellStyle name="40% - 강조색2 86" xfId="11439"/>
    <cellStyle name="40% - 강조색2 9" xfId="61"/>
    <cellStyle name="40% - 강조색3" xfId="28" builtinId="39" customBuiltin="1"/>
    <cellStyle name="40% - 강조색3 10" xfId="165"/>
    <cellStyle name="40% - 강조색3 11" xfId="178"/>
    <cellStyle name="40% - 강조색3 12" xfId="191"/>
    <cellStyle name="40% - 강조색3 13" xfId="204"/>
    <cellStyle name="40% - 강조색3 14" xfId="217"/>
    <cellStyle name="40% - 강조색3 15" xfId="230"/>
    <cellStyle name="40% - 강조색3 16" xfId="243"/>
    <cellStyle name="40% - 강조색3 17" xfId="256"/>
    <cellStyle name="40% - 강조색3 18" xfId="269"/>
    <cellStyle name="40% - 강조색3 19" xfId="282"/>
    <cellStyle name="40% - 강조색3 2" xfId="49"/>
    <cellStyle name="40% - 강조색3 20" xfId="295"/>
    <cellStyle name="40% - 강조색3 21" xfId="308"/>
    <cellStyle name="40% - 강조색3 22" xfId="321"/>
    <cellStyle name="40% - 강조색3 23" xfId="334"/>
    <cellStyle name="40% - 강조색3 24" xfId="347"/>
    <cellStyle name="40% - 강조색3 25" xfId="360"/>
    <cellStyle name="40% - 강조색3 26" xfId="373"/>
    <cellStyle name="40% - 강조색3 27" xfId="386"/>
    <cellStyle name="40% - 강조색3 28" xfId="399"/>
    <cellStyle name="40% - 강조색3 29" xfId="412"/>
    <cellStyle name="40% - 강조색3 3" xfId="76"/>
    <cellStyle name="40% - 강조색3 30" xfId="425"/>
    <cellStyle name="40% - 강조색3 31" xfId="438"/>
    <cellStyle name="40% - 강조색3 32" xfId="450"/>
    <cellStyle name="40% - 강조색3 33" xfId="462"/>
    <cellStyle name="40% - 강조색3 34" xfId="474"/>
    <cellStyle name="40% - 강조색3 35" xfId="486"/>
    <cellStyle name="40% - 강조색3 36" xfId="497"/>
    <cellStyle name="40% - 강조색3 37" xfId="508"/>
    <cellStyle name="40% - 강조색3 38" xfId="519"/>
    <cellStyle name="40% - 강조색3 39" xfId="528"/>
    <cellStyle name="40% - 강조색3 4" xfId="80"/>
    <cellStyle name="40% - 강조색3 40" xfId="547"/>
    <cellStyle name="40% - 강조색3 40 10" xfId="3301"/>
    <cellStyle name="40% - 강조색3 40 11" xfId="3543"/>
    <cellStyle name="40% - 강조색3 40 12" xfId="3790"/>
    <cellStyle name="40% - 강조색3 40 13" xfId="4123"/>
    <cellStyle name="40% - 강조색3 40 14" xfId="4384"/>
    <cellStyle name="40% - 강조색3 40 15" xfId="3193"/>
    <cellStyle name="40% - 강조색3 40 16" xfId="3180"/>
    <cellStyle name="40% - 강조색3 40 17" xfId="1887"/>
    <cellStyle name="40% - 강조색3 40 18" xfId="5065"/>
    <cellStyle name="40% - 강조색3 40 19" xfId="6475"/>
    <cellStyle name="40% - 강조색3 40 2" xfId="1046"/>
    <cellStyle name="40% - 강조색3 40 20" xfId="6310"/>
    <cellStyle name="40% - 강조색3 40 21" xfId="7103"/>
    <cellStyle name="40% - 강조색3 40 22" xfId="7630"/>
    <cellStyle name="40% - 강조색3 40 23" xfId="8065"/>
    <cellStyle name="40% - 강조색3 40 24" xfId="3517"/>
    <cellStyle name="40% - 강조색3 40 25" xfId="4453"/>
    <cellStyle name="40% - 강조색3 40 26" xfId="3055"/>
    <cellStyle name="40% - 강조색3 40 27" xfId="9689"/>
    <cellStyle name="40% - 강조색3 40 28" xfId="6103"/>
    <cellStyle name="40% - 강조색3 40 29" xfId="9553"/>
    <cellStyle name="40% - 강조색3 40 3" xfId="1137"/>
    <cellStyle name="40% - 강조색3 40 30" xfId="10520"/>
    <cellStyle name="40% - 강조색3 40 31" xfId="5157"/>
    <cellStyle name="40% - 강조색3 40 32" xfId="11220"/>
    <cellStyle name="40% - 강조색3 40 33" xfId="11318"/>
    <cellStyle name="40% - 강조색3 40 34" xfId="11299"/>
    <cellStyle name="40% - 강조색3 40 35" xfId="11311"/>
    <cellStyle name="40% - 강조색3 40 36" xfId="11390"/>
    <cellStyle name="40% - 강조색3 40 4" xfId="1228"/>
    <cellStyle name="40% - 강조색3 40 5" xfId="1615"/>
    <cellStyle name="40% - 강조색3 40 6" xfId="800"/>
    <cellStyle name="40% - 강조색3 40 7" xfId="728"/>
    <cellStyle name="40% - 강조색3 40 8" xfId="2653"/>
    <cellStyle name="40% - 강조색3 40 9" xfId="2946"/>
    <cellStyle name="40% - 강조색3 41" xfId="557"/>
    <cellStyle name="40% - 강조색3 41 10" xfId="3192"/>
    <cellStyle name="40% - 강조색3 41 11" xfId="3569"/>
    <cellStyle name="40% - 강조색3 41 12" xfId="3829"/>
    <cellStyle name="40% - 강조색3 41 13" xfId="1454"/>
    <cellStyle name="40% - 강조색3 41 14" xfId="4681"/>
    <cellStyle name="40% - 강조색3 41 15" xfId="5276"/>
    <cellStyle name="40% - 강조색3 41 16" xfId="5709"/>
    <cellStyle name="40% - 강조색3 41 17" xfId="5812"/>
    <cellStyle name="40% - 강조색3 41 18" xfId="5887"/>
    <cellStyle name="40% - 강조색3 41 19" xfId="6253"/>
    <cellStyle name="40% - 강조색3 41 2" xfId="1056"/>
    <cellStyle name="40% - 강조색3 41 20" xfId="2555"/>
    <cellStyle name="40% - 강조색3 41 21" xfId="6038"/>
    <cellStyle name="40% - 강조색3 41 22" xfId="7667"/>
    <cellStyle name="40% - 강조색3 41 23" xfId="7989"/>
    <cellStyle name="40% - 강조색3 41 24" xfId="7398"/>
    <cellStyle name="40% - 강조색3 41 25" xfId="8646"/>
    <cellStyle name="40% - 강조색3 41 26" xfId="9314"/>
    <cellStyle name="40% - 강조색3 41 27" xfId="9628"/>
    <cellStyle name="40% - 강조색3 41 28" xfId="7474"/>
    <cellStyle name="40% - 강조색3 41 29" xfId="10152"/>
    <cellStyle name="40% - 강조색3 41 3" xfId="1147"/>
    <cellStyle name="40% - 강조색3 41 30" xfId="7516"/>
    <cellStyle name="40% - 강조색3 41 31" xfId="10887"/>
    <cellStyle name="40% - 강조색3 41 32" xfId="2135"/>
    <cellStyle name="40% - 강조색3 41 4" xfId="1238"/>
    <cellStyle name="40% - 강조색3 41 5" xfId="1740"/>
    <cellStyle name="40% - 강조색3 41 6" xfId="933"/>
    <cellStyle name="40% - 강조색3 41 7" xfId="1569"/>
    <cellStyle name="40% - 강조색3 41 8" xfId="2602"/>
    <cellStyle name="40% - 강조색3 41 9" xfId="2902"/>
    <cellStyle name="40% - 강조색3 42" xfId="594"/>
    <cellStyle name="40% - 강조색3 42 10" xfId="2861"/>
    <cellStyle name="40% - 강조색3 42 11" xfId="3205"/>
    <cellStyle name="40% - 강조색3 42 12" xfId="3487"/>
    <cellStyle name="40% - 강조색3 42 13" xfId="4355"/>
    <cellStyle name="40% - 강조색3 42 14" xfId="2847"/>
    <cellStyle name="40% - 강조색3 42 15" xfId="5327"/>
    <cellStyle name="40% - 강조색3 42 16" xfId="5672"/>
    <cellStyle name="40% - 강조색3 42 17" xfId="5770"/>
    <cellStyle name="40% - 강조색3 42 18" xfId="5855"/>
    <cellStyle name="40% - 강조색3 42 19" xfId="6246"/>
    <cellStyle name="40% - 강조색3 42 2" xfId="1093"/>
    <cellStyle name="40% - 강조색3 42 20" xfId="7135"/>
    <cellStyle name="40% - 강조색3 42 21" xfId="7157"/>
    <cellStyle name="40% - 강조색3 42 22" xfId="7757"/>
    <cellStyle name="40% - 강조색3 42 23" xfId="5001"/>
    <cellStyle name="40% - 강조색3 42 24" xfId="8570"/>
    <cellStyle name="40% - 강조색3 42 25" xfId="8832"/>
    <cellStyle name="40% - 강조색3 42 26" xfId="9305"/>
    <cellStyle name="40% - 강조색3 42 27" xfId="3148"/>
    <cellStyle name="40% - 강조색3 42 28" xfId="4542"/>
    <cellStyle name="40% - 강조색3 42 29" xfId="4459"/>
    <cellStyle name="40% - 강조색3 42 3" xfId="1184"/>
    <cellStyle name="40% - 강조색3 42 30" xfId="4181"/>
    <cellStyle name="40% - 강조색3 42 31" xfId="10143"/>
    <cellStyle name="40% - 강조색3 42 32" xfId="7779"/>
    <cellStyle name="40% - 강조색3 42 4" xfId="1275"/>
    <cellStyle name="40% - 강조색3 42 5" xfId="1633"/>
    <cellStyle name="40% - 강조색3 42 6" xfId="1979"/>
    <cellStyle name="40% - 강조색3 42 7" xfId="2312"/>
    <cellStyle name="40% - 강조색3 42 8" xfId="2570"/>
    <cellStyle name="40% - 강조색3 42 9" xfId="2893"/>
    <cellStyle name="40% - 강조색3 43" xfId="612"/>
    <cellStyle name="40% - 강조색3 43 10" xfId="3058"/>
    <cellStyle name="40% - 강조색3 43 11" xfId="3557"/>
    <cellStyle name="40% - 강조색3 43 12" xfId="3933"/>
    <cellStyle name="40% - 강조색3 43 13" xfId="884"/>
    <cellStyle name="40% - 강조색3 43 14" xfId="4572"/>
    <cellStyle name="40% - 강조색3 43 15" xfId="5285"/>
    <cellStyle name="40% - 강조색3 43 16" xfId="4791"/>
    <cellStyle name="40% - 강조색3 43 17" xfId="4868"/>
    <cellStyle name="40% - 강조색3 43 18" xfId="5321"/>
    <cellStyle name="40% - 강조색3 43 19" xfId="6243"/>
    <cellStyle name="40% - 강조색3 43 2" xfId="1111"/>
    <cellStyle name="40% - 강조색3 43 20" xfId="2825"/>
    <cellStyle name="40% - 강조색3 43 21" xfId="3851"/>
    <cellStyle name="40% - 강조색3 43 22" xfId="892"/>
    <cellStyle name="40% - 강조색3 43 23" xfId="7890"/>
    <cellStyle name="40% - 강조색3 43 24" xfId="8513"/>
    <cellStyle name="40% - 강조색3 43 25" xfId="8380"/>
    <cellStyle name="40% - 강조색3 43 26" xfId="9064"/>
    <cellStyle name="40% - 강조색3 43 27" xfId="9475"/>
    <cellStyle name="40% - 강조색3 43 28" xfId="7634"/>
    <cellStyle name="40% - 강조색3 43 29" xfId="3033"/>
    <cellStyle name="40% - 강조색3 43 3" xfId="1202"/>
    <cellStyle name="40% - 강조색3 43 30" xfId="8070"/>
    <cellStyle name="40% - 강조색3 43 31" xfId="10797"/>
    <cellStyle name="40% - 강조색3 43 32" xfId="11142"/>
    <cellStyle name="40% - 강조색3 43 4" xfId="1293"/>
    <cellStyle name="40% - 강조색3 43 5" xfId="1716"/>
    <cellStyle name="40% - 강조색3 43 6" xfId="885"/>
    <cellStyle name="40% - 강조색3 43 7" xfId="2247"/>
    <cellStyle name="40% - 강조색3 43 8" xfId="2614"/>
    <cellStyle name="40% - 강조색3 43 9" xfId="2702"/>
    <cellStyle name="40% - 강조색3 44" xfId="599"/>
    <cellStyle name="40% - 강조색3 44 10" xfId="2196"/>
    <cellStyle name="40% - 강조색3 44 11" xfId="3387"/>
    <cellStyle name="40% - 강조색3 44 12" xfId="837"/>
    <cellStyle name="40% - 강조색3 44 13" xfId="4278"/>
    <cellStyle name="40% - 강조색3 44 14" xfId="859"/>
    <cellStyle name="40% - 강조색3 44 15" xfId="5312"/>
    <cellStyle name="40% - 강조색3 44 16" xfId="4108"/>
    <cellStyle name="40% - 강조색3 44 17" xfId="5473"/>
    <cellStyle name="40% - 강조색3 44 18" xfId="5386"/>
    <cellStyle name="40% - 강조색3 44 19" xfId="6314"/>
    <cellStyle name="40% - 강조색3 44 2" xfId="1098"/>
    <cellStyle name="40% - 강조색3 44 20" xfId="6411"/>
    <cellStyle name="40% - 강조색3 44 21" xfId="6415"/>
    <cellStyle name="40% - 강조색3 44 22" xfId="7401"/>
    <cellStyle name="40% - 강조색3 44 23" xfId="8192"/>
    <cellStyle name="40% - 강조색3 44 24" xfId="5185"/>
    <cellStyle name="40% - 강조색3 44 25" xfId="8924"/>
    <cellStyle name="40% - 강조색3 44 26" xfId="4594"/>
    <cellStyle name="40% - 강조색3 44 27" xfId="4231"/>
    <cellStyle name="40% - 강조색3 44 28" xfId="9877"/>
    <cellStyle name="40% - 강조색3 44 29" xfId="10075"/>
    <cellStyle name="40% - 강조색3 44 3" xfId="1189"/>
    <cellStyle name="40% - 강조색3 44 30" xfId="10433"/>
    <cellStyle name="40% - 강조색3 44 31" xfId="10187"/>
    <cellStyle name="40% - 강조색3 44 32" xfId="11097"/>
    <cellStyle name="40% - 강조색3 44 4" xfId="1280"/>
    <cellStyle name="40% - 강조색3 44 5" xfId="1699"/>
    <cellStyle name="40% - 강조색3 44 6" xfId="2030"/>
    <cellStyle name="40% - 강조색3 44 7" xfId="2268"/>
    <cellStyle name="40% - 강조색3 44 8" xfId="2454"/>
    <cellStyle name="40% - 강조색3 44 9" xfId="2089"/>
    <cellStyle name="40% - 강조색3 45" xfId="582"/>
    <cellStyle name="40% - 강조색3 45 10" xfId="2102"/>
    <cellStyle name="40% - 강조색3 45 11" xfId="3509"/>
    <cellStyle name="40% - 강조색3 45 12" xfId="3813"/>
    <cellStyle name="40% - 강조색3 45 13" xfId="2798"/>
    <cellStyle name="40% - 강조색3 45 14" xfId="4505"/>
    <cellStyle name="40% - 강조색3 45 15" xfId="5521"/>
    <cellStyle name="40% - 강조색3 45 16" xfId="3838"/>
    <cellStyle name="40% - 강조색3 45 17" xfId="5022"/>
    <cellStyle name="40% - 강조색3 45 18" xfId="5418"/>
    <cellStyle name="40% - 강조색3 45 19" xfId="6215"/>
    <cellStyle name="40% - 강조색3 45 2" xfId="1081"/>
    <cellStyle name="40% - 강조색3 45 20" xfId="7072"/>
    <cellStyle name="40% - 강조색3 45 21" xfId="6851"/>
    <cellStyle name="40% - 강조색3 45 22" xfId="7471"/>
    <cellStyle name="40% - 강조색3 45 23" xfId="4479"/>
    <cellStyle name="40% - 강조색3 45 24" xfId="8501"/>
    <cellStyle name="40% - 강조색3 45 25" xfId="8959"/>
    <cellStyle name="40% - 강조색3 45 26" xfId="9073"/>
    <cellStyle name="40% - 강조색3 45 27" xfId="9616"/>
    <cellStyle name="40% - 강조색3 45 28" xfId="9899"/>
    <cellStyle name="40% - 강조색3 45 29" xfId="6737"/>
    <cellStyle name="40% - 강조색3 45 3" xfId="1172"/>
    <cellStyle name="40% - 강조색3 45 30" xfId="10423"/>
    <cellStyle name="40% - 강조색3 45 31" xfId="8717"/>
    <cellStyle name="40% - 강조색3 45 32" xfId="10467"/>
    <cellStyle name="40% - 강조색3 45 4" xfId="1263"/>
    <cellStyle name="40% - 강조색3 45 5" xfId="1665"/>
    <cellStyle name="40% - 강조색3 45 6" xfId="979"/>
    <cellStyle name="40% - 강조색3 45 7" xfId="1889"/>
    <cellStyle name="40% - 강조색3 45 8" xfId="2485"/>
    <cellStyle name="40% - 강조색3 45 9" xfId="2927"/>
    <cellStyle name="40% - 강조색3 46" xfId="602"/>
    <cellStyle name="40% - 강조색3 46 10" xfId="3214"/>
    <cellStyle name="40% - 강조색3 46 11" xfId="3631"/>
    <cellStyle name="40% - 강조색3 46 12" xfId="3946"/>
    <cellStyle name="40% - 강조색3 46 13" xfId="4331"/>
    <cellStyle name="40% - 강조색3 46 14" xfId="766"/>
    <cellStyle name="40% - 강조색3 46 15" xfId="3749"/>
    <cellStyle name="40% - 강조색3 46 16" xfId="4308"/>
    <cellStyle name="40% - 강조색3 46 17" xfId="4102"/>
    <cellStyle name="40% - 강조색3 46 18" xfId="5394"/>
    <cellStyle name="40% - 강조색3 46 19" xfId="6528"/>
    <cellStyle name="40% - 강조색3 46 2" xfId="1101"/>
    <cellStyle name="40% - 강조색3 46 20" xfId="3005"/>
    <cellStyle name="40% - 강조색3 46 21" xfId="6759"/>
    <cellStyle name="40% - 강조색3 46 22" xfId="5114"/>
    <cellStyle name="40% - 강조색3 46 23" xfId="8128"/>
    <cellStyle name="40% - 강조색3 46 24" xfId="5977"/>
    <cellStyle name="40% - 강조색3 46 25" xfId="5989"/>
    <cellStyle name="40% - 강조색3 46 26" xfId="9026"/>
    <cellStyle name="40% - 강조색3 46 27" xfId="9558"/>
    <cellStyle name="40% - 강조색3 46 28" xfId="9998"/>
    <cellStyle name="40% - 강조색3 46 29" xfId="10082"/>
    <cellStyle name="40% - 강조색3 46 3" xfId="1192"/>
    <cellStyle name="40% - 강조색3 46 30" xfId="8506"/>
    <cellStyle name="40% - 강조색3 46 31" xfId="4635"/>
    <cellStyle name="40% - 강조색3 46 32" xfId="11205"/>
    <cellStyle name="40% - 강조색3 46 4" xfId="1283"/>
    <cellStyle name="40% - 강조색3 46 5" xfId="1668"/>
    <cellStyle name="40% - 강조색3 46 6" xfId="1862"/>
    <cellStyle name="40% - 강조색3 46 7" xfId="1498"/>
    <cellStyle name="40% - 강조색3 46 8" xfId="1858"/>
    <cellStyle name="40% - 강조색3 46 9" xfId="830"/>
    <cellStyle name="40% - 강조색3 47" xfId="640"/>
    <cellStyle name="40% - 강조색3 47 10" xfId="1562"/>
    <cellStyle name="40% - 강조색3 47 11" xfId="4596"/>
    <cellStyle name="40% - 강조색3 47 12" xfId="5077"/>
    <cellStyle name="40% - 강조색3 47 13" xfId="4974"/>
    <cellStyle name="40% - 강조색3 47 14" xfId="5593"/>
    <cellStyle name="40% - 강조색3 47 15" xfId="5706"/>
    <cellStyle name="40% - 강조색3 47 16" xfId="5969"/>
    <cellStyle name="40% - 강조색3 47 17" xfId="7188"/>
    <cellStyle name="40% - 강조색3 47 18" xfId="7334"/>
    <cellStyle name="40% - 강조색3 47 19" xfId="7549"/>
    <cellStyle name="40% - 강조색3 47 2" xfId="1718"/>
    <cellStyle name="40% - 강조색3 47 20" xfId="4423"/>
    <cellStyle name="40% - 강조색3 47 21" xfId="1385"/>
    <cellStyle name="40% - 강조색3 47 22" xfId="8726"/>
    <cellStyle name="40% - 강조색3 47 23" xfId="9302"/>
    <cellStyle name="40% - 강조색3 47 24" xfId="6835"/>
    <cellStyle name="40% - 강조색3 47 25" xfId="9742"/>
    <cellStyle name="40% - 강조색3 47 26" xfId="10148"/>
    <cellStyle name="40% - 강조색3 47 27" xfId="10628"/>
    <cellStyle name="40% - 강조색3 47 28" xfId="10802"/>
    <cellStyle name="40% - 강조색3 47 29" xfId="11147"/>
    <cellStyle name="40% - 강조색3 47 3" xfId="890"/>
    <cellStyle name="40% - 강조색3 47 30" xfId="11333"/>
    <cellStyle name="40% - 강조색3 47 31" xfId="11396"/>
    <cellStyle name="40% - 강조색3 47 32" xfId="11404"/>
    <cellStyle name="40% - 강조색3 47 33" xfId="11391"/>
    <cellStyle name="40% - 강조색3 47 4" xfId="2316"/>
    <cellStyle name="40% - 강조색3 47 5" xfId="2605"/>
    <cellStyle name="40% - 강조색3 47 6" xfId="2889"/>
    <cellStyle name="40% - 강조색3 47 7" xfId="3270"/>
    <cellStyle name="40% - 강조색3 47 8" xfId="3536"/>
    <cellStyle name="40% - 강조색3 47 9" xfId="1864"/>
    <cellStyle name="40% - 강조색3 48" xfId="709"/>
    <cellStyle name="40% - 강조색3 48 10" xfId="2813"/>
    <cellStyle name="40% - 강조색3 48 11" xfId="3733"/>
    <cellStyle name="40% - 강조색3 48 12" xfId="5431"/>
    <cellStyle name="40% - 강조색3 48 13" xfId="5743"/>
    <cellStyle name="40% - 강조색3 48 14" xfId="5835"/>
    <cellStyle name="40% - 강조색3 48 15" xfId="5902"/>
    <cellStyle name="40% - 강조색3 48 16" xfId="2685"/>
    <cellStyle name="40% - 강조색3 48 17" xfId="2700"/>
    <cellStyle name="40% - 강조색3 48 18" xfId="7196"/>
    <cellStyle name="40% - 강조색3 48 19" xfId="6033"/>
    <cellStyle name="40% - 강조색3 48 2" xfId="1678"/>
    <cellStyle name="40% - 강조색3 48 20" xfId="999"/>
    <cellStyle name="40% - 강조색3 48 21" xfId="8452"/>
    <cellStyle name="40% - 강조색3 48 22" xfId="8740"/>
    <cellStyle name="40% - 강조색3 48 23" xfId="9274"/>
    <cellStyle name="40% - 강조색3 48 24" xfId="9632"/>
    <cellStyle name="40% - 강조색3 48 25" xfId="4170"/>
    <cellStyle name="40% - 강조색3 48 26" xfId="9688"/>
    <cellStyle name="40% - 강조색3 48 27" xfId="1381"/>
    <cellStyle name="40% - 강조색3 48 28" xfId="9451"/>
    <cellStyle name="40% - 강조색3 48 29" xfId="6232"/>
    <cellStyle name="40% - 강조색3 48 3" xfId="1476"/>
    <cellStyle name="40% - 강조색3 48 4" xfId="725"/>
    <cellStyle name="40% - 강조색3 48 5" xfId="2507"/>
    <cellStyle name="40% - 강조색3 48 6" xfId="2839"/>
    <cellStyle name="40% - 강조색3 48 7" xfId="1035"/>
    <cellStyle name="40% - 강조색3 48 8" xfId="3643"/>
    <cellStyle name="40% - 강조색3 48 9" xfId="2233"/>
    <cellStyle name="40% - 강조색3 49" xfId="700"/>
    <cellStyle name="40% - 강조색3 49 10" xfId="4296"/>
    <cellStyle name="40% - 강조색3 49 11" xfId="4502"/>
    <cellStyle name="40% - 강조색3 49 12" xfId="5252"/>
    <cellStyle name="40% - 강조색3 49 13" xfId="5702"/>
    <cellStyle name="40% - 강조색3 49 14" xfId="1968"/>
    <cellStyle name="40% - 강조색3 49 15" xfId="5470"/>
    <cellStyle name="40% - 강조색3 49 16" xfId="6566"/>
    <cellStyle name="40% - 강조색3 49 17" xfId="6769"/>
    <cellStyle name="40% - 강조색3 49 18" xfId="7015"/>
    <cellStyle name="40% - 강조색3 49 19" xfId="7532"/>
    <cellStyle name="40% - 강조색3 49 2" xfId="1641"/>
    <cellStyle name="40% - 강조색3 49 20" xfId="7936"/>
    <cellStyle name="40% - 강조색3 49 21" xfId="6061"/>
    <cellStyle name="40% - 강조색3 49 22" xfId="8755"/>
    <cellStyle name="40% - 강조색3 49 23" xfId="9262"/>
    <cellStyle name="40% - 강조색3 49 24" xfId="6409"/>
    <cellStyle name="40% - 강조색3 49 25" xfId="4112"/>
    <cellStyle name="40% - 강조색3 49 26" xfId="9030"/>
    <cellStyle name="40% - 강조색3 49 27" xfId="7669"/>
    <cellStyle name="40% - 강조색3 49 28" xfId="10701"/>
    <cellStyle name="40% - 강조색3 49 29" xfId="11053"/>
    <cellStyle name="40% - 강조색3 49 3" xfId="2008"/>
    <cellStyle name="40% - 강조색3 49 4" xfId="2284"/>
    <cellStyle name="40% - 강조색3 49 5" xfId="2640"/>
    <cellStyle name="40% - 강조색3 49 6" xfId="2755"/>
    <cellStyle name="40% - 강조색3 49 7" xfId="1315"/>
    <cellStyle name="40% - 강조색3 49 8" xfId="3539"/>
    <cellStyle name="40% - 강조색3 49 9" xfId="3834"/>
    <cellStyle name="40% - 강조색3 5" xfId="100"/>
    <cellStyle name="40% - 강조색3 50" xfId="653"/>
    <cellStyle name="40% - 강조색3 50 10" xfId="4320"/>
    <cellStyle name="40% - 강조색3 50 11" xfId="3114"/>
    <cellStyle name="40% - 강조색3 50 12" xfId="4831"/>
    <cellStyle name="40% - 강조색3 50 13" xfId="5510"/>
    <cellStyle name="40% - 강조색3 50 14" xfId="5457"/>
    <cellStyle name="40% - 강조색3 50 15" xfId="5320"/>
    <cellStyle name="40% - 강조색3 50 16" xfId="6338"/>
    <cellStyle name="40% - 강조색3 50 17" xfId="6979"/>
    <cellStyle name="40% - 강조색3 50 18" xfId="4789"/>
    <cellStyle name="40% - 강조색3 50 19" xfId="3162"/>
    <cellStyle name="40% - 강조색3 50 2" xfId="1640"/>
    <cellStyle name="40% - 강조색3 50 20" xfId="7513"/>
    <cellStyle name="40% - 강조색3 50 21" xfId="8398"/>
    <cellStyle name="40% - 강조색3 50 22" xfId="3458"/>
    <cellStyle name="40% - 강조색3 50 23" xfId="9050"/>
    <cellStyle name="40% - 강조색3 50 24" xfId="4222"/>
    <cellStyle name="40% - 강조색3 50 25" xfId="9800"/>
    <cellStyle name="40% - 강조색3 50 26" xfId="2644"/>
    <cellStyle name="40% - 강조색3 50 27" xfId="8429"/>
    <cellStyle name="40% - 강조색3 50 28" xfId="10795"/>
    <cellStyle name="40% - 강조색3 50 29" xfId="11201"/>
    <cellStyle name="40% - 강조색3 50 3" xfId="2034"/>
    <cellStyle name="40% - 강조색3 50 4" xfId="1441"/>
    <cellStyle name="40% - 강조색3 50 5" xfId="2560"/>
    <cellStyle name="40% - 강조색3 50 6" xfId="2854"/>
    <cellStyle name="40% - 강조색3 50 7" xfId="2094"/>
    <cellStyle name="40% - 강조색3 50 8" xfId="3550"/>
    <cellStyle name="40% - 강조색3 50 9" xfId="2731"/>
    <cellStyle name="40% - 강조색3 51" xfId="692"/>
    <cellStyle name="40% - 강조색3 51 10" xfId="4274"/>
    <cellStyle name="40% - 강조색3 51 11" xfId="4196"/>
    <cellStyle name="40% - 강조색3 51 12" xfId="4776"/>
    <cellStyle name="40% - 강조색3 51 13" xfId="5035"/>
    <cellStyle name="40% - 강조색3 51 14" xfId="5659"/>
    <cellStyle name="40% - 강조색3 51 15" xfId="5200"/>
    <cellStyle name="40% - 강조색3 51 16" xfId="6463"/>
    <cellStyle name="40% - 강조색3 51 17" xfId="6512"/>
    <cellStyle name="40% - 강조색3 51 18" xfId="6035"/>
    <cellStyle name="40% - 강조색3 51 19" xfId="7453"/>
    <cellStyle name="40% - 강조색3 51 2" xfId="1636"/>
    <cellStyle name="40% - 강조색3 51 20" xfId="7914"/>
    <cellStyle name="40% - 강조색3 51 21" xfId="3884"/>
    <cellStyle name="40% - 강조색3 51 22" xfId="7883"/>
    <cellStyle name="40% - 강조색3 51 23" xfId="8366"/>
    <cellStyle name="40% - 강조색3 51 24" xfId="9680"/>
    <cellStyle name="40% - 강조색3 51 25" xfId="9945"/>
    <cellStyle name="40% - 강조색3 51 26" xfId="2781"/>
    <cellStyle name="40% - 강조색3 51 27" xfId="10622"/>
    <cellStyle name="40% - 강조색3 51 28" xfId="10468"/>
    <cellStyle name="40% - 강조색3 51 29" xfId="11073"/>
    <cellStyle name="40% - 강조색3 51 3" xfId="1981"/>
    <cellStyle name="40% - 강조색3 51 4" xfId="2179"/>
    <cellStyle name="40% - 강조색3 51 5" xfId="2436"/>
    <cellStyle name="40% - 강조색3 51 6" xfId="2901"/>
    <cellStyle name="40% - 강조색3 51 7" xfId="3292"/>
    <cellStyle name="40% - 강조색3 51 8" xfId="3534"/>
    <cellStyle name="40% - 강조색3 51 9" xfId="813"/>
    <cellStyle name="40% - 강조색3 52" xfId="696"/>
    <cellStyle name="40% - 강조색3 52 10" xfId="4146"/>
    <cellStyle name="40% - 강조색3 52 11" xfId="4089"/>
    <cellStyle name="40% - 강조색3 52 12" xfId="4628"/>
    <cellStyle name="40% - 강조색3 52 13" xfId="5731"/>
    <cellStyle name="40% - 강조색3 52 14" xfId="5829"/>
    <cellStyle name="40% - 강조색3 52 15" xfId="5899"/>
    <cellStyle name="40% - 강조색3 52 16" xfId="6550"/>
    <cellStyle name="40% - 강조색3 52 17" xfId="6037"/>
    <cellStyle name="40% - 강조색3 52 18" xfId="7267"/>
    <cellStyle name="40% - 강조색3 52 19" xfId="6331"/>
    <cellStyle name="40% - 강조색3 52 2" xfId="1626"/>
    <cellStyle name="40% - 강조색3 52 20" xfId="8148"/>
    <cellStyle name="40% - 강조색3 52 21" xfId="8463"/>
    <cellStyle name="40% - 강조색3 52 22" xfId="8289"/>
    <cellStyle name="40% - 강조색3 52 23" xfId="9290"/>
    <cellStyle name="40% - 강조색3 52 24" xfId="9578"/>
    <cellStyle name="40% - 강조색3 52 25" xfId="9983"/>
    <cellStyle name="40% - 강조색3 52 26" xfId="6048"/>
    <cellStyle name="40% - 강조색3 52 27" xfId="10284"/>
    <cellStyle name="40% - 강조색3 52 28" xfId="9308"/>
    <cellStyle name="40% - 강조색3 52 29" xfId="11239"/>
    <cellStyle name="40% - 강조색3 52 3" xfId="1808"/>
    <cellStyle name="40% - 강조색3 52 4" xfId="2255"/>
    <cellStyle name="40% - 강조색3 52 5" xfId="2625"/>
    <cellStyle name="40% - 강조색3 52 6" xfId="2916"/>
    <cellStyle name="40% - 강조색3 52 7" xfId="3223"/>
    <cellStyle name="40% - 강조색3 52 8" xfId="3552"/>
    <cellStyle name="40% - 강조색3 52 9" xfId="1490"/>
    <cellStyle name="40% - 강조색3 53" xfId="684"/>
    <cellStyle name="40% - 강조색3 53 10" xfId="4282"/>
    <cellStyle name="40% - 강조색3 53 11" xfId="4417"/>
    <cellStyle name="40% - 강조색3 53 12" xfId="4846"/>
    <cellStyle name="40% - 강조색3 53 13" xfId="4746"/>
    <cellStyle name="40% - 강조색3 53 14" xfId="2206"/>
    <cellStyle name="40% - 강조색3 53 15" xfId="5718"/>
    <cellStyle name="40% - 강조색3 53 16" xfId="4516"/>
    <cellStyle name="40% - 강조색3 53 17" xfId="7031"/>
    <cellStyle name="40% - 강조색3 53 18" xfId="7053"/>
    <cellStyle name="40% - 강조색3 53 19" xfId="6027"/>
    <cellStyle name="40% - 강조색3 53 2" xfId="1754"/>
    <cellStyle name="40% - 강조색3 53 20" xfId="7985"/>
    <cellStyle name="40% - 강조색3 53 21" xfId="8586"/>
    <cellStyle name="40% - 강조색3 53 22" xfId="8942"/>
    <cellStyle name="40% - 강조색3 53 23" xfId="9278"/>
    <cellStyle name="40% - 강조색3 53 24" xfId="9481"/>
    <cellStyle name="40% - 강조색3 53 25" xfId="7364"/>
    <cellStyle name="40% - 강조색3 53 26" xfId="5349"/>
    <cellStyle name="40% - 강조색3 53 27" xfId="10598"/>
    <cellStyle name="40% - 강조색3 53 28" xfId="4279"/>
    <cellStyle name="40% - 강조색3 53 29" xfId="4788"/>
    <cellStyle name="40% - 강조색3 53 3" xfId="1982"/>
    <cellStyle name="40% - 강조색3 53 4" xfId="1883"/>
    <cellStyle name="40% - 강조색3 53 5" xfId="2429"/>
    <cellStyle name="40% - 강조색3 53 6" xfId="2801"/>
    <cellStyle name="40% - 강조색3 53 7" xfId="783"/>
    <cellStyle name="40% - 강조색3 53 8" xfId="3544"/>
    <cellStyle name="40% - 강조색3 53 9" xfId="3914"/>
    <cellStyle name="40% - 강조색3 54" xfId="794"/>
    <cellStyle name="40% - 강조색3 54 10" xfId="4464"/>
    <cellStyle name="40% - 강조색3 54 11" xfId="4688"/>
    <cellStyle name="40% - 강조색3 54 12" xfId="5475"/>
    <cellStyle name="40% - 강조색3 54 13" xfId="3076"/>
    <cellStyle name="40% - 강조색3 54 14" xfId="2060"/>
    <cellStyle name="40% - 강조색3 54 15" xfId="6360"/>
    <cellStyle name="40% - 강조색3 54 16" xfId="816"/>
    <cellStyle name="40% - 강조색3 54 17" xfId="6970"/>
    <cellStyle name="40% - 강조색3 54 18" xfId="7356"/>
    <cellStyle name="40% - 강조색3 54 19" xfId="8196"/>
    <cellStyle name="40% - 강조색3 54 2" xfId="1598"/>
    <cellStyle name="40% - 강조색3 54 20" xfId="8405"/>
    <cellStyle name="40% - 강조색3 54 21" xfId="6176"/>
    <cellStyle name="40% - 강조색3 54 22" xfId="9322"/>
    <cellStyle name="40% - 강조색3 54 23" xfId="9649"/>
    <cellStyle name="40% - 강조색3 54 24" xfId="7501"/>
    <cellStyle name="40% - 강조색3 54 25" xfId="7700"/>
    <cellStyle name="40% - 강조색3 54 26" xfId="6058"/>
    <cellStyle name="40% - 강조색3 54 27" xfId="10384"/>
    <cellStyle name="40% - 강조색3 54 28" xfId="11070"/>
    <cellStyle name="40% - 강조색3 54 3" xfId="2323"/>
    <cellStyle name="40% - 강조색3 54 4" xfId="2144"/>
    <cellStyle name="40% - 강조색3 54 5" xfId="2955"/>
    <cellStyle name="40% - 강조색3 54 6" xfId="3261"/>
    <cellStyle name="40% - 강조색3 54 7" xfId="3524"/>
    <cellStyle name="40% - 강조색3 54 8" xfId="3876"/>
    <cellStyle name="40% - 강조색3 54 9" xfId="4073"/>
    <cellStyle name="40% - 강조색3 55" xfId="2017"/>
    <cellStyle name="40% - 강조색3 55 10" xfId="5442"/>
    <cellStyle name="40% - 강조색3 55 11" xfId="5698"/>
    <cellStyle name="40% - 강조색3 55 12" xfId="5453"/>
    <cellStyle name="40% - 강조색3 55 13" xfId="5595"/>
    <cellStyle name="40% - 강조색3 55 14" xfId="6163"/>
    <cellStyle name="40% - 강조색3 55 15" xfId="7036"/>
    <cellStyle name="40% - 강조색3 55 16" xfId="7094"/>
    <cellStyle name="40% - 강조색3 55 17" xfId="7704"/>
    <cellStyle name="40% - 강조색3 55 18" xfId="2556"/>
    <cellStyle name="40% - 강조색3 55 19" xfId="8544"/>
    <cellStyle name="40% - 강조색3 55 2" xfId="2343"/>
    <cellStyle name="40% - 강조색3 55 20" xfId="6756"/>
    <cellStyle name="40% - 강조색3 55 21" xfId="9125"/>
    <cellStyle name="40% - 강조색3 55 22" xfId="3146"/>
    <cellStyle name="40% - 강조색3 55 23" xfId="9798"/>
    <cellStyle name="40% - 강조색3 55 24" xfId="10124"/>
    <cellStyle name="40% - 강조색3 55 25" xfId="9227"/>
    <cellStyle name="40% - 강조색3 55 26" xfId="6814"/>
    <cellStyle name="40% - 강조색3 55 27" xfId="10993"/>
    <cellStyle name="40% - 강조색3 55 3" xfId="2662"/>
    <cellStyle name="40% - 강조색3 55 4" xfId="2977"/>
    <cellStyle name="40% - 강조색3 55 5" xfId="3278"/>
    <cellStyle name="40% - 강조색3 55 6" xfId="3494"/>
    <cellStyle name="40% - 강조색3 55 7" xfId="2909"/>
    <cellStyle name="40% - 강조색3 55 8" xfId="4297"/>
    <cellStyle name="40% - 강조색3 55 9" xfId="4555"/>
    <cellStyle name="40% - 강조색3 56" xfId="2324"/>
    <cellStyle name="40% - 강조색3 56 10" xfId="5523"/>
    <cellStyle name="40% - 강조색3 56 11" xfId="5631"/>
    <cellStyle name="40% - 강조색3 56 12" xfId="3868"/>
    <cellStyle name="40% - 강조색3 56 13" xfId="6227"/>
    <cellStyle name="40% - 강조색3 56 14" xfId="6069"/>
    <cellStyle name="40% - 강조색3 56 15" xfId="6721"/>
    <cellStyle name="40% - 강조색3 56 16" xfId="7759"/>
    <cellStyle name="40% - 강조색3 56 17" xfId="6228"/>
    <cellStyle name="40% - 강조색3 56 18" xfId="7917"/>
    <cellStyle name="40% - 강조색3 56 19" xfId="8774"/>
    <cellStyle name="40% - 강조색3 56 2" xfId="2678"/>
    <cellStyle name="40% - 강조색3 56 20" xfId="3407"/>
    <cellStyle name="40% - 강조색3 56 21" xfId="4406"/>
    <cellStyle name="40% - 강조색3 56 22" xfId="7905"/>
    <cellStyle name="40% - 강조색3 56 23" xfId="8346"/>
    <cellStyle name="40% - 강조색3 56 24" xfId="8732"/>
    <cellStyle name="40% - 강조색3 56 25" xfId="8886"/>
    <cellStyle name="40% - 강조색3 56 26" xfId="10110"/>
    <cellStyle name="40% - 강조색3 56 3" xfId="2993"/>
    <cellStyle name="40% - 강조색3 56 4" xfId="3326"/>
    <cellStyle name="40% - 강조색3 56 5" xfId="3621"/>
    <cellStyle name="40% - 강조색3 56 6" xfId="3804"/>
    <cellStyle name="40% - 강조색3 56 7" xfId="2523"/>
    <cellStyle name="40% - 강조색3 56 8" xfId="4644"/>
    <cellStyle name="40% - 강조색3 56 9" xfId="5566"/>
    <cellStyle name="40% - 강조색3 57" xfId="1935"/>
    <cellStyle name="40% - 강조색3 57 10" xfId="5436"/>
    <cellStyle name="40% - 강조색3 57 11" xfId="5296"/>
    <cellStyle name="40% - 강조색3 57 12" xfId="6493"/>
    <cellStyle name="40% - 강조색3 57 13" xfId="6794"/>
    <cellStyle name="40% - 강조색3 57 14" xfId="6026"/>
    <cellStyle name="40% - 강조색3 57 15" xfId="7536"/>
    <cellStyle name="40% - 강조색3 57 16" xfId="4050"/>
    <cellStyle name="40% - 강조색3 57 17" xfId="1828"/>
    <cellStyle name="40% - 강조색3 57 18" xfId="8851"/>
    <cellStyle name="40% - 강조색3 57 19" xfId="6093"/>
    <cellStyle name="40% - 강조색3 57 2" xfId="2972"/>
    <cellStyle name="40% - 강조색3 57 20" xfId="9535"/>
    <cellStyle name="40% - 강조색3 57 21" xfId="10012"/>
    <cellStyle name="40% - 강조색3 57 22" xfId="6812"/>
    <cellStyle name="40% - 강조색3 57 23" xfId="10428"/>
    <cellStyle name="40% - 강조색3 57 24" xfId="10739"/>
    <cellStyle name="40% - 강조색3 57 25" xfId="11215"/>
    <cellStyle name="40% - 강조색3 57 3" xfId="2838"/>
    <cellStyle name="40% - 강조색3 57 4" xfId="2845"/>
    <cellStyle name="40% - 강조색3 57 5" xfId="2366"/>
    <cellStyle name="40% - 강조색3 57 6" xfId="3130"/>
    <cellStyle name="40% - 강조색3 57 7" xfId="4116"/>
    <cellStyle name="40% - 강조색3 57 8" xfId="2823"/>
    <cellStyle name="40% - 강조색3 57 9" xfId="5573"/>
    <cellStyle name="40% - 강조색3 58" xfId="2892"/>
    <cellStyle name="40% - 강조색3 58 10" xfId="5911"/>
    <cellStyle name="40% - 강조색3 58 11" xfId="6348"/>
    <cellStyle name="40% - 강조색3 58 12" xfId="3208"/>
    <cellStyle name="40% - 강조색3 58 13" xfId="7287"/>
    <cellStyle name="40% - 강조색3 58 14" xfId="7390"/>
    <cellStyle name="40% - 강조색3 58 15" xfId="5967"/>
    <cellStyle name="40% - 강조색3 58 16" xfId="6004"/>
    <cellStyle name="40% - 강조색3 58 17" xfId="8660"/>
    <cellStyle name="40% - 강조색3 58 18" xfId="7404"/>
    <cellStyle name="40% - 강조색3 58 19" xfId="6836"/>
    <cellStyle name="40% - 강조색3 58 2" xfId="3339"/>
    <cellStyle name="40% - 강조색3 58 20" xfId="9927"/>
    <cellStyle name="40% - 강조색3 58 21" xfId="10202"/>
    <cellStyle name="40% - 강조색3 58 22" xfId="10660"/>
    <cellStyle name="40% - 강조색3 58 23" xfId="1497"/>
    <cellStyle name="40% - 강조색3 58 24" xfId="11180"/>
    <cellStyle name="40% - 강조색3 58 3" xfId="3672"/>
    <cellStyle name="40% - 강조색3 58 4" xfId="4010"/>
    <cellStyle name="40% - 강조색3 58 5" xfId="4104"/>
    <cellStyle name="40% - 강조색3 58 6" xfId="2822"/>
    <cellStyle name="40% - 강조색3 58 7" xfId="951"/>
    <cellStyle name="40% - 강조색3 58 8" xfId="5760"/>
    <cellStyle name="40% - 강조색3 58 9" xfId="5848"/>
    <cellStyle name="40% - 강조색3 59" xfId="3227"/>
    <cellStyle name="40% - 강조색3 59 10" xfId="6586"/>
    <cellStyle name="40% - 강조색3 59 11" xfId="7209"/>
    <cellStyle name="40% - 강조색3 59 12" xfId="4095"/>
    <cellStyle name="40% - 강조색3 59 13" xfId="7733"/>
    <cellStyle name="40% - 강조색3 59 14" xfId="7899"/>
    <cellStyle name="40% - 강조색3 59 15" xfId="8555"/>
    <cellStyle name="40% - 강조색3 59 16" xfId="8887"/>
    <cellStyle name="40% - 강조색3 59 17" xfId="9242"/>
    <cellStyle name="40% - 강조색3 59 18" xfId="4264"/>
    <cellStyle name="40% - 강조색3 59 19" xfId="9931"/>
    <cellStyle name="40% - 강조색3 59 2" xfId="3684"/>
    <cellStyle name="40% - 강조색3 59 20" xfId="4389"/>
    <cellStyle name="40% - 강조색3 59 21" xfId="10638"/>
    <cellStyle name="40% - 강조색3 59 22" xfId="7895"/>
    <cellStyle name="40% - 강조색3 59 23" xfId="10776"/>
    <cellStyle name="40% - 강조색3 59 3" xfId="4023"/>
    <cellStyle name="40% - 강조색3 59 4" xfId="4359"/>
    <cellStyle name="40% - 강조색3 59 5" xfId="4489"/>
    <cellStyle name="40% - 강조색3 59 6" xfId="5093"/>
    <cellStyle name="40% - 강조색3 59 7" xfId="5079"/>
    <cellStyle name="40% - 강조색3 59 8" xfId="4851"/>
    <cellStyle name="40% - 강조색3 59 9" xfId="5298"/>
    <cellStyle name="40% - 강조색3 6" xfId="113"/>
    <cellStyle name="40% - 강조색3 60" xfId="3606"/>
    <cellStyle name="40% - 강조색3 60 10" xfId="6915"/>
    <cellStyle name="40% - 강조색3 60 11" xfId="7205"/>
    <cellStyle name="40% - 강조색3 60 12" xfId="7785"/>
    <cellStyle name="40% - 강조색3 60 13" xfId="8091"/>
    <cellStyle name="40% - 강조색3 60 14" xfId="7705"/>
    <cellStyle name="40% - 강조색3 60 15" xfId="7464"/>
    <cellStyle name="40% - 강조색3 60 16" xfId="9103"/>
    <cellStyle name="40% - 강조색3 60 17" xfId="9647"/>
    <cellStyle name="40% - 강조색3 60 18" xfId="6401"/>
    <cellStyle name="40% - 강조색3 60 19" xfId="9869"/>
    <cellStyle name="40% - 강조색3 60 2" xfId="4033"/>
    <cellStyle name="40% - 강조색3 60 20" xfId="10627"/>
    <cellStyle name="40% - 강조색3 60 21" xfId="8752"/>
    <cellStyle name="40% - 강조색3 60 22" xfId="11164"/>
    <cellStyle name="40% - 강조색3 60 3" xfId="4369"/>
    <cellStyle name="40% - 강조색3 60 4" xfId="4722"/>
    <cellStyle name="40% - 강조색3 60 5" xfId="5148"/>
    <cellStyle name="40% - 강조색3 60 6" xfId="3352"/>
    <cellStyle name="40% - 강조색3 60 7" xfId="5500"/>
    <cellStyle name="40% - 강조색3 60 8" xfId="5759"/>
    <cellStyle name="40% - 강조색3 60 9" xfId="6252"/>
    <cellStyle name="40% - 강조색3 61" xfId="3957"/>
    <cellStyle name="40% - 강조색3 61 10" xfId="5400"/>
    <cellStyle name="40% - 강조색3 61 11" xfId="7762"/>
    <cellStyle name="40% - 강조색3 61 12" xfId="8155"/>
    <cellStyle name="40% - 강조색3 61 13" xfId="8496"/>
    <cellStyle name="40% - 강조색3 61 14" xfId="8649"/>
    <cellStyle name="40% - 강조색3 61 15" xfId="9347"/>
    <cellStyle name="40% - 강조색3 61 16" xfId="9581"/>
    <cellStyle name="40% - 강조색3 61 17" xfId="9972"/>
    <cellStyle name="40% - 강조색3 61 18" xfId="10072"/>
    <cellStyle name="40% - 강조색3 61 19" xfId="10634"/>
    <cellStyle name="40% - 강조색3 61 2" xfId="4378"/>
    <cellStyle name="40% - 강조색3 61 20" xfId="10849"/>
    <cellStyle name="40% - 강조색3 61 21" xfId="10493"/>
    <cellStyle name="40% - 강조색3 61 3" xfId="4732"/>
    <cellStyle name="40% - 강조색3 61 4" xfId="5651"/>
    <cellStyle name="40% - 강조색3 61 5" xfId="5691"/>
    <cellStyle name="40% - 강조색3 61 6" xfId="5638"/>
    <cellStyle name="40% - 강조색3 61 7" xfId="5409"/>
    <cellStyle name="40% - 강조색3 61 8" xfId="6590"/>
    <cellStyle name="40% - 강조색3 61 9" xfId="3107"/>
    <cellStyle name="40% - 강조색3 62" xfId="3825"/>
    <cellStyle name="40% - 강조색3 62 10" xfId="4920"/>
    <cellStyle name="40% - 강조색3 62 11" xfId="8137"/>
    <cellStyle name="40% - 강조색3 62 12" xfId="8417"/>
    <cellStyle name="40% - 강조색3 62 13" xfId="8966"/>
    <cellStyle name="40% - 강조색3 62 14" xfId="6868"/>
    <cellStyle name="40% - 강조색3 62 15" xfId="9662"/>
    <cellStyle name="40% - 강조색3 62 16" xfId="9868"/>
    <cellStyle name="40% - 강조색3 62 17" xfId="10239"/>
    <cellStyle name="40% - 강조색3 62 18" xfId="7886"/>
    <cellStyle name="40% - 강조색3 62 19" xfId="10785"/>
    <cellStyle name="40% - 강조색3 62 2" xfId="4729"/>
    <cellStyle name="40% - 강조색3 62 20" xfId="9793"/>
    <cellStyle name="40% - 강조색3 62 3" xfId="5625"/>
    <cellStyle name="40% - 강조색3 62 4" xfId="2695"/>
    <cellStyle name="40% - 강조색3 62 5" xfId="5171"/>
    <cellStyle name="40% - 강조색3 62 6" xfId="2517"/>
    <cellStyle name="40% - 강조색3 62 7" xfId="6572"/>
    <cellStyle name="40% - 강조색3 62 8" xfId="6861"/>
    <cellStyle name="40% - 강조색3 62 9" xfId="7260"/>
    <cellStyle name="40% - 강조색3 63" xfId="4665"/>
    <cellStyle name="40% - 강조색3 63 10" xfId="7939"/>
    <cellStyle name="40% - 강조색3 63 11" xfId="8532"/>
    <cellStyle name="40% - 강조색3 63 12" xfId="6105"/>
    <cellStyle name="40% - 강조색3 63 13" xfId="5281"/>
    <cellStyle name="40% - 강조색3 63 14" xfId="9419"/>
    <cellStyle name="40% - 강조색3 63 15" xfId="6150"/>
    <cellStyle name="40% - 강조색3 63 16" xfId="9915"/>
    <cellStyle name="40% - 강조색3 63 17" xfId="10476"/>
    <cellStyle name="40% - 강조색3 63 18" xfId="1960"/>
    <cellStyle name="40% - 강조색3 63 19" xfId="11143"/>
    <cellStyle name="40% - 강조색3 63 2" xfId="5788"/>
    <cellStyle name="40% - 강조색3 63 3" xfId="5867"/>
    <cellStyle name="40% - 강조색3 63 4" xfId="5925"/>
    <cellStyle name="40% - 강조색3 63 5" xfId="5951"/>
    <cellStyle name="40% - 강조색3 63 6" xfId="6611"/>
    <cellStyle name="40% - 강조색3 63 7" xfId="7081"/>
    <cellStyle name="40% - 강조색3 63 8" xfId="7118"/>
    <cellStyle name="40% - 강조색3 63 9" xfId="7596"/>
    <cellStyle name="40% - 강조색3 64" xfId="5478"/>
    <cellStyle name="40% - 강조색3 64 10" xfId="9643"/>
    <cellStyle name="40% - 강조색3 64 11" xfId="7530"/>
    <cellStyle name="40% - 강조색3 64 12" xfId="6920"/>
    <cellStyle name="40% - 강조색3 64 13" xfId="7750"/>
    <cellStyle name="40% - 강조색3 64 14" xfId="9909"/>
    <cellStyle name="40% - 강조색3 64 15" xfId="10914"/>
    <cellStyle name="40% - 강조색3 64 2" xfId="6640"/>
    <cellStyle name="40% - 강조색3 64 3" xfId="1937"/>
    <cellStyle name="40% - 강조색3 64 4" xfId="6837"/>
    <cellStyle name="40% - 강조색3 64 5" xfId="7696"/>
    <cellStyle name="40% - 강조색3 64 6" xfId="5219"/>
    <cellStyle name="40% - 강조색3 64 7" xfId="8467"/>
    <cellStyle name="40% - 강조색3 64 8" xfId="3702"/>
    <cellStyle name="40% - 강조색3 64 9" xfId="8314"/>
    <cellStyle name="40% - 강조색3 65" xfId="5417"/>
    <cellStyle name="40% - 강조색3 65 10" xfId="8885"/>
    <cellStyle name="40% - 강조색3 65 11" xfId="9957"/>
    <cellStyle name="40% - 강조색3 65 12" xfId="8333"/>
    <cellStyle name="40% - 강조색3 65 13" xfId="8293"/>
    <cellStyle name="40% - 강조색3 65 14" xfId="10845"/>
    <cellStyle name="40% - 강조색3 65 15" xfId="9281"/>
    <cellStyle name="40% - 강조색3 65 2" xfId="6636"/>
    <cellStyle name="40% - 강조색3 65 3" xfId="6668"/>
    <cellStyle name="40% - 강조색3 65 4" xfId="6959"/>
    <cellStyle name="40% - 강조색3 65 5" xfId="7736"/>
    <cellStyle name="40% - 강조색3 65 6" xfId="7382"/>
    <cellStyle name="40% - 강조색3 65 7" xfId="8588"/>
    <cellStyle name="40% - 강조색3 65 8" xfId="8923"/>
    <cellStyle name="40% - 강조색3 65 9" xfId="7581"/>
    <cellStyle name="40% - 강조색3 66" xfId="5647"/>
    <cellStyle name="40% - 강조색3 66 10" xfId="8395"/>
    <cellStyle name="40% - 강조색3 66 11" xfId="9976"/>
    <cellStyle name="40% - 강조색3 66 12" xfId="10206"/>
    <cellStyle name="40% - 강조색3 66 13" xfId="10494"/>
    <cellStyle name="40% - 강조색3 66 14" xfId="10884"/>
    <cellStyle name="40% - 강조색3 66 15" xfId="734"/>
    <cellStyle name="40% - 강조색3 66 2" xfId="6651"/>
    <cellStyle name="40% - 강조색3 66 3" xfId="7268"/>
    <cellStyle name="40% - 강조색3 66 4" xfId="6947"/>
    <cellStyle name="40% - 강조색3 66 5" xfId="7548"/>
    <cellStyle name="40% - 강조색3 66 6" xfId="3449"/>
    <cellStyle name="40% - 강조색3 66 7" xfId="7468"/>
    <cellStyle name="40% - 강조색3 66 8" xfId="8882"/>
    <cellStyle name="40% - 강조색3 66 9" xfId="9235"/>
    <cellStyle name="40% - 강조색3 67" xfId="5451"/>
    <cellStyle name="40% - 강조색3 67 10" xfId="8387"/>
    <cellStyle name="40% - 강조색3 67 11" xfId="9735"/>
    <cellStyle name="40% - 강조색3 67 12" xfId="10179"/>
    <cellStyle name="40% - 강조색3 67 13" xfId="10560"/>
    <cellStyle name="40% - 강조색3 67 14" xfId="10754"/>
    <cellStyle name="40% - 강조색3 67 15" xfId="11076"/>
    <cellStyle name="40% - 강조색3 67 2" xfId="6638"/>
    <cellStyle name="40% - 강조색3 67 3" xfId="6741"/>
    <cellStyle name="40% - 강조색3 67 4" xfId="4860"/>
    <cellStyle name="40% - 강조색3 67 5" xfId="7802"/>
    <cellStyle name="40% - 강조색3 67 6" xfId="8040"/>
    <cellStyle name="40% - 강조색3 67 7" xfId="8553"/>
    <cellStyle name="40% - 강조색3 67 8" xfId="8945"/>
    <cellStyle name="40% - 강조색3 67 9" xfId="879"/>
    <cellStyle name="40% - 강조색3 68" xfId="962"/>
    <cellStyle name="40% - 강조색3 68 10" xfId="9815"/>
    <cellStyle name="40% - 강조색3 68 11" xfId="3554"/>
    <cellStyle name="40% - 강조색3 68 12" xfId="10478"/>
    <cellStyle name="40% - 강조색3 68 13" xfId="8713"/>
    <cellStyle name="40% - 강조색3 68 14" xfId="11085"/>
    <cellStyle name="40% - 강조색3 68 2" xfId="7173"/>
    <cellStyle name="40% - 강조색3 68 3" xfId="3759"/>
    <cellStyle name="40% - 강조색3 68 4" xfId="7564"/>
    <cellStyle name="40% - 강조색3 68 5" xfId="7749"/>
    <cellStyle name="40% - 강조색3 68 6" xfId="8433"/>
    <cellStyle name="40% - 강조색3 68 7" xfId="8797"/>
    <cellStyle name="40% - 강조색3 68 8" xfId="6929"/>
    <cellStyle name="40% - 강조색3 68 9" xfId="7787"/>
    <cellStyle name="40% - 강조색3 69" xfId="7108"/>
    <cellStyle name="40% - 강조색3 69 10" xfId="6892"/>
    <cellStyle name="40% - 강조색3 69 11" xfId="10819"/>
    <cellStyle name="40% - 강조색3 69 12" xfId="11049"/>
    <cellStyle name="40% - 강조색3 69 2" xfId="7850"/>
    <cellStyle name="40% - 강조색3 69 3" xfId="8244"/>
    <cellStyle name="40% - 강조색3 69 4" xfId="8606"/>
    <cellStyle name="40% - 강조색3 69 5" xfId="8868"/>
    <cellStyle name="40% - 강조색3 69 6" xfId="2734"/>
    <cellStyle name="40% - 강조색3 69 7" xfId="6738"/>
    <cellStyle name="40% - 강조색3 69 8" xfId="9990"/>
    <cellStyle name="40% - 강조색3 69 9" xfId="10305"/>
    <cellStyle name="40% - 강조색3 7" xfId="126"/>
    <cellStyle name="40% - 강조색3 70" xfId="7296"/>
    <cellStyle name="40% - 강조색3 70 10" xfId="5974"/>
    <cellStyle name="40% - 강조색3 70 11" xfId="10909"/>
    <cellStyle name="40% - 강조색3 70 12" xfId="9133"/>
    <cellStyle name="40% - 강조색3 70 2" xfId="7861"/>
    <cellStyle name="40% - 강조색3 70 3" xfId="8255"/>
    <cellStyle name="40% - 강조색3 70 4" xfId="8617"/>
    <cellStyle name="40% - 강조색3 70 5" xfId="8874"/>
    <cellStyle name="40% - 강조색3 70 6" xfId="7708"/>
    <cellStyle name="40% - 강조색3 70 7" xfId="6768"/>
    <cellStyle name="40% - 강조색3 70 8" xfId="9766"/>
    <cellStyle name="40% - 강조색3 70 9" xfId="9447"/>
    <cellStyle name="40% - 강조색3 71" xfId="7791"/>
    <cellStyle name="40% - 강조색3 71 10" xfId="9856"/>
    <cellStyle name="40% - 강조색3 71 11" xfId="11179"/>
    <cellStyle name="40% - 강조색3 71 2" xfId="8266"/>
    <cellStyle name="40% - 강조색3 71 3" xfId="8628"/>
    <cellStyle name="40% - 강조색3 71 4" xfId="8992"/>
    <cellStyle name="40% - 강조색3 71 5" xfId="9350"/>
    <cellStyle name="40% - 강조색3 71 6" xfId="8779"/>
    <cellStyle name="40% - 강조색3 71 7" xfId="10014"/>
    <cellStyle name="40% - 강조색3 71 8" xfId="6097"/>
    <cellStyle name="40% - 강조색3 71 9" xfId="10500"/>
    <cellStyle name="40% - 강조색3 72" xfId="8216"/>
    <cellStyle name="40% - 강조색3 72 10" xfId="8481"/>
    <cellStyle name="40% - 강조색3 72 2" xfId="8639"/>
    <cellStyle name="40% - 강조색3 72 3" xfId="9003"/>
    <cellStyle name="40% - 강조색3 72 4" xfId="9362"/>
    <cellStyle name="40% - 강조색3 72 5" xfId="9694"/>
    <cellStyle name="40% - 강조색3 72 6" xfId="9385"/>
    <cellStyle name="40% - 강조색3 72 7" xfId="10227"/>
    <cellStyle name="40% - 강조색3 72 8" xfId="10652"/>
    <cellStyle name="40% - 강조색3 72 9" xfId="3386"/>
    <cellStyle name="40% - 강조색3 73" xfId="8574"/>
    <cellStyle name="40% - 강조색3 73 2" xfId="9009"/>
    <cellStyle name="40% - 강조색3 73 3" xfId="9368"/>
    <cellStyle name="40% - 강조색3 73 4" xfId="9700"/>
    <cellStyle name="40% - 강조색3 73 5" xfId="10026"/>
    <cellStyle name="40% - 강조색3 73 6" xfId="1952"/>
    <cellStyle name="40% - 강조색3 73 7" xfId="9022"/>
    <cellStyle name="40% - 강조색3 73 8" xfId="9921"/>
    <cellStyle name="40% - 강조색3 73 9" xfId="11000"/>
    <cellStyle name="40% - 강조색3 74" xfId="8964"/>
    <cellStyle name="40% - 강조색3 74 2" xfId="9379"/>
    <cellStyle name="40% - 강조색3 74 3" xfId="9711"/>
    <cellStyle name="40% - 강조색3 74 4" xfId="10037"/>
    <cellStyle name="40% - 강조색3 74 5" xfId="10350"/>
    <cellStyle name="40% - 강조색3 74 6" xfId="10647"/>
    <cellStyle name="40% - 강조색3 74 7" xfId="10889"/>
    <cellStyle name="40% - 강조색3 74 8" xfId="9908"/>
    <cellStyle name="40% - 강조색3 75" xfId="9317"/>
    <cellStyle name="40% - 강조색3 75 2" xfId="9720"/>
    <cellStyle name="40% - 강조색3 75 3" xfId="10046"/>
    <cellStyle name="40% - 강조색3 75 4" xfId="10359"/>
    <cellStyle name="40% - 강조색3 75 5" xfId="10668"/>
    <cellStyle name="40% - 강조색3 75 6" xfId="9423"/>
    <cellStyle name="40% - 강조색3 75 7" xfId="8723"/>
    <cellStyle name="40% - 강조색3 76" xfId="6001"/>
    <cellStyle name="40% - 강조색3 76 2" xfId="9841"/>
    <cellStyle name="40% - 강조색3 76 3" xfId="8021"/>
    <cellStyle name="40% - 강조색3 76 4" xfId="6059"/>
    <cellStyle name="40% - 강조색3 76 5" xfId="10809"/>
    <cellStyle name="40% - 강조색3 76 6" xfId="11127"/>
    <cellStyle name="40% - 강조색3 77" xfId="9764"/>
    <cellStyle name="40% - 강조색3 77 2" xfId="10371"/>
    <cellStyle name="40% - 강조색3 77 3" xfId="10681"/>
    <cellStyle name="40% - 강조색3 77 4" xfId="10965"/>
    <cellStyle name="40% - 강조색3 77 5" xfId="6692"/>
    <cellStyle name="40% - 강조색3 78" xfId="10329"/>
    <cellStyle name="40% - 강조색3 78 2" xfId="10695"/>
    <cellStyle name="40% - 강조색3 78 3" xfId="10979"/>
    <cellStyle name="40% - 강조색3 78 4" xfId="11256"/>
    <cellStyle name="40% - 강조색3 79" xfId="10635"/>
    <cellStyle name="40% - 강조색3 79 2" xfId="10987"/>
    <cellStyle name="40% - 강조색3 79 3" xfId="11265"/>
    <cellStyle name="40% - 강조색3 8" xfId="139"/>
    <cellStyle name="40% - 강조색3 80" xfId="10929"/>
    <cellStyle name="40% - 강조색3 80 2" xfId="11273"/>
    <cellStyle name="40% - 강조색3 81" xfId="11219"/>
    <cellStyle name="40% - 강조색3 82" xfId="11303"/>
    <cellStyle name="40% - 강조색3 83" xfId="11408"/>
    <cellStyle name="40% - 강조색3 84" xfId="11363"/>
    <cellStyle name="40% - 강조색3 85" xfId="11375"/>
    <cellStyle name="40% - 강조색3 86" xfId="11441"/>
    <cellStyle name="40% - 강조색3 9" xfId="152"/>
    <cellStyle name="40% - 강조색4" xfId="32" builtinId="43" customBuiltin="1"/>
    <cellStyle name="40% - 강조색4 10" xfId="180"/>
    <cellStyle name="40% - 강조색4 11" xfId="193"/>
    <cellStyle name="40% - 강조색4 12" xfId="206"/>
    <cellStyle name="40% - 강조색4 13" xfId="219"/>
    <cellStyle name="40% - 강조색4 14" xfId="232"/>
    <cellStyle name="40% - 강조색4 15" xfId="245"/>
    <cellStyle name="40% - 강조색4 16" xfId="258"/>
    <cellStyle name="40% - 강조색4 17" xfId="271"/>
    <cellStyle name="40% - 강조색4 18" xfId="284"/>
    <cellStyle name="40% - 강조색4 19" xfId="297"/>
    <cellStyle name="40% - 강조색4 2" xfId="51"/>
    <cellStyle name="40% - 강조색4 20" xfId="310"/>
    <cellStyle name="40% - 강조색4 21" xfId="323"/>
    <cellStyle name="40% - 강조색4 22" xfId="336"/>
    <cellStyle name="40% - 강조색4 23" xfId="349"/>
    <cellStyle name="40% - 강조색4 24" xfId="362"/>
    <cellStyle name="40% - 강조색4 25" xfId="375"/>
    <cellStyle name="40% - 강조색4 26" xfId="388"/>
    <cellStyle name="40% - 강조색4 27" xfId="401"/>
    <cellStyle name="40% - 강조색4 28" xfId="414"/>
    <cellStyle name="40% - 강조색4 29" xfId="427"/>
    <cellStyle name="40% - 강조색4 3" xfId="79"/>
    <cellStyle name="40% - 강조색4 30" xfId="440"/>
    <cellStyle name="40% - 강조색4 31" xfId="452"/>
    <cellStyle name="40% - 강조색4 32" xfId="464"/>
    <cellStyle name="40% - 강조색4 33" xfId="476"/>
    <cellStyle name="40% - 강조색4 34" xfId="488"/>
    <cellStyle name="40% - 강조색4 35" xfId="499"/>
    <cellStyle name="40% - 강조색4 36" xfId="510"/>
    <cellStyle name="40% - 강조색4 37" xfId="521"/>
    <cellStyle name="40% - 강조색4 38" xfId="530"/>
    <cellStyle name="40% - 강조색4 39" xfId="536"/>
    <cellStyle name="40% - 강조색4 4" xfId="102"/>
    <cellStyle name="40% - 강조색4 40" xfId="549"/>
    <cellStyle name="40% - 강조색4 40 10" xfId="2595"/>
    <cellStyle name="40% - 강조색4 40 11" xfId="3521"/>
    <cellStyle name="40% - 강조색4 40 12" xfId="3974"/>
    <cellStyle name="40% - 강조색4 40 13" xfId="1495"/>
    <cellStyle name="40% - 강조색4 40 14" xfId="3751"/>
    <cellStyle name="40% - 강조색4 40 15" xfId="4874"/>
    <cellStyle name="40% - 강조색4 40 16" xfId="3784"/>
    <cellStyle name="40% - 강조색4 40 17" xfId="5441"/>
    <cellStyle name="40% - 강조색4 40 18" xfId="4921"/>
    <cellStyle name="40% - 강조색4 40 19" xfId="3374"/>
    <cellStyle name="40% - 강조색4 40 2" xfId="1048"/>
    <cellStyle name="40% - 강조색4 40 20" xfId="3348"/>
    <cellStyle name="40% - 강조색4 40 21" xfId="7333"/>
    <cellStyle name="40% - 강조색4 40 22" xfId="7576"/>
    <cellStyle name="40% - 강조색4 40 23" xfId="3133"/>
    <cellStyle name="40% - 강조색4 40 24" xfId="8325"/>
    <cellStyle name="40% - 강조색4 40 25" xfId="8711"/>
    <cellStyle name="40% - 강조색4 40 26" xfId="6957"/>
    <cellStyle name="40% - 강조색4 40 27" xfId="9469"/>
    <cellStyle name="40% - 강조색4 40 28" xfId="8816"/>
    <cellStyle name="40% - 강조색4 40 29" xfId="7706"/>
    <cellStyle name="40% - 강조색4 40 3" xfId="1139"/>
    <cellStyle name="40% - 강조색4 40 30" xfId="6028"/>
    <cellStyle name="40% - 강조색4 40 31" xfId="10933"/>
    <cellStyle name="40% - 강조색4 40 32" xfId="3720"/>
    <cellStyle name="40% - 강조색4 40 33" xfId="11320"/>
    <cellStyle name="40% - 강조색4 40 34" xfId="11301"/>
    <cellStyle name="40% - 강조색4 40 35" xfId="11426"/>
    <cellStyle name="40% - 강조색4 40 36" xfId="11382"/>
    <cellStyle name="40% - 강조색4 40 4" xfId="1230"/>
    <cellStyle name="40% - 강조색4 40 5" xfId="1617"/>
    <cellStyle name="40% - 강조색4 40 6" xfId="947"/>
    <cellStyle name="40% - 강조색4 40 7" xfId="2326"/>
    <cellStyle name="40% - 강조색4 40 8" xfId="2613"/>
    <cellStyle name="40% - 강조색4 40 9" xfId="2880"/>
    <cellStyle name="40% - 강조색4 41" xfId="598"/>
    <cellStyle name="40% - 강조색4 41 10" xfId="1465"/>
    <cellStyle name="40% - 강조색4 41 11" xfId="3577"/>
    <cellStyle name="40% - 강조색4 41 12" xfId="3987"/>
    <cellStyle name="40% - 강조색4 41 13" xfId="3355"/>
    <cellStyle name="40% - 강조색4 41 14" xfId="4653"/>
    <cellStyle name="40% - 강조색4 41 15" xfId="5449"/>
    <cellStyle name="40% - 강조색4 41 16" xfId="2758"/>
    <cellStyle name="40% - 강조색4 41 17" xfId="5137"/>
    <cellStyle name="40% - 강조색4 41 18" xfId="5347"/>
    <cellStyle name="40% - 강조색4 41 19" xfId="6459"/>
    <cellStyle name="40% - 강조색4 41 2" xfId="1097"/>
    <cellStyle name="40% - 강조색4 41 20" xfId="2356"/>
    <cellStyle name="40% - 강조색4 41 21" xfId="6956"/>
    <cellStyle name="40% - 강조색4 41 22" xfId="7441"/>
    <cellStyle name="40% - 강조색4 41 23" xfId="7671"/>
    <cellStyle name="40% - 강조색4 41 24" xfId="8276"/>
    <cellStyle name="40% - 강조색4 41 25" xfId="8894"/>
    <cellStyle name="40% - 강조색4 41 26" xfId="9253"/>
    <cellStyle name="40% - 강조색4 41 27" xfId="3809"/>
    <cellStyle name="40% - 강조색4 41 28" xfId="3588"/>
    <cellStyle name="40% - 강조색4 41 29" xfId="7391"/>
    <cellStyle name="40% - 강조색4 41 3" xfId="1188"/>
    <cellStyle name="40% - 강조색4 41 30" xfId="7962"/>
    <cellStyle name="40% - 강조색4 41 31" xfId="10709"/>
    <cellStyle name="40% - 강조색4 41 32" xfId="9772"/>
    <cellStyle name="40% - 강조색4 41 4" xfId="1279"/>
    <cellStyle name="40% - 강조색4 41 5" xfId="1726"/>
    <cellStyle name="40% - 강조색4 41 6" xfId="886"/>
    <cellStyle name="40% - 강조색4 41 7" xfId="790"/>
    <cellStyle name="40% - 강조색4 41 8" xfId="2571"/>
    <cellStyle name="40% - 강조색4 41 9" xfId="2843"/>
    <cellStyle name="40% - 강조색4 42" xfId="615"/>
    <cellStyle name="40% - 강조색4 42 10" xfId="3175"/>
    <cellStyle name="40% - 강조색4 42 11" xfId="3616"/>
    <cellStyle name="40% - 강조색4 42 12" xfId="2080"/>
    <cellStyle name="40% - 강조색4 42 13" xfId="2486"/>
    <cellStyle name="40% - 강조색4 42 14" xfId="4421"/>
    <cellStyle name="40% - 강조색4 42 15" xfId="5004"/>
    <cellStyle name="40% - 강조색4 42 16" xfId="5707"/>
    <cellStyle name="40% - 강조색4 42 17" xfId="5810"/>
    <cellStyle name="40% - 강조색4 42 18" xfId="5885"/>
    <cellStyle name="40% - 강조색4 42 19" xfId="6251"/>
    <cellStyle name="40% - 강조색4 42 2" xfId="1114"/>
    <cellStyle name="40% - 강조색4 42 20" xfId="6245"/>
    <cellStyle name="40% - 강조색4 42 21" xfId="7271"/>
    <cellStyle name="40% - 강조색4 42 22" xfId="996"/>
    <cellStyle name="40% - 강조색4 42 23" xfId="2456"/>
    <cellStyle name="40% - 강조색4 42 24" xfId="6247"/>
    <cellStyle name="40% - 강조색4 42 25" xfId="5592"/>
    <cellStyle name="40% - 강조색4 42 26" xfId="9110"/>
    <cellStyle name="40% - 강조색4 42 27" xfId="9683"/>
    <cellStyle name="40% - 강조색4 42 28" xfId="6152"/>
    <cellStyle name="40% - 강조색4 42 29" xfId="10213"/>
    <cellStyle name="40% - 강조색4 42 3" xfId="1205"/>
    <cellStyle name="40% - 강조색4 42 30" xfId="10556"/>
    <cellStyle name="40% - 강조색4 42 31" xfId="10867"/>
    <cellStyle name="40% - 강조색4 42 32" xfId="11136"/>
    <cellStyle name="40% - 강조색4 42 4" xfId="1296"/>
    <cellStyle name="40% - 강조색4 42 5" xfId="1679"/>
    <cellStyle name="40% - 강조색4 42 6" xfId="1484"/>
    <cellStyle name="40% - 강조색4 42 7" xfId="877"/>
    <cellStyle name="40% - 강조색4 42 8" xfId="2562"/>
    <cellStyle name="40% - 강조색4 42 9" xfId="2852"/>
    <cellStyle name="40% - 강조색4 43" xfId="596"/>
    <cellStyle name="40% - 강조색4 43 10" xfId="1442"/>
    <cellStyle name="40% - 강조색4 43 11" xfId="3635"/>
    <cellStyle name="40% - 강조색4 43 12" xfId="3903"/>
    <cellStyle name="40% - 강조색4 43 13" xfId="3073"/>
    <cellStyle name="40% - 강조색4 43 14" xfId="4613"/>
    <cellStyle name="40% - 강조색4 43 15" xfId="5577"/>
    <cellStyle name="40% - 강조색4 43 16" xfId="5752"/>
    <cellStyle name="40% - 강조색4 43 17" xfId="5842"/>
    <cellStyle name="40% - 강조색4 43 18" xfId="5907"/>
    <cellStyle name="40% - 강조색4 43 19" xfId="6399"/>
    <cellStyle name="40% - 강조색4 43 2" xfId="1095"/>
    <cellStyle name="40% - 강조색4 43 20" xfId="1543"/>
    <cellStyle name="40% - 강조색4 43 21" xfId="3362"/>
    <cellStyle name="40% - 강조색4 43 22" xfId="4600"/>
    <cellStyle name="40% - 강조색4 43 23" xfId="8136"/>
    <cellStyle name="40% - 강조색4 43 24" xfId="6402"/>
    <cellStyle name="40% - 강조색4 43 25" xfId="8918"/>
    <cellStyle name="40% - 강조색4 43 26" xfId="9124"/>
    <cellStyle name="40% - 강조색4 43 27" xfId="5372"/>
    <cellStyle name="40% - 강조색4 43 28" xfId="7891"/>
    <cellStyle name="40% - 강조색4 43 29" xfId="5015"/>
    <cellStyle name="40% - 강조색4 43 3" xfId="1186"/>
    <cellStyle name="40% - 강조색4 43 30" xfId="7544"/>
    <cellStyle name="40% - 강조색4 43 31" xfId="6315"/>
    <cellStyle name="40% - 강조색4 43 32" xfId="11042"/>
    <cellStyle name="40% - 강조색4 43 4" xfId="1277"/>
    <cellStyle name="40% - 강조색4 43 5" xfId="1646"/>
    <cellStyle name="40% - 강조색4 43 6" xfId="2022"/>
    <cellStyle name="40% - 강조색4 43 7" xfId="2264"/>
    <cellStyle name="40% - 강조색4 43 8" xfId="2585"/>
    <cellStyle name="40% - 강조색4 43 9" xfId="2862"/>
    <cellStyle name="40% - 강조색4 44" xfId="577"/>
    <cellStyle name="40% - 강조색4 44 10" xfId="3160"/>
    <cellStyle name="40% - 강조색4 44 11" xfId="2387"/>
    <cellStyle name="40% - 강조색4 44 12" xfId="3822"/>
    <cellStyle name="40% - 강조색4 44 13" xfId="4052"/>
    <cellStyle name="40% - 강조색4 44 14" xfId="4382"/>
    <cellStyle name="40% - 강조색4 44 15" xfId="1958"/>
    <cellStyle name="40% - 강조색4 44 16" xfId="4918"/>
    <cellStyle name="40% - 강조색4 44 17" xfId="5740"/>
    <cellStyle name="40% - 강조색4 44 18" xfId="5834"/>
    <cellStyle name="40% - 강조색4 44 19" xfId="6313"/>
    <cellStyle name="40% - 강조색4 44 2" xfId="1076"/>
    <cellStyle name="40% - 강조색4 44 20" xfId="3690"/>
    <cellStyle name="40% - 강조색4 44 21" xfId="6168"/>
    <cellStyle name="40% - 강조색4 44 22" xfId="7561"/>
    <cellStyle name="40% - 강조색4 44 23" xfId="5998"/>
    <cellStyle name="40% - 강조색4 44 24" xfId="8360"/>
    <cellStyle name="40% - 강조색4 44 25" xfId="4893"/>
    <cellStyle name="40% - 강조색4 44 26" xfId="8282"/>
    <cellStyle name="40% - 강조색4 44 27" xfId="7777"/>
    <cellStyle name="40% - 강조색4 44 28" xfId="9884"/>
    <cellStyle name="40% - 강조색4 44 29" xfId="9044"/>
    <cellStyle name="40% - 강조색4 44 3" xfId="1167"/>
    <cellStyle name="40% - 강조색4 44 30" xfId="10554"/>
    <cellStyle name="40% - 강조색4 44 31" xfId="1555"/>
    <cellStyle name="40% - 강조색4 44 32" xfId="11149"/>
    <cellStyle name="40% - 강조색4 44 4" xfId="1258"/>
    <cellStyle name="40% - 강조색4 44 5" xfId="1671"/>
    <cellStyle name="40% - 강조색4 44 6" xfId="1505"/>
    <cellStyle name="40% - 강조색4 44 7" xfId="2228"/>
    <cellStyle name="40% - 강조색4 44 8" xfId="2531"/>
    <cellStyle name="40% - 강조색4 44 9" xfId="2415"/>
    <cellStyle name="40% - 강조색4 45" xfId="625"/>
    <cellStyle name="40% - 강조색4 45 10" xfId="3297"/>
    <cellStyle name="40% - 강조색4 45 11" xfId="3460"/>
    <cellStyle name="40% - 강조색4 45 12" xfId="3004"/>
    <cellStyle name="40% - 강조색4 45 13" xfId="4119"/>
    <cellStyle name="40% - 강조색4 45 14" xfId="827"/>
    <cellStyle name="40% - 강조색4 45 15" xfId="5384"/>
    <cellStyle name="40% - 강조색4 45 16" xfId="5102"/>
    <cellStyle name="40% - 강조색4 45 17" xfId="5694"/>
    <cellStyle name="40% - 강조색4 45 18" xfId="4775"/>
    <cellStyle name="40% - 강조색4 45 19" xfId="6365"/>
    <cellStyle name="40% - 강조색4 45 2" xfId="1124"/>
    <cellStyle name="40% - 강조색4 45 20" xfId="7079"/>
    <cellStyle name="40% - 강조색4 45 21" xfId="6963"/>
    <cellStyle name="40% - 강조색4 45 22" xfId="7623"/>
    <cellStyle name="40% - 강조색4 45 23" xfId="8223"/>
    <cellStyle name="40% - 강조색4 45 24" xfId="5484"/>
    <cellStyle name="40% - 강조색4 45 25" xfId="5175"/>
    <cellStyle name="40% - 강조색4 45 26" xfId="9327"/>
    <cellStyle name="40% - 강조색4 45 27" xfId="9019"/>
    <cellStyle name="40% - 강조색4 45 28" xfId="9474"/>
    <cellStyle name="40% - 강조색4 45 29" xfId="3366"/>
    <cellStyle name="40% - 강조색4 45 3" xfId="1215"/>
    <cellStyle name="40% - 강조색4 45 30" xfId="10645"/>
    <cellStyle name="40% - 강조색4 45 31" xfId="9844"/>
    <cellStyle name="40% - 강조색4 45 32" xfId="6355"/>
    <cellStyle name="40% - 강조색4 45 4" xfId="1306"/>
    <cellStyle name="40% - 강조색4 45 5" xfId="1694"/>
    <cellStyle name="40% - 강조색4 45 6" xfId="2011"/>
    <cellStyle name="40% - 강조색4 45 7" xfId="762"/>
    <cellStyle name="40% - 강조색4 45 8" xfId="2069"/>
    <cellStyle name="40% - 강조색4 45 9" xfId="2791"/>
    <cellStyle name="40% - 강조색4 46" xfId="584"/>
    <cellStyle name="40% - 강조색4 46 10" xfId="3181"/>
    <cellStyle name="40% - 강조색4 46 11" xfId="3415"/>
    <cellStyle name="40% - 강조색4 46 12" xfId="3956"/>
    <cellStyle name="40% - 강조색4 46 13" xfId="4075"/>
    <cellStyle name="40% - 강조색4 46 14" xfId="4585"/>
    <cellStyle name="40% - 강조색4 46 15" xfId="4700"/>
    <cellStyle name="40% - 강조색4 46 16" xfId="5700"/>
    <cellStyle name="40% - 강조색4 46 17" xfId="2858"/>
    <cellStyle name="40% - 강조색4 46 18" xfId="3041"/>
    <cellStyle name="40% - 강조색4 46 19" xfId="5993"/>
    <cellStyle name="40% - 강조색4 46 2" xfId="1083"/>
    <cellStyle name="40% - 강조색4 46 20" xfId="4055"/>
    <cellStyle name="40% - 강조색4 46 21" xfId="4253"/>
    <cellStyle name="40% - 강조색4 46 22" xfId="7430"/>
    <cellStyle name="40% - 강조색4 46 23" xfId="8008"/>
    <cellStyle name="40% - 강조색4 46 24" xfId="3408"/>
    <cellStyle name="40% - 강조색4 46 25" xfId="8982"/>
    <cellStyle name="40% - 강조색4 46 26" xfId="882"/>
    <cellStyle name="40% - 강조색4 46 27" xfId="7698"/>
    <cellStyle name="40% - 강조색4 46 28" xfId="9180"/>
    <cellStyle name="40% - 강조색4 46 29" xfId="9348"/>
    <cellStyle name="40% - 강조색4 46 3" xfId="1174"/>
    <cellStyle name="40% - 강조색4 46 30" xfId="8650"/>
    <cellStyle name="40% - 강조색4 46 31" xfId="10905"/>
    <cellStyle name="40% - 강조색4 46 32" xfId="11074"/>
    <cellStyle name="40% - 강조색4 46 4" xfId="1265"/>
    <cellStyle name="40% - 강조색4 46 5" xfId="1730"/>
    <cellStyle name="40% - 강조색4 46 6" xfId="1477"/>
    <cellStyle name="40% - 강조색4 46 7" xfId="1400"/>
    <cellStyle name="40% - 강조색4 46 8" xfId="2618"/>
    <cellStyle name="40% - 강조색4 46 9" xfId="2917"/>
    <cellStyle name="40% - 강조색4 47" xfId="643"/>
    <cellStyle name="40% - 강조색4 47 10" xfId="4288"/>
    <cellStyle name="40% - 강조색4 47 11" xfId="3762"/>
    <cellStyle name="40% - 강조색4 47 12" xfId="4800"/>
    <cellStyle name="40% - 강조색4 47 13" xfId="3350"/>
    <cellStyle name="40% - 강조색4 47 14" xfId="5188"/>
    <cellStyle name="40% - 강조색4 47 15" xfId="5181"/>
    <cellStyle name="40% - 강조색4 47 16" xfId="6565"/>
    <cellStyle name="40% - 강조색4 47 17" xfId="7148"/>
    <cellStyle name="40% - 강조색4 47 18" xfId="7227"/>
    <cellStyle name="40% - 강조색4 47 19" xfId="3805"/>
    <cellStyle name="40% - 강조색4 47 2" xfId="1650"/>
    <cellStyle name="40% - 강조색4 47 20" xfId="7901"/>
    <cellStyle name="40% - 강조색4 47 21" xfId="8460"/>
    <cellStyle name="40% - 강조색4 47 22" xfId="8895"/>
    <cellStyle name="40% - 강조색4 47 23" xfId="9342"/>
    <cellStyle name="40% - 강조색4 47 24" xfId="9525"/>
    <cellStyle name="40% - 강조색4 47 25" xfId="1357"/>
    <cellStyle name="40% - 강조색4 47 26" xfId="10204"/>
    <cellStyle name="40% - 강조색4 47 27" xfId="10575"/>
    <cellStyle name="40% - 강조색4 47 28" xfId="10924"/>
    <cellStyle name="40% - 강조색4 47 29" xfId="11229"/>
    <cellStyle name="40% - 강조색4 47 3" xfId="1451"/>
    <cellStyle name="40% - 강조색4 47 30" xfId="11326"/>
    <cellStyle name="40% - 강조색4 47 31" xfId="11424"/>
    <cellStyle name="40% - 강조색4 47 32" xfId="11377"/>
    <cellStyle name="40% - 강조색4 47 33" xfId="11340"/>
    <cellStyle name="40% - 강조색4 47 4" xfId="2254"/>
    <cellStyle name="40% - 강조색4 47 5" xfId="2127"/>
    <cellStyle name="40% - 강조색4 47 6" xfId="2785"/>
    <cellStyle name="40% - 강조색4 47 7" xfId="3293"/>
    <cellStyle name="40% - 강조색4 47 8" xfId="3605"/>
    <cellStyle name="40% - 강조색4 47 9" xfId="3948"/>
    <cellStyle name="40% - 강조색4 48" xfId="706"/>
    <cellStyle name="40% - 강조색4 48 10" xfId="4233"/>
    <cellStyle name="40% - 강조색4 48 11" xfId="4455"/>
    <cellStyle name="40% - 강조색4 48 12" xfId="5238"/>
    <cellStyle name="40% - 강조색4 48 13" xfId="5614"/>
    <cellStyle name="40% - 강조색4 48 14" xfId="5591"/>
    <cellStyle name="40% - 강조색4 48 15" xfId="5610"/>
    <cellStyle name="40% - 강조색4 48 16" xfId="6548"/>
    <cellStyle name="40% - 강조색4 48 17" xfId="6938"/>
    <cellStyle name="40% - 강조색4 48 18" xfId="6694"/>
    <cellStyle name="40% - 강조색4 48 19" xfId="7649"/>
    <cellStyle name="40% - 강조색4 48 2" xfId="1739"/>
    <cellStyle name="40% - 강조색4 48 20" xfId="6717"/>
    <cellStyle name="40% - 강조색4 48 21" xfId="8301"/>
    <cellStyle name="40% - 강조색4 48 22" xfId="8870"/>
    <cellStyle name="40% - 강조색4 48 23" xfId="4511"/>
    <cellStyle name="40% - 강조색4 48 24" xfId="9602"/>
    <cellStyle name="40% - 강조색4 48 25" xfId="9804"/>
    <cellStyle name="40% - 강조색4 48 26" xfId="10138"/>
    <cellStyle name="40% - 강조색4 48 27" xfId="10650"/>
    <cellStyle name="40% - 강조색4 48 28" xfId="8358"/>
    <cellStyle name="40% - 강조색4 48 29" xfId="6063"/>
    <cellStyle name="40% - 강조색4 48 3" xfId="1551"/>
    <cellStyle name="40% - 강조색4 48 4" xfId="1033"/>
    <cellStyle name="40% - 강조색4 48 5" xfId="2643"/>
    <cellStyle name="40% - 강조색4 48 6" xfId="2921"/>
    <cellStyle name="40% - 강조색4 48 7" xfId="3044"/>
    <cellStyle name="40% - 강조색4 48 8" xfId="3418"/>
    <cellStyle name="40% - 강조색4 48 9" xfId="1962"/>
    <cellStyle name="40% - 강조색4 49" xfId="658"/>
    <cellStyle name="40% - 강조색4 49 10" xfId="4354"/>
    <cellStyle name="40% - 강조색4 49 11" xfId="4552"/>
    <cellStyle name="40% - 강조색4 49 12" xfId="5118"/>
    <cellStyle name="40% - 강조색4 49 13" xfId="1020"/>
    <cellStyle name="40% - 강조색4 49 14" xfId="1897"/>
    <cellStyle name="40% - 강조색4 49 15" xfId="5241"/>
    <cellStyle name="40% - 강조색4 49 16" xfId="6436"/>
    <cellStyle name="40% - 강조색4 49 17" xfId="7093"/>
    <cellStyle name="40% - 강조색4 49 18" xfId="7325"/>
    <cellStyle name="40% - 강조색4 49 19" xfId="1483"/>
    <cellStyle name="40% - 강조색4 49 2" xfId="1634"/>
    <cellStyle name="40% - 강조색4 49 20" xfId="2510"/>
    <cellStyle name="40% - 강조색4 49 21" xfId="1547"/>
    <cellStyle name="40% - 강조색4 49 22" xfId="6554"/>
    <cellStyle name="40% - 강조색4 49 23" xfId="9204"/>
    <cellStyle name="40% - 강조색4 49 24" xfId="9533"/>
    <cellStyle name="40% - 강조색4 49 25" xfId="6382"/>
    <cellStyle name="40% - 강조색4 49 26" xfId="7448"/>
    <cellStyle name="40% - 강조색4 49 27" xfId="10495"/>
    <cellStyle name="40% - 강조색4 49 28" xfId="10919"/>
    <cellStyle name="40% - 강조색4 49 29" xfId="11159"/>
    <cellStyle name="40% - 강조색4 49 3" xfId="2031"/>
    <cellStyle name="40% - 강조색4 49 4" xfId="2262"/>
    <cellStyle name="40% - 강조색4 49 5" xfId="2448"/>
    <cellStyle name="40% - 강조색4 49 6" xfId="1945"/>
    <cellStyle name="40% - 강조색4 49 7" xfId="3221"/>
    <cellStyle name="40% - 강조색4 49 8" xfId="3264"/>
    <cellStyle name="40% - 강조색4 49 9" xfId="3890"/>
    <cellStyle name="40% - 강조색4 5" xfId="115"/>
    <cellStyle name="40% - 강조색4 50" xfId="670"/>
    <cellStyle name="40% - 강조색4 50 10" xfId="4161"/>
    <cellStyle name="40% - 강조색4 50 11" xfId="4452"/>
    <cellStyle name="40% - 강조색4 50 12" xfId="5546"/>
    <cellStyle name="40% - 강조색4 50 13" xfId="5780"/>
    <cellStyle name="40% - 강조색4 50 14" xfId="5861"/>
    <cellStyle name="40% - 강조색4 50 15" xfId="5919"/>
    <cellStyle name="40% - 강조색4 50 16" xfId="1910"/>
    <cellStyle name="40% - 강조색4 50 17" xfId="4832"/>
    <cellStyle name="40% - 강조색4 50 18" xfId="7090"/>
    <cellStyle name="40% - 강조색4 50 19" xfId="7527"/>
    <cellStyle name="40% - 강조색4 50 2" xfId="1688"/>
    <cellStyle name="40% - 강조색4 50 20" xfId="8086"/>
    <cellStyle name="40% - 강조색4 50 21" xfId="1818"/>
    <cellStyle name="40% - 강조색4 50 22" xfId="8948"/>
    <cellStyle name="40% - 강조색4 50 23" xfId="9192"/>
    <cellStyle name="40% - 강조색4 50 24" xfId="9565"/>
    <cellStyle name="40% - 강조색4 50 25" xfId="6288"/>
    <cellStyle name="40% - 강조색4 50 26" xfId="9901"/>
    <cellStyle name="40% - 강조색4 50 27" xfId="10593"/>
    <cellStyle name="40% - 강조색4 50 28" xfId="1318"/>
    <cellStyle name="40% - 강조색4 50 29" xfId="11104"/>
    <cellStyle name="40% - 강조색4 50 3" xfId="2013"/>
    <cellStyle name="40% - 강조색4 50 4" xfId="2192"/>
    <cellStyle name="40% - 강조색4 50 5" xfId="2394"/>
    <cellStyle name="40% - 강조색4 50 6" xfId="2788"/>
    <cellStyle name="40% - 강조색4 50 7" xfId="3080"/>
    <cellStyle name="40% - 강조색4 50 8" xfId="3646"/>
    <cellStyle name="40% - 강조색4 50 9" xfId="1382"/>
    <cellStyle name="40% - 강조색4 51" xfId="695"/>
    <cellStyle name="40% - 강조색4 51 10" xfId="806"/>
    <cellStyle name="40% - 강조색4 51 11" xfId="4493"/>
    <cellStyle name="40% - 강조색4 51 12" xfId="5239"/>
    <cellStyle name="40% - 강조색4 51 13" xfId="3747"/>
    <cellStyle name="40% - 강조색4 51 14" xfId="5764"/>
    <cellStyle name="40% - 강조색4 51 15" xfId="5851"/>
    <cellStyle name="40% - 강조색4 51 16" xfId="6524"/>
    <cellStyle name="40% - 강조색4 51 17" xfId="4064"/>
    <cellStyle name="40% - 강조색4 51 18" xfId="6923"/>
    <cellStyle name="40% - 강조색4 51 19" xfId="7679"/>
    <cellStyle name="40% - 강조색4 51 2" xfId="1745"/>
    <cellStyle name="40% - 강조색4 51 20" xfId="8077"/>
    <cellStyle name="40% - 강조색4 51 21" xfId="7694"/>
    <cellStyle name="40% - 강조색4 51 22" xfId="8879"/>
    <cellStyle name="40% - 강조색4 51 23" xfId="9112"/>
    <cellStyle name="40% - 강조색4 51 24" xfId="8478"/>
    <cellStyle name="40% - 강조색4 51 25" xfId="9490"/>
    <cellStyle name="40% - 강조색4 51 26" xfId="10191"/>
    <cellStyle name="40% - 강조색4 51 27" xfId="7940"/>
    <cellStyle name="40% - 강조색4 51 28" xfId="10555"/>
    <cellStyle name="40% - 강조색4 51 29" xfId="10624"/>
    <cellStyle name="40% - 강조색4 51 3" xfId="724"/>
    <cellStyle name="40% - 강조색4 51 4" xfId="1904"/>
    <cellStyle name="40% - 강조색4 51 5" xfId="2619"/>
    <cellStyle name="40% - 강조색4 51 6" xfId="767"/>
    <cellStyle name="40% - 강조색4 51 7" xfId="3247"/>
    <cellStyle name="40% - 강조색4 51 8" xfId="1019"/>
    <cellStyle name="40% - 강조색4 51 9" xfId="3112"/>
    <cellStyle name="40% - 강조색4 52" xfId="664"/>
    <cellStyle name="40% - 강조색4 52 10" xfId="4129"/>
    <cellStyle name="40% - 강조색4 52 11" xfId="4614"/>
    <cellStyle name="40% - 강조색4 52 12" xfId="4970"/>
    <cellStyle name="40% - 강조색4 52 13" xfId="5636"/>
    <cellStyle name="40% - 강조색4 52 14" xfId="2081"/>
    <cellStyle name="40% - 강조색4 52 15" xfId="5455"/>
    <cellStyle name="40% - 강조색4 52 16" xfId="6567"/>
    <cellStyle name="40% - 강조색4 52 17" xfId="6967"/>
    <cellStyle name="40% - 강조색4 52 18" xfId="6884"/>
    <cellStyle name="40% - 강조색4 52 19" xfId="7496"/>
    <cellStyle name="40% - 강조색4 52 2" xfId="1680"/>
    <cellStyle name="40% - 강조색4 52 20" xfId="6395"/>
    <cellStyle name="40% - 강조색4 52 21" xfId="7438"/>
    <cellStyle name="40% - 강조색4 52 22" xfId="6535"/>
    <cellStyle name="40% - 강조색4 52 23" xfId="7465"/>
    <cellStyle name="40% - 강조색4 52 24" xfId="9667"/>
    <cellStyle name="40% - 강조색4 52 25" xfId="5589"/>
    <cellStyle name="40% - 강조색4 52 26" xfId="2799"/>
    <cellStyle name="40% - 강조색4 52 27" xfId="2483"/>
    <cellStyle name="40% - 강조색4 52 28" xfId="8684"/>
    <cellStyle name="40% - 강조색4 52 29" xfId="6017"/>
    <cellStyle name="40% - 강조색4 52 3" xfId="905"/>
    <cellStyle name="40% - 강조색4 52 4" xfId="2062"/>
    <cellStyle name="40% - 강조색4 52 5" xfId="2395"/>
    <cellStyle name="40% - 강조색4 52 6" xfId="1402"/>
    <cellStyle name="40% - 강조색4 52 7" xfId="3149"/>
    <cellStyle name="40% - 강조색4 52 8" xfId="3591"/>
    <cellStyle name="40% - 강조색4 52 9" xfId="3898"/>
    <cellStyle name="40% - 강조색4 53" xfId="660"/>
    <cellStyle name="40% - 강조색4 53 10" xfId="4280"/>
    <cellStyle name="40% - 강조색4 53 11" xfId="4428"/>
    <cellStyle name="40% - 강조색4 53 12" xfId="3384"/>
    <cellStyle name="40% - 강조색4 53 13" xfId="4816"/>
    <cellStyle name="40% - 강조색4 53 14" xfId="3792"/>
    <cellStyle name="40% - 강조색4 53 15" xfId="5099"/>
    <cellStyle name="40% - 강조색4 53 16" xfId="6282"/>
    <cellStyle name="40% - 강조색4 53 17" xfId="6031"/>
    <cellStyle name="40% - 강조색4 53 18" xfId="6964"/>
    <cellStyle name="40% - 강조색4 53 19" xfId="7420"/>
    <cellStyle name="40% - 강조색4 53 2" xfId="1744"/>
    <cellStyle name="40% - 강조색4 53 20" xfId="6385"/>
    <cellStyle name="40% - 강조색4 53 21" xfId="8602"/>
    <cellStyle name="40% - 강조색4 53 22" xfId="8676"/>
    <cellStyle name="40% - 강조색4 53 23" xfId="9194"/>
    <cellStyle name="40% - 강조색4 53 24" xfId="9574"/>
    <cellStyle name="40% - 강조색4 53 25" xfId="9754"/>
    <cellStyle name="40% - 강조색4 53 26" xfId="10188"/>
    <cellStyle name="40% - 강조색4 53 27" xfId="9187"/>
    <cellStyle name="40% - 강조색4 53 28" xfId="10857"/>
    <cellStyle name="40% - 강조색4 53 29" xfId="9389"/>
    <cellStyle name="40% - 강조색4 53 3" xfId="869"/>
    <cellStyle name="40% - 강조색4 53 4" xfId="1428"/>
    <cellStyle name="40% - 강조색4 53 5" xfId="2590"/>
    <cellStyle name="40% - 강조색4 53 6" xfId="2938"/>
    <cellStyle name="40% - 강조색4 53 7" xfId="982"/>
    <cellStyle name="40% - 강조색4 53 8" xfId="3351"/>
    <cellStyle name="40% - 강조색4 53 9" xfId="3753"/>
    <cellStyle name="40% - 강조색4 54" xfId="1445"/>
    <cellStyle name="40% - 강조색4 54 10" xfId="4436"/>
    <cellStyle name="40% - 강조색4 54 11" xfId="1559"/>
    <cellStyle name="40% - 강조색4 54 12" xfId="854"/>
    <cellStyle name="40% - 강조색4 54 13" xfId="5540"/>
    <cellStyle name="40% - 강조색4 54 14" xfId="2748"/>
    <cellStyle name="40% - 강조색4 54 15" xfId="6185"/>
    <cellStyle name="40% - 강조색4 54 16" xfId="1788"/>
    <cellStyle name="40% - 강조색4 54 17" xfId="4171"/>
    <cellStyle name="40% - 강조색4 54 18" xfId="7600"/>
    <cellStyle name="40% - 강조색4 54 19" xfId="8225"/>
    <cellStyle name="40% - 강조색4 54 2" xfId="2048"/>
    <cellStyle name="40% - 강조색4 54 20" xfId="798"/>
    <cellStyle name="40% - 강조색4 54 21" xfId="3423"/>
    <cellStyle name="40% - 강조색4 54 22" xfId="9326"/>
    <cellStyle name="40% - 강조색4 54 23" xfId="9532"/>
    <cellStyle name="40% - 강조색4 54 24" xfId="9974"/>
    <cellStyle name="40% - 강조색4 54 25" xfId="6146"/>
    <cellStyle name="40% - 강조색4 54 26" xfId="7454"/>
    <cellStyle name="40% - 강조색4 54 27" xfId="10724"/>
    <cellStyle name="40% - 강조색4 54 28" xfId="11039"/>
    <cellStyle name="40% - 강조색4 54 3" xfId="2330"/>
    <cellStyle name="40% - 강조색4 54 4" xfId="2634"/>
    <cellStyle name="40% - 강조색4 54 5" xfId="1379"/>
    <cellStyle name="40% - 강조색4 54 6" xfId="3154"/>
    <cellStyle name="40% - 강조색4 54 7" xfId="3578"/>
    <cellStyle name="40% - 강조색4 54 8" xfId="3935"/>
    <cellStyle name="40% - 강조색4 54 9" xfId="4195"/>
    <cellStyle name="40% - 강조색4 55" xfId="1976"/>
    <cellStyle name="40% - 강조색4 55 10" xfId="5217"/>
    <cellStyle name="40% - 강조색4 55 11" xfId="3365"/>
    <cellStyle name="40% - 강조색4 55 12" xfId="5403"/>
    <cellStyle name="40% - 강조색4 55 13" xfId="5629"/>
    <cellStyle name="40% - 강조색4 55 14" xfId="2521"/>
    <cellStyle name="40% - 강조색4 55 15" xfId="7005"/>
    <cellStyle name="40% - 강조색4 55 16" xfId="6754"/>
    <cellStyle name="40% - 강조색4 55 17" xfId="7545"/>
    <cellStyle name="40% - 강조색4 55 18" xfId="5966"/>
    <cellStyle name="40% - 강조색4 55 19" xfId="8422"/>
    <cellStyle name="40% - 강조색4 55 2" xfId="2339"/>
    <cellStyle name="40% - 강조색4 55 20" xfId="8826"/>
    <cellStyle name="40% - 강조색4 55 21" xfId="9058"/>
    <cellStyle name="40% - 강조색4 55 22" xfId="9600"/>
    <cellStyle name="40% - 강조색4 55 23" xfId="8735"/>
    <cellStyle name="40% - 강조색4 55 24" xfId="10334"/>
    <cellStyle name="40% - 강조색4 55 25" xfId="9269"/>
    <cellStyle name="40% - 강조색4 55 26" xfId="10917"/>
    <cellStyle name="40% - 강조색4 55 27" xfId="3734"/>
    <cellStyle name="40% - 강조색4 55 3" xfId="2658"/>
    <cellStyle name="40% - 강조색4 55 4" xfId="2973"/>
    <cellStyle name="40% - 강조색4 55 5" xfId="3164"/>
    <cellStyle name="40% - 강조색4 55 6" xfId="3645"/>
    <cellStyle name="40% - 강조색4 55 7" xfId="3696"/>
    <cellStyle name="40% - 강조색4 55 8" xfId="4244"/>
    <cellStyle name="40% - 강조색4 55 9" xfId="4664"/>
    <cellStyle name="40% - 강조색4 56" xfId="2260"/>
    <cellStyle name="40% - 강조색4 56 10" xfId="5582"/>
    <cellStyle name="40% - 강조색4 56 11" xfId="5123"/>
    <cellStyle name="40% - 강조색4 56 12" xfId="4830"/>
    <cellStyle name="40% - 강조색4 56 13" xfId="6306"/>
    <cellStyle name="40% - 강조색4 56 14" xfId="2207"/>
    <cellStyle name="40% - 강조색4 56 15" xfId="2358"/>
    <cellStyle name="40% - 강조색4 56 16" xfId="7768"/>
    <cellStyle name="40% - 강조색4 56 17" xfId="1903"/>
    <cellStyle name="40% - 강조색4 56 18" xfId="8339"/>
    <cellStyle name="40% - 강조색4 56 19" xfId="6268"/>
    <cellStyle name="40% - 강조색4 56 2" xfId="2671"/>
    <cellStyle name="40% - 강조색4 56 20" xfId="9339"/>
    <cellStyle name="40% - 강조색4 56 21" xfId="8777"/>
    <cellStyle name="40% - 강조색4 56 22" xfId="9994"/>
    <cellStyle name="40% - 강조색4 56 23" xfId="5374"/>
    <cellStyle name="40% - 강조색4 56 24" xfId="1954"/>
    <cellStyle name="40% - 강조색4 56 25" xfId="9043"/>
    <cellStyle name="40% - 강조색4 56 26" xfId="11004"/>
    <cellStyle name="40% - 강조색4 56 3" xfId="2986"/>
    <cellStyle name="40% - 강조색4 56 4" xfId="3319"/>
    <cellStyle name="40% - 강조색4 56 5" xfId="3285"/>
    <cellStyle name="40% - 강조색4 56 6" xfId="3921"/>
    <cellStyle name="40% - 강조색4 56 7" xfId="4069"/>
    <cellStyle name="40% - 강조색4 56 8" xfId="4469"/>
    <cellStyle name="40% - 강조색4 56 9" xfId="5552"/>
    <cellStyle name="40% - 강조색4 57" xfId="2552"/>
    <cellStyle name="40% - 강조색4 57 10" xfId="5750"/>
    <cellStyle name="40% - 강조색4 57 11" xfId="5840"/>
    <cellStyle name="40% - 강조색4 57 12" xfId="6274"/>
    <cellStyle name="40% - 강조색4 57 13" xfId="6666"/>
    <cellStyle name="40% - 강조색4 57 14" xfId="6740"/>
    <cellStyle name="40% - 강조색4 57 15" xfId="4626"/>
    <cellStyle name="40% - 강조색4 57 16" xfId="8141"/>
    <cellStyle name="40% - 강조색4 57 17" xfId="8529"/>
    <cellStyle name="40% - 강조색4 57 18" xfId="8968"/>
    <cellStyle name="40% - 강조색4 57 19" xfId="6273"/>
    <cellStyle name="40% - 강조색4 57 2" xfId="2995"/>
    <cellStyle name="40% - 강조색4 57 20" xfId="9555"/>
    <cellStyle name="40% - 강조색4 57 21" xfId="9971"/>
    <cellStyle name="40% - 강조색4 57 22" xfId="8706"/>
    <cellStyle name="40% - 강조색4 57 23" xfId="10518"/>
    <cellStyle name="40% - 강조색4 57 24" xfId="8329"/>
    <cellStyle name="40% - 강조색4 57 25" xfId="10256"/>
    <cellStyle name="40% - 강조색4 57 3" xfId="3328"/>
    <cellStyle name="40% - 강조색4 57 4" xfId="3660"/>
    <cellStyle name="40% - 강조색4 57 5" xfId="3893"/>
    <cellStyle name="40% - 강조색4 57 6" xfId="4239"/>
    <cellStyle name="40% - 강조색4 57 7" xfId="868"/>
    <cellStyle name="40% - 강조색4 57 8" xfId="5516"/>
    <cellStyle name="40% - 강조색4 57 9" xfId="5350"/>
    <cellStyle name="40% - 강조색4 58" xfId="2943"/>
    <cellStyle name="40% - 강조색4 58 10" xfId="4963"/>
    <cellStyle name="40% - 강조색4 58 11" xfId="6453"/>
    <cellStyle name="40% - 강조색4 58 12" xfId="7136"/>
    <cellStyle name="40% - 강조색4 58 13" xfId="7043"/>
    <cellStyle name="40% - 강조색4 58 14" xfId="7817"/>
    <cellStyle name="40% - 강조색4 58 15" xfId="8012"/>
    <cellStyle name="40% - 강조색4 58 16" xfId="3056"/>
    <cellStyle name="40% - 강조색4 58 17" xfId="8651"/>
    <cellStyle name="40% - 강조색4 58 18" xfId="8094"/>
    <cellStyle name="40% - 강조색4 58 19" xfId="9572"/>
    <cellStyle name="40% - 강조색4 58 2" xfId="3342"/>
    <cellStyle name="40% - 강조색4 58 20" xfId="10000"/>
    <cellStyle name="40% - 강조색4 58 21" xfId="7888"/>
    <cellStyle name="40% - 강조색4 58 22" xfId="10657"/>
    <cellStyle name="40% - 강조색4 58 23" xfId="7442"/>
    <cellStyle name="40% - 강조색4 58 24" xfId="11058"/>
    <cellStyle name="40% - 강조색4 58 3" xfId="3675"/>
    <cellStyle name="40% - 강조색4 58 4" xfId="4013"/>
    <cellStyle name="40% - 강조색4 58 5" xfId="2424"/>
    <cellStyle name="40% - 강조색4 58 6" xfId="4652"/>
    <cellStyle name="40% - 강조색4 58 7" xfId="4978"/>
    <cellStyle name="40% - 강조색4 58 8" xfId="5163"/>
    <cellStyle name="40% - 강조색4 58 9" xfId="5697"/>
    <cellStyle name="40% - 강조색4 59" xfId="3143"/>
    <cellStyle name="40% - 강조색4 59 10" xfId="6438"/>
    <cellStyle name="40% - 강조색4 59 11" xfId="6764"/>
    <cellStyle name="40% - 강조색4 59 12" xfId="5092"/>
    <cellStyle name="40% - 강조색4 59 13" xfId="3082"/>
    <cellStyle name="40% - 강조색4 59 14" xfId="8016"/>
    <cellStyle name="40% - 강조색4 59 15" xfId="1433"/>
    <cellStyle name="40% - 강조색4 59 16" xfId="7972"/>
    <cellStyle name="40% - 강조색4 59 17" xfId="7502"/>
    <cellStyle name="40% - 강조색4 59 18" xfId="9104"/>
    <cellStyle name="40% - 강조색4 59 19" xfId="9968"/>
    <cellStyle name="40% - 강조색4 59 2" xfId="3683"/>
    <cellStyle name="40% - 강조색4 59 20" xfId="9452"/>
    <cellStyle name="40% - 강조색4 59 21" xfId="10385"/>
    <cellStyle name="40% - 강조색4 59 22" xfId="4842"/>
    <cellStyle name="40% - 강조색4 59 23" xfId="11051"/>
    <cellStyle name="40% - 강조색4 59 3" xfId="4022"/>
    <cellStyle name="40% - 강조색4 59 4" xfId="4358"/>
    <cellStyle name="40% - 강조색4 59 5" xfId="4670"/>
    <cellStyle name="40% - 강조색4 59 6" xfId="3279"/>
    <cellStyle name="40% - 강조색4 59 7" xfId="5708"/>
    <cellStyle name="40% - 강조색4 59 8" xfId="5811"/>
    <cellStyle name="40% - 강조색4 59 9" xfId="5886"/>
    <cellStyle name="40% - 강조색4 6" xfId="128"/>
    <cellStyle name="40% - 강조색4 60" xfId="1579"/>
    <cellStyle name="40% - 강조색4 60 10" xfId="7237"/>
    <cellStyle name="40% - 강조색4 60 11" xfId="7292"/>
    <cellStyle name="40% - 강조색4 60 12" xfId="5076"/>
    <cellStyle name="40% - 강조색4 60 13" xfId="6458"/>
    <cellStyle name="40% - 강조색4 60 14" xfId="7374"/>
    <cellStyle name="40% - 강조색4 60 15" xfId="7461"/>
    <cellStyle name="40% - 강조색4 60 16" xfId="9307"/>
    <cellStyle name="40% - 강조색4 60 17" xfId="4348"/>
    <cellStyle name="40% - 강조색4 60 18" xfId="3710"/>
    <cellStyle name="40% - 강조색4 60 19" xfId="10241"/>
    <cellStyle name="40% - 강조색4 60 2" xfId="3934"/>
    <cellStyle name="40% - 강조색4 60 20" xfId="776"/>
    <cellStyle name="40% - 강조색4 60 21" xfId="10728"/>
    <cellStyle name="40% - 강조색4 60 22" xfId="2824"/>
    <cellStyle name="40% - 강조색4 60 3" xfId="4209"/>
    <cellStyle name="40% - 강조색4 60 4" xfId="4629"/>
    <cellStyle name="40% - 강조색4 60 5" xfId="5437"/>
    <cellStyle name="40% - 강조색4 60 6" xfId="5792"/>
    <cellStyle name="40% - 강조색4 60 7" xfId="5870"/>
    <cellStyle name="40% - 강조색4 60 8" xfId="5928"/>
    <cellStyle name="40% - 강조색4 60 9" xfId="6505"/>
    <cellStyle name="40% - 강조색4 61" xfId="3815"/>
    <cellStyle name="40% - 강조색4 61 10" xfId="3688"/>
    <cellStyle name="40% - 강조색4 61 11" xfId="7573"/>
    <cellStyle name="40% - 강조색4 61 12" xfId="754"/>
    <cellStyle name="40% - 강조색4 61 13" xfId="8451"/>
    <cellStyle name="40% - 강조색4 61 14" xfId="8984"/>
    <cellStyle name="40% - 강조색4 61 15" xfId="4465"/>
    <cellStyle name="40% - 강조색4 61 16" xfId="9556"/>
    <cellStyle name="40% - 강조색4 61 17" xfId="2117"/>
    <cellStyle name="40% - 강조색4 61 18" xfId="7111"/>
    <cellStyle name="40% - 강조색4 61 19" xfId="9946"/>
    <cellStyle name="40% - 강조색4 61 2" xfId="4374"/>
    <cellStyle name="40% - 강조색4 61 20" xfId="10837"/>
    <cellStyle name="40% - 강조색4 61 21" xfId="6397"/>
    <cellStyle name="40% - 강조색4 61 3" xfId="4727"/>
    <cellStyle name="40% - 강조색4 61 4" xfId="5621"/>
    <cellStyle name="40% - 강조색4 61 5" xfId="4151"/>
    <cellStyle name="40% - 강조색4 61 6" xfId="5517"/>
    <cellStyle name="40% - 강조색4 61 7" xfId="5741"/>
    <cellStyle name="40% - 강조색4 61 8" xfId="2349"/>
    <cellStyle name="40% - 강조색4 61 9" xfId="7146"/>
    <cellStyle name="40% - 강조색4 62" xfId="4237"/>
    <cellStyle name="40% - 강조색4 62 10" xfId="7747"/>
    <cellStyle name="40% - 강조색4 62 11" xfId="1901"/>
    <cellStyle name="40% - 강조색4 62 12" xfId="8472"/>
    <cellStyle name="40% - 강조색4 62 13" xfId="6393"/>
    <cellStyle name="40% - 강조색4 62 14" xfId="906"/>
    <cellStyle name="40% - 강조색4 62 15" xfId="8582"/>
    <cellStyle name="40% - 강조색4 62 16" xfId="9871"/>
    <cellStyle name="40% - 강조색4 62 17" xfId="2703"/>
    <cellStyle name="40% - 강조색4 62 18" xfId="10177"/>
    <cellStyle name="40% - 강조색4 62 19" xfId="10756"/>
    <cellStyle name="40% - 강조색4 62 2" xfId="4738"/>
    <cellStyle name="40% - 강조색4 62 20" xfId="9107"/>
    <cellStyle name="40% - 강조색4 62 3" xfId="5701"/>
    <cellStyle name="40% - 강조색4 62 4" xfId="5127"/>
    <cellStyle name="40% - 강조색4 62 5" xfId="5136"/>
    <cellStyle name="40% - 강조색4 62 6" xfId="5034"/>
    <cellStyle name="40% - 강조색4 62 7" xfId="6596"/>
    <cellStyle name="40% - 강조색4 62 8" xfId="7180"/>
    <cellStyle name="40% - 강조색4 62 9" xfId="7126"/>
    <cellStyle name="40% - 강조색4 63" xfId="4401"/>
    <cellStyle name="40% - 강조색4 63 10" xfId="8018"/>
    <cellStyle name="40% - 강조색4 63 11" xfId="8543"/>
    <cellStyle name="40% - 강조색4 63 12" xfId="8972"/>
    <cellStyle name="40% - 강조색4 63 13" xfId="9195"/>
    <cellStyle name="40% - 강조색4 63 14" xfId="3467"/>
    <cellStyle name="40% - 강조색4 63 15" xfId="9767"/>
    <cellStyle name="40% - 강조색4 63 16" xfId="10337"/>
    <cellStyle name="40% - 강조색4 63 17" xfId="10469"/>
    <cellStyle name="40% - 강조색4 63 18" xfId="10770"/>
    <cellStyle name="40% - 강조색4 63 19" xfId="10707"/>
    <cellStyle name="40% - 강조색4 63 2" xfId="5739"/>
    <cellStyle name="40% - 강조색4 63 3" xfId="5833"/>
    <cellStyle name="40% - 강조색4 63 4" xfId="5901"/>
    <cellStyle name="40% - 강조색4 63 5" xfId="5945"/>
    <cellStyle name="40% - 강조색4 63 6" xfId="6604"/>
    <cellStyle name="40% - 강조색4 63 7" xfId="1926"/>
    <cellStyle name="40% - 강조색4 63 8" xfId="3124"/>
    <cellStyle name="40% - 강조색4 63 9" xfId="7686"/>
    <cellStyle name="40% - 강조색4 64" xfId="5139"/>
    <cellStyle name="40% - 강조색4 64 10" xfId="8446"/>
    <cellStyle name="40% - 강조색4 64 11" xfId="6789"/>
    <cellStyle name="40% - 강조색4 64 12" xfId="10310"/>
    <cellStyle name="40% - 강조색4 64 13" xfId="9788"/>
    <cellStyle name="40% - 강조색4 64 14" xfId="10741"/>
    <cellStyle name="40% - 강조색4 64 15" xfId="11045"/>
    <cellStyle name="40% - 강조색4 64 2" xfId="6628"/>
    <cellStyle name="40% - 강조색4 64 3" xfId="7045"/>
    <cellStyle name="40% - 강조색4 64 4" xfId="748"/>
    <cellStyle name="40% - 강조색4 64 5" xfId="6988"/>
    <cellStyle name="40% - 강조색4 64 6" xfId="8000"/>
    <cellStyle name="40% - 강조색4 64 7" xfId="5307"/>
    <cellStyle name="40% - 강조색4 64 8" xfId="8751"/>
    <cellStyle name="40% - 강조색4 64 9" xfId="9061"/>
    <cellStyle name="40% - 강조색4 65" xfId="4530"/>
    <cellStyle name="40% - 강조색4 65 10" xfId="6030"/>
    <cellStyle name="40% - 강조색4 65 11" xfId="9857"/>
    <cellStyle name="40% - 강조색4 65 12" xfId="10240"/>
    <cellStyle name="40% - 강조색4 65 13" xfId="10496"/>
    <cellStyle name="40% - 강조색4 65 14" xfId="8455"/>
    <cellStyle name="40% - 강조색4 65 15" xfId="6501"/>
    <cellStyle name="40% - 강조색4 65 2" xfId="6606"/>
    <cellStyle name="40% - 강조색4 65 3" xfId="6772"/>
    <cellStyle name="40% - 강조색4 65 4" xfId="7142"/>
    <cellStyle name="40% - 강조색4 65 5" xfId="7742"/>
    <cellStyle name="40% - 강조색4 65 6" xfId="5243"/>
    <cellStyle name="40% - 강조색4 65 7" xfId="8536"/>
    <cellStyle name="40% - 강조색4 65 8" xfId="8710"/>
    <cellStyle name="40% - 강조색4 65 9" xfId="8340"/>
    <cellStyle name="40% - 강조색4 66" xfId="4824"/>
    <cellStyle name="40% - 강조색4 66 10" xfId="7400"/>
    <cellStyle name="40% - 강조색4 66 11" xfId="9590"/>
    <cellStyle name="40% - 강조색4 66 12" xfId="10057"/>
    <cellStyle name="40% - 강조색4 66 13" xfId="9459"/>
    <cellStyle name="40% - 강조색4 66 14" xfId="10793"/>
    <cellStyle name="40% - 강조색4 66 15" xfId="11030"/>
    <cellStyle name="40% - 강조색4 66 2" xfId="6616"/>
    <cellStyle name="40% - 강조색4 66 3" xfId="1426"/>
    <cellStyle name="40% - 강조색4 66 4" xfId="6088"/>
    <cellStyle name="40% - 강조색4 66 5" xfId="7816"/>
    <cellStyle name="40% - 강조색4 66 6" xfId="8162"/>
    <cellStyle name="40% - 강조색4 66 7" xfId="8426"/>
    <cellStyle name="40% - 강조색4 66 8" xfId="1839"/>
    <cellStyle name="40% - 강조색4 66 9" xfId="9238"/>
    <cellStyle name="40% - 강조색4 67" xfId="5775"/>
    <cellStyle name="40% - 강조색4 67 10" xfId="9505"/>
    <cellStyle name="40% - 강조색4 67 11" xfId="9090"/>
    <cellStyle name="40% - 강조색4 67 12" xfId="6260"/>
    <cellStyle name="40% - 강조색4 67 13" xfId="10519"/>
    <cellStyle name="40% - 강조색4 67 14" xfId="9797"/>
    <cellStyle name="40% - 강조색4 67 15" xfId="6675"/>
    <cellStyle name="40% - 강조색4 67 2" xfId="6657"/>
    <cellStyle name="40% - 강조색4 67 3" xfId="7282"/>
    <cellStyle name="40% - 강조색4 67 4" xfId="7290"/>
    <cellStyle name="40% - 강조색4 67 5" xfId="7825"/>
    <cellStyle name="40% - 강조색4 67 6" xfId="7983"/>
    <cellStyle name="40% - 강조색4 67 7" xfId="8567"/>
    <cellStyle name="40% - 강조색4 67 8" xfId="8981"/>
    <cellStyle name="40% - 강조색4 67 9" xfId="9315"/>
    <cellStyle name="40% - 강조색4 68" xfId="6479"/>
    <cellStyle name="40% - 강조색4 68 10" xfId="9737"/>
    <cellStyle name="40% - 강조색4 68 11" xfId="10225"/>
    <cellStyle name="40% - 강조색4 68 12" xfId="3393"/>
    <cellStyle name="40% - 강조색4 68 13" xfId="10397"/>
    <cellStyle name="40% - 강조색4 68 14" xfId="1461"/>
    <cellStyle name="40% - 강조색4 68 2" xfId="7324"/>
    <cellStyle name="40% - 강조색4 68 3" xfId="7351"/>
    <cellStyle name="40% - 강조색4 68 4" xfId="7840"/>
    <cellStyle name="40% - 강조색4 68 5" xfId="8039"/>
    <cellStyle name="40% - 강조색4 68 6" xfId="8562"/>
    <cellStyle name="40% - 강조색4 68 7" xfId="8352"/>
    <cellStyle name="40% - 강조색4 68 8" xfId="9297"/>
    <cellStyle name="40% - 강조색4 68 9" xfId="8056"/>
    <cellStyle name="40% - 강조색4 69" xfId="7117"/>
    <cellStyle name="40% - 강조색4 69 10" xfId="10600"/>
    <cellStyle name="40% - 강조색4 69 11" xfId="10062"/>
    <cellStyle name="40% - 강조색4 69 12" xfId="11132"/>
    <cellStyle name="40% - 강조색4 69 2" xfId="7852"/>
    <cellStyle name="40% - 강조색4 69 3" xfId="8246"/>
    <cellStyle name="40% - 강조색4 69 4" xfId="8608"/>
    <cellStyle name="40% - 강조색4 69 5" xfId="8760"/>
    <cellStyle name="40% - 강조색4 69 6" xfId="9321"/>
    <cellStyle name="40% - 강조색4 69 7" xfId="9534"/>
    <cellStyle name="40% - 강조색4 69 8" xfId="9926"/>
    <cellStyle name="40% - 강조색4 69 9" xfId="10115"/>
    <cellStyle name="40% - 강조색4 7" xfId="141"/>
    <cellStyle name="40% - 강조색4 70" xfId="7291"/>
    <cellStyle name="40% - 강조색4 70 10" xfId="10658"/>
    <cellStyle name="40% - 강조색4 70 11" xfId="10740"/>
    <cellStyle name="40% - 강조색4 70 12" xfId="11126"/>
    <cellStyle name="40% - 강조색4 70 2" xfId="7860"/>
    <cellStyle name="40% - 강조색4 70 3" xfId="8254"/>
    <cellStyle name="40% - 강조색4 70 4" xfId="8616"/>
    <cellStyle name="40% - 강조색4 70 5" xfId="5990"/>
    <cellStyle name="40% - 강조색4 70 6" xfId="7662"/>
    <cellStyle name="40% - 강조색4 70 7" xfId="5376"/>
    <cellStyle name="40% - 강조색4 70 8" xfId="5050"/>
    <cellStyle name="40% - 강조색4 70 9" xfId="10216"/>
    <cellStyle name="40% - 강조색4 71" xfId="7789"/>
    <cellStyle name="40% - 강조색4 71 10" xfId="9774"/>
    <cellStyle name="40% - 강조색4 71 11" xfId="7921"/>
    <cellStyle name="40% - 강조색4 71 2" xfId="8265"/>
    <cellStyle name="40% - 강조색4 71 3" xfId="8627"/>
    <cellStyle name="40% - 강조색4 71 4" xfId="8991"/>
    <cellStyle name="40% - 강조색4 71 5" xfId="9349"/>
    <cellStyle name="40% - 강조색4 71 6" xfId="9494"/>
    <cellStyle name="40% - 강조색4 71 7" xfId="10008"/>
    <cellStyle name="40% - 강조색4 71 8" xfId="10249"/>
    <cellStyle name="40% - 강조색4 71 9" xfId="10400"/>
    <cellStyle name="40% - 강조색4 72" xfId="8175"/>
    <cellStyle name="40% - 강조색4 72 10" xfId="6904"/>
    <cellStyle name="40% - 강조색4 72 2" xfId="8638"/>
    <cellStyle name="40% - 강조색4 72 3" xfId="9002"/>
    <cellStyle name="40% - 강조색4 72 4" xfId="9361"/>
    <cellStyle name="40% - 강조색4 72 5" xfId="9693"/>
    <cellStyle name="40% - 강조색4 72 6" xfId="9813"/>
    <cellStyle name="40% - 강조색4 72 7" xfId="9751"/>
    <cellStyle name="40% - 강조색4 72 8" xfId="10498"/>
    <cellStyle name="40% - 강조색4 72 9" xfId="10865"/>
    <cellStyle name="40% - 강조색4 73" xfId="6171"/>
    <cellStyle name="40% - 강조색4 73 2" xfId="8960"/>
    <cellStyle name="40% - 강조색4 73 3" xfId="8116"/>
    <cellStyle name="40% - 강조색4 73 4" xfId="9517"/>
    <cellStyle name="40% - 강조색4 73 5" xfId="7976"/>
    <cellStyle name="40% - 강조색4 73 6" xfId="10099"/>
    <cellStyle name="40% - 강조색4 73 7" xfId="10386"/>
    <cellStyle name="40% - 강조색4 73 8" xfId="4761"/>
    <cellStyle name="40% - 강조색4 73 9" xfId="9200"/>
    <cellStyle name="40% - 강조색4 74" xfId="8865"/>
    <cellStyle name="40% - 강조색4 74 2" xfId="9376"/>
    <cellStyle name="40% - 강조색4 74 3" xfId="9708"/>
    <cellStyle name="40% - 강조색4 74 4" xfId="10034"/>
    <cellStyle name="40% - 강조색4 74 5" xfId="10347"/>
    <cellStyle name="40% - 강조색4 74 6" xfId="10601"/>
    <cellStyle name="40% - 강조색4 74 7" xfId="10913"/>
    <cellStyle name="40% - 강조색4 74 8" xfId="7898"/>
    <cellStyle name="40% - 강조색4 75" xfId="5194"/>
    <cellStyle name="40% - 강조색4 75 2" xfId="3818"/>
    <cellStyle name="40% - 강조색4 75 3" xfId="5259"/>
    <cellStyle name="40% - 강조색4 75 4" xfId="7651"/>
    <cellStyle name="40% - 강조색4 75 5" xfId="10543"/>
    <cellStyle name="40% - 강조색4 75 6" xfId="10829"/>
    <cellStyle name="40% - 강조색4 75 7" xfId="9791"/>
    <cellStyle name="40% - 강조색4 76" xfId="8080"/>
    <cellStyle name="40% - 강조색4 76 2" xfId="7646"/>
    <cellStyle name="40% - 강조색4 76 3" xfId="6241"/>
    <cellStyle name="40% - 강조색4 76 4" xfId="10454"/>
    <cellStyle name="40% - 강조색4 76 5" xfId="10781"/>
    <cellStyle name="40% - 강조색4 76 6" xfId="11061"/>
    <cellStyle name="40% - 강조색4 77" xfId="9943"/>
    <cellStyle name="40% - 강조색4 77 2" xfId="10376"/>
    <cellStyle name="40% - 강조색4 77 3" xfId="10687"/>
    <cellStyle name="40% - 강조색4 77 4" xfId="10971"/>
    <cellStyle name="40% - 강조색4 77 5" xfId="11247"/>
    <cellStyle name="40% - 강조색4 78" xfId="9825"/>
    <cellStyle name="40% - 강조색4 78 2" xfId="10683"/>
    <cellStyle name="40% - 강조색4 78 3" xfId="10967"/>
    <cellStyle name="40% - 강조색4 78 4" xfId="11103"/>
    <cellStyle name="40% - 강조색4 79" xfId="10450"/>
    <cellStyle name="40% - 강조색4 79 2" xfId="10982"/>
    <cellStyle name="40% - 강조색4 79 3" xfId="11259"/>
    <cellStyle name="40% - 강조색4 8" xfId="154"/>
    <cellStyle name="40% - 강조색4 80" xfId="10472"/>
    <cellStyle name="40% - 강조색4 80 2" xfId="11260"/>
    <cellStyle name="40% - 강조색4 81" xfId="11216"/>
    <cellStyle name="40% - 강조색4 82" xfId="11291"/>
    <cellStyle name="40% - 강조색4 83" xfId="11427"/>
    <cellStyle name="40% - 강조색4 84" xfId="11337"/>
    <cellStyle name="40% - 강조색4 85" xfId="11358"/>
    <cellStyle name="40% - 강조색4 86" xfId="11443"/>
    <cellStyle name="40% - 강조색4 9" xfId="167"/>
    <cellStyle name="40% - 강조색5" xfId="36" builtinId="47" customBuiltin="1"/>
    <cellStyle name="40% - 강조색5 10" xfId="172"/>
    <cellStyle name="40% - 강조색5 11" xfId="185"/>
    <cellStyle name="40% - 강조색5 12" xfId="198"/>
    <cellStyle name="40% - 강조색5 13" xfId="211"/>
    <cellStyle name="40% - 강조색5 14" xfId="224"/>
    <cellStyle name="40% - 강조색5 15" xfId="237"/>
    <cellStyle name="40% - 강조색5 16" xfId="250"/>
    <cellStyle name="40% - 강조색5 17" xfId="263"/>
    <cellStyle name="40% - 강조색5 18" xfId="276"/>
    <cellStyle name="40% - 강조색5 19" xfId="289"/>
    <cellStyle name="40% - 강조색5 2" xfId="53"/>
    <cellStyle name="40% - 강조색5 20" xfId="302"/>
    <cellStyle name="40% - 강조색5 21" xfId="315"/>
    <cellStyle name="40% - 강조색5 22" xfId="328"/>
    <cellStyle name="40% - 강조색5 23" xfId="341"/>
    <cellStyle name="40% - 강조색5 24" xfId="354"/>
    <cellStyle name="40% - 강조색5 25" xfId="367"/>
    <cellStyle name="40% - 강조색5 26" xfId="380"/>
    <cellStyle name="40% - 강조색5 27" xfId="393"/>
    <cellStyle name="40% - 강조색5 28" xfId="406"/>
    <cellStyle name="40% - 강조색5 29" xfId="419"/>
    <cellStyle name="40% - 강조색5 3" xfId="83"/>
    <cellStyle name="40% - 강조색5 30" xfId="432"/>
    <cellStyle name="40% - 강조색5 31" xfId="444"/>
    <cellStyle name="40% - 강조색5 32" xfId="456"/>
    <cellStyle name="40% - 강조색5 33" xfId="468"/>
    <cellStyle name="40% - 강조색5 34" xfId="480"/>
    <cellStyle name="40% - 강조색5 35" xfId="491"/>
    <cellStyle name="40% - 강조색5 36" xfId="502"/>
    <cellStyle name="40% - 강조색5 37" xfId="513"/>
    <cellStyle name="40% - 강조색5 38" xfId="524"/>
    <cellStyle name="40% - 강조색5 39" xfId="532"/>
    <cellStyle name="40% - 강조색5 4" xfId="94"/>
    <cellStyle name="40% - 강조색5 40" xfId="551"/>
    <cellStyle name="40% - 강조색5 40 10" xfId="3031"/>
    <cellStyle name="40% - 강조색5 40 11" xfId="1369"/>
    <cellStyle name="40% - 강조색5 40 12" xfId="2093"/>
    <cellStyle name="40% - 강조색5 40 13" xfId="1854"/>
    <cellStyle name="40% - 강조색5 40 14" xfId="4701"/>
    <cellStyle name="40% - 강조색5 40 15" xfId="4430"/>
    <cellStyle name="40% - 강조색5 40 16" xfId="5229"/>
    <cellStyle name="40% - 강조색5 40 17" xfId="5111"/>
    <cellStyle name="40% - 강조색5 40 18" xfId="5319"/>
    <cellStyle name="40% - 강조색5 40 19" xfId="6485"/>
    <cellStyle name="40% - 강조색5 40 2" xfId="1050"/>
    <cellStyle name="40% - 강조색5 40 20" xfId="6487"/>
    <cellStyle name="40% - 강조색5 40 21" xfId="7048"/>
    <cellStyle name="40% - 강조색5 40 22" xfId="7638"/>
    <cellStyle name="40% - 강조색5 40 23" xfId="8090"/>
    <cellStyle name="40% - 강조색5 40 24" xfId="3117"/>
    <cellStyle name="40% - 강조색5 40 25" xfId="6206"/>
    <cellStyle name="40% - 강조색5 40 26" xfId="5391"/>
    <cellStyle name="40% - 강조색5 40 27" xfId="9531"/>
    <cellStyle name="40% - 강조색5 40 28" xfId="9757"/>
    <cellStyle name="40% - 강조색5 40 29" xfId="10326"/>
    <cellStyle name="40% - 강조색5 40 3" xfId="1141"/>
    <cellStyle name="40% - 강조색5 40 30" xfId="10083"/>
    <cellStyle name="40% - 강조색5 40 31" xfId="10907"/>
    <cellStyle name="40% - 강조색5 40 32" xfId="11163"/>
    <cellStyle name="40% - 강조색5 40 33" xfId="11322"/>
    <cellStyle name="40% - 강조색5 40 34" xfId="11298"/>
    <cellStyle name="40% - 강조색5 40 35" xfId="11378"/>
    <cellStyle name="40% - 강조색5 40 36" xfId="11345"/>
    <cellStyle name="40% - 강조색5 40 4" xfId="1232"/>
    <cellStyle name="40% - 강조색5 40 5" xfId="1619"/>
    <cellStyle name="40% - 강조색5 40 6" xfId="1004"/>
    <cellStyle name="40% - 강조색5 40 7" xfId="2325"/>
    <cellStyle name="40% - 강조색5 40 8" xfId="2604"/>
    <cellStyle name="40% - 강조색5 40 9" xfId="2870"/>
    <cellStyle name="40% - 강조색5 41" xfId="590"/>
    <cellStyle name="40% - 강조색5 41 10" xfId="3179"/>
    <cellStyle name="40% - 강조색5 41 11" xfId="3446"/>
    <cellStyle name="40% - 강조색5 41 12" xfId="2786"/>
    <cellStyle name="40% - 강조색5 41 13" xfId="4206"/>
    <cellStyle name="40% - 강조색5 41 14" xfId="4538"/>
    <cellStyle name="40% - 강조색5 41 15" xfId="5336"/>
    <cellStyle name="40% - 강조색5 41 16" xfId="5424"/>
    <cellStyle name="40% - 강조색5 41 17" xfId="5571"/>
    <cellStyle name="40% - 강조색5 41 18" xfId="3826"/>
    <cellStyle name="40% - 강조색5 41 19" xfId="6534"/>
    <cellStyle name="40% - 강조색5 41 2" xfId="1089"/>
    <cellStyle name="40% - 강조색5 41 20" xfId="6055"/>
    <cellStyle name="40% - 강조색5 41 21" xfId="7077"/>
    <cellStyle name="40% - 강조색5 41 22" xfId="7636"/>
    <cellStyle name="40% - 강조색5 41 23" xfId="8013"/>
    <cellStyle name="40% - 강조색5 41 24" xfId="4449"/>
    <cellStyle name="40% - 강조색5 41 25" xfId="3072"/>
    <cellStyle name="40% - 강조색5 41 26" xfId="9296"/>
    <cellStyle name="40% - 강조색5 41 27" xfId="9496"/>
    <cellStyle name="40% - 강조색5 41 28" xfId="6130"/>
    <cellStyle name="40% - 강조색5 41 29" xfId="6090"/>
    <cellStyle name="40% - 강조색5 41 3" xfId="1180"/>
    <cellStyle name="40% - 강조색5 41 30" xfId="10541"/>
    <cellStyle name="40% - 강조색5 41 31" xfId="6108"/>
    <cellStyle name="40% - 강조색5 41 32" xfId="9111"/>
    <cellStyle name="40% - 강조색5 41 4" xfId="1271"/>
    <cellStyle name="40% - 강조색5 41 5" xfId="1717"/>
    <cellStyle name="40% - 강조색5 41 6" xfId="1314"/>
    <cellStyle name="40% - 강조색5 41 7" xfId="845"/>
    <cellStyle name="40% - 강조색5 41 8" xfId="2631"/>
    <cellStyle name="40% - 강조색5 41 9" xfId="2711"/>
    <cellStyle name="40% - 강조색5 42" xfId="616"/>
    <cellStyle name="40% - 강조색5 42 10" xfId="3147"/>
    <cellStyle name="40% - 강조색5 42 11" xfId="3455"/>
    <cellStyle name="40% - 강조색5 42 12" xfId="3870"/>
    <cellStyle name="40% - 강조색5 42 13" xfId="4135"/>
    <cellStyle name="40% - 강조색5 42 14" xfId="1891"/>
    <cellStyle name="40% - 강조색5 42 15" xfId="5054"/>
    <cellStyle name="40% - 강조색5 42 16" xfId="4837"/>
    <cellStyle name="40% - 강조색5 42 17" xfId="5329"/>
    <cellStyle name="40% - 강조색5 42 18" xfId="5305"/>
    <cellStyle name="40% - 강조색5 42 19" xfId="6087"/>
    <cellStyle name="40% - 강조색5 42 2" xfId="1115"/>
    <cellStyle name="40% - 강조색5 42 20" xfId="6825"/>
    <cellStyle name="40% - 강조색5 42 21" xfId="4799"/>
    <cellStyle name="40% - 강조색5 42 22" xfId="7769"/>
    <cellStyle name="40% - 강조색5 42 23" xfId="7956"/>
    <cellStyle name="40% - 강조색5 42 24" xfId="8307"/>
    <cellStyle name="40% - 강조색5 42 25" xfId="6870"/>
    <cellStyle name="40% - 강조색5 42 26" xfId="9251"/>
    <cellStyle name="40% - 강조색5 42 27" xfId="9446"/>
    <cellStyle name="40% - 강조색5 42 28" xfId="9787"/>
    <cellStyle name="40% - 강조색5 42 29" xfId="9401"/>
    <cellStyle name="40% - 강조색5 42 3" xfId="1206"/>
    <cellStyle name="40% - 강조색5 42 30" xfId="967"/>
    <cellStyle name="40% - 강조색5 42 31" xfId="6389"/>
    <cellStyle name="40% - 강조색5 42 32" xfId="9939"/>
    <cellStyle name="40% - 강조색5 42 4" xfId="1297"/>
    <cellStyle name="40% - 강조색5 42 5" xfId="1681"/>
    <cellStyle name="40% - 강조색5 42 6" xfId="1565"/>
    <cellStyle name="40% - 강조색5 42 7" xfId="2197"/>
    <cellStyle name="40% - 강조색5 42 8" xfId="943"/>
    <cellStyle name="40% - 강조색5 42 9" xfId="1927"/>
    <cellStyle name="40% - 강조색5 43" xfId="556"/>
    <cellStyle name="40% - 강조색5 43 10" xfId="2688"/>
    <cellStyle name="40% - 강조색5 43 11" xfId="3561"/>
    <cellStyle name="40% - 강조색5 43 12" xfId="3855"/>
    <cellStyle name="40% - 강조색5 43 13" xfId="4174"/>
    <cellStyle name="40% - 강조색5 43 14" xfId="3755"/>
    <cellStyle name="40% - 강조색5 43 15" xfId="3723"/>
    <cellStyle name="40% - 강조색5 43 16" xfId="2553"/>
    <cellStyle name="40% - 강조색5 43 17" xfId="1403"/>
    <cellStyle name="40% - 강조색5 43 18" xfId="5542"/>
    <cellStyle name="40% - 강조색5 43 19" xfId="6562"/>
    <cellStyle name="40% - 강조색5 43 2" xfId="1055"/>
    <cellStyle name="40% - 강조색5 43 20" xfId="3952"/>
    <cellStyle name="40% - 강조색5 43 21" xfId="4461"/>
    <cellStyle name="40% - 강조색5 43 22" xfId="4774"/>
    <cellStyle name="40% - 강조색5 43 23" xfId="4578"/>
    <cellStyle name="40% - 강조색5 43 24" xfId="8599"/>
    <cellStyle name="40% - 강조색5 43 25" xfId="6302"/>
    <cellStyle name="40% - 강조색5 43 26" xfId="9114"/>
    <cellStyle name="40% - 강조색5 43 27" xfId="9660"/>
    <cellStyle name="40% - 강조색5 43 28" xfId="9865"/>
    <cellStyle name="40% - 강조색5 43 29" xfId="7968"/>
    <cellStyle name="40% - 강조색5 43 3" xfId="1146"/>
    <cellStyle name="40% - 강조색5 43 30" xfId="10301"/>
    <cellStyle name="40% - 강조색5 43 31" xfId="10816"/>
    <cellStyle name="40% - 강조색5 43 32" xfId="11025"/>
    <cellStyle name="40% - 강조색5 43 4" xfId="1237"/>
    <cellStyle name="40% - 강조색5 43 5" xfId="1747"/>
    <cellStyle name="40% - 강조색5 43 6" xfId="2016"/>
    <cellStyle name="40% - 강조색5 43 7" xfId="2170"/>
    <cellStyle name="40% - 강조색5 43 8" xfId="2426"/>
    <cellStyle name="40% - 강조색5 43 9" xfId="1513"/>
    <cellStyle name="40% - 강조색5 44" xfId="589"/>
    <cellStyle name="40% - 강조색5 44 10" xfId="1830"/>
    <cellStyle name="40% - 강조색5 44 11" xfId="2765"/>
    <cellStyle name="40% - 강조색5 44 12" xfId="3692"/>
    <cellStyle name="40% - 강조색5 44 13" xfId="4336"/>
    <cellStyle name="40% - 강조색5 44 14" xfId="4424"/>
    <cellStyle name="40% - 강조색5 44 15" xfId="5206"/>
    <cellStyle name="40% - 강조색5 44 16" xfId="5703"/>
    <cellStyle name="40% - 강조색5 44 17" xfId="5808"/>
    <cellStyle name="40% - 강조색5 44 18" xfId="5884"/>
    <cellStyle name="40% - 강조색5 44 19" xfId="6229"/>
    <cellStyle name="40% - 강조색5 44 2" xfId="1088"/>
    <cellStyle name="40% - 강조색5 44 20" xfId="6936"/>
    <cellStyle name="40% - 강조색5 44 21" xfId="7202"/>
    <cellStyle name="40% - 강조색5 44 22" xfId="4155"/>
    <cellStyle name="40% - 강조색5 44 23" xfId="1600"/>
    <cellStyle name="40% - 강조색5 44 24" xfId="8569"/>
    <cellStyle name="40% - 강조색5 44 25" xfId="7942"/>
    <cellStyle name="40% - 강조색5 44 26" xfId="3383"/>
    <cellStyle name="40% - 강조색5 44 27" xfId="9391"/>
    <cellStyle name="40% - 강조색5 44 28" xfId="7393"/>
    <cellStyle name="40% - 강조색5 44 29" xfId="10211"/>
    <cellStyle name="40% - 강조색5 44 3" xfId="1179"/>
    <cellStyle name="40% - 강조색5 44 30" xfId="10639"/>
    <cellStyle name="40% - 강조색5 44 31" xfId="10863"/>
    <cellStyle name="40% - 강조색5 44 32" xfId="8878"/>
    <cellStyle name="40% - 강조색5 44 4" xfId="1270"/>
    <cellStyle name="40% - 강조색5 44 5" xfId="1654"/>
    <cellStyle name="40% - 강조색5 44 6" xfId="989"/>
    <cellStyle name="40% - 강조색5 44 7" xfId="2063"/>
    <cellStyle name="40% - 강조색5 44 8" xfId="1516"/>
    <cellStyle name="40% - 강조색5 44 9" xfId="2890"/>
    <cellStyle name="40% - 강조색5 45" xfId="583"/>
    <cellStyle name="40% - 강조색5 45 10" xfId="3265"/>
    <cellStyle name="40% - 강조색5 45 11" xfId="2867"/>
    <cellStyle name="40% - 강조색5 45 12" xfId="3689"/>
    <cellStyle name="40% - 강조색5 45 13" xfId="4313"/>
    <cellStyle name="40% - 강조색5 45 14" xfId="4074"/>
    <cellStyle name="40% - 강조색5 45 15" xfId="1440"/>
    <cellStyle name="40% - 강조색5 45 16" xfId="5757"/>
    <cellStyle name="40% - 강조색5 45 17" xfId="5847"/>
    <cellStyle name="40% - 강조색5 45 18" xfId="5910"/>
    <cellStyle name="40% - 강조색5 45 19" xfId="6379"/>
    <cellStyle name="40% - 강조색5 45 2" xfId="1082"/>
    <cellStyle name="40% - 강조색5 45 20" xfId="3472"/>
    <cellStyle name="40% - 강조색5 45 21" xfId="6939"/>
    <cellStyle name="40% - 강조색5 45 22" xfId="4556"/>
    <cellStyle name="40% - 강조색5 45 23" xfId="8178"/>
    <cellStyle name="40% - 강조색5 45 24" xfId="6805"/>
    <cellStyle name="40% - 강조색5 45 25" xfId="8838"/>
    <cellStyle name="40% - 강조색5 45 26" xfId="9230"/>
    <cellStyle name="40% - 강조색5 45 27" xfId="9623"/>
    <cellStyle name="40% - 강조색5 45 28" xfId="9397"/>
    <cellStyle name="40% - 강조색5 45 29" xfId="10119"/>
    <cellStyle name="40% - 강조색5 45 3" xfId="1173"/>
    <cellStyle name="40% - 강조색5 45 30" xfId="10508"/>
    <cellStyle name="40% - 강조색5 45 31" xfId="10854"/>
    <cellStyle name="40% - 강조색5 45 32" xfId="11036"/>
    <cellStyle name="40% - 강조색5 45 4" xfId="1264"/>
    <cellStyle name="40% - 강조색5 45 5" xfId="1698"/>
    <cellStyle name="40% - 강조색5 45 6" xfId="1991"/>
    <cellStyle name="40% - 강조색5 45 7" xfId="2318"/>
    <cellStyle name="40% - 강조색5 45 8" xfId="1846"/>
    <cellStyle name="40% - 강조색5 45 9" xfId="2830"/>
    <cellStyle name="40% - 강조색5 46" xfId="578"/>
    <cellStyle name="40% - 강조색5 46 10" xfId="3290"/>
    <cellStyle name="40% - 강조색5 46 11" xfId="3480"/>
    <cellStyle name="40% - 강조색5 46 12" xfId="3737"/>
    <cellStyle name="40% - 강조색5 46 13" xfId="4110"/>
    <cellStyle name="40% - 강조색5 46 14" xfId="2817"/>
    <cellStyle name="40% - 강조색5 46 15" xfId="4914"/>
    <cellStyle name="40% - 강조색5 46 16" xfId="4879"/>
    <cellStyle name="40% - 강조색5 46 17" xfId="5754"/>
    <cellStyle name="40% - 강조색5 46 18" xfId="5844"/>
    <cellStyle name="40% - 강조색5 46 19" xfId="6443"/>
    <cellStyle name="40% - 강조색5 46 2" xfId="1077"/>
    <cellStyle name="40% - 강조색5 46 20" xfId="6221"/>
    <cellStyle name="40% - 강조색5 46 21" xfId="4757"/>
    <cellStyle name="40% - 강조색5 46 22" xfId="7701"/>
    <cellStyle name="40% - 강조색5 46 23" xfId="7923"/>
    <cellStyle name="40% - 강조색5 46 24" xfId="8564"/>
    <cellStyle name="40% - 강조색5 46 25" xfId="8687"/>
    <cellStyle name="40% - 강조색5 46 26" xfId="9097"/>
    <cellStyle name="40% - 강조색5 46 27" xfId="9453"/>
    <cellStyle name="40% - 강조색5 46 28" xfId="7641"/>
    <cellStyle name="40% - 강조색5 46 29" xfId="9500"/>
    <cellStyle name="40% - 강조색5 46 3" xfId="1168"/>
    <cellStyle name="40% - 강조색5 46 30" xfId="10608"/>
    <cellStyle name="40% - 강조색5 46 31" xfId="8695"/>
    <cellStyle name="40% - 강조색5 46 32" xfId="8003"/>
    <cellStyle name="40% - 강조색5 46 4" xfId="1259"/>
    <cellStyle name="40% - 강조색5 46 5" xfId="1696"/>
    <cellStyle name="40% - 강조색5 46 6" xfId="2041"/>
    <cellStyle name="40% - 강조색5 46 7" xfId="2296"/>
    <cellStyle name="40% - 강조색5 46 8" xfId="915"/>
    <cellStyle name="40% - 강조색5 46 9" xfId="2864"/>
    <cellStyle name="40% - 강조색5 47" xfId="645"/>
    <cellStyle name="40% - 강조색5 47 10" xfId="1571"/>
    <cellStyle name="40% - 강조색5 47 11" xfId="4694"/>
    <cellStyle name="40% - 강조색5 47 12" xfId="4219"/>
    <cellStyle name="40% - 강조색5 47 13" xfId="5381"/>
    <cellStyle name="40% - 강조색5 47 14" xfId="5358"/>
    <cellStyle name="40% - 강조색5 47 15" xfId="5519"/>
    <cellStyle name="40% - 강조색5 47 16" xfId="3226"/>
    <cellStyle name="40% - 강조색5 47 17" xfId="7179"/>
    <cellStyle name="40% - 강조색5 47 18" xfId="7078"/>
    <cellStyle name="40% - 강조색5 47 19" xfId="7756"/>
    <cellStyle name="40% - 강조색5 47 2" xfId="1707"/>
    <cellStyle name="40% - 강조색5 47 20" xfId="8172"/>
    <cellStyle name="40% - 강조색5 47 21" xfId="4325"/>
    <cellStyle name="40% - 강조색5 47 22" xfId="8693"/>
    <cellStyle name="40% - 강조색5 47 23" xfId="732"/>
    <cellStyle name="40% - 강조색5 47 24" xfId="7612"/>
    <cellStyle name="40% - 강조색5 47 25" xfId="9894"/>
    <cellStyle name="40% - 강조색5 47 26" xfId="9840"/>
    <cellStyle name="40% - 강조색5 47 27" xfId="2115"/>
    <cellStyle name="40% - 강조색5 47 28" xfId="10930"/>
    <cellStyle name="40% - 강조색5 47 29" xfId="10738"/>
    <cellStyle name="40% - 강조색5 47 3" xfId="1972"/>
    <cellStyle name="40% - 강조색5 47 30" xfId="11331"/>
    <cellStyle name="40% - 강조색5 47 31" xfId="11400"/>
    <cellStyle name="40% - 강조색5 47 32" xfId="11402"/>
    <cellStyle name="40% - 강조색5 47 33" xfId="11414"/>
    <cellStyle name="40% - 강조색5 47 4" xfId="2263"/>
    <cellStyle name="40% - 강조색5 47 5" xfId="2601"/>
    <cellStyle name="40% - 강조색5 47 6" xfId="1942"/>
    <cellStyle name="40% - 강조색5 47 7" xfId="3068"/>
    <cellStyle name="40% - 강조색5 47 8" xfId="3306"/>
    <cellStyle name="40% - 강조색5 47 9" xfId="3869"/>
    <cellStyle name="40% - 강조색5 48" xfId="698"/>
    <cellStyle name="40% - 강조색5 48 10" xfId="4167"/>
    <cellStyle name="40% - 강조색5 48 11" xfId="4716"/>
    <cellStyle name="40% - 강조색5 48 12" xfId="5463"/>
    <cellStyle name="40% - 강조색5 48 13" xfId="5482"/>
    <cellStyle name="40% - 강조색5 48 14" xfId="5401"/>
    <cellStyle name="40% - 강조색5 48 15" xfId="5129"/>
    <cellStyle name="40% - 강조색5 48 16" xfId="6383"/>
    <cellStyle name="40% - 강조색5 48 17" xfId="6174"/>
    <cellStyle name="40% - 강조색5 48 18" xfId="7026"/>
    <cellStyle name="40% - 강조색5 48 19" xfId="7366"/>
    <cellStyle name="40% - 강조색5 48 2" xfId="1702"/>
    <cellStyle name="40% - 강조색5 48 20" xfId="8183"/>
    <cellStyle name="40% - 강조색5 48 21" xfId="3811"/>
    <cellStyle name="40% - 강조색5 48 22" xfId="8822"/>
    <cellStyle name="40% - 강조색5 48 23" xfId="9117"/>
    <cellStyle name="40% - 강조색5 48 24" xfId="9666"/>
    <cellStyle name="40% - 강조색5 48 25" xfId="9902"/>
    <cellStyle name="40% - 강조색5 48 26" xfId="10165"/>
    <cellStyle name="40% - 강조색5 48 27" xfId="9163"/>
    <cellStyle name="40% - 강조색5 48 28" xfId="5047"/>
    <cellStyle name="40% - 강조색5 48 29" xfId="11224"/>
    <cellStyle name="40% - 강조색5 48 3" xfId="2038"/>
    <cellStyle name="40% - 강조색5 48 4" xfId="2317"/>
    <cellStyle name="40% - 강조색5 48 5" xfId="1900"/>
    <cellStyle name="40% - 강조색5 48 6" xfId="797"/>
    <cellStyle name="40% - 강조색5 48 7" xfId="3250"/>
    <cellStyle name="40% - 강조색5 48 8" xfId="3121"/>
    <cellStyle name="40% - 강조색5 48 9" xfId="3575"/>
    <cellStyle name="40% - 강조색5 49" xfId="661"/>
    <cellStyle name="40% - 강조색5 49 10" xfId="4090"/>
    <cellStyle name="40% - 강조색5 49 11" xfId="4658"/>
    <cellStyle name="40% - 강조색5 49 12" xfId="5074"/>
    <cellStyle name="40% - 강조색5 49 13" xfId="5772"/>
    <cellStyle name="40% - 강조색5 49 14" xfId="5856"/>
    <cellStyle name="40% - 강조색5 49 15" xfId="5916"/>
    <cellStyle name="40% - 강조색5 49 16" xfId="1587"/>
    <cellStyle name="40% - 강조색5 49 17" xfId="7242"/>
    <cellStyle name="40% - 강조색5 49 18" xfId="6995"/>
    <cellStyle name="40% - 강조색5 49 19" xfId="7639"/>
    <cellStyle name="40% - 강조색5 49 2" xfId="1749"/>
    <cellStyle name="40% - 강조색5 49 20" xfId="7995"/>
    <cellStyle name="40% - 강조색5 49 21" xfId="8581"/>
    <cellStyle name="40% - 강조색5 49 22" xfId="4183"/>
    <cellStyle name="40% - 강조색5 49 23" xfId="7965"/>
    <cellStyle name="40% - 강조색5 49 24" xfId="9627"/>
    <cellStyle name="40% - 강조색5 49 25" xfId="6417"/>
    <cellStyle name="40% - 강조색5 49 26" xfId="5964"/>
    <cellStyle name="40% - 강조색5 49 27" xfId="2384"/>
    <cellStyle name="40% - 강조색5 49 28" xfId="10949"/>
    <cellStyle name="40% - 강조색5 49 29" xfId="6896"/>
    <cellStyle name="40% - 강조색5 49 3" xfId="2025"/>
    <cellStyle name="40% - 강조색5 49 4" xfId="918"/>
    <cellStyle name="40% - 강조색5 49 5" xfId="2582"/>
    <cellStyle name="40% - 강조색5 49 6" xfId="2097"/>
    <cellStyle name="40% - 강조색5 49 7" xfId="3145"/>
    <cellStyle name="40% - 강조색5 49 8" xfId="990"/>
    <cellStyle name="40% - 강조색5 49 9" xfId="3902"/>
    <cellStyle name="40% - 강조색5 5" xfId="107"/>
    <cellStyle name="40% - 강조색5 50" xfId="710"/>
    <cellStyle name="40% - 강조색5 50 10" xfId="791"/>
    <cellStyle name="40% - 강조색5 50 11" xfId="1462"/>
    <cellStyle name="40% - 강조색5 50 12" xfId="2073"/>
    <cellStyle name="40% - 강조색5 50 13" xfId="3207"/>
    <cellStyle name="40% - 강조색5 50 14" xfId="3008"/>
    <cellStyle name="40% - 강조색5 50 15" xfId="4848"/>
    <cellStyle name="40% - 강조색5 50 16" xfId="6460"/>
    <cellStyle name="40% - 강조색5 50 17" xfId="7158"/>
    <cellStyle name="40% - 강조색5 50 18" xfId="7160"/>
    <cellStyle name="40% - 강조색5 50 19" xfId="6277"/>
    <cellStyle name="40% - 강조색5 50 2" xfId="1623"/>
    <cellStyle name="40% - 강조색5 50 20" xfId="8215"/>
    <cellStyle name="40% - 강조색5 50 21" xfId="3422"/>
    <cellStyle name="40% - 강조색5 50 22" xfId="8944"/>
    <cellStyle name="40% - 강조색5 50 23" xfId="4892"/>
    <cellStyle name="40% - 강조색5 50 24" xfId="9592"/>
    <cellStyle name="40% - 강조색5 50 25" xfId="9851"/>
    <cellStyle name="40% - 강조색5 50 26" xfId="10125"/>
    <cellStyle name="40% - 강조색5 50 27" xfId="10456"/>
    <cellStyle name="40% - 강조색5 50 28" xfId="8368"/>
    <cellStyle name="40% - 강조색5 50 29" xfId="11155"/>
    <cellStyle name="40% - 강조색5 50 3" xfId="960"/>
    <cellStyle name="40% - 강조색5 50 4" xfId="2299"/>
    <cellStyle name="40% - 강조색5 50 5" xfId="2612"/>
    <cellStyle name="40% - 강조색5 50 6" xfId="2899"/>
    <cellStyle name="40% - 강조색5 50 7" xfId="3287"/>
    <cellStyle name="40% - 강조색5 50 8" xfId="3457"/>
    <cellStyle name="40% - 강조색5 50 9" xfId="3887"/>
    <cellStyle name="40% - 강조색5 51" xfId="672"/>
    <cellStyle name="40% - 강조색5 51 10" xfId="4246"/>
    <cellStyle name="40% - 강조색5 51 11" xfId="4606"/>
    <cellStyle name="40% - 강조색5 51 12" xfId="5383"/>
    <cellStyle name="40% - 강조색5 51 13" xfId="5408"/>
    <cellStyle name="40% - 강조색5 51 14" xfId="5522"/>
    <cellStyle name="40% - 강조색5 51 15" xfId="5398"/>
    <cellStyle name="40% - 강조색5 51 16" xfId="3125"/>
    <cellStyle name="40% - 강조색5 51 17" xfId="7125"/>
    <cellStyle name="40% - 강조색5 51 18" xfId="6780"/>
    <cellStyle name="40% - 강조색5 51 19" xfId="6193"/>
    <cellStyle name="40% - 강조색5 51 2" xfId="1693"/>
    <cellStyle name="40% - 강조색5 51 20" xfId="8208"/>
    <cellStyle name="40% - 강조색5 51 21" xfId="8275"/>
    <cellStyle name="40% - 강조색5 51 22" xfId="6211"/>
    <cellStyle name="40% - 강조색5 51 23" xfId="9338"/>
    <cellStyle name="40% - 강조색5 51 24" xfId="6889"/>
    <cellStyle name="40% - 강조색5 51 25" xfId="5246"/>
    <cellStyle name="40% - 강조색5 51 26" xfId="3832"/>
    <cellStyle name="40% - 강조색5 51 27" xfId="7233"/>
    <cellStyle name="40% - 강조색5 51 28" xfId="8783"/>
    <cellStyle name="40% - 강조색5 51 29" xfId="11169"/>
    <cellStyle name="40% - 강조색5 51 3" xfId="2037"/>
    <cellStyle name="40% - 강조색5 51 4" xfId="2298"/>
    <cellStyle name="40% - 강조색5 51 5" xfId="1383"/>
    <cellStyle name="40% - 강조색5 51 6" xfId="985"/>
    <cellStyle name="40% - 강조색5 51 7" xfId="1570"/>
    <cellStyle name="40% - 강조색5 51 8" xfId="3586"/>
    <cellStyle name="40% - 강조색5 51 9" xfId="2645"/>
    <cellStyle name="40% - 강조색5 52" xfId="659"/>
    <cellStyle name="40% - 강조색5 52 10" xfId="2066"/>
    <cellStyle name="40% - 강조색5 52 11" xfId="4584"/>
    <cellStyle name="40% - 강조색5 52 12" xfId="5284"/>
    <cellStyle name="40% - 강조색5 52 13" xfId="5316"/>
    <cellStyle name="40% - 강조색5 52 14" xfId="5509"/>
    <cellStyle name="40% - 강조색5 52 15" xfId="5773"/>
    <cellStyle name="40% - 강조색5 52 16" xfId="6582"/>
    <cellStyle name="40% - 강조색5 52 17" xfId="6210"/>
    <cellStyle name="40% - 강조색5 52 18" xfId="7004"/>
    <cellStyle name="40% - 강조색5 52 19" xfId="6164"/>
    <cellStyle name="40% - 강조색5 52 2" xfId="1607"/>
    <cellStyle name="40% - 강조색5 52 20" xfId="8147"/>
    <cellStyle name="40% - 강조색5 52 21" xfId="1503"/>
    <cellStyle name="40% - 강조색5 52 22" xfId="8662"/>
    <cellStyle name="40% - 강조색5 52 23" xfId="9139"/>
    <cellStyle name="40% - 강조색5 52 24" xfId="9495"/>
    <cellStyle name="40% - 강조색5 52 25" xfId="9962"/>
    <cellStyle name="40% - 강조색5 52 26" xfId="10252"/>
    <cellStyle name="40% - 강조색5 52 27" xfId="10417"/>
    <cellStyle name="40% - 강조색5 52 28" xfId="10894"/>
    <cellStyle name="40% - 강조색5 52 29" xfId="10994"/>
    <cellStyle name="40% - 강조색5 52 3" xfId="1438"/>
    <cellStyle name="40% - 강조색5 52 4" xfId="780"/>
    <cellStyle name="40% - 강조색5 52 5" xfId="2489"/>
    <cellStyle name="40% - 강조색5 52 6" xfId="2438"/>
    <cellStyle name="40% - 강조색5 52 7" xfId="820"/>
    <cellStyle name="40% - 강조색5 52 8" xfId="3129"/>
    <cellStyle name="40% - 강조색5 52 9" xfId="3819"/>
    <cellStyle name="40% - 강조색5 53" xfId="676"/>
    <cellStyle name="40% - 강조색5 53 10" xfId="4346"/>
    <cellStyle name="40% - 강조색5 53 11" xfId="4599"/>
    <cellStyle name="40% - 강조색5 53 12" xfId="1455"/>
    <cellStyle name="40% - 강조색5 53 13" xfId="5192"/>
    <cellStyle name="40% - 강조색5 53 14" xfId="4758"/>
    <cellStyle name="40% - 강조색5 53 15" xfId="5160"/>
    <cellStyle name="40% - 강조색5 53 16" xfId="6553"/>
    <cellStyle name="40% - 강조색5 53 17" xfId="3495"/>
    <cellStyle name="40% - 강조색5 53 18" xfId="1417"/>
    <cellStyle name="40% - 강조색5 53 19" xfId="6426"/>
    <cellStyle name="40% - 강조색5 53 2" xfId="1712"/>
    <cellStyle name="40% - 강조색5 53 20" xfId="8188"/>
    <cellStyle name="40% - 강조색5 53 21" xfId="5119"/>
    <cellStyle name="40% - 강조색5 53 22" xfId="6341"/>
    <cellStyle name="40% - 강조색5 53 23" xfId="9263"/>
    <cellStyle name="40% - 강조색5 53 24" xfId="9604"/>
    <cellStyle name="40% - 강조색5 53 25" xfId="9861"/>
    <cellStyle name="40% - 강조색5 53 26" xfId="6113"/>
    <cellStyle name="40% - 강조색5 53 27" xfId="10435"/>
    <cellStyle name="40% - 강조색5 53 28" xfId="6186"/>
    <cellStyle name="40% - 강조색5 53 29" xfId="6160"/>
    <cellStyle name="40% - 강조색5 53 3" xfId="934"/>
    <cellStyle name="40% - 강조색5 53 4" xfId="2239"/>
    <cellStyle name="40% - 강조색5 53 5" xfId="2275"/>
    <cellStyle name="40% - 강조색5 53 6" xfId="2770"/>
    <cellStyle name="40% - 강조색5 53 7" xfId="3309"/>
    <cellStyle name="40% - 강조색5 53 8" xfId="3638"/>
    <cellStyle name="40% - 강조색5 53 9" xfId="3810"/>
    <cellStyle name="40% - 강조색5 54" xfId="819"/>
    <cellStyle name="40% - 강조색5 54 10" xfId="4563"/>
    <cellStyle name="40% - 강조색5 54 11" xfId="5348"/>
    <cellStyle name="40% - 강조색5 54 12" xfId="5125"/>
    <cellStyle name="40% - 강조색5 54 13" xfId="4383"/>
    <cellStyle name="40% - 강조색5 54 14" xfId="2459"/>
    <cellStyle name="40% - 강조색5 54 15" xfId="5984"/>
    <cellStyle name="40% - 강조색5 54 16" xfId="1550"/>
    <cellStyle name="40% - 강조색5 54 17" xfId="2935"/>
    <cellStyle name="40% - 강조색5 54 18" xfId="6951"/>
    <cellStyle name="40% - 강조색5 54 19" xfId="5987"/>
    <cellStyle name="40% - 강조색5 54 2" xfId="1556"/>
    <cellStyle name="40% - 강조색5 54 20" xfId="3698"/>
    <cellStyle name="40% - 강조색5 54 21" xfId="8912"/>
    <cellStyle name="40% - 강조색5 54 22" xfId="4815"/>
    <cellStyle name="40% - 강조색5 54 23" xfId="2422"/>
    <cellStyle name="40% - 강조색5 54 24" xfId="10002"/>
    <cellStyle name="40% - 강조색5 54 25" xfId="10173"/>
    <cellStyle name="40% - 강조색5 54 26" xfId="10438"/>
    <cellStyle name="40% - 강조색5 54 27" xfId="10843"/>
    <cellStyle name="40% - 강조색5 54 28" xfId="11154"/>
    <cellStyle name="40% - 강조색5 54 3" xfId="2195"/>
    <cellStyle name="40% - 강조색5 54 4" xfId="2386"/>
    <cellStyle name="40% - 강조색5 54 5" xfId="2949"/>
    <cellStyle name="40% - 강조색5 54 6" xfId="3170"/>
    <cellStyle name="40% - 강조색5 54 7" xfId="3477"/>
    <cellStyle name="40% - 강조색5 54 8" xfId="1500"/>
    <cellStyle name="40% - 강조색5 54 9" xfId="4322"/>
    <cellStyle name="40% - 강조색5 55" xfId="2019"/>
    <cellStyle name="40% - 강조색5 55 10" xfId="5489"/>
    <cellStyle name="40% - 강조색5 55 11" xfId="5655"/>
    <cellStyle name="40% - 강조색5 55 12" xfId="4822"/>
    <cellStyle name="40% - 강조색5 55 13" xfId="5306"/>
    <cellStyle name="40% - 강조색5 55 14" xfId="6073"/>
    <cellStyle name="40% - 강조색5 55 15" xfId="2768"/>
    <cellStyle name="40% - 강조색5 55 16" xfId="7087"/>
    <cellStyle name="40% - 강조색5 55 17" xfId="3714"/>
    <cellStyle name="40% - 강조색5 55 18" xfId="3781"/>
    <cellStyle name="40% - 강조색5 55 19" xfId="8403"/>
    <cellStyle name="40% - 강조색5 55 2" xfId="2344"/>
    <cellStyle name="40% - 강조색5 55 20" xfId="8952"/>
    <cellStyle name="40% - 강조색5 55 21" xfId="9282"/>
    <cellStyle name="40% - 강조색5 55 22" xfId="8893"/>
    <cellStyle name="40% - 강조색5 55 23" xfId="9552"/>
    <cellStyle name="40% - 강조색5 55 24" xfId="8839"/>
    <cellStyle name="40% - 강조색5 55 25" xfId="9911"/>
    <cellStyle name="40% - 강조색5 55 26" xfId="7450"/>
    <cellStyle name="40% - 강조색5 55 27" xfId="10457"/>
    <cellStyle name="40% - 강조색5 55 3" xfId="2663"/>
    <cellStyle name="40% - 강조색5 55 4" xfId="2978"/>
    <cellStyle name="40% - 강조색5 55 5" xfId="3256"/>
    <cellStyle name="40% - 강조색5 55 6" xfId="2686"/>
    <cellStyle name="40% - 강조색5 55 7" xfId="2380"/>
    <cellStyle name="40% - 강조색5 55 8" xfId="4298"/>
    <cellStyle name="40% - 강조색5 55 9" xfId="4387"/>
    <cellStyle name="40% - 강조색5 56" xfId="2272"/>
    <cellStyle name="40% - 강조색5 56 10" xfId="1380"/>
    <cellStyle name="40% - 강조색5 56 11" xfId="5648"/>
    <cellStyle name="40% - 강조색5 56 12" xfId="1025"/>
    <cellStyle name="40% - 강조색5 56 13" xfId="6508"/>
    <cellStyle name="40% - 강조색5 56 14" xfId="6987"/>
    <cellStyle name="40% - 강조색5 56 15" xfId="7011"/>
    <cellStyle name="40% - 강조색5 56 16" xfId="2681"/>
    <cellStyle name="40% - 강조색5 56 17" xfId="3735"/>
    <cellStyle name="40% - 강조색5 56 18" xfId="8552"/>
    <cellStyle name="40% - 강조색5 56 19" xfId="6263"/>
    <cellStyle name="40% - 강조색5 56 2" xfId="2672"/>
    <cellStyle name="40% - 강조색5 56 20" xfId="2109"/>
    <cellStyle name="40% - 강조색5 56 21" xfId="9640"/>
    <cellStyle name="40% - 강조색5 56 22" xfId="9805"/>
    <cellStyle name="40% - 강조색5 56 23" xfId="10088"/>
    <cellStyle name="40% - 강조색5 56 24" xfId="10637"/>
    <cellStyle name="40% - 강조색5 56 25" xfId="10957"/>
    <cellStyle name="40% - 강조색5 56 26" xfId="10996"/>
    <cellStyle name="40% - 강조색5 56 3" xfId="2987"/>
    <cellStyle name="40% - 강조색5 56 4" xfId="3320"/>
    <cellStyle name="40% - 강조색5 56 5" xfId="3654"/>
    <cellStyle name="40% - 강조색5 56 6" xfId="1036"/>
    <cellStyle name="40% - 강조색5 56 7" xfId="855"/>
    <cellStyle name="40% - 강조색5 56 8" xfId="4649"/>
    <cellStyle name="40% - 강조색5 56 9" xfId="5420"/>
    <cellStyle name="40% - 강조색5 57" xfId="2624"/>
    <cellStyle name="40% - 강조색5 57 10" xfId="4878"/>
    <cellStyle name="40% - 강조색5 57 11" xfId="5149"/>
    <cellStyle name="40% - 강조색5 57 12" xfId="4439"/>
    <cellStyle name="40% - 강조색5 57 13" xfId="1812"/>
    <cellStyle name="40% - 강조색5 57 14" xfId="7062"/>
    <cellStyle name="40% - 강조색5 57 15" xfId="7812"/>
    <cellStyle name="40% - 강조색5 57 16" xfId="4797"/>
    <cellStyle name="40% - 강조색5 57 17" xfId="7482"/>
    <cellStyle name="40% - 강조색5 57 18" xfId="6709"/>
    <cellStyle name="40% - 강조색5 57 19" xfId="8853"/>
    <cellStyle name="40% - 강조색5 57 2" xfId="3000"/>
    <cellStyle name="40% - 강조색5 57 20" xfId="9671"/>
    <cellStyle name="40% - 강조색5 57 21" xfId="10015"/>
    <cellStyle name="40% - 강조색5 57 22" xfId="10346"/>
    <cellStyle name="40% - 강조색5 57 23" xfId="8129"/>
    <cellStyle name="40% - 강조색5 57 24" xfId="10828"/>
    <cellStyle name="40% - 강조색5 57 25" xfId="4988"/>
    <cellStyle name="40% - 강조색5 57 3" xfId="3333"/>
    <cellStyle name="40% - 강조색5 57 4" xfId="3665"/>
    <cellStyle name="40% - 강조색5 57 5" xfId="3404"/>
    <cellStyle name="40% - 강조색5 57 6" xfId="4254"/>
    <cellStyle name="40% - 강조색5 57 7" xfId="4482"/>
    <cellStyle name="40% - 강조색5 57 8" xfId="4934"/>
    <cellStyle name="40% - 강조색5 57 9" xfId="5275"/>
    <cellStyle name="40% - 강조색5 58" xfId="1816"/>
    <cellStyle name="40% - 강조색5 58 10" xfId="5507"/>
    <cellStyle name="40% - 강조색5 58 11" xfId="3075"/>
    <cellStyle name="40% - 강조색5 58 12" xfId="7066"/>
    <cellStyle name="40% - 강조색5 58 13" xfId="7124"/>
    <cellStyle name="40% - 강조색5 58 14" xfId="6367"/>
    <cellStyle name="40% - 강조색5 58 15" xfId="6955"/>
    <cellStyle name="40% - 강조색5 58 16" xfId="6820"/>
    <cellStyle name="40% - 강조색5 58 17" xfId="8736"/>
    <cellStyle name="40% - 강조색5 58 18" xfId="8290"/>
    <cellStyle name="40% - 강조색5 58 19" xfId="9587"/>
    <cellStyle name="40% - 강조색5 58 2" xfId="3259"/>
    <cellStyle name="40% - 강조색5 58 20" xfId="9102"/>
    <cellStyle name="40% - 강조색5 58 21" xfId="10254"/>
    <cellStyle name="40% - 강조색5 58 22" xfId="8704"/>
    <cellStyle name="40% - 강조색5 58 23" xfId="9487"/>
    <cellStyle name="40% - 강조색5 58 24" xfId="11093"/>
    <cellStyle name="40% - 강조색5 58 3" xfId="3490"/>
    <cellStyle name="40% - 강조색5 58 4" xfId="3965"/>
    <cellStyle name="40% - 강조색5 58 5" xfId="4210"/>
    <cellStyle name="40% - 강조색5 58 6" xfId="4669"/>
    <cellStyle name="40% - 강조색5 58 7" xfId="4913"/>
    <cellStyle name="40% - 강조색5 58 8" xfId="3213"/>
    <cellStyle name="40% - 강조색5 58 9" xfId="5653"/>
    <cellStyle name="40% - 강조색5 59" xfId="3039"/>
    <cellStyle name="40% - 강조색5 59 10" xfId="6483"/>
    <cellStyle name="40% - 강조색5 59 11" xfId="3848"/>
    <cellStyle name="40% - 강조색5 59 12" xfId="7293"/>
    <cellStyle name="40% - 강조색5 59 13" xfId="6940"/>
    <cellStyle name="40% - 강조색5 59 14" xfId="7973"/>
    <cellStyle name="40% - 강조색5 59 15" xfId="8447"/>
    <cellStyle name="40% - 강조색5 59 16" xfId="8725"/>
    <cellStyle name="40% - 강조색5 59 17" xfId="9186"/>
    <cellStyle name="40% - 강조색5 59 18" xfId="9542"/>
    <cellStyle name="40% - 강조색5 59 19" xfId="9956"/>
    <cellStyle name="40% - 강조색5 59 2" xfId="3679"/>
    <cellStyle name="40% - 강조색5 59 20" xfId="8486"/>
    <cellStyle name="40% - 강조색5 59 21" xfId="9796"/>
    <cellStyle name="40% - 강조색5 59 22" xfId="3426"/>
    <cellStyle name="40% - 강조색5 59 23" xfId="11207"/>
    <cellStyle name="40% - 강조색5 59 3" xfId="4018"/>
    <cellStyle name="40% - 강조색5 59 4" xfId="1478"/>
    <cellStyle name="40% - 강조색5 59 5" xfId="1796"/>
    <cellStyle name="40% - 강조색5 59 6" xfId="5390"/>
    <cellStyle name="40% - 강조색5 59 7" xfId="1955"/>
    <cellStyle name="40% - 강조색5 59 8" xfId="5393"/>
    <cellStyle name="40% - 강조색5 59 9" xfId="5641"/>
    <cellStyle name="40% - 강조색5 6" xfId="120"/>
    <cellStyle name="40% - 강조색5 60" xfId="3570"/>
    <cellStyle name="40% - 강조색5 60 10" xfId="7200"/>
    <cellStyle name="40% - 강조색5 60 11" xfId="7258"/>
    <cellStyle name="40% - 강조색5 60 12" xfId="7731"/>
    <cellStyle name="40% - 강조색5 60 13" xfId="8165"/>
    <cellStyle name="40% - 강조색5 60 14" xfId="8328"/>
    <cellStyle name="40% - 강조색5 60 15" xfId="8673"/>
    <cellStyle name="40% - 강조색5 60 16" xfId="9167"/>
    <cellStyle name="40% - 강조색5 60 17" xfId="9465"/>
    <cellStyle name="40% - 강조색5 60 18" xfId="6200"/>
    <cellStyle name="40% - 강조색5 60 19" xfId="10315"/>
    <cellStyle name="40% - 강조색5 60 2" xfId="4030"/>
    <cellStyle name="40% - 강조색5 60 20" xfId="9193"/>
    <cellStyle name="40% - 강조색5 60 21" xfId="10823"/>
    <cellStyle name="40% - 강조색5 60 22" xfId="11029"/>
    <cellStyle name="40% - 강조색5 60 3" xfId="4366"/>
    <cellStyle name="40% - 강조색5 60 4" xfId="4719"/>
    <cellStyle name="40% - 강조색5 60 5" xfId="5363"/>
    <cellStyle name="40% - 강조색5 60 6" xfId="5240"/>
    <cellStyle name="40% - 강조색5 60 7" xfId="2088"/>
    <cellStyle name="40% - 강조색5 60 8" xfId="4747"/>
    <cellStyle name="40% - 강조색5 60 9" xfId="6574"/>
    <cellStyle name="40% - 강조색5 61" xfId="2750"/>
    <cellStyle name="40% - 강조색5 61 10" xfId="6968"/>
    <cellStyle name="40% - 강조색5 61 11" xfId="7614"/>
    <cellStyle name="40% - 강조색5 61 12" xfId="8181"/>
    <cellStyle name="40% - 강조색5 61 13" xfId="8537"/>
    <cellStyle name="40% - 강조색5 61 14" xfId="8828"/>
    <cellStyle name="40% - 강조색5 61 15" xfId="9087"/>
    <cellStyle name="40% - 강조색5 61 16" xfId="9544"/>
    <cellStyle name="40% - 강조색5 61 17" xfId="9948"/>
    <cellStyle name="40% - 강조색5 61 18" xfId="8439"/>
    <cellStyle name="40% - 강조색5 61 19" xfId="10419"/>
    <cellStyle name="40% - 강조색5 61 2" xfId="4118"/>
    <cellStyle name="40% - 강조색5 61 20" xfId="1374"/>
    <cellStyle name="40% - 강조색5 61 21" xfId="9489"/>
    <cellStyle name="40% - 강조색5 61 3" xfId="4564"/>
    <cellStyle name="40% - 강조색5 61 4" xfId="1940"/>
    <cellStyle name="40% - 강조색5 61 5" xfId="3731"/>
    <cellStyle name="40% - 강조색5 61 6" xfId="5098"/>
    <cellStyle name="40% - 강조색5 61 7" xfId="5615"/>
    <cellStyle name="40% - 강조색5 61 8" xfId="3694"/>
    <cellStyle name="40% - 강조색5 61 9" xfId="6682"/>
    <cellStyle name="40% - 강조색5 62" xfId="2439"/>
    <cellStyle name="40% - 강조색5 62 10" xfId="7754"/>
    <cellStyle name="40% - 강조색5 62 11" xfId="7904"/>
    <cellStyle name="40% - 강조색5 62 12" xfId="2154"/>
    <cellStyle name="40% - 강조색5 62 13" xfId="3858"/>
    <cellStyle name="40% - 강조색5 62 14" xfId="9293"/>
    <cellStyle name="40% - 강조색5 62 15" xfId="7379"/>
    <cellStyle name="40% - 강조색5 62 16" xfId="9987"/>
    <cellStyle name="40% - 강조색5 62 17" xfId="9048"/>
    <cellStyle name="40% - 강조색5 62 18" xfId="3231"/>
    <cellStyle name="40% - 강조색5 62 19" xfId="4612"/>
    <cellStyle name="40% - 강조색5 62 2" xfId="4518"/>
    <cellStyle name="40% - 강조색5 62 20" xfId="9790"/>
    <cellStyle name="40% - 강조색5 62 3" xfId="1820"/>
    <cellStyle name="40% - 강조색5 62 4" xfId="5126"/>
    <cellStyle name="40% - 강조색5 62 5" xfId="5450"/>
    <cellStyle name="40% - 강조색5 62 6" xfId="2684"/>
    <cellStyle name="40% - 강조색5 62 7" xfId="4522"/>
    <cellStyle name="40% - 강조색5 62 8" xfId="6828"/>
    <cellStyle name="40% - 강조색5 62 9" xfId="6875"/>
    <cellStyle name="40% - 강조색5 63" xfId="4602"/>
    <cellStyle name="40% - 강조색5 63 10" xfId="8118"/>
    <cellStyle name="40% - 강조색5 63 11" xfId="7574"/>
    <cellStyle name="40% - 강조색5 63 12" xfId="8958"/>
    <cellStyle name="40% - 강조색5 63 13" xfId="9085"/>
    <cellStyle name="40% - 강조색5 63 14" xfId="8775"/>
    <cellStyle name="40% - 강조색5 63 15" xfId="5280"/>
    <cellStyle name="40% - 강조색5 63 16" xfId="9303"/>
    <cellStyle name="40% - 강조색5 63 17" xfId="10536"/>
    <cellStyle name="40% - 강조색5 63 18" xfId="10808"/>
    <cellStyle name="40% - 강조색5 63 19" xfId="8926"/>
    <cellStyle name="40% - 강조색5 63 2" xfId="5776"/>
    <cellStyle name="40% - 강조색5 63 3" xfId="5858"/>
    <cellStyle name="40% - 강조색5 63 4" xfId="5917"/>
    <cellStyle name="40% - 강조색5 63 5" xfId="5948"/>
    <cellStyle name="40% - 강조색5 63 6" xfId="6608"/>
    <cellStyle name="40% - 강조색5 63 7" xfId="6958"/>
    <cellStyle name="40% - 강조색5 63 8" xfId="7307"/>
    <cellStyle name="40% - 강조색5 63 9" xfId="7684"/>
    <cellStyle name="40% - 강조색5 64" xfId="5108"/>
    <cellStyle name="40% - 강조색5 64 10" xfId="6107"/>
    <cellStyle name="40% - 강조색5 64 11" xfId="9789"/>
    <cellStyle name="40% - 강조색5 64 12" xfId="9449"/>
    <cellStyle name="40% - 강조색5 64 13" xfId="7444"/>
    <cellStyle name="40% - 강조색5 64 14" xfId="10149"/>
    <cellStyle name="40% - 강조색5 64 15" xfId="11118"/>
    <cellStyle name="40% - 강조색5 64 2" xfId="6626"/>
    <cellStyle name="40% - 강조색5 64 3" xfId="7076"/>
    <cellStyle name="40% - 강조색5 64 4" xfId="6716"/>
    <cellStyle name="40% - 강조색5 64 5" xfId="6406"/>
    <cellStyle name="40% - 강조색5 64 6" xfId="6353"/>
    <cellStyle name="40% - 강조색5 64 7" xfId="8487"/>
    <cellStyle name="40% - 강조색5 64 8" xfId="6448"/>
    <cellStyle name="40% - 강조색5 64 9" xfId="9054"/>
    <cellStyle name="40% - 강조색5 65" xfId="5328"/>
    <cellStyle name="40% - 강조색5 65 10" xfId="9668"/>
    <cellStyle name="40% - 강조색5 65 11" xfId="9765"/>
    <cellStyle name="40% - 강조색5 65 12" xfId="10342"/>
    <cellStyle name="40% - 강조색5 65 13" xfId="3420"/>
    <cellStyle name="40% - 강조색5 65 14" xfId="10875"/>
    <cellStyle name="40% - 강조색5 65 15" xfId="9635"/>
    <cellStyle name="40% - 강조색5 65 2" xfId="6634"/>
    <cellStyle name="40% - 강조색5 65 3" xfId="7067"/>
    <cellStyle name="40% - 강조색5 65 4" xfId="6953"/>
    <cellStyle name="40% - 강조색5 65 5" xfId="7507"/>
    <cellStyle name="40% - 강조색5 65 6" xfId="8007"/>
    <cellStyle name="40% - 강조색5 65 7" xfId="6198"/>
    <cellStyle name="40% - 강조색5 65 8" xfId="8974"/>
    <cellStyle name="40% - 강조색5 65 9" xfId="9179"/>
    <cellStyle name="40% - 강조색5 66" xfId="5534"/>
    <cellStyle name="40% - 강조색5 66 10" xfId="3574"/>
    <cellStyle name="40% - 강조색5 66 11" xfId="4574"/>
    <cellStyle name="40% - 강조색5 66 12" xfId="10172"/>
    <cellStyle name="40% - 강조색5 66 13" xfId="8110"/>
    <cellStyle name="40% - 강조색5 66 14" xfId="9185"/>
    <cellStyle name="40% - 강조색5 66 15" xfId="10831"/>
    <cellStyle name="40% - 강조색5 66 2" xfId="6646"/>
    <cellStyle name="40% - 강조색5 66 3" xfId="7255"/>
    <cellStyle name="40% - 강조색5 66 4" xfId="4141"/>
    <cellStyle name="40% - 강조색5 66 5" xfId="7479"/>
    <cellStyle name="40% - 강조색5 66 6" xfId="8189"/>
    <cellStyle name="40% - 강조색5 66 7" xfId="8425"/>
    <cellStyle name="40% - 강조색5 66 8" xfId="8963"/>
    <cellStyle name="40% - 강조색5 66 9" xfId="4567"/>
    <cellStyle name="40% - 강조색5 67" xfId="5761"/>
    <cellStyle name="40% - 강조색5 67 10" xfId="9634"/>
    <cellStyle name="40% - 강조색5 67 11" xfId="2544"/>
    <cellStyle name="40% - 강조색5 67 12" xfId="10159"/>
    <cellStyle name="40% - 강조색5 67 13" xfId="10492"/>
    <cellStyle name="40% - 강조색5 67 14" xfId="10805"/>
    <cellStyle name="40% - 강조색5 67 15" xfId="11174"/>
    <cellStyle name="40% - 강조색5 67 2" xfId="6655"/>
    <cellStyle name="40% - 강조색5 67 3" xfId="7278"/>
    <cellStyle name="40% - 강조색5 67 4" xfId="7082"/>
    <cellStyle name="40% - 강조색5 67 5" xfId="7823"/>
    <cellStyle name="40% - 강조색5 67 6" xfId="7870"/>
    <cellStyle name="40% - 강조색5 67 7" xfId="8579"/>
    <cellStyle name="40% - 강조색5 67 8" xfId="3438"/>
    <cellStyle name="40% - 강조색5 67 9" xfId="9331"/>
    <cellStyle name="40% - 강조색5 68" xfId="6474"/>
    <cellStyle name="40% - 강조색5 68 10" xfId="9896"/>
    <cellStyle name="40% - 강조색5 68 11" xfId="4433"/>
    <cellStyle name="40% - 강조색5 68 12" xfId="10661"/>
    <cellStyle name="40% - 강조색5 68 13" xfId="6351"/>
    <cellStyle name="40% - 강조색5 68 14" xfId="11177"/>
    <cellStyle name="40% - 강조색5 68 2" xfId="7322"/>
    <cellStyle name="40% - 강조색5 68 3" xfId="7349"/>
    <cellStyle name="40% - 강조색5 68 4" xfId="7838"/>
    <cellStyle name="40% - 강조색5 68 5" xfId="8001"/>
    <cellStyle name="40% - 강조색5 68 6" xfId="8550"/>
    <cellStyle name="40% - 강조색5 68 7" xfId="8907"/>
    <cellStyle name="40% - 강조색5 68 8" xfId="9292"/>
    <cellStyle name="40% - 강조색5 68 9" xfId="6250"/>
    <cellStyle name="40% - 강조색5 69" xfId="7039"/>
    <cellStyle name="40% - 강조색5 69 10" xfId="3465"/>
    <cellStyle name="40% - 강조색5 69 11" xfId="7609"/>
    <cellStyle name="40% - 강조색5 69 12" xfId="11084"/>
    <cellStyle name="40% - 강조색5 69 2" xfId="7848"/>
    <cellStyle name="40% - 강조색5 69 3" xfId="8242"/>
    <cellStyle name="40% - 강조색5 69 4" xfId="3101"/>
    <cellStyle name="40% - 강조색5 69 5" xfId="8875"/>
    <cellStyle name="40% - 강조색5 69 6" xfId="8731"/>
    <cellStyle name="40% - 강조색5 69 7" xfId="7587"/>
    <cellStyle name="40% - 강조색5 69 8" xfId="9938"/>
    <cellStyle name="40% - 강조색5 69 9" xfId="10185"/>
    <cellStyle name="40% - 강조색5 7" xfId="133"/>
    <cellStyle name="40% - 강조색5 70" xfId="7105"/>
    <cellStyle name="40% - 강조색5 70 10" xfId="10487"/>
    <cellStyle name="40% - 강조색5 70 11" xfId="10807"/>
    <cellStyle name="40% - 강조색5 70 12" xfId="9132"/>
    <cellStyle name="40% - 강조색5 70 2" xfId="7849"/>
    <cellStyle name="40% - 강조색5 70 3" xfId="8243"/>
    <cellStyle name="40% - 강조색5 70 4" xfId="8605"/>
    <cellStyle name="40% - 강조색5 70 5" xfId="8762"/>
    <cellStyle name="40% - 강조색5 70 6" xfId="9035"/>
    <cellStyle name="40% - 강조색5 70 7" xfId="6194"/>
    <cellStyle name="40% - 강조색5 70 8" xfId="6727"/>
    <cellStyle name="40% - 강조색5 70 9" xfId="10263"/>
    <cellStyle name="40% - 강조색5 71" xfId="7534"/>
    <cellStyle name="40% - 강조색5 71 10" xfId="10813"/>
    <cellStyle name="40% - 강조색5 71 11" xfId="7429"/>
    <cellStyle name="40% - 강조색5 71 2" xfId="8260"/>
    <cellStyle name="40% - 강조색5 71 3" xfId="8622"/>
    <cellStyle name="40% - 강조색5 71 4" xfId="8986"/>
    <cellStyle name="40% - 강조색5 71 5" xfId="9341"/>
    <cellStyle name="40% - 강조색5 71 6" xfId="9521"/>
    <cellStyle name="40% - 강조색5 71 7" xfId="9741"/>
    <cellStyle name="40% - 강조색5 71 8" xfId="9845"/>
    <cellStyle name="40% - 강조색5 71 9" xfId="10209"/>
    <cellStyle name="40% - 강조색5 72" xfId="8229"/>
    <cellStyle name="40% - 강조색5 72 10" xfId="8085"/>
    <cellStyle name="40% - 강조색5 72 2" xfId="8641"/>
    <cellStyle name="40% - 강조색5 72 3" xfId="9005"/>
    <cellStyle name="40% - 강조색5 72 4" xfId="9364"/>
    <cellStyle name="40% - 강조색5 72 5" xfId="9696"/>
    <cellStyle name="40% - 강조색5 72 6" xfId="4079"/>
    <cellStyle name="40% - 강조색5 72 7" xfId="4996"/>
    <cellStyle name="40% - 강조색5 72 8" xfId="7478"/>
    <cellStyle name="40% - 강조색5 72 9" xfId="942"/>
    <cellStyle name="40% - 강조색5 73" xfId="8580"/>
    <cellStyle name="40% - 강조색5 73 2" xfId="9010"/>
    <cellStyle name="40% - 강조색5 73 3" xfId="9369"/>
    <cellStyle name="40% - 강조색5 73 4" xfId="9701"/>
    <cellStyle name="40% - 강조색5 73 5" xfId="10027"/>
    <cellStyle name="40% - 강조색5 73 6" xfId="9618"/>
    <cellStyle name="40% - 강조색5 73 7" xfId="6368"/>
    <cellStyle name="40% - 강조색5 73 8" xfId="6330"/>
    <cellStyle name="40% - 강조색5 73 9" xfId="11062"/>
    <cellStyle name="40% - 강조색5 74" xfId="8973"/>
    <cellStyle name="40% - 강조색5 74 2" xfId="9382"/>
    <cellStyle name="40% - 강조색5 74 3" xfId="9714"/>
    <cellStyle name="40% - 강조색5 74 4" xfId="10040"/>
    <cellStyle name="40% - 강조색5 74 5" xfId="10353"/>
    <cellStyle name="40% - 강조색5 74 6" xfId="9168"/>
    <cellStyle name="40% - 강조색5 74 7" xfId="6400"/>
    <cellStyle name="40% - 강조색5 74 8" xfId="11227"/>
    <cellStyle name="40% - 강조색5 75" xfId="9345"/>
    <cellStyle name="40% - 강조색5 75 2" xfId="9723"/>
    <cellStyle name="40% - 강조색5 75 3" xfId="10049"/>
    <cellStyle name="40% - 강조색5 75 4" xfId="10362"/>
    <cellStyle name="40% - 강조색5 75 5" xfId="10671"/>
    <cellStyle name="40% - 강조색5 75 6" xfId="10855"/>
    <cellStyle name="40% - 강조색5 75 7" xfId="11079"/>
    <cellStyle name="40% - 강조색5 76" xfId="9686"/>
    <cellStyle name="40% - 강조색5 76 2" xfId="10056"/>
    <cellStyle name="40% - 강조색5 76 3" xfId="10370"/>
    <cellStyle name="40% - 강조색5 76 4" xfId="10680"/>
    <cellStyle name="40% - 강조색5 76 5" xfId="10963"/>
    <cellStyle name="40% - 강조색5 76 6" xfId="11161"/>
    <cellStyle name="40% - 강조색5 77" xfId="9773"/>
    <cellStyle name="40% - 강조색5 77 2" xfId="10372"/>
    <cellStyle name="40% - 강조색5 77 3" xfId="10682"/>
    <cellStyle name="40% - 강조색5 77 4" xfId="10966"/>
    <cellStyle name="40% - 강조색5 77 5" xfId="10585"/>
    <cellStyle name="40% - 강조색5 78" xfId="5469"/>
    <cellStyle name="40% - 강조색5 78 2" xfId="10572"/>
    <cellStyle name="40% - 강조색5 78 3" xfId="10762"/>
    <cellStyle name="40% - 강조색5 78 4" xfId="4577"/>
    <cellStyle name="40% - 강조색5 79" xfId="10648"/>
    <cellStyle name="40% - 강조색5 79 2" xfId="10988"/>
    <cellStyle name="40% - 강조색5 79 3" xfId="11266"/>
    <cellStyle name="40% - 강조색5 8" xfId="146"/>
    <cellStyle name="40% - 강조색5 80" xfId="10951"/>
    <cellStyle name="40% - 강조색5 80 2" xfId="11277"/>
    <cellStyle name="40% - 강조색5 81" xfId="11233"/>
    <cellStyle name="40% - 강조색5 82" xfId="11288"/>
    <cellStyle name="40% - 강조색5 83" xfId="11341"/>
    <cellStyle name="40% - 강조색5 84" xfId="11346"/>
    <cellStyle name="40% - 강조색5 85" xfId="11357"/>
    <cellStyle name="40% - 강조색5 86" xfId="11445"/>
    <cellStyle name="40% - 강조색5 9" xfId="159"/>
    <cellStyle name="40% - 강조색6" xfId="40" builtinId="51" customBuiltin="1"/>
    <cellStyle name="40% - 강조색6 10" xfId="175"/>
    <cellStyle name="40% - 강조색6 11" xfId="188"/>
    <cellStyle name="40% - 강조색6 12" xfId="201"/>
    <cellStyle name="40% - 강조색6 13" xfId="214"/>
    <cellStyle name="40% - 강조색6 14" xfId="227"/>
    <cellStyle name="40% - 강조색6 15" xfId="240"/>
    <cellStyle name="40% - 강조색6 16" xfId="253"/>
    <cellStyle name="40% - 강조색6 17" xfId="266"/>
    <cellStyle name="40% - 강조색6 18" xfId="279"/>
    <cellStyle name="40% - 강조색6 19" xfId="292"/>
    <cellStyle name="40% - 강조색6 2" xfId="55"/>
    <cellStyle name="40% - 강조색6 20" xfId="305"/>
    <cellStyle name="40% - 강조색6 21" xfId="318"/>
    <cellStyle name="40% - 강조색6 22" xfId="331"/>
    <cellStyle name="40% - 강조색6 23" xfId="344"/>
    <cellStyle name="40% - 강조색6 24" xfId="357"/>
    <cellStyle name="40% - 강조색6 25" xfId="370"/>
    <cellStyle name="40% - 강조색6 26" xfId="383"/>
    <cellStyle name="40% - 강조색6 27" xfId="396"/>
    <cellStyle name="40% - 강조색6 28" xfId="409"/>
    <cellStyle name="40% - 강조색6 29" xfId="422"/>
    <cellStyle name="40% - 강조색6 3" xfId="87"/>
    <cellStyle name="40% - 강조색6 30" xfId="435"/>
    <cellStyle name="40% - 강조색6 31" xfId="447"/>
    <cellStyle name="40% - 강조색6 32" xfId="459"/>
    <cellStyle name="40% - 강조색6 33" xfId="471"/>
    <cellStyle name="40% - 강조색6 34" xfId="483"/>
    <cellStyle name="40% - 강조색6 35" xfId="494"/>
    <cellStyle name="40% - 강조색6 36" xfId="505"/>
    <cellStyle name="40% - 강조색6 37" xfId="516"/>
    <cellStyle name="40% - 강조색6 38" xfId="526"/>
    <cellStyle name="40% - 강조색6 39" xfId="534"/>
    <cellStyle name="40% - 강조색6 4" xfId="97"/>
    <cellStyle name="40% - 강조색6 40" xfId="553"/>
    <cellStyle name="40% - 강조색6 40 10" xfId="779"/>
    <cellStyle name="40% - 강조색6 40 11" xfId="2067"/>
    <cellStyle name="40% - 강조색6 40 12" xfId="930"/>
    <cellStyle name="40% - 강조색6 40 13" xfId="4208"/>
    <cellStyle name="40% - 강조색6 40 14" xfId="4645"/>
    <cellStyle name="40% - 강조색6 40 15" xfId="3910"/>
    <cellStyle name="40% - 강조색6 40 16" xfId="3032"/>
    <cellStyle name="40% - 강조색6 40 17" xfId="4819"/>
    <cellStyle name="40% - 강조색6 40 18" xfId="5687"/>
    <cellStyle name="40% - 강조색6 40 19" xfId="6398"/>
    <cellStyle name="40% - 강조색6 40 2" xfId="1052"/>
    <cellStyle name="40% - 강조색6 40 20" xfId="7044"/>
    <cellStyle name="40% - 강조색6 40 21" xfId="7151"/>
    <cellStyle name="40% - 강조색6 40 22" xfId="5302"/>
    <cellStyle name="40% - 강조색6 40 23" xfId="3794"/>
    <cellStyle name="40% - 강조색6 40 24" xfId="5972"/>
    <cellStyle name="40% - 강조색6 40 25" xfId="4227"/>
    <cellStyle name="40% - 강조색6 40 26" xfId="3488"/>
    <cellStyle name="40% - 강조색6 40 27" xfId="3070"/>
    <cellStyle name="40% - 강조색6 40 28" xfId="8458"/>
    <cellStyle name="40% - 강조색6 40 29" xfId="10300"/>
    <cellStyle name="40% - 강조색6 40 3" xfId="1143"/>
    <cellStyle name="40% - 강조색6 40 30" xfId="4608"/>
    <cellStyle name="40% - 강조색6 40 31" xfId="10891"/>
    <cellStyle name="40% - 강조색6 40 32" xfId="2214"/>
    <cellStyle name="40% - 강조색6 40 33" xfId="11324"/>
    <cellStyle name="40% - 강조색6 40 34" xfId="11306"/>
    <cellStyle name="40% - 강조색6 40 35" xfId="11407"/>
    <cellStyle name="40% - 강조색6 40 36" xfId="11310"/>
    <cellStyle name="40% - 강조색6 40 4" xfId="1234"/>
    <cellStyle name="40% - 강조색6 40 5" xfId="1621"/>
    <cellStyle name="40% - 강조색6 40 6" xfId="1032"/>
    <cellStyle name="40% - 강조색6 40 7" xfId="2171"/>
    <cellStyle name="40% - 강조색6 40 8" xfId="2603"/>
    <cellStyle name="40% - 강조색6 40 9" xfId="2953"/>
    <cellStyle name="40% - 강조색6 41" xfId="586"/>
    <cellStyle name="40% - 강조색6 41 10" xfId="3271"/>
    <cellStyle name="40% - 강조색6 41 11" xfId="2519"/>
    <cellStyle name="40% - 강조색6 41 12" xfId="1790"/>
    <cellStyle name="40% - 강조색6 41 13" xfId="4038"/>
    <cellStyle name="40% - 강조색6 41 14" xfId="4695"/>
    <cellStyle name="40% - 강조색6 41 15" xfId="5165"/>
    <cellStyle name="40% - 강조색6 41 16" xfId="2091"/>
    <cellStyle name="40% - 강조색6 41 17" xfId="5753"/>
    <cellStyle name="40% - 강조색6 41 18" xfId="5843"/>
    <cellStyle name="40% - 강조색6 41 19" xfId="2810"/>
    <cellStyle name="40% - 강조색6 41 2" xfId="1085"/>
    <cellStyle name="40% - 강조색6 41 20" xfId="7167"/>
    <cellStyle name="40% - 강조색6 41 21" xfId="781"/>
    <cellStyle name="40% - 강조색6 41 22" xfId="6798"/>
    <cellStyle name="40% - 강조색6 41 23" xfId="8230"/>
    <cellStyle name="40% - 강조색6 41 24" xfId="2806"/>
    <cellStyle name="40% - 강조색6 41 25" xfId="7415"/>
    <cellStyle name="40% - 강조색6 41 26" xfId="9068"/>
    <cellStyle name="40% - 강조색6 41 27" xfId="7419"/>
    <cellStyle name="40% - 강조색6 41 28" xfId="1853"/>
    <cellStyle name="40% - 강조색6 41 29" xfId="10231"/>
    <cellStyle name="40% - 강조색6 41 3" xfId="1176"/>
    <cellStyle name="40% - 강조색6 41 30" xfId="6219"/>
    <cellStyle name="40% - 강조색6 41 31" xfId="10803"/>
    <cellStyle name="40% - 강조색6 41 32" xfId="9120"/>
    <cellStyle name="40% - 강조색6 41 4" xfId="1267"/>
    <cellStyle name="40% - 강조색6 41 5" xfId="1705"/>
    <cellStyle name="40% - 강조색6 41 6" xfId="2021"/>
    <cellStyle name="40% - 강조색6 41 7" xfId="2190"/>
    <cellStyle name="40% - 강조색6 41 8" xfId="2627"/>
    <cellStyle name="40% - 강조색6 41 9" xfId="1877"/>
    <cellStyle name="40% - 강조색6 42" xfId="576"/>
    <cellStyle name="40% - 강조색6 42 10" xfId="3308"/>
    <cellStyle name="40% - 강조색6 42 11" xfId="3627"/>
    <cellStyle name="40% - 강조색6 42 12" xfId="3984"/>
    <cellStyle name="40% - 강조색6 42 13" xfId="1914"/>
    <cellStyle name="40% - 강조색6 42 14" xfId="4476"/>
    <cellStyle name="40% - 강조색6 42 15" xfId="5254"/>
    <cellStyle name="40% - 강조색6 42 16" xfId="5749"/>
    <cellStyle name="40% - 강조색6 42 17" xfId="5839"/>
    <cellStyle name="40% - 강조색6 42 18" xfId="5906"/>
    <cellStyle name="40% - 강조색6 42 19" xfId="6428"/>
    <cellStyle name="40% - 강조색6 42 2" xfId="1075"/>
    <cellStyle name="40% - 강조색6 42 20" xfId="6853"/>
    <cellStyle name="40% - 강조색6 42 21" xfId="7218"/>
    <cellStyle name="40% - 강조색6 42 22" xfId="7434"/>
    <cellStyle name="40% - 강조색6 42 23" xfId="8170"/>
    <cellStyle name="40% - 강조색6 42 24" xfId="8319"/>
    <cellStyle name="40% - 강조색6 42 25" xfId="8377"/>
    <cellStyle name="40% - 강조색6 42 26" xfId="7773"/>
    <cellStyle name="40% - 강조색6 42 27" xfId="9491"/>
    <cellStyle name="40% - 강조색6 42 28" xfId="9743"/>
    <cellStyle name="40% - 강조색6 42 29" xfId="10314"/>
    <cellStyle name="40% - 강조색6 42 3" xfId="1166"/>
    <cellStyle name="40% - 강조색6 42 30" xfId="10380"/>
    <cellStyle name="40% - 강조색6 42 31" xfId="10832"/>
    <cellStyle name="40% - 강조색6 42 32" xfId="11057"/>
    <cellStyle name="40% - 강조색6 42 4" xfId="1257"/>
    <cellStyle name="40% - 강조색6 42 5" xfId="1729"/>
    <cellStyle name="40% - 강조색6 42 6" xfId="1011"/>
    <cellStyle name="40% - 강조색6 42 7" xfId="803"/>
    <cellStyle name="40% - 강조색6 42 8" xfId="1392"/>
    <cellStyle name="40% - 강조색6 42 9" xfId="2954"/>
    <cellStyle name="40% - 강조색6 43" xfId="585"/>
    <cellStyle name="40% - 강조색6 43 10" xfId="3071"/>
    <cellStyle name="40% - 강조색6 43 11" xfId="3615"/>
    <cellStyle name="40% - 강조색6 43 12" xfId="3975"/>
    <cellStyle name="40% - 강조색6 43 13" xfId="4202"/>
    <cellStyle name="40% - 강조색6 43 14" xfId="4609"/>
    <cellStyle name="40% - 강조색6 43 15" xfId="5343"/>
    <cellStyle name="40% - 강조색6 43 16" xfId="3017"/>
    <cellStyle name="40% - 강조색6 43 17" xfId="4946"/>
    <cellStyle name="40% - 강조색6 43 18" xfId="5323"/>
    <cellStyle name="40% - 강조색6 43 19" xfId="6184"/>
    <cellStyle name="40% - 강조색6 43 2" xfId="1084"/>
    <cellStyle name="40% - 강조색6 43 20" xfId="4457"/>
    <cellStyle name="40% - 강조색6 43 21" xfId="7219"/>
    <cellStyle name="40% - 강조색6 43 22" xfId="6403"/>
    <cellStyle name="40% - 강조색6 43 23" xfId="7933"/>
    <cellStyle name="40% - 강조색6 43 24" xfId="752"/>
    <cellStyle name="40% - 강조색6 43 25" xfId="6074"/>
    <cellStyle name="40% - 강조색6 43 26" xfId="9217"/>
    <cellStyle name="40% - 강조색6 43 27" xfId="9687"/>
    <cellStyle name="40% - 강조색6 43 28" xfId="4425"/>
    <cellStyle name="40% - 강조색6 43 29" xfId="8690"/>
    <cellStyle name="40% - 강조색6 43 3" xfId="1175"/>
    <cellStyle name="40% - 강조색6 43 30" xfId="8842"/>
    <cellStyle name="40% - 강조색6 43 31" xfId="10895"/>
    <cellStyle name="40% - 강조색6 43 32" xfId="7493"/>
    <cellStyle name="40% - 강조색6 43 4" xfId="1266"/>
    <cellStyle name="40% - 강조색6 43 5" xfId="1658"/>
    <cellStyle name="40% - 강조색6 43 6" xfId="1010"/>
    <cellStyle name="40% - 강조색6 43 7" xfId="1548"/>
    <cellStyle name="40% - 강조색6 43 8" xfId="2568"/>
    <cellStyle name="40% - 강조색6 43 9" xfId="2962"/>
    <cellStyle name="40% - 강조색6 44" xfId="618"/>
    <cellStyle name="40% - 강조색6 44 10" xfId="2065"/>
    <cellStyle name="40% - 강조색6 44 11" xfId="3356"/>
    <cellStyle name="40% - 강조색6 44 12" xfId="3907"/>
    <cellStyle name="40% - 강조색6 44 13" xfId="4256"/>
    <cellStyle name="40% - 강조색6 44 14" xfId="3196"/>
    <cellStyle name="40% - 강조색6 44 15" xfId="3899"/>
    <cellStyle name="40% - 강조색6 44 16" xfId="5018"/>
    <cellStyle name="40% - 강조색6 44 17" xfId="5073"/>
    <cellStyle name="40% - 강조색6 44 18" xfId="5190"/>
    <cellStyle name="40% - 강조색6 44 19" xfId="3141"/>
    <cellStyle name="40% - 강조색6 44 2" xfId="1117"/>
    <cellStyle name="40% - 강조색6 44 20" xfId="7109"/>
    <cellStyle name="40% - 강조색6 44 21" xfId="7253"/>
    <cellStyle name="40% - 강조색6 44 22" xfId="7607"/>
    <cellStyle name="40% - 강조색6 44 23" xfId="7451"/>
    <cellStyle name="40% - 강조색6 44 24" xfId="3060"/>
    <cellStyle name="40% - 강조색6 44 25" xfId="8198"/>
    <cellStyle name="40% - 강조색6 44 26" xfId="6182"/>
    <cellStyle name="40% - 강조색6 44 27" xfId="9559"/>
    <cellStyle name="40% - 강조색6 44 28" xfId="10009"/>
    <cellStyle name="40% - 강조색6 44 29" xfId="3289"/>
    <cellStyle name="40% - 강조색6 44 3" xfId="1208"/>
    <cellStyle name="40% - 강조색6 44 30" xfId="10527"/>
    <cellStyle name="40% - 강조색6 44 31" xfId="10729"/>
    <cellStyle name="40% - 강조색6 44 32" xfId="2851"/>
    <cellStyle name="40% - 강조색6 44 4" xfId="1299"/>
    <cellStyle name="40% - 강조색6 44 5" xfId="1735"/>
    <cellStyle name="40% - 강조색6 44 6" xfId="759"/>
    <cellStyle name="40% - 강조색6 44 7" xfId="1496"/>
    <cellStyle name="40% - 강조색6 44 8" xfId="2610"/>
    <cellStyle name="40% - 강조색6 44 9" xfId="1509"/>
    <cellStyle name="40% - 강조색6 45" xfId="570"/>
    <cellStyle name="40% - 강조색6 45 10" xfId="2756"/>
    <cellStyle name="40% - 강조색6 45 11" xfId="3650"/>
    <cellStyle name="40% - 강조색6 45 12" xfId="4001"/>
    <cellStyle name="40% - 강조색6 45 13" xfId="799"/>
    <cellStyle name="40% - 강조색6 45 14" xfId="4450"/>
    <cellStyle name="40% - 강조색6 45 15" xfId="2140"/>
    <cellStyle name="40% - 강조색6 45 16" xfId="4814"/>
    <cellStyle name="40% - 강조색6 45 17" xfId="4545"/>
    <cellStyle name="40% - 강조색6 45 18" xfId="4503"/>
    <cellStyle name="40% - 강조색6 45 19" xfId="4840"/>
    <cellStyle name="40% - 강조색6 45 2" xfId="1069"/>
    <cellStyle name="40% - 강조색6 45 20" xfId="6683"/>
    <cellStyle name="40% - 강조색6 45 21" xfId="6846"/>
    <cellStyle name="40% - 강조색6 45 22" xfId="4499"/>
    <cellStyle name="40% - 강조색6 45 23" xfId="8195"/>
    <cellStyle name="40% - 강조색6 45 24" xfId="8408"/>
    <cellStyle name="40% - 강조색6 45 25" xfId="4477"/>
    <cellStyle name="40% - 강조색6 45 26" xfId="9045"/>
    <cellStyle name="40% - 강조색6 45 27" xfId="4086"/>
    <cellStyle name="40% - 강조색6 45 28" xfId="2473"/>
    <cellStyle name="40% - 강조색6 45 29" xfId="10311"/>
    <cellStyle name="40% - 강조색6 45 3" xfId="1160"/>
    <cellStyle name="40% - 강조색6 45 30" xfId="9906"/>
    <cellStyle name="40% - 강조색6 45 31" xfId="9383"/>
    <cellStyle name="40% - 강조색6 45 32" xfId="6175"/>
    <cellStyle name="40% - 강조색6 45 4" xfId="1251"/>
    <cellStyle name="40% - 강조색6 45 5" xfId="1728"/>
    <cellStyle name="40% - 강조색6 45 6" xfId="1469"/>
    <cellStyle name="40% - 강조색6 45 7" xfId="874"/>
    <cellStyle name="40% - 강조색6 45 8" xfId="1805"/>
    <cellStyle name="40% - 강조색6 45 9" xfId="2776"/>
    <cellStyle name="40% - 강조색6 46" xfId="613"/>
    <cellStyle name="40% - 강조색6 46 10" xfId="3158"/>
    <cellStyle name="40% - 강조색6 46 11" xfId="1869"/>
    <cellStyle name="40% - 강조색6 46 12" xfId="2430"/>
    <cellStyle name="40% - 강조색6 46 13" xfId="4284"/>
    <cellStyle name="40% - 강조색6 46 14" xfId="4710"/>
    <cellStyle name="40% - 강조색6 46 15" xfId="4269"/>
    <cellStyle name="40% - 강조색6 46 16" xfId="5189"/>
    <cellStyle name="40% - 강조색6 46 17" xfId="5528"/>
    <cellStyle name="40% - 강조색6 46 18" xfId="5017"/>
    <cellStyle name="40% - 강조색6 46 19" xfId="6203"/>
    <cellStyle name="40% - 강조색6 46 2" xfId="1112"/>
    <cellStyle name="40% - 강조색6 46 20" xfId="7168"/>
    <cellStyle name="40% - 강조색6 46 21" xfId="2679"/>
    <cellStyle name="40% - 강조색6 46 22" xfId="2713"/>
    <cellStyle name="40% - 강조색6 46 23" xfId="3573"/>
    <cellStyle name="40% - 강조색6 46 24" xfId="4480"/>
    <cellStyle name="40% - 강조색6 46 25" xfId="8831"/>
    <cellStyle name="40% - 강조색6 46 26" xfId="8904"/>
    <cellStyle name="40% - 강조색6 46 27" xfId="7645"/>
    <cellStyle name="40% - 강조색6 46 28" xfId="2129"/>
    <cellStyle name="40% - 강조색6 46 29" xfId="10180"/>
    <cellStyle name="40% - 강조색6 46 3" xfId="1203"/>
    <cellStyle name="40% - 강조색6 46 30" xfId="8273"/>
    <cellStyle name="40% - 강조색6 46 31" xfId="8917"/>
    <cellStyle name="40% - 강조색6 46 32" xfId="7735"/>
    <cellStyle name="40% - 강조색6 46 4" xfId="1294"/>
    <cellStyle name="40% - 강조색6 46 5" xfId="1663"/>
    <cellStyle name="40% - 강조색6 46 6" xfId="1384"/>
    <cellStyle name="40% - 강조색6 46 7" xfId="1029"/>
    <cellStyle name="40% - 강조색6 46 8" xfId="2567"/>
    <cellStyle name="40% - 강조색6 46 9" xfId="2793"/>
    <cellStyle name="40% - 강조색6 47" xfId="647"/>
    <cellStyle name="40% - 강조색6 47 10" xfId="4273"/>
    <cellStyle name="40% - 강조색6 47 11" xfId="4630"/>
    <cellStyle name="40% - 강조색6 47 12" xfId="5103"/>
    <cellStyle name="40% - 강조색6 47 13" xfId="5600"/>
    <cellStyle name="40% - 강조색6 47 14" xfId="3915"/>
    <cellStyle name="40% - 강조색6 47 15" xfId="5051"/>
    <cellStyle name="40% - 강조색6 47 16" xfId="6559"/>
    <cellStyle name="40% - 강조색6 47 17" xfId="7223"/>
    <cellStyle name="40% - 강조색6 47 18" xfId="7041"/>
    <cellStyle name="40% - 강조색6 47 19" xfId="2723"/>
    <cellStyle name="40% - 강조색6 47 2" xfId="1692"/>
    <cellStyle name="40% - 강조색6 47 20" xfId="8233"/>
    <cellStyle name="40% - 강조색6 47 21" xfId="8507"/>
    <cellStyle name="40% - 강조색6 47 22" xfId="8741"/>
    <cellStyle name="40% - 강조색6 47 23" xfId="9119"/>
    <cellStyle name="40% - 강조색6 47 24" xfId="3084"/>
    <cellStyle name="40% - 강조색6 47 25" xfId="1566"/>
    <cellStyle name="40% - 강조색6 47 26" xfId="4573"/>
    <cellStyle name="40% - 강조색6 47 27" xfId="10162"/>
    <cellStyle name="40% - 강조색6 47 28" xfId="10763"/>
    <cellStyle name="40% - 강조색6 47 29" xfId="11134"/>
    <cellStyle name="40% - 강조색6 47 3" xfId="1975"/>
    <cellStyle name="40% - 강조색6 47 30" xfId="11329"/>
    <cellStyle name="40% - 강조색6 47 31" xfId="11417"/>
    <cellStyle name="40% - 강조색6 47 32" xfId="11367"/>
    <cellStyle name="40% - 강조색6 47 33" xfId="11419"/>
    <cellStyle name="40% - 강조색6 47 4" xfId="2319"/>
    <cellStyle name="40% - 강조색6 47 5" xfId="970"/>
    <cellStyle name="40% - 강조색6 47 6" xfId="2441"/>
    <cellStyle name="40% - 강조색6 47 7" xfId="3105"/>
    <cellStyle name="40% - 강조색6 47 8" xfId="3531"/>
    <cellStyle name="40% - 강조색6 47 9" xfId="3894"/>
    <cellStyle name="40% - 강조색6 48" xfId="690"/>
    <cellStyle name="40% - 강조색6 48 10" xfId="4339"/>
    <cellStyle name="40% - 강조색6 48 11" xfId="3929"/>
    <cellStyle name="40% - 강조색6 48 12" xfId="5311"/>
    <cellStyle name="40% - 강조색6 48 13" xfId="4808"/>
    <cellStyle name="40% - 강조색6 48 14" xfId="5685"/>
    <cellStyle name="40% - 강조색6 48 15" xfId="4981"/>
    <cellStyle name="40% - 강조색6 48 16" xfId="6316"/>
    <cellStyle name="40% - 강조색6 48 17" xfId="6693"/>
    <cellStyle name="40% - 강조색6 48 18" xfId="6408"/>
    <cellStyle name="40% - 강조색6 48 19" xfId="7720"/>
    <cellStyle name="40% - 강조색6 48 2" xfId="1742"/>
    <cellStyle name="40% - 강조색6 48 20" xfId="7499"/>
    <cellStyle name="40% - 강조색6 48 21" xfId="8279"/>
    <cellStyle name="40% - 강조색6 48 22" xfId="8861"/>
    <cellStyle name="40% - 강조색6 48 23" xfId="9165"/>
    <cellStyle name="40% - 강조색6 48 24" xfId="9420"/>
    <cellStyle name="40% - 강조색6 48 25" xfId="9887"/>
    <cellStyle name="40% - 강조색6 48 26" xfId="6214"/>
    <cellStyle name="40% - 강조색6 48 27" xfId="5971"/>
    <cellStyle name="40% - 강조색6 48 28" xfId="10079"/>
    <cellStyle name="40% - 강조색6 48 29" xfId="9763"/>
    <cellStyle name="40% - 강조색6 48 3" xfId="1523"/>
    <cellStyle name="40% - 강조색6 48 4" xfId="2178"/>
    <cellStyle name="40% - 강조색6 48 5" xfId="2514"/>
    <cellStyle name="40% - 강조색6 48 6" xfId="2131"/>
    <cellStyle name="40% - 강조색6 48 7" xfId="3074"/>
    <cellStyle name="40% - 강조색6 48 8" xfId="1003"/>
    <cellStyle name="40% - 강조색6 48 9" xfId="3040"/>
    <cellStyle name="40% - 강조색6 49" xfId="682"/>
    <cellStyle name="40% - 강조색6 49 10" xfId="2413"/>
    <cellStyle name="40% - 강조색6 49 11" xfId="4616"/>
    <cellStyle name="40% - 강조색6 49 12" xfId="5121"/>
    <cellStyle name="40% - 강조색6 49 13" xfId="4911"/>
    <cellStyle name="40% - 강조색6 49 14" xfId="5225"/>
    <cellStyle name="40% - 강조색6 49 15" xfId="4855"/>
    <cellStyle name="40% - 강조색6 49 16" xfId="6544"/>
    <cellStyle name="40% - 강조색6 49 17" xfId="7220"/>
    <cellStyle name="40% - 강조색6 49 18" xfId="7065"/>
    <cellStyle name="40% - 강조색6 49 19" xfId="7748"/>
    <cellStyle name="40% - 강조색6 49 2" xfId="1733"/>
    <cellStyle name="40% - 강조색6 49 20" xfId="7875"/>
    <cellStyle name="40% - 강조색6 49 21" xfId="8520"/>
    <cellStyle name="40% - 강조색6 49 22" xfId="8943"/>
    <cellStyle name="40% - 강조색6 49 23" xfId="9181"/>
    <cellStyle name="40% - 강조색6 49 24" xfId="9499"/>
    <cellStyle name="40% - 강조색6 49 25" xfId="8934"/>
    <cellStyle name="40% - 강조색6 49 26" xfId="7963"/>
    <cellStyle name="40% - 강조색6 49 27" xfId="4512"/>
    <cellStyle name="40% - 강조색6 49 28" xfId="10893"/>
    <cellStyle name="40% - 강조색6 49 29" xfId="11050"/>
    <cellStyle name="40% - 강조색6 49 3" xfId="1393"/>
    <cellStyle name="40% - 강조색6 49 4" xfId="828"/>
    <cellStyle name="40% - 강조색6 49 5" xfId="1850"/>
    <cellStyle name="40% - 강조색6 49 6" xfId="2923"/>
    <cellStyle name="40% - 강조색6 49 7" xfId="3131"/>
    <cellStyle name="40% - 강조색6 49 8" xfId="1865"/>
    <cellStyle name="40% - 강조색6 49 9" xfId="3936"/>
    <cellStyle name="40% - 강조색6 5" xfId="110"/>
    <cellStyle name="40% - 강조색6 50" xfId="656"/>
    <cellStyle name="40% - 강조색6 50 10" xfId="4223"/>
    <cellStyle name="40% - 강조색6 50 11" xfId="4448"/>
    <cellStyle name="40% - 강조색6 50 12" xfId="5338"/>
    <cellStyle name="40% - 강조색6 50 13" xfId="4128"/>
    <cellStyle name="40% - 강조색6 50 14" xfId="4923"/>
    <cellStyle name="40% - 강조색6 50 15" xfId="5720"/>
    <cellStyle name="40% - 강조색6 50 16" xfId="6552"/>
    <cellStyle name="40% - 강조색6 50 17" xfId="7068"/>
    <cellStyle name="40% - 강조색6 50 18" xfId="3381"/>
    <cellStyle name="40% - 강조색6 50 19" xfId="7635"/>
    <cellStyle name="40% - 강조색6 50 2" xfId="1651"/>
    <cellStyle name="40% - 강조색6 50 20" xfId="6753"/>
    <cellStyle name="40% - 강조색6 50 21" xfId="7978"/>
    <cellStyle name="40% - 강조색6 50 22" xfId="8703"/>
    <cellStyle name="40% - 강조색6 50 23" xfId="9329"/>
    <cellStyle name="40% - 강조색6 50 24" xfId="9541"/>
    <cellStyle name="40% - 강조색6 50 25" xfId="4168"/>
    <cellStyle name="40% - 강조색6 50 26" xfId="10280"/>
    <cellStyle name="40% - 강조색6 50 27" xfId="10516"/>
    <cellStyle name="40% - 강조색6 50 28" xfId="10915"/>
    <cellStyle name="40% - 강조색6 50 29" xfId="11144"/>
    <cellStyle name="40% - 강조색6 50 3" xfId="1391"/>
    <cellStyle name="40% - 강조색6 50 4" xfId="2237"/>
    <cellStyle name="40% - 강조색6 50 5" xfId="2649"/>
    <cellStyle name="40% - 강조색6 50 6" xfId="1918"/>
    <cellStyle name="40% - 강조색6 50 7" xfId="3268"/>
    <cellStyle name="40% - 강조색6 50 8" xfId="3563"/>
    <cellStyle name="40% - 강조색6 50 9" xfId="3700"/>
    <cellStyle name="40% - 강조색6 51" xfId="711"/>
    <cellStyle name="40% - 강조색6 51 10" xfId="4040"/>
    <cellStyle name="40% - 강조색6 51 11" xfId="4498"/>
    <cellStyle name="40% - 강조색6 51 12" xfId="5334"/>
    <cellStyle name="40% - 강조색6 51 13" xfId="5387"/>
    <cellStyle name="40% - 강조색6 51 14" xfId="5333"/>
    <cellStyle name="40% - 강조색6 51 15" xfId="4114"/>
    <cellStyle name="40% - 강조색6 51 16" xfId="731"/>
    <cellStyle name="40% - 강조색6 51 17" xfId="1508"/>
    <cellStyle name="40% - 강조색6 51 18" xfId="6696"/>
    <cellStyle name="40% - 강조색6 51 19" xfId="3378"/>
    <cellStyle name="40% - 강조색6 51 2" xfId="1686"/>
    <cellStyle name="40% - 강조색6 51 20" xfId="4598"/>
    <cellStyle name="40% - 강조색6 51 21" xfId="2782"/>
    <cellStyle name="40% - 강조색6 51 22" xfId="8970"/>
    <cellStyle name="40% - 강조색6 51 23" xfId="8927"/>
    <cellStyle name="40% - 강조색6 51 24" xfId="9472"/>
    <cellStyle name="40% - 강조색6 51 25" xfId="9936"/>
    <cellStyle name="40% - 강조색6 51 26" xfId="6388"/>
    <cellStyle name="40% - 강조색6 51 27" xfId="9403"/>
    <cellStyle name="40% - 강조색6 51 28" xfId="10952"/>
    <cellStyle name="40% - 강조색6 51 29" xfId="11190"/>
    <cellStyle name="40% - 강조색6 51 3" xfId="976"/>
    <cellStyle name="40% - 강조색6 51 4" xfId="2058"/>
    <cellStyle name="40% - 강조색6 51 5" xfId="1575"/>
    <cellStyle name="40% - 강조색6 51 6" xfId="2853"/>
    <cellStyle name="40% - 강조색6 51 7" xfId="912"/>
    <cellStyle name="40% - 강조색6 51 8" xfId="2354"/>
    <cellStyle name="40% - 강조색6 51 9" xfId="3800"/>
    <cellStyle name="40% - 강조색6 52" xfId="704"/>
    <cellStyle name="40% - 강조색6 52 10" xfId="2362"/>
    <cellStyle name="40% - 강조색6 52 11" xfId="2169"/>
    <cellStyle name="40% - 강조색6 52 12" xfId="2421"/>
    <cellStyle name="40% - 강조색6 52 13" xfId="5318"/>
    <cellStyle name="40% - 강조색6 52 14" xfId="5645"/>
    <cellStyle name="40% - 강조색6 52 15" xfId="2374"/>
    <cellStyle name="40% - 강조색6 52 16" xfId="6514"/>
    <cellStyle name="40% - 강조색6 52 17" xfId="6831"/>
    <cellStyle name="40% - 강조색6 52 18" xfId="3725"/>
    <cellStyle name="40% - 강조색6 52 19" xfId="4092"/>
    <cellStyle name="40% - 강조색6 52 2" xfId="1727"/>
    <cellStyle name="40% - 강조색6 52 20" xfId="4437"/>
    <cellStyle name="40% - 강조색6 52 21" xfId="1947"/>
    <cellStyle name="40% - 강조색6 52 22" xfId="8889"/>
    <cellStyle name="40% - 강조색6 52 23" xfId="4562"/>
    <cellStyle name="40% - 강조색6 52 24" xfId="8092"/>
    <cellStyle name="40% - 강조색6 52 25" xfId="9080"/>
    <cellStyle name="40% - 강조색6 52 26" xfId="10333"/>
    <cellStyle name="40% - 강조색6 52 27" xfId="3115"/>
    <cellStyle name="40% - 강조색6 52 28" xfId="4458"/>
    <cellStyle name="40% - 강조색6 52 29" xfId="11012"/>
    <cellStyle name="40% - 강조색6 52 3" xfId="1349"/>
    <cellStyle name="40% - 강조색6 52 4" xfId="2219"/>
    <cellStyle name="40% - 강조색6 52 5" xfId="1851"/>
    <cellStyle name="40% - 강조색6 52 6" xfId="2888"/>
    <cellStyle name="40% - 강조색6 52 7" xfId="3262"/>
    <cellStyle name="40% - 강조색6 52 8" xfId="3447"/>
    <cellStyle name="40% - 강조색6 52 9" xfId="3959"/>
    <cellStyle name="40% - 강조색6 53" xfId="691"/>
    <cellStyle name="40% - 강조색6 53 10" xfId="2076"/>
    <cellStyle name="40% - 강조색6 53 11" xfId="4654"/>
    <cellStyle name="40% - 강조색6 53 12" xfId="5481"/>
    <cellStyle name="40% - 강조색6 53 13" xfId="2721"/>
    <cellStyle name="40% - 강조색6 53 14" xfId="2546"/>
    <cellStyle name="40% - 강조색6 53 15" xfId="5006"/>
    <cellStyle name="40% - 강조색6 53 16" xfId="6217"/>
    <cellStyle name="40% - 강조색6 53 17" xfId="3704"/>
    <cellStyle name="40% - 강조색6 53 18" xfId="6982"/>
    <cellStyle name="40% - 강조색6 53 19" xfId="7693"/>
    <cellStyle name="40% - 강조색6 53 2" xfId="1782"/>
    <cellStyle name="40% - 강조색6 53 20" xfId="1343"/>
    <cellStyle name="40% - 강조색6 53 21" xfId="8594"/>
    <cellStyle name="40% - 강조색6 53 22" xfId="4912"/>
    <cellStyle name="40% - 강조색6 53 23" xfId="9115"/>
    <cellStyle name="40% - 강조색6 53 24" xfId="6878"/>
    <cellStyle name="40% - 강조색6 53 25" xfId="9818"/>
    <cellStyle name="40% - 강조색6 53 26" xfId="9418"/>
    <cellStyle name="40% - 강조색6 53 27" xfId="6144"/>
    <cellStyle name="40% - 강조색6 53 28" xfId="10864"/>
    <cellStyle name="40% - 강조색6 53 29" xfId="11069"/>
    <cellStyle name="40% - 강조색6 53 3" xfId="740"/>
    <cellStyle name="40% - 강조색6 53 4" xfId="1489"/>
    <cellStyle name="40% - 강조색6 53 5" xfId="735"/>
    <cellStyle name="40% - 강조색6 53 6" xfId="2353"/>
    <cellStyle name="40% - 강조색6 53 7" xfId="3047"/>
    <cellStyle name="40% - 강조색6 53 8" xfId="3648"/>
    <cellStyle name="40% - 강조색6 53 9" xfId="3821"/>
    <cellStyle name="40% - 강조색6 54" xfId="1401"/>
    <cellStyle name="40% - 강조색6 54 10" xfId="4648"/>
    <cellStyle name="40% - 강조색6 54 11" xfId="4792"/>
    <cellStyle name="40% - 강조색6 54 12" xfId="5802"/>
    <cellStyle name="40% - 강조색6 54 13" xfId="5879"/>
    <cellStyle name="40% - 강조색6 54 14" xfId="5935"/>
    <cellStyle name="40% - 강조색6 54 15" xfId="2098"/>
    <cellStyle name="40% - 강조색6 54 16" xfId="6673"/>
    <cellStyle name="40% - 강조색6 54 17" xfId="6801"/>
    <cellStyle name="40% - 강조색6 54 18" xfId="7741"/>
    <cellStyle name="40% - 강조색6 54 19" xfId="8184"/>
    <cellStyle name="40% - 강조색6 54 2" xfId="2047"/>
    <cellStyle name="40% - 강조색6 54 20" xfId="6978"/>
    <cellStyle name="40% - 강조색6 54 21" xfId="8898"/>
    <cellStyle name="40% - 강조색6 54 22" xfId="9346"/>
    <cellStyle name="40% - 강조색6 54 23" xfId="6488"/>
    <cellStyle name="40% - 강조색6 54 24" xfId="2133"/>
    <cellStyle name="40% - 강조색6 54 25" xfId="7457"/>
    <cellStyle name="40% - 강조색6 54 26" xfId="10643"/>
    <cellStyle name="40% - 강조색6 54 27" xfId="9546"/>
    <cellStyle name="40% - 강조색6 54 28" xfId="11170"/>
    <cellStyle name="40% - 강조색6 54 3" xfId="2329"/>
    <cellStyle name="40% - 강조색6 54 4" xfId="2573"/>
    <cellStyle name="40% - 강조색6 54 5" xfId="2856"/>
    <cellStyle name="40% - 강조색6 54 6" xfId="834"/>
    <cellStyle name="40% - 강조색6 54 7" xfId="3453"/>
    <cellStyle name="40% - 강조색6 54 8" xfId="3962"/>
    <cellStyle name="40% - 강조색6 54 9" xfId="4303"/>
    <cellStyle name="40% - 강조색6 55" xfId="2001"/>
    <cellStyle name="40% - 강조색6 55 10" xfId="5197"/>
    <cellStyle name="40% - 강조색6 55 11" xfId="3184"/>
    <cellStyle name="40% - 강조색6 55 12" xfId="5627"/>
    <cellStyle name="40% - 강조색6 55 13" xfId="1803"/>
    <cellStyle name="40% - 강조색6 55 14" xfId="6584"/>
    <cellStyle name="40% - 강조색6 55 15" xfId="3313"/>
    <cellStyle name="40% - 강조색6 55 16" xfId="4615"/>
    <cellStyle name="40% - 강조색6 55 17" xfId="7147"/>
    <cellStyle name="40% - 강조색6 55 18" xfId="3891"/>
    <cellStyle name="40% - 강조색6 55 19" xfId="7911"/>
    <cellStyle name="40% - 강조색6 55 2" xfId="2342"/>
    <cellStyle name="40% - 강조색6 55 20" xfId="2348"/>
    <cellStyle name="40% - 강조색6 55 21" xfId="1312"/>
    <cellStyle name="40% - 강조색6 55 22" xfId="4849"/>
    <cellStyle name="40% - 강조색6 55 23" xfId="9761"/>
    <cellStyle name="40% - 강조색6 55 24" xfId="10224"/>
    <cellStyle name="40% - 강조색6 55 25" xfId="6530"/>
    <cellStyle name="40% - 강조색6 55 26" xfId="9467"/>
    <cellStyle name="40% - 강조색6 55 27" xfId="11081"/>
    <cellStyle name="40% - 강조색6 55 3" xfId="2661"/>
    <cellStyle name="40% - 강조색6 55 4" xfId="2976"/>
    <cellStyle name="40% - 강조색6 55 5" xfId="1920"/>
    <cellStyle name="40% - 강조색6 55 6" xfId="1572"/>
    <cellStyle name="40% - 강조색6 55 7" xfId="3750"/>
    <cellStyle name="40% - 강조색6 55 8" xfId="4087"/>
    <cellStyle name="40% - 강조색6 55 9" xfId="4506"/>
    <cellStyle name="40% - 강조색6 56" xfId="2258"/>
    <cellStyle name="40% - 강조색6 56 10" xfId="5117"/>
    <cellStyle name="40% - 강조색6 56 11" xfId="4933"/>
    <cellStyle name="40% - 강조색6 56 12" xfId="4817"/>
    <cellStyle name="40% - 강조색6 56 13" xfId="6240"/>
    <cellStyle name="40% - 강조색6 56 14" xfId="6942"/>
    <cellStyle name="40% - 강조색6 56 15" xfId="814"/>
    <cellStyle name="40% - 강조색6 56 16" xfId="7675"/>
    <cellStyle name="40% - 강조색6 56 17" xfId="8017"/>
    <cellStyle name="40% - 강조색6 56 18" xfId="8522"/>
    <cellStyle name="40% - 강조색6 56 19" xfId="8674"/>
    <cellStyle name="40% - 강조색6 56 2" xfId="2670"/>
    <cellStyle name="40% - 강조색6 56 20" xfId="9330"/>
    <cellStyle name="40% - 강조색6 56 21" xfId="7918"/>
    <cellStyle name="40% - 강조색6 56 22" xfId="2628"/>
    <cellStyle name="40% - 강조색6 56 23" xfId="8815"/>
    <cellStyle name="40% - 강조색6 56 24" xfId="10489"/>
    <cellStyle name="40% - 강조색6 56 25" xfId="8701"/>
    <cellStyle name="40% - 강조색6 56 26" xfId="11083"/>
    <cellStyle name="40% - 강조색6 56 3" xfId="2985"/>
    <cellStyle name="40% - 강조색6 56 4" xfId="3318"/>
    <cellStyle name="40% - 강조색6 56 5" xfId="2095"/>
    <cellStyle name="40% - 강조색6 56 6" xfId="3602"/>
    <cellStyle name="40% - 강조색6 56 7" xfId="4182"/>
    <cellStyle name="40% - 강조색6 56 8" xfId="4100"/>
    <cellStyle name="40% - 강조색6 56 9" xfId="1813"/>
    <cellStyle name="40% - 강조색6 57" xfId="2621"/>
    <cellStyle name="40% - 강조색6 57 10" xfId="5581"/>
    <cellStyle name="40% - 강조색6 57 11" xfId="5365"/>
    <cellStyle name="40% - 강조색6 57 12" xfId="6223"/>
    <cellStyle name="40% - 강조색6 57 13" xfId="7139"/>
    <cellStyle name="40% - 강조색6 57 14" xfId="6829"/>
    <cellStyle name="40% - 강조색6 57 15" xfId="3726"/>
    <cellStyle name="40% - 강조색6 57 16" xfId="8231"/>
    <cellStyle name="40% - 강조색6 57 17" xfId="8539"/>
    <cellStyle name="40% - 강조색6 57 18" xfId="8938"/>
    <cellStyle name="40% - 강조색6 57 19" xfId="8683"/>
    <cellStyle name="40% - 강조색6 57 2" xfId="2999"/>
    <cellStyle name="40% - 강조색6 57 20" xfId="9588"/>
    <cellStyle name="40% - 강조색6 57 21" xfId="9879"/>
    <cellStyle name="40% - 강조색6 57 22" xfId="10122"/>
    <cellStyle name="40% - 강조색6 57 23" xfId="10553"/>
    <cellStyle name="40% - 강조색6 57 24" xfId="10764"/>
    <cellStyle name="40% - 강조색6 57 25" xfId="9760"/>
    <cellStyle name="40% - 강조색6 57 3" xfId="3332"/>
    <cellStyle name="40% - 강조색6 57 4" xfId="3664"/>
    <cellStyle name="40% - 강조색6 57 5" xfId="3967"/>
    <cellStyle name="40% - 강조색6 57 6" xfId="4037"/>
    <cellStyle name="40% - 강조색6 57 7" xfId="4647"/>
    <cellStyle name="40% - 강조색6 57 8" xfId="5202"/>
    <cellStyle name="40% - 강조색6 57 9" xfId="4807"/>
    <cellStyle name="40% - 강조색6 58" xfId="2918"/>
    <cellStyle name="40% - 강조색6 58 10" xfId="5563"/>
    <cellStyle name="40% - 강조색6 58 11" xfId="5961"/>
    <cellStyle name="40% - 강조색6 58 12" xfId="6806"/>
    <cellStyle name="40% - 강조색6 58 13" xfId="4956"/>
    <cellStyle name="40% - 강조색6 58 14" xfId="7699"/>
    <cellStyle name="40% - 강조색6 58 15" xfId="4790"/>
    <cellStyle name="40% - 강조색6 58 16" xfId="8351"/>
    <cellStyle name="40% - 강조색6 58 17" xfId="6116"/>
    <cellStyle name="40% - 강조색6 58 18" xfId="9319"/>
    <cellStyle name="40% - 강조색6 58 19" xfId="9288"/>
    <cellStyle name="40% - 강조색6 58 2" xfId="3341"/>
    <cellStyle name="40% - 강조색6 58 20" xfId="3277"/>
    <cellStyle name="40% - 강조색6 58 21" xfId="10272"/>
    <cellStyle name="40% - 강조색6 58 22" xfId="4972"/>
    <cellStyle name="40% - 강조색6 58 23" xfId="9609"/>
    <cellStyle name="40% - 강조색6 58 24" xfId="11041"/>
    <cellStyle name="40% - 강조색6 58 3" xfId="3674"/>
    <cellStyle name="40% - 강조색6 58 4" xfId="4012"/>
    <cellStyle name="40% - 강조색6 58 5" xfId="4271"/>
    <cellStyle name="40% - 강조색6 58 6" xfId="4709"/>
    <cellStyle name="40% - 강조색6 58 7" xfId="4429"/>
    <cellStyle name="40% - 강조색6 58 8" xfId="5005"/>
    <cellStyle name="40% - 강조색6 58 9" xfId="5438"/>
    <cellStyle name="40% - 강조색6 59" xfId="3106"/>
    <cellStyle name="40% - 강조색6 59 10" xfId="6464"/>
    <cellStyle name="40% - 강조색6 59 11" xfId="6864"/>
    <cellStyle name="40% - 강조색6 59 12" xfId="6202"/>
    <cellStyle name="40% - 강조색6 59 13" xfId="7362"/>
    <cellStyle name="40% - 강조색6 59 14" xfId="8054"/>
    <cellStyle name="40% - 강조색6 59 15" xfId="8560"/>
    <cellStyle name="40% - 강조색6 59 16" xfId="8449"/>
    <cellStyle name="40% - 강조색6 59 17" xfId="6357"/>
    <cellStyle name="40% - 강조색6 59 18" xfId="9461"/>
    <cellStyle name="40% - 강조색6 59 19" xfId="8698"/>
    <cellStyle name="40% - 강조색6 59 2" xfId="3682"/>
    <cellStyle name="40% - 강조색6 59 20" xfId="10106"/>
    <cellStyle name="40% - 강조색6 59 21" xfId="5212"/>
    <cellStyle name="40% - 강조색6 59 22" xfId="6085"/>
    <cellStyle name="40% - 강조색6 59 23" xfId="8436"/>
    <cellStyle name="40% - 강조색6 59 3" xfId="4021"/>
    <cellStyle name="40% - 강조색6 59 4" xfId="4357"/>
    <cellStyle name="40% - 강조색6 59 5" xfId="4693"/>
    <cellStyle name="40% - 강조색6 59 6" xfId="5368"/>
    <cellStyle name="40% - 강조색6 59 7" xfId="5768"/>
    <cellStyle name="40% - 강조색6 59 8" xfId="5854"/>
    <cellStyle name="40% - 강조색6 59 9" xfId="5915"/>
    <cellStyle name="40% - 강조색6 6" xfId="123"/>
    <cellStyle name="40% - 강조색6 60" xfId="3593"/>
    <cellStyle name="40% - 강조색6 60 10" xfId="7049"/>
    <cellStyle name="40% - 강조색6 60 11" xfId="4397"/>
    <cellStyle name="40% - 강조색6 60 12" xfId="7505"/>
    <cellStyle name="40% - 강조색6 60 13" xfId="8144"/>
    <cellStyle name="40% - 강조색6 60 14" xfId="6380"/>
    <cellStyle name="40% - 강조색6 60 15" xfId="7902"/>
    <cellStyle name="40% - 강조색6 60 16" xfId="6305"/>
    <cellStyle name="40% - 강조색6 60 17" xfId="9566"/>
    <cellStyle name="40% - 강조색6 60 18" xfId="9755"/>
    <cellStyle name="40% - 강조색6 60 19" xfId="10324"/>
    <cellStyle name="40% - 강조색6 60 2" xfId="4031"/>
    <cellStyle name="40% - 강조색6 60 20" xfId="10531"/>
    <cellStyle name="40% - 강조색6 60 21" xfId="3880"/>
    <cellStyle name="40% - 강조색6 60 22" xfId="10998"/>
    <cellStyle name="40% - 강조색6 60 3" xfId="4367"/>
    <cellStyle name="40% - 강조색6 60 4" xfId="4720"/>
    <cellStyle name="40% - 강조색6 60 5" xfId="5040"/>
    <cellStyle name="40% - 강조색6 60 6" xfId="2128"/>
    <cellStyle name="40% - 강조색6 60 7" xfId="5559"/>
    <cellStyle name="40% - 강조색6 60 8" xfId="3185"/>
    <cellStyle name="40% - 강조색6 60 9" xfId="6563"/>
    <cellStyle name="40% - 강조색6 61" xfId="3937"/>
    <cellStyle name="40% - 강조색6 61 10" xfId="1967"/>
    <cellStyle name="40% - 강조색6 61 11" xfId="7739"/>
    <cellStyle name="40% - 강조색6 61 12" xfId="8201"/>
    <cellStyle name="40% - 강조색6 61 13" xfId="8376"/>
    <cellStyle name="40% - 강조색6 61 14" xfId="4508"/>
    <cellStyle name="40% - 강조색6 61 15" xfId="7466"/>
    <cellStyle name="40% - 강조색6 61 16" xfId="9673"/>
    <cellStyle name="40% - 강조색6 61 17" xfId="9071"/>
    <cellStyle name="40% - 강조색6 61 18" xfId="9782"/>
    <cellStyle name="40% - 강조색6 61 19" xfId="2747"/>
    <cellStyle name="40% - 강조색6 61 2" xfId="4376"/>
    <cellStyle name="40% - 강조색6 61 20" xfId="10848"/>
    <cellStyle name="40% - 강조색6 61 21" xfId="11017"/>
    <cellStyle name="40% - 강조색6 61 3" xfId="4730"/>
    <cellStyle name="40% - 강조색6 61 4" xfId="5644"/>
    <cellStyle name="40% - 강조색6 61 5" xfId="5495"/>
    <cellStyle name="40% - 강조색6 61 6" xfId="5263"/>
    <cellStyle name="40% - 강조색6 61 7" xfId="1791"/>
    <cellStyle name="40% - 강조색6 61 8" xfId="6588"/>
    <cellStyle name="40% - 강조색6 61 9" xfId="7095"/>
    <cellStyle name="40% - 강조색6 62" xfId="4291"/>
    <cellStyle name="40% - 강조색6 62 10" xfId="7692"/>
    <cellStyle name="40% - 강조색6 62 11" xfId="8095"/>
    <cellStyle name="40% - 강조색6 62 12" xfId="7642"/>
    <cellStyle name="40% - 강조색6 62 13" xfId="8283"/>
    <cellStyle name="40% - 강조색6 62 14" xfId="9336"/>
    <cellStyle name="40% - 강조색6 62 15" xfId="9676"/>
    <cellStyle name="40% - 강조색6 62 16" xfId="9949"/>
    <cellStyle name="40% - 강조색6 62 17" xfId="10137"/>
    <cellStyle name="40% - 강조색6 62 18" xfId="10420"/>
    <cellStyle name="40% - 강조색6 62 19" xfId="10901"/>
    <cellStyle name="40% - 강조색6 62 2" xfId="4739"/>
    <cellStyle name="40% - 강조색6 62 20" xfId="11166"/>
    <cellStyle name="40% - 강조색6 62 3" xfId="5710"/>
    <cellStyle name="40% - 강조색6 62 4" xfId="5813"/>
    <cellStyle name="40% - 강조색6 62 5" xfId="5888"/>
    <cellStyle name="40% - 강조색6 62 6" xfId="5938"/>
    <cellStyle name="40% - 강조색6 62 7" xfId="6597"/>
    <cellStyle name="40% - 강조색6 62 8" xfId="7018"/>
    <cellStyle name="40% - 강조색6 62 9" xfId="7263"/>
    <cellStyle name="40% - 강조색6 63" xfId="2419"/>
    <cellStyle name="40% - 강조색6 63 10" xfId="8114"/>
    <cellStyle name="40% - 강조색6 63 11" xfId="7927"/>
    <cellStyle name="40% - 강조색6 63 12" xfId="7459"/>
    <cellStyle name="40% - 강조색6 63 13" xfId="9272"/>
    <cellStyle name="40% - 강조색6 63 14" xfId="9454"/>
    <cellStyle name="40% - 강조색6 63 15" xfId="9806"/>
    <cellStyle name="40% - 강조색6 63 16" xfId="8311"/>
    <cellStyle name="40% - 강조색6 63 17" xfId="10432"/>
    <cellStyle name="40% - 강조색6 63 18" xfId="10778"/>
    <cellStyle name="40% - 강조색6 63 19" xfId="8525"/>
    <cellStyle name="40% - 강조색6 63 2" xfId="4579"/>
    <cellStyle name="40% - 강조색6 63 3" xfId="5744"/>
    <cellStyle name="40% - 강조색6 63 4" xfId="5836"/>
    <cellStyle name="40% - 강조색6 63 5" xfId="5903"/>
    <cellStyle name="40% - 강조색6 63 6" xfId="6580"/>
    <cellStyle name="40% - 강조색6 63 7" xfId="7246"/>
    <cellStyle name="40% - 강조색6 63 8" xfId="7051"/>
    <cellStyle name="40% - 강조색6 63 9" xfId="6422"/>
    <cellStyle name="40% - 강조색6 64" xfId="4977"/>
    <cellStyle name="40% - 강조색6 64 10" xfId="9507"/>
    <cellStyle name="40% - 강조색6 64 11" xfId="9822"/>
    <cellStyle name="40% - 강조색6 64 12" xfId="8680"/>
    <cellStyle name="40% - 강조색6 64 13" xfId="853"/>
    <cellStyle name="40% - 강조색6 64 14" xfId="10766"/>
    <cellStyle name="40% - 강조색6 64 15" xfId="11188"/>
    <cellStyle name="40% - 강조색6 64 2" xfId="6621"/>
    <cellStyle name="40% - 강조색6 64 3" xfId="2409"/>
    <cellStyle name="40% - 강조색6 64 4" xfId="6832"/>
    <cellStyle name="40% - 강조색6 64 5" xfId="1871"/>
    <cellStyle name="40% - 강조색6 64 6" xfId="6018"/>
    <cellStyle name="40% - 강조색6 64 7" xfId="4854"/>
    <cellStyle name="40% - 강조색6 64 8" xfId="8784"/>
    <cellStyle name="40% - 강조색6 64 9" xfId="9324"/>
    <cellStyle name="40% - 강조색6 65" xfId="2377"/>
    <cellStyle name="40% - 강조색6 65 10" xfId="9646"/>
    <cellStyle name="40% - 강조색6 65 11" xfId="8849"/>
    <cellStyle name="40% - 강조색6 65 12" xfId="9794"/>
    <cellStyle name="40% - 강조색6 65 13" xfId="10594"/>
    <cellStyle name="40% - 강조색6 65 14" xfId="7786"/>
    <cellStyle name="40% - 강조색6 65 15" xfId="7592"/>
    <cellStyle name="40% - 강조색6 65 2" xfId="6476"/>
    <cellStyle name="40% - 강조색6 65 3" xfId="3368"/>
    <cellStyle name="40% - 강조색6 65 4" xfId="7133"/>
    <cellStyle name="40% - 강조색6 65 5" xfId="7578"/>
    <cellStyle name="40% - 강조색6 65 6" xfId="8224"/>
    <cellStyle name="40% - 강조색6 65 7" xfId="8348"/>
    <cellStyle name="40% - 강조색6 65 8" xfId="6817"/>
    <cellStyle name="40% - 강조색6 65 9" xfId="6700"/>
    <cellStyle name="40% - 강조색6 66" xfId="5485"/>
    <cellStyle name="40% - 강조색6 66 10" xfId="8645"/>
    <cellStyle name="40% - 강조색6 66 11" xfId="9835"/>
    <cellStyle name="40% - 강조색6 66 12" xfId="10229"/>
    <cellStyle name="40% - 강조색6 66 13" xfId="7597"/>
    <cellStyle name="40% - 강조색6 66 14" xfId="3860"/>
    <cellStyle name="40% - 강조색6 66 15" xfId="11183"/>
    <cellStyle name="40% - 강조색6 66 2" xfId="6641"/>
    <cellStyle name="40% - 강조색6 66 3" xfId="737"/>
    <cellStyle name="40% - 강조색6 66 4" xfId="2365"/>
    <cellStyle name="40% - 강조색6 66 5" xfId="7799"/>
    <cellStyle name="40% - 강조색6 66 6" xfId="7363"/>
    <cellStyle name="40% - 강조색6 66 7" xfId="8443"/>
    <cellStyle name="40% - 강조색6 66 8" xfId="4510"/>
    <cellStyle name="40% - 강조색6 66 9" xfId="9079"/>
    <cellStyle name="40% - 강조색6 67" xfId="5771"/>
    <cellStyle name="40% - 강조색6 67 10" xfId="9157"/>
    <cellStyle name="40% - 강조색6 67 11" xfId="9817"/>
    <cellStyle name="40% - 강조색6 67 12" xfId="8766"/>
    <cellStyle name="40% - 강조색6 67 13" xfId="3095"/>
    <cellStyle name="40% - 강조색6 67 14" xfId="10716"/>
    <cellStyle name="40% - 강조색6 67 15" xfId="3949"/>
    <cellStyle name="40% - 강조색6 67 2" xfId="6656"/>
    <cellStyle name="40% - 강조색6 67 3" xfId="7279"/>
    <cellStyle name="40% - 강조색6 67 4" xfId="7197"/>
    <cellStyle name="40% - 강조색6 67 5" xfId="7824"/>
    <cellStyle name="40% - 강조색6 67 6" xfId="7946"/>
    <cellStyle name="40% - 강조색6 67 7" xfId="8545"/>
    <cellStyle name="40% - 강조색6 67 8" xfId="6869"/>
    <cellStyle name="40% - 강조색6 67 9" xfId="9310"/>
    <cellStyle name="40% - 강조색6 68" xfId="6477"/>
    <cellStyle name="40% - 강조색6 68 10" xfId="9440"/>
    <cellStyle name="40% - 강조색6 68 11" xfId="6866"/>
    <cellStyle name="40% - 강조색6 68 12" xfId="10623"/>
    <cellStyle name="40% - 강조색6 68 13" xfId="8345"/>
    <cellStyle name="40% - 강조색6 68 14" xfId="7540"/>
    <cellStyle name="40% - 강조색6 68 2" xfId="7323"/>
    <cellStyle name="40% - 강조색6 68 3" xfId="7350"/>
    <cellStyle name="40% - 강조색6 68 4" xfId="7839"/>
    <cellStyle name="40% - 강조색6 68 5" xfId="8108"/>
    <cellStyle name="40% - 강조색6 68 6" xfId="7922"/>
    <cellStyle name="40% - 강조색6 68 7" xfId="8805"/>
    <cellStyle name="40% - 강조색6 68 8" xfId="9206"/>
    <cellStyle name="40% - 강조색6 68 9" xfId="9663"/>
    <cellStyle name="40% - 강조색6 69" xfId="7185"/>
    <cellStyle name="40% - 강조색6 69 10" xfId="10414"/>
    <cellStyle name="40% - 강조색6 69 11" xfId="10132"/>
    <cellStyle name="40% - 강조색6 69 12" xfId="7481"/>
    <cellStyle name="40% - 강조색6 69 2" xfId="7855"/>
    <cellStyle name="40% - 강조색6 69 3" xfId="8249"/>
    <cellStyle name="40% - 강조색6 69 4" xfId="8611"/>
    <cellStyle name="40% - 강조색6 69 5" xfId="8913"/>
    <cellStyle name="40% - 강조색6 69 6" xfId="9109"/>
    <cellStyle name="40% - 강조색6 69 7" xfId="6244"/>
    <cellStyle name="40% - 강조색6 69 8" xfId="2119"/>
    <cellStyle name="40% - 강조색6 69 9" xfId="10089"/>
    <cellStyle name="40% - 강조색6 7" xfId="136"/>
    <cellStyle name="40% - 강조색6 70" xfId="7149"/>
    <cellStyle name="40% - 강조색6 70 10" xfId="6079"/>
    <cellStyle name="40% - 강조색6 70 11" xfId="9387"/>
    <cellStyle name="40% - 강조색6 70 12" xfId="11043"/>
    <cellStyle name="40% - 강조색6 70 2" xfId="7854"/>
    <cellStyle name="40% - 강조색6 70 3" xfId="8248"/>
    <cellStyle name="40% - 강조색6 70 4" xfId="8610"/>
    <cellStyle name="40% - 강조색6 70 5" xfId="8922"/>
    <cellStyle name="40% - 강조색6 70 6" xfId="3094"/>
    <cellStyle name="40% - 강조색6 70 7" xfId="1390"/>
    <cellStyle name="40% - 강조색6 70 8" xfId="9838"/>
    <cellStyle name="40% - 강조색6 70 9" xfId="10135"/>
    <cellStyle name="40% - 강조색6 71" xfId="7621"/>
    <cellStyle name="40% - 강조색6 71 10" xfId="10736"/>
    <cellStyle name="40% - 강조색6 71 11" xfId="4398"/>
    <cellStyle name="40% - 강조색6 71 2" xfId="8262"/>
    <cellStyle name="40% - 강조색6 71 3" xfId="8624"/>
    <cellStyle name="40% - 강조색6 71 4" xfId="8988"/>
    <cellStyle name="40% - 강조색6 71 5" xfId="9169"/>
    <cellStyle name="40% - 강조색6 71 6" xfId="6430"/>
    <cellStyle name="40% - 강조색6 71 7" xfId="1878"/>
    <cellStyle name="40% - 강조색6 71 8" xfId="1371"/>
    <cellStyle name="40% - 강조색6 71 9" xfId="10427"/>
    <cellStyle name="40% - 강조색6 72" xfId="8153"/>
    <cellStyle name="40% - 강조색6 72 10" xfId="1797"/>
    <cellStyle name="40% - 강조색6 72 2" xfId="8636"/>
    <cellStyle name="40% - 강조색6 72 3" xfId="9000"/>
    <cellStyle name="40% - 강조색6 72 4" xfId="9359"/>
    <cellStyle name="40% - 강조색6 72 5" xfId="9691"/>
    <cellStyle name="40% - 강조색6 72 6" xfId="9833"/>
    <cellStyle name="40% - 강조색6 72 7" xfId="10145"/>
    <cellStyle name="40% - 강조색6 72 8" xfId="5999"/>
    <cellStyle name="40% - 강조색6 72 9" xfId="10818"/>
    <cellStyle name="40% - 강조색6 73" xfId="8568"/>
    <cellStyle name="40% - 강조색6 73 2" xfId="9008"/>
    <cellStyle name="40% - 강조색6 73 3" xfId="9367"/>
    <cellStyle name="40% - 강조색6 73 4" xfId="9699"/>
    <cellStyle name="40% - 강조색6 73 5" xfId="10025"/>
    <cellStyle name="40% - 강조색6 73 6" xfId="10144"/>
    <cellStyle name="40% - 강조색6 73 7" xfId="1599"/>
    <cellStyle name="40% - 강조색6 73 8" xfId="10708"/>
    <cellStyle name="40% - 강조색6 73 9" xfId="4566"/>
    <cellStyle name="40% - 강조색6 74" xfId="2055"/>
    <cellStyle name="40% - 강조색6 74 2" xfId="4818"/>
    <cellStyle name="40% - 강조색6 74 3" xfId="3740"/>
    <cellStyle name="40% - 강조색6 74 4" xfId="6254"/>
    <cellStyle name="40% - 강조색6 74 5" xfId="10166"/>
    <cellStyle name="40% - 강조색6 74 6" xfId="8756"/>
    <cellStyle name="40% - 강조색6 74 7" xfId="922"/>
    <cellStyle name="40% - 강조색6 74 8" xfId="8271"/>
    <cellStyle name="40% - 강조색6 75" xfId="9232"/>
    <cellStyle name="40% - 강조색6 75 2" xfId="9718"/>
    <cellStyle name="40% - 강조색6 75 3" xfId="10044"/>
    <cellStyle name="40% - 강조색6 75 4" xfId="10357"/>
    <cellStyle name="40% - 강조색6 75 5" xfId="10666"/>
    <cellStyle name="40% - 강조색6 75 6" xfId="10839"/>
    <cellStyle name="40% - 강조색6 75 7" xfId="11206"/>
    <cellStyle name="40% - 강조색6 76" xfId="9429"/>
    <cellStyle name="40% - 강조색6 76 2" xfId="10051"/>
    <cellStyle name="40% - 강조색6 76 3" xfId="10364"/>
    <cellStyle name="40% - 강조색6 76 4" xfId="10673"/>
    <cellStyle name="40% - 강조색6 76 5" xfId="9862"/>
    <cellStyle name="40% - 강조색6 76 6" xfId="10155"/>
    <cellStyle name="40% - 강조색6 77" xfId="9967"/>
    <cellStyle name="40% - 강조색6 77 2" xfId="10378"/>
    <cellStyle name="40% - 강조색6 77 3" xfId="10689"/>
    <cellStyle name="40% - 강조색6 77 4" xfId="10973"/>
    <cellStyle name="40% - 강조색6 77 5" xfId="11249"/>
    <cellStyle name="40% - 강조색6 78" xfId="10238"/>
    <cellStyle name="40% - 강조색6 78 2" xfId="10692"/>
    <cellStyle name="40% - 강조색6 78 3" xfId="10976"/>
    <cellStyle name="40% - 강조색6 78 4" xfId="11253"/>
    <cellStyle name="40% - 강조색6 79" xfId="10564"/>
    <cellStyle name="40% - 강조색6 79 2" xfId="10984"/>
    <cellStyle name="40% - 강조색6 79 3" xfId="11262"/>
    <cellStyle name="40% - 강조색6 8" xfId="149"/>
    <cellStyle name="40% - 강조색6 80" xfId="10067"/>
    <cellStyle name="40% - 강조색6 80 2" xfId="11251"/>
    <cellStyle name="40% - 강조색6 81" xfId="11153"/>
    <cellStyle name="40% - 강조색6 82" xfId="11293"/>
    <cellStyle name="40% - 강조색6 83" xfId="11415"/>
    <cellStyle name="40% - 강조색6 84" xfId="11397"/>
    <cellStyle name="40% - 강조색6 85" xfId="11348"/>
    <cellStyle name="40% - 강조색6 86" xfId="11447"/>
    <cellStyle name="40% - 강조색6 9" xfId="162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메모 10" xfId="181"/>
    <cellStyle name="메모 11" xfId="194"/>
    <cellStyle name="메모 12" xfId="207"/>
    <cellStyle name="메모 13" xfId="220"/>
    <cellStyle name="메모 14" xfId="233"/>
    <cellStyle name="메모 15" xfId="246"/>
    <cellStyle name="메모 16" xfId="259"/>
    <cellStyle name="메모 17" xfId="272"/>
    <cellStyle name="메모 18" xfId="285"/>
    <cellStyle name="메모 19" xfId="298"/>
    <cellStyle name="메모 2" xfId="43"/>
    <cellStyle name="메모 20" xfId="311"/>
    <cellStyle name="메모 21" xfId="324"/>
    <cellStyle name="메모 22" xfId="337"/>
    <cellStyle name="메모 23" xfId="350"/>
    <cellStyle name="메모 24" xfId="363"/>
    <cellStyle name="메모 25" xfId="376"/>
    <cellStyle name="메모 26" xfId="389"/>
    <cellStyle name="메모 27" xfId="402"/>
    <cellStyle name="메모 28" xfId="415"/>
    <cellStyle name="메모 29" xfId="428"/>
    <cellStyle name="메모 3" xfId="64"/>
    <cellStyle name="메모 30" xfId="441"/>
    <cellStyle name="메모 31" xfId="453"/>
    <cellStyle name="메모 32" xfId="465"/>
    <cellStyle name="메모 33" xfId="477"/>
    <cellStyle name="메모 34" xfId="489"/>
    <cellStyle name="메모 35" xfId="500"/>
    <cellStyle name="메모 36" xfId="511"/>
    <cellStyle name="메모 37" xfId="522"/>
    <cellStyle name="메모 38" xfId="531"/>
    <cellStyle name="메모 39" xfId="537"/>
    <cellStyle name="메모 4" xfId="103"/>
    <cellStyle name="메모 40" xfId="540"/>
    <cellStyle name="메모 40 10" xfId="3266"/>
    <cellStyle name="메모 40 11" xfId="3406"/>
    <cellStyle name="메모 40 12" xfId="1410"/>
    <cellStyle name="메모 40 13" xfId="1577"/>
    <cellStyle name="메모 40 14" xfId="4532"/>
    <cellStyle name="메모 40 15" xfId="5261"/>
    <cellStyle name="메모 40 16" xfId="5245"/>
    <cellStyle name="메모 40 17" xfId="4394"/>
    <cellStyle name="메모 40 18" xfId="5532"/>
    <cellStyle name="메모 40 19" xfId="3546"/>
    <cellStyle name="메모 40 2" xfId="1039"/>
    <cellStyle name="메모 40 20" xfId="7152"/>
    <cellStyle name="메모 40 21" xfId="6994"/>
    <cellStyle name="메모 40 22" xfId="7456"/>
    <cellStyle name="메모 40 23" xfId="8142"/>
    <cellStyle name="메모 40 24" xfId="5975"/>
    <cellStyle name="메모 40 25" xfId="7555"/>
    <cellStyle name="메모 40 26" xfId="8679"/>
    <cellStyle name="메모 40 27" xfId="8773"/>
    <cellStyle name="메모 40 28" xfId="9919"/>
    <cellStyle name="메모 40 29" xfId="9445"/>
    <cellStyle name="메모 40 3" xfId="1130"/>
    <cellStyle name="메모 40 30" xfId="10548"/>
    <cellStyle name="메모 40 31" xfId="3021"/>
    <cellStyle name="메모 40 32" xfId="10995"/>
    <cellStyle name="메모 40 33" xfId="11312"/>
    <cellStyle name="메모 40 34" xfId="11285"/>
    <cellStyle name="메모 40 35" xfId="11379"/>
    <cellStyle name="메모 40 36" xfId="11401"/>
    <cellStyle name="메모 40 4" xfId="1221"/>
    <cellStyle name="메모 40 5" xfId="1608"/>
    <cellStyle name="메모 40 6" xfId="910"/>
    <cellStyle name="메모 40 7" xfId="2200"/>
    <cellStyle name="메모 40 8" xfId="2537"/>
    <cellStyle name="메모 40 9" xfId="1593"/>
    <cellStyle name="메모 41" xfId="563"/>
    <cellStyle name="메모 41 10" xfId="3275"/>
    <cellStyle name="메모 41 11" xfId="2087"/>
    <cellStyle name="메모 41 12" xfId="3963"/>
    <cellStyle name="메모 41 13" xfId="2382"/>
    <cellStyle name="메모 41 14" xfId="4582"/>
    <cellStyle name="메모 41 15" xfId="950"/>
    <cellStyle name="메모 41 16" xfId="5351"/>
    <cellStyle name="메모 41 17" xfId="3479"/>
    <cellStyle name="메모 41 18" xfId="5569"/>
    <cellStyle name="메모 41 19" xfId="6536"/>
    <cellStyle name="메모 41 2" xfId="1062"/>
    <cellStyle name="메모 41 20" xfId="3628"/>
    <cellStyle name="메모 41 21" xfId="7020"/>
    <cellStyle name="메모 41 22" xfId="7813"/>
    <cellStyle name="메모 41 23" xfId="8166"/>
    <cellStyle name="메모 41 24" xfId="8286"/>
    <cellStyle name="메모 41 25" xfId="8949"/>
    <cellStyle name="메모 41 26" xfId="9183"/>
    <cellStyle name="메모 41 27" xfId="7193"/>
    <cellStyle name="메모 41 28" xfId="7494"/>
    <cellStyle name="메모 41 29" xfId="8953"/>
    <cellStyle name="메모 41 3" xfId="1153"/>
    <cellStyle name="메모 41 30" xfId="10567"/>
    <cellStyle name="메모 41 31" xfId="10851"/>
    <cellStyle name="메모 41 32" xfId="11092"/>
    <cellStyle name="메모 41 4" xfId="1244"/>
    <cellStyle name="메모 41 5" xfId="1605"/>
    <cellStyle name="메모 41 6" xfId="1487"/>
    <cellStyle name="메모 41 7" xfId="1411"/>
    <cellStyle name="메모 41 8" xfId="2138"/>
    <cellStyle name="메모 41 9" xfId="2837"/>
    <cellStyle name="메모 42" xfId="541"/>
    <cellStyle name="메모 42 10" xfId="3284"/>
    <cellStyle name="메모 42 11" xfId="2075"/>
    <cellStyle name="메모 42 12" xfId="3711"/>
    <cellStyle name="메모 42 13" xfId="2561"/>
    <cellStyle name="메모 42 14" xfId="4672"/>
    <cellStyle name="메모 42 15" xfId="5558"/>
    <cellStyle name="메모 42 16" xfId="3897"/>
    <cellStyle name="메모 42 17" xfId="5081"/>
    <cellStyle name="메모 42 18" xfId="5096"/>
    <cellStyle name="메모 42 19" xfId="6286"/>
    <cellStyle name="메모 42 2" xfId="1040"/>
    <cellStyle name="메모 42 20" xfId="7097"/>
    <cellStyle name="메모 42 21" xfId="6714"/>
    <cellStyle name="메모 42 22" xfId="7691"/>
    <cellStyle name="메모 42 23" xfId="7977"/>
    <cellStyle name="메모 42 24" xfId="7980"/>
    <cellStyle name="메모 42 25" xfId="2642"/>
    <cellStyle name="메모 42 26" xfId="9221"/>
    <cellStyle name="메모 42 27" xfId="5011"/>
    <cellStyle name="메모 42 28" xfId="9955"/>
    <cellStyle name="메모 42 29" xfId="5366"/>
    <cellStyle name="메모 42 3" xfId="1131"/>
    <cellStyle name="메모 42 30" xfId="5112"/>
    <cellStyle name="메모 42 31" xfId="10767"/>
    <cellStyle name="메모 42 32" xfId="11109"/>
    <cellStyle name="메모 42 4" xfId="1222"/>
    <cellStyle name="메모 42 5" xfId="1609"/>
    <cellStyle name="메모 42 6" xfId="1339"/>
    <cellStyle name="메모 42 7" xfId="2222"/>
    <cellStyle name="메모 42 8" xfId="2434"/>
    <cellStyle name="메모 42 9" xfId="2965"/>
    <cellStyle name="메모 43" xfId="622"/>
    <cellStyle name="메모 43 10" xfId="3225"/>
    <cellStyle name="메모 43 11" xfId="2274"/>
    <cellStyle name="메모 43 12" xfId="3535"/>
    <cellStyle name="메모 43 13" xfId="2161"/>
    <cellStyle name="메모 43 14" xfId="4711"/>
    <cellStyle name="메모 43 15" xfId="5293"/>
    <cellStyle name="메모 43 16" xfId="5134"/>
    <cellStyle name="메모 43 17" xfId="5568"/>
    <cellStyle name="메모 43 18" xfId="914"/>
    <cellStyle name="메모 43 19" xfId="6100"/>
    <cellStyle name="메모 43 2" xfId="1121"/>
    <cellStyle name="메모 43 20" xfId="5547"/>
    <cellStyle name="메모 43 21" xfId="7217"/>
    <cellStyle name="메모 43 22" xfId="7810"/>
    <cellStyle name="메모 43 23" xfId="8035"/>
    <cellStyle name="메모 43 24" xfId="6452"/>
    <cellStyle name="메모 43 25" xfId="8920"/>
    <cellStyle name="메모 43 26" xfId="9223"/>
    <cellStyle name="메모 43 27" xfId="9575"/>
    <cellStyle name="메모 43 28" xfId="9199"/>
    <cellStyle name="메모 43 29" xfId="6197"/>
    <cellStyle name="메모 43 3" xfId="1212"/>
    <cellStyle name="메모 43 30" xfId="6451"/>
    <cellStyle name="메모 43 31" xfId="10787"/>
    <cellStyle name="메모 43 32" xfId="11198"/>
    <cellStyle name="메모 43 4" xfId="1303"/>
    <cellStyle name="메모 43 5" xfId="1652"/>
    <cellStyle name="메모 43 6" xfId="1333"/>
    <cellStyle name="메모 43 7" xfId="729"/>
    <cellStyle name="메모 43 8" xfId="2600"/>
    <cellStyle name="메모 43 9" xfId="2942"/>
    <cellStyle name="메모 44" xfId="560"/>
    <cellStyle name="메모 44 10" xfId="3294"/>
    <cellStyle name="메모 44 11" xfId="3545"/>
    <cellStyle name="메모 44 12" xfId="2729"/>
    <cellStyle name="메모 44 13" xfId="3229"/>
    <cellStyle name="메모 44 14" xfId="4666"/>
    <cellStyle name="메모 44 15" xfId="5399"/>
    <cellStyle name="메모 44 16" xfId="5748"/>
    <cellStyle name="메모 44 17" xfId="5838"/>
    <cellStyle name="메모 44 18" xfId="5905"/>
    <cellStyle name="메모 44 19" xfId="6489"/>
    <cellStyle name="메모 44 2" xfId="1059"/>
    <cellStyle name="메모 44 20" xfId="7089"/>
    <cellStyle name="메모 44 21" xfId="6139"/>
    <cellStyle name="메모 44 22" xfId="7406"/>
    <cellStyle name="메모 44 23" xfId="8157"/>
    <cellStyle name="메모 44 24" xfId="8372"/>
    <cellStyle name="메모 44 25" xfId="8978"/>
    <cellStyle name="메모 44 26" xfId="988"/>
    <cellStyle name="메모 44 27" xfId="9543"/>
    <cellStyle name="메모 44 28" xfId="9847"/>
    <cellStyle name="메모 44 29" xfId="7560"/>
    <cellStyle name="메모 44 3" xfId="1150"/>
    <cellStyle name="메모 44 30" xfId="10587"/>
    <cellStyle name="메모 44 31" xfId="10916"/>
    <cellStyle name="메모 44 32" xfId="10710"/>
    <cellStyle name="메모 44 4" xfId="1241"/>
    <cellStyle name="메모 44 5" xfId="1708"/>
    <cellStyle name="메모 44 6" xfId="812"/>
    <cellStyle name="메모 44 7" xfId="2244"/>
    <cellStyle name="메모 44 8" xfId="2594"/>
    <cellStyle name="메모 44 9" xfId="2682"/>
    <cellStyle name="메모 45" xfId="626"/>
    <cellStyle name="메모 45 10" xfId="3052"/>
    <cellStyle name="메모 45 11" xfId="2591"/>
    <cellStyle name="메모 45 12" xfId="2099"/>
    <cellStyle name="메모 45 13" xfId="2524"/>
    <cellStyle name="메모 45 14" xfId="3888"/>
    <cellStyle name="메모 45 15" xfId="5155"/>
    <cellStyle name="메모 45 16" xfId="2090"/>
    <cellStyle name="메모 45 17" xfId="5554"/>
    <cellStyle name="메모 45 18" xfId="5536"/>
    <cellStyle name="메모 45 19" xfId="6571"/>
    <cellStyle name="메모 45 2" xfId="1125"/>
    <cellStyle name="메모 45 20" xfId="7239"/>
    <cellStyle name="메모 45 21" xfId="6706"/>
    <cellStyle name="메모 45 22" xfId="7811"/>
    <cellStyle name="메모 45 23" xfId="8237"/>
    <cellStyle name="메모 45 24" xfId="3349"/>
    <cellStyle name="메모 45 25" xfId="6337"/>
    <cellStyle name="메모 45 26" xfId="7606"/>
    <cellStyle name="메모 45 27" xfId="1519"/>
    <cellStyle name="메모 45 28" xfId="9986"/>
    <cellStyle name="메모 45 29" xfId="10103"/>
    <cellStyle name="메모 45 3" xfId="1216"/>
    <cellStyle name="메모 45 30" xfId="10448"/>
    <cellStyle name="메모 45 31" xfId="6024"/>
    <cellStyle name="메모 45 32" xfId="10228"/>
    <cellStyle name="메모 45 4" xfId="1307"/>
    <cellStyle name="메모 45 5" xfId="1691"/>
    <cellStyle name="메모 45 6" xfId="1998"/>
    <cellStyle name="메모 45 7" xfId="2295"/>
    <cellStyle name="메모 45 8" xfId="2147"/>
    <cellStyle name="메모 45 9" xfId="1347"/>
    <cellStyle name="메모 46" xfId="567"/>
    <cellStyle name="메모 46 10" xfId="3216"/>
    <cellStyle name="메모 46 11" xfId="3516"/>
    <cellStyle name="메모 46 12" xfId="787"/>
    <cellStyle name="메모 46 13" xfId="4305"/>
    <cellStyle name="메모 46 14" xfId="4169"/>
    <cellStyle name="메모 46 15" xfId="3013"/>
    <cellStyle name="메모 46 16" xfId="5432"/>
    <cellStyle name="메모 46 17" xfId="5385"/>
    <cellStyle name="메모 46 18" xfId="5576"/>
    <cellStyle name="메모 46 19" xfId="6374"/>
    <cellStyle name="메모 46 2" xfId="1066"/>
    <cellStyle name="메모 46 20" xfId="6823"/>
    <cellStyle name="메모 46 21" xfId="7221"/>
    <cellStyle name="메모 46 22" xfId="7518"/>
    <cellStyle name="메모 46 23" xfId="5995"/>
    <cellStyle name="메모 46 24" xfId="8575"/>
    <cellStyle name="메모 46 25" xfId="8825"/>
    <cellStyle name="메모 46 26" xfId="9265"/>
    <cellStyle name="메모 46 27" xfId="8424"/>
    <cellStyle name="메모 46 28" xfId="6199"/>
    <cellStyle name="메모 46 29" xfId="10303"/>
    <cellStyle name="메모 46 3" xfId="1157"/>
    <cellStyle name="메모 46 30" xfId="10497"/>
    <cellStyle name="메모 46 31" xfId="10768"/>
    <cellStyle name="메모 46 32" xfId="3392"/>
    <cellStyle name="메모 46 4" xfId="1248"/>
    <cellStyle name="메모 46 5" xfId="1752"/>
    <cellStyle name="메모 46 6" xfId="2032"/>
    <cellStyle name="메모 46 7" xfId="2230"/>
    <cellStyle name="메모 46 8" xfId="940"/>
    <cellStyle name="메모 46 9" xfId="2895"/>
    <cellStyle name="메모 47" xfId="633"/>
    <cellStyle name="메모 47 10" xfId="2149"/>
    <cellStyle name="메모 47 11" xfId="4490"/>
    <cellStyle name="메모 47 12" xfId="2388"/>
    <cellStyle name="메모 47 13" xfId="4960"/>
    <cellStyle name="메모 47 14" xfId="5494"/>
    <cellStyle name="메모 47 15" xfId="3198"/>
    <cellStyle name="메모 47 16" xfId="6369"/>
    <cellStyle name="메모 47 17" xfId="3789"/>
    <cellStyle name="메모 47 18" xfId="7002"/>
    <cellStyle name="메모 47 19" xfId="7781"/>
    <cellStyle name="메모 47 2" xfId="1757"/>
    <cellStyle name="메모 47 20" xfId="2092"/>
    <cellStyle name="메모 47 21" xfId="5335"/>
    <cellStyle name="메모 47 22" xfId="1885"/>
    <cellStyle name="메모 47 23" xfId="9098"/>
    <cellStyle name="메모 47 24" xfId="1007"/>
    <cellStyle name="메모 47 25" xfId="10007"/>
    <cellStyle name="메모 47 26" xfId="1346"/>
    <cellStyle name="메모 47 27" xfId="10510"/>
    <cellStyle name="메모 47 28" xfId="1002"/>
    <cellStyle name="메모 47 29" xfId="11035"/>
    <cellStyle name="메모 47 3" xfId="1983"/>
    <cellStyle name="메모 47 30" xfId="11335"/>
    <cellStyle name="메모 47 31" xfId="11381"/>
    <cellStyle name="메모 47 32" xfId="11383"/>
    <cellStyle name="메모 47 33" xfId="11361"/>
    <cellStyle name="메모 47 4" xfId="2223"/>
    <cellStyle name="메모 47 5" xfId="1933"/>
    <cellStyle name="메모 47 6" xfId="2826"/>
    <cellStyle name="메모 47 7" xfId="3305"/>
    <cellStyle name="메모 47 8" xfId="3547"/>
    <cellStyle name="메모 47 9" xfId="3951"/>
    <cellStyle name="메모 48" xfId="632"/>
    <cellStyle name="메모 48 10" xfId="2778"/>
    <cellStyle name="메모 48 11" xfId="4623"/>
    <cellStyle name="메모 48 12" xfId="2709"/>
    <cellStyle name="메모 48 13" xfId="5444"/>
    <cellStyle name="메모 48 14" xfId="5800"/>
    <cellStyle name="메모 48 15" xfId="5877"/>
    <cellStyle name="메모 48 16" xfId="1404"/>
    <cellStyle name="메모 48 17" xfId="6763"/>
    <cellStyle name="메모 48 18" xfId="6983"/>
    <cellStyle name="메모 48 19" xfId="7529"/>
    <cellStyle name="메모 48 2" xfId="1761"/>
    <cellStyle name="메모 48 20" xfId="8010"/>
    <cellStyle name="메모 48 21" xfId="1843"/>
    <cellStyle name="메모 48 22" xfId="4547"/>
    <cellStyle name="메모 48 23" xfId="9228"/>
    <cellStyle name="메모 48 24" xfId="5988"/>
    <cellStyle name="메모 48 25" xfId="9799"/>
    <cellStyle name="메모 48 26" xfId="10100"/>
    <cellStyle name="메모 48 27" xfId="8782"/>
    <cellStyle name="메모 48 28" xfId="10747"/>
    <cellStyle name="메모 48 29" xfId="11237"/>
    <cellStyle name="메모 48 3" xfId="2040"/>
    <cellStyle name="메모 48 4" xfId="2158"/>
    <cellStyle name="메모 48 5" xfId="1583"/>
    <cellStyle name="메모 48 6" xfId="2705"/>
    <cellStyle name="메모 48 7" xfId="755"/>
    <cellStyle name="메모 48 8" xfId="3493"/>
    <cellStyle name="메모 48 9" xfId="1913"/>
    <cellStyle name="메모 49" xfId="634"/>
    <cellStyle name="메모 49 10" xfId="2414"/>
    <cellStyle name="메모 49 11" xfId="4678"/>
    <cellStyle name="메모 49 12" xfId="2203"/>
    <cellStyle name="메모 49 13" xfId="4767"/>
    <cellStyle name="메모 49 14" xfId="5353"/>
    <cellStyle name="메모 49 15" xfId="5304"/>
    <cellStyle name="메모 49 16" xfId="6216"/>
    <cellStyle name="메모 49 17" xfId="6161"/>
    <cellStyle name="메모 49 18" xfId="7297"/>
    <cellStyle name="메모 49 19" xfId="7488"/>
    <cellStyle name="메모 49 2" xfId="1765"/>
    <cellStyle name="메모 49 20" xfId="3555"/>
    <cellStyle name="메모 49 21" xfId="8304"/>
    <cellStyle name="메모 49 22" xfId="8915"/>
    <cellStyle name="메모 49 23" xfId="9024"/>
    <cellStyle name="메모 49 24" xfId="9593"/>
    <cellStyle name="메모 49 25" xfId="8758"/>
    <cellStyle name="메모 49 26" xfId="10076"/>
    <cellStyle name="메모 49 27" xfId="10537"/>
    <cellStyle name="메모 49 28" xfId="10522"/>
    <cellStyle name="메모 49 29" xfId="6271"/>
    <cellStyle name="메모 49 3" xfId="1994"/>
    <cellStyle name="메모 49 4" xfId="2292"/>
    <cellStyle name="메모 49 5" xfId="1325"/>
    <cellStyle name="메모 49 6" xfId="2767"/>
    <cellStyle name="메모 49 7" xfId="3156"/>
    <cellStyle name="메모 49 8" xfId="3499"/>
    <cellStyle name="메모 49 9" xfId="3886"/>
    <cellStyle name="메모 5" xfId="116"/>
    <cellStyle name="메모 50" xfId="631"/>
    <cellStyle name="메모 50 10" xfId="4106"/>
    <cellStyle name="메모 50 11" xfId="4415"/>
    <cellStyle name="메모 50 12" xfId="5069"/>
    <cellStyle name="메모 50 13" xfId="1425"/>
    <cellStyle name="메모 50 14" xfId="5256"/>
    <cellStyle name="메모 50 15" xfId="3478"/>
    <cellStyle name="메모 50 16" xfId="6278"/>
    <cellStyle name="메모 50 17" xfId="6715"/>
    <cellStyle name="메모 50 18" xfId="5957"/>
    <cellStyle name="메모 50 19" xfId="7546"/>
    <cellStyle name="메모 50 2" xfId="1606"/>
    <cellStyle name="메모 50 20" xfId="8152"/>
    <cellStyle name="메모 50 21" xfId="5973"/>
    <cellStyle name="메모 50 22" xfId="4941"/>
    <cellStyle name="메모 50 23" xfId="7683"/>
    <cellStyle name="메모 50 24" xfId="7988"/>
    <cellStyle name="메모 50 25" xfId="9875"/>
    <cellStyle name="메모 50 26" xfId="10071"/>
    <cellStyle name="메모 50 27" xfId="9549"/>
    <cellStyle name="메모 50 28" xfId="10721"/>
    <cellStyle name="메모 50 29" xfId="11019"/>
    <cellStyle name="메모 50 3" xfId="1406"/>
    <cellStyle name="메모 50 4" xfId="1443"/>
    <cellStyle name="메모 50 5" xfId="2469"/>
    <cellStyle name="메모 50 6" xfId="2850"/>
    <cellStyle name="메모 50 7" xfId="733"/>
    <cellStyle name="메모 50 8" xfId="3566"/>
    <cellStyle name="메모 50 9" xfId="3950"/>
    <cellStyle name="메모 51" xfId="688"/>
    <cellStyle name="메모 51 10" xfId="4099"/>
    <cellStyle name="메모 51 11" xfId="4534"/>
    <cellStyle name="메모 51 12" xfId="4712"/>
    <cellStyle name="메모 51 13" xfId="5587"/>
    <cellStyle name="메모 51 14" xfId="3752"/>
    <cellStyle name="메모 51 15" xfId="5250"/>
    <cellStyle name="메모 51 16" xfId="6560"/>
    <cellStyle name="메모 51 17" xfId="1560"/>
    <cellStyle name="메모 51 18" xfId="2401"/>
    <cellStyle name="메모 51 19" xfId="7562"/>
    <cellStyle name="메모 51 2" xfId="1604"/>
    <cellStyle name="메모 51 20" xfId="4259"/>
    <cellStyle name="메모 51 21" xfId="4501"/>
    <cellStyle name="메모 51 22" xfId="761"/>
    <cellStyle name="메모 51 23" xfId="7455"/>
    <cellStyle name="메모 51 24" xfId="8373"/>
    <cellStyle name="메모 51 25" xfId="9995"/>
    <cellStyle name="메모 51 26" xfId="4130"/>
    <cellStyle name="메모 51 27" xfId="10488"/>
    <cellStyle name="메모 51 28" xfId="10899"/>
    <cellStyle name="메모 51 29" xfId="11200"/>
    <cellStyle name="메모 51 3" xfId="980"/>
    <cellStyle name="메모 51 4" xfId="2224"/>
    <cellStyle name="메모 51 5" xfId="2425"/>
    <cellStyle name="메모 51 6" xfId="1367"/>
    <cellStyle name="메모 51 7" xfId="3300"/>
    <cellStyle name="메모 51 8" xfId="977"/>
    <cellStyle name="메모 51 9" xfId="3900"/>
    <cellStyle name="메모 52" xfId="674"/>
    <cellStyle name="메모 52 10" xfId="3865"/>
    <cellStyle name="메모 52 11" xfId="4662"/>
    <cellStyle name="메모 52 12" xfId="5303"/>
    <cellStyle name="메모 52 13" xfId="1944"/>
    <cellStyle name="메모 52 14" xfId="5491"/>
    <cellStyle name="메모 52 15" xfId="4884"/>
    <cellStyle name="메모 52 16" xfId="6549"/>
    <cellStyle name="메모 52 17" xfId="2940"/>
    <cellStyle name="메모 52 18" xfId="3572"/>
    <cellStyle name="메모 52 19" xfId="7535"/>
    <cellStyle name="메모 52 2" xfId="1715"/>
    <cellStyle name="메모 52 20" xfId="7937"/>
    <cellStyle name="메모 52 21" xfId="8374"/>
    <cellStyle name="메모 52 22" xfId="8892"/>
    <cellStyle name="메모 52 23" xfId="9096"/>
    <cellStyle name="메모 52 24" xfId="9427"/>
    <cellStyle name="메모 52 25" xfId="9979"/>
    <cellStyle name="메모 52 26" xfId="10274"/>
    <cellStyle name="메모 52 27" xfId="9172"/>
    <cellStyle name="메모 52 28" xfId="10720"/>
    <cellStyle name="메모 52 29" xfId="11098"/>
    <cellStyle name="메모 52 3" xfId="1363"/>
    <cellStyle name="메모 52 4" xfId="2266"/>
    <cellStyle name="메모 52 5" xfId="1849"/>
    <cellStyle name="메모 52 6" xfId="2934"/>
    <cellStyle name="메모 52 7" xfId="3104"/>
    <cellStyle name="메모 52 8" xfId="2743"/>
    <cellStyle name="메모 52 9" xfId="3599"/>
    <cellStyle name="메모 53" xfId="720"/>
    <cellStyle name="메모 53 10" xfId="2371"/>
    <cellStyle name="메모 53 11" xfId="4611"/>
    <cellStyle name="메모 53 12" xfId="2398"/>
    <cellStyle name="메모 53 13" xfId="5448"/>
    <cellStyle name="메모 53 14" xfId="1941"/>
    <cellStyle name="메모 53 15" xfId="4772"/>
    <cellStyle name="메모 53 16" xfId="6378"/>
    <cellStyle name="메모 53 17" xfId="6724"/>
    <cellStyle name="메모 53 18" xfId="6876"/>
    <cellStyle name="메모 53 19" xfId="4204"/>
    <cellStyle name="메모 53 2" xfId="1685"/>
    <cellStyle name="메모 53 20" xfId="5981"/>
    <cellStyle name="메모 53 21" xfId="8491"/>
    <cellStyle name="메모 53 22" xfId="7996"/>
    <cellStyle name="메모 53 23" xfId="9052"/>
    <cellStyle name="메모 53 24" xfId="8236"/>
    <cellStyle name="메모 53 25" xfId="4180"/>
    <cellStyle name="메모 53 26" xfId="9606"/>
    <cellStyle name="메모 53 27" xfId="6521"/>
    <cellStyle name="메모 53 28" xfId="10704"/>
    <cellStyle name="메모 53 29" xfId="9462"/>
    <cellStyle name="메모 53 3" xfId="971"/>
    <cellStyle name="메모 53 4" xfId="2172"/>
    <cellStyle name="메모 53 5" xfId="2518"/>
    <cellStyle name="메모 53 6" xfId="765"/>
    <cellStyle name="메모 53 7" xfId="3057"/>
    <cellStyle name="메모 53 8" xfId="3590"/>
    <cellStyle name="메모 53 9" xfId="1905"/>
    <cellStyle name="메모 54" xfId="831"/>
    <cellStyle name="메모 54 10" xfId="4486"/>
    <cellStyle name="메모 54 11" xfId="5270"/>
    <cellStyle name="메모 54 12" xfId="5132"/>
    <cellStyle name="메모 54 13" xfId="2407"/>
    <cellStyle name="메모 54 14" xfId="4949"/>
    <cellStyle name="메모 54 15" xfId="6138"/>
    <cellStyle name="메모 54 16" xfId="7112"/>
    <cellStyle name="메모 54 17" xfId="6935"/>
    <cellStyle name="메모 54 18" xfId="7566"/>
    <cellStyle name="메모 54 19" xfId="8134"/>
    <cellStyle name="메모 54 2" xfId="1526"/>
    <cellStyle name="메모 54 20" xfId="8530"/>
    <cellStyle name="메모 54 21" xfId="978"/>
    <cellStyle name="메모 54 22" xfId="9241"/>
    <cellStyle name="메모 54 23" xfId="9547"/>
    <cellStyle name="메모 54 24" xfId="9985"/>
    <cellStyle name="메모 54 25" xfId="6961"/>
    <cellStyle name="메모 54 26" xfId="10515"/>
    <cellStyle name="메모 54 27" xfId="10834"/>
    <cellStyle name="메모 54 28" xfId="3373"/>
    <cellStyle name="메모 54 3" xfId="2291"/>
    <cellStyle name="메모 54 4" xfId="2500"/>
    <cellStyle name="메모 54 5" xfId="2960"/>
    <cellStyle name="메모 54 6" xfId="3137"/>
    <cellStyle name="메모 54 7" xfId="3658"/>
    <cellStyle name="메모 54 8" xfId="3943"/>
    <cellStyle name="메모 54 9" xfId="4342"/>
    <cellStyle name="메모 55" xfId="1863"/>
    <cellStyle name="메모 55 10" xfId="5462"/>
    <cellStyle name="메모 55 11" xfId="5630"/>
    <cellStyle name="메모 55 12" xfId="5428"/>
    <cellStyle name="메모 55 13" xfId="5664"/>
    <cellStyle name="메모 55 14" xfId="6454"/>
    <cellStyle name="메모 55 15" xfId="6980"/>
    <cellStyle name="메모 55 16" xfId="7042"/>
    <cellStyle name="메모 55 17" xfId="6739"/>
    <cellStyle name="메모 55 18" xfId="8063"/>
    <cellStyle name="메모 55 19" xfId="2220"/>
    <cellStyle name="메모 55 2" xfId="2338"/>
    <cellStyle name="메모 55 20" xfId="6898"/>
    <cellStyle name="메모 55 21" xfId="9159"/>
    <cellStyle name="메모 55 22" xfId="9621"/>
    <cellStyle name="메모 55 23" xfId="10024"/>
    <cellStyle name="메모 55 24" xfId="9843"/>
    <cellStyle name="메모 55 25" xfId="3905"/>
    <cellStyle name="메모 55 26" xfId="10606"/>
    <cellStyle name="메모 55 27" xfId="11086"/>
    <cellStyle name="메모 55 3" xfId="2657"/>
    <cellStyle name="메모 55 4" xfId="2971"/>
    <cellStyle name="메모 55 5" xfId="3027"/>
    <cellStyle name="메모 55 6" xfId="3452"/>
    <cellStyle name="메모 55 7" xfId="2152"/>
    <cellStyle name="메모 55 8" xfId="4177"/>
    <cellStyle name="메모 55 9" xfId="1006"/>
    <cellStyle name="메모 56" xfId="2064"/>
    <cellStyle name="메모 56 10" xfId="5806"/>
    <cellStyle name="메모 56 11" xfId="5882"/>
    <cellStyle name="메모 56 12" xfId="5937"/>
    <cellStyle name="메모 56 13" xfId="6527"/>
    <cellStyle name="메모 56 14" xfId="6962"/>
    <cellStyle name="메모 56 15" xfId="7247"/>
    <cellStyle name="메모 56 16" xfId="7788"/>
    <cellStyle name="메모 56 17" xfId="8048"/>
    <cellStyle name="메모 56 18" xfId="6708"/>
    <cellStyle name="메모 56 19" xfId="8813"/>
    <cellStyle name="메모 56 2" xfId="2667"/>
    <cellStyle name="메모 56 20" xfId="8677"/>
    <cellStyle name="메모 56 21" xfId="9598"/>
    <cellStyle name="메모 56 22" xfId="10005"/>
    <cellStyle name="메모 56 23" xfId="10128"/>
    <cellStyle name="메모 56 24" xfId="10561"/>
    <cellStyle name="메모 56 25" xfId="10850"/>
    <cellStyle name="메모 56 26" xfId="7570"/>
    <cellStyle name="메모 56 3" xfId="2982"/>
    <cellStyle name="메모 56 4" xfId="3274"/>
    <cellStyle name="메모 56 5" xfId="1439"/>
    <cellStyle name="메모 56 6" xfId="4002"/>
    <cellStyle name="메모 56 7" xfId="4277"/>
    <cellStyle name="메모 56 8" xfId="4117"/>
    <cellStyle name="메모 56 9" xfId="986"/>
    <cellStyle name="메모 57" xfId="1517"/>
    <cellStyle name="메모 57 10" xfId="5513"/>
    <cellStyle name="메모 57 11" xfId="5049"/>
    <cellStyle name="메모 57 12" xfId="4634"/>
    <cellStyle name="메모 57 13" xfId="6975"/>
    <cellStyle name="메모 57 14" xfId="4560"/>
    <cellStyle name="메모 57 15" xfId="7355"/>
    <cellStyle name="메모 57 16" xfId="3388"/>
    <cellStyle name="메모 57 17" xfId="8593"/>
    <cellStyle name="메모 57 18" xfId="3009"/>
    <cellStyle name="메모 57 19" xfId="6032"/>
    <cellStyle name="메모 57 2" xfId="957"/>
    <cellStyle name="메모 57 20" xfId="9659"/>
    <cellStyle name="메모 57 21" xfId="7934"/>
    <cellStyle name="메모 57 22" xfId="8883"/>
    <cellStyle name="메모 57 23" xfId="10499"/>
    <cellStyle name="메모 57 24" xfId="888"/>
    <cellStyle name="메모 57 25" xfId="10750"/>
    <cellStyle name="메모 57 3" xfId="3140"/>
    <cellStyle name="메모 57 4" xfId="966"/>
    <cellStyle name="메모 57 5" xfId="1323"/>
    <cellStyle name="메모 57 6" xfId="4309"/>
    <cellStyle name="메모 57 7" xfId="4531"/>
    <cellStyle name="메모 57 8" xfId="2367"/>
    <cellStyle name="메모 57 9" xfId="5301"/>
    <cellStyle name="메모 58" xfId="2683"/>
    <cellStyle name="메모 58 10" xfId="5196"/>
    <cellStyle name="메모 58 11" xfId="6335"/>
    <cellStyle name="메모 58 12" xfId="7052"/>
    <cellStyle name="메모 58 13" xfId="6773"/>
    <cellStyle name="메모 58 14" xfId="3653"/>
    <cellStyle name="메모 58 15" xfId="6872"/>
    <cellStyle name="메모 58 16" xfId="3462"/>
    <cellStyle name="메모 58 17" xfId="8954"/>
    <cellStyle name="메모 58 18" xfId="5978"/>
    <cellStyle name="메모 58 19" xfId="9406"/>
    <cellStyle name="메모 58 2" xfId="3336"/>
    <cellStyle name="메모 58 20" xfId="6899"/>
    <cellStyle name="메모 58 21" xfId="8093"/>
    <cellStyle name="메모 58 22" xfId="10465"/>
    <cellStyle name="메모 58 23" xfId="10801"/>
    <cellStyle name="메모 58 24" xfId="11204"/>
    <cellStyle name="메모 58 3" xfId="3668"/>
    <cellStyle name="메모 58 4" xfId="3468"/>
    <cellStyle name="메모 58 5" xfId="4311"/>
    <cellStyle name="메모 58 6" xfId="2209"/>
    <cellStyle name="메모 58 7" xfId="5596"/>
    <cellStyle name="메모 58 8" xfId="5508"/>
    <cellStyle name="메모 58 9" xfId="894"/>
    <cellStyle name="메모 59" xfId="2757"/>
    <cellStyle name="메모 59 10" xfId="3445"/>
    <cellStyle name="메모 59 11" xfId="6922"/>
    <cellStyle name="메모 59 12" xfId="6886"/>
    <cellStyle name="메모 59 13" xfId="7367"/>
    <cellStyle name="메모 59 14" xfId="7368"/>
    <cellStyle name="메모 59 15" xfId="6007"/>
    <cellStyle name="메모 59 16" xfId="7462"/>
    <cellStyle name="메모 59 17" xfId="9280"/>
    <cellStyle name="메모 59 18" xfId="9571"/>
    <cellStyle name="메모 59 19" xfId="1013"/>
    <cellStyle name="메모 59 2" xfId="3669"/>
    <cellStyle name="메모 59 20" xfId="5352"/>
    <cellStyle name="메모 59 21" xfId="10513"/>
    <cellStyle name="메모 59 22" xfId="10482"/>
    <cellStyle name="메모 59 23" xfId="10552"/>
    <cellStyle name="메모 59 3" xfId="3835"/>
    <cellStyle name="메모 59 4" xfId="4242"/>
    <cellStyle name="메모 59 5" xfId="2225"/>
    <cellStyle name="메모 59 6" xfId="4999"/>
    <cellStyle name="메모 59 7" xfId="5799"/>
    <cellStyle name="메모 59 8" xfId="5876"/>
    <cellStyle name="메모 59 9" xfId="5933"/>
    <cellStyle name="메모 6" xfId="129"/>
    <cellStyle name="메모 60" xfId="1026"/>
    <cellStyle name="메모 60 10" xfId="3003"/>
    <cellStyle name="메모 60 11" xfId="7143"/>
    <cellStyle name="메모 60 12" xfId="7676"/>
    <cellStyle name="메모 60 13" xfId="7924"/>
    <cellStyle name="메모 60 14" xfId="8538"/>
    <cellStyle name="메모 60 15" xfId="8877"/>
    <cellStyle name="메모 60 16" xfId="9154"/>
    <cellStyle name="메모 60 17" xfId="9512"/>
    <cellStyle name="메모 60 18" xfId="3748"/>
    <cellStyle name="메모 60 19" xfId="10176"/>
    <cellStyle name="메모 60 2" xfId="3909"/>
    <cellStyle name="메모 60 20" xfId="8860"/>
    <cellStyle name="메모 60 21" xfId="10928"/>
    <cellStyle name="메모 60 22" xfId="11240"/>
    <cellStyle name="메모 60 3" xfId="4329"/>
    <cellStyle name="메모 60 4" xfId="4618"/>
    <cellStyle name="메모 60 5" xfId="5488"/>
    <cellStyle name="메모 60 6" xfId="4971"/>
    <cellStyle name="메모 60 7" xfId="3482"/>
    <cellStyle name="메모 60 8" xfId="4661"/>
    <cellStyle name="메모 60 9" xfId="6264"/>
    <cellStyle name="메모 61" xfId="1522"/>
    <cellStyle name="메모 61 10" xfId="7058"/>
    <cellStyle name="메모 61 11" xfId="2719"/>
    <cellStyle name="메모 61 12" xfId="8200"/>
    <cellStyle name="메모 61 13" xfId="8327"/>
    <cellStyle name="메모 61 14" xfId="7763"/>
    <cellStyle name="메모 61 15" xfId="9152"/>
    <cellStyle name="메모 61 16" xfId="5058"/>
    <cellStyle name="메모 61 17" xfId="7408"/>
    <cellStyle name="메모 61 18" xfId="9250"/>
    <cellStyle name="메모 61 19" xfId="4107"/>
    <cellStyle name="메모 61 2" xfId="4347"/>
    <cellStyle name="메모 61 20" xfId="10945"/>
    <cellStyle name="메모 61 21" xfId="10505"/>
    <cellStyle name="메모 61 3" xfId="2922"/>
    <cellStyle name="메모 61 4" xfId="5173"/>
    <cellStyle name="메모 61 5" xfId="4042"/>
    <cellStyle name="메모 61 6" xfId="4993"/>
    <cellStyle name="메모 61 7" xfId="3917"/>
    <cellStyle name="메모 61 8" xfId="5020"/>
    <cellStyle name="메모 61 9" xfId="1949"/>
    <cellStyle name="메모 62" xfId="4059"/>
    <cellStyle name="메모 62 10" xfId="7565"/>
    <cellStyle name="메모 62 11" xfId="6304"/>
    <cellStyle name="메모 62 12" xfId="8281"/>
    <cellStyle name="메모 62 13" xfId="8830"/>
    <cellStyle name="메모 62 14" xfId="4667"/>
    <cellStyle name="메모 62 15" xfId="9608"/>
    <cellStyle name="메모 62 16" xfId="9732"/>
    <cellStyle name="메모 62 17" xfId="10297"/>
    <cellStyle name="메모 62 18" xfId="6434"/>
    <cellStyle name="메모 62 19" xfId="10847"/>
    <cellStyle name="메모 62 2" xfId="4736"/>
    <cellStyle name="메모 62 20" xfId="6005"/>
    <cellStyle name="메모 62 3" xfId="5675"/>
    <cellStyle name="메모 62 4" xfId="4901"/>
    <cellStyle name="메모 62 5" xfId="5795"/>
    <cellStyle name="메모 62 6" xfId="5873"/>
    <cellStyle name="메모 62 7" xfId="6594"/>
    <cellStyle name="메모 62 8" xfId="6749"/>
    <cellStyle name="메모 62 9" xfId="4472"/>
    <cellStyle name="메모 63" xfId="4541"/>
    <cellStyle name="메모 63 10" xfId="8171"/>
    <cellStyle name="메모 63 11" xfId="8457"/>
    <cellStyle name="메모 63 12" xfId="1908"/>
    <cellStyle name="메모 63 13" xfId="9218"/>
    <cellStyle name="메모 63 14" xfId="2693"/>
    <cellStyle name="메모 63 15" xfId="9750"/>
    <cellStyle name="메모 63 16" xfId="6136"/>
    <cellStyle name="메모 63 17" xfId="7509"/>
    <cellStyle name="메모 63 18" xfId="1336"/>
    <cellStyle name="메모 63 19" xfId="11241"/>
    <cellStyle name="메모 63 2" xfId="5762"/>
    <cellStyle name="메모 63 3" xfId="5849"/>
    <cellStyle name="메모 63 4" xfId="5912"/>
    <cellStyle name="메모 63 5" xfId="5947"/>
    <cellStyle name="메모 63 6" xfId="6607"/>
    <cellStyle name="메모 63 7" xfId="6698"/>
    <cellStyle name="메모 63 8" xfId="7300"/>
    <cellStyle name="메모 63 9" xfId="7539"/>
    <cellStyle name="메모 64" xfId="3816"/>
    <cellStyle name="메모 64 10" xfId="6053"/>
    <cellStyle name="메모 64 11" xfId="9783"/>
    <cellStyle name="메모 64 12" xfId="10096"/>
    <cellStyle name="메모 64 13" xfId="10461"/>
    <cellStyle name="메모 64 14" xfId="9171"/>
    <cellStyle name="메모 64 15" xfId="11048"/>
    <cellStyle name="메모 64 2" xfId="3728"/>
    <cellStyle name="메모 64 3" xfId="7106"/>
    <cellStyle name="메모 64 4" xfId="7204"/>
    <cellStyle name="메모 64 5" xfId="7446"/>
    <cellStyle name="메모 64 6" xfId="8107"/>
    <cellStyle name="메모 64 7" xfId="8510"/>
    <cellStyle name="메모 64 8" xfId="8983"/>
    <cellStyle name="메모 64 9" xfId="1413"/>
    <cellStyle name="메모 65" xfId="5145"/>
    <cellStyle name="메모 65 10" xfId="9538"/>
    <cellStyle name="메모 65 11" xfId="9745"/>
    <cellStyle name="메모 65 12" xfId="8490"/>
    <cellStyle name="메모 65 13" xfId="907"/>
    <cellStyle name="메모 65 14" xfId="10869"/>
    <cellStyle name="메모 65 15" xfId="6205"/>
    <cellStyle name="메모 65 2" xfId="6629"/>
    <cellStyle name="메모 65 3" xfId="3881"/>
    <cellStyle name="메모 65 4" xfId="7317"/>
    <cellStyle name="메모 65 5" xfId="7647"/>
    <cellStyle name="메모 65 6" xfId="8113"/>
    <cellStyle name="메모 65 7" xfId="8551"/>
    <cellStyle name="메모 65 8" xfId="5161"/>
    <cellStyle name="메모 65 9" xfId="9100"/>
    <cellStyle name="메모 66" xfId="5309"/>
    <cellStyle name="메모 66 10" xfId="9589"/>
    <cellStyle name="메모 66 11" xfId="10016"/>
    <cellStyle name="메모 66 12" xfId="10331"/>
    <cellStyle name="메모 66 13" xfId="10470"/>
    <cellStyle name="메모 66 14" xfId="8187"/>
    <cellStyle name="메모 66 15" xfId="11008"/>
    <cellStyle name="메모 66 2" xfId="6633"/>
    <cellStyle name="메모 66 3" xfId="7183"/>
    <cellStyle name="메모 66 4" xfId="3560"/>
    <cellStyle name="메모 66 5" xfId="7800"/>
    <cellStyle name="메모 66 6" xfId="8043"/>
    <cellStyle name="메모 66 7" xfId="8367"/>
    <cellStyle name="메모 66 8" xfId="1922"/>
    <cellStyle name="메모 66 9" xfId="7752"/>
    <cellStyle name="메모 67" xfId="5244"/>
    <cellStyle name="메모 67 10" xfId="2535"/>
    <cellStyle name="메모 67 11" xfId="7619"/>
    <cellStyle name="메모 67 12" xfId="7467"/>
    <cellStyle name="메모 67 13" xfId="10525"/>
    <cellStyle name="메모 67 14" xfId="9255"/>
    <cellStyle name="메모 67 15" xfId="10395"/>
    <cellStyle name="메모 67 2" xfId="6630"/>
    <cellStyle name="메모 67 3" xfId="7119"/>
    <cellStyle name="메모 67 4" xfId="7257"/>
    <cellStyle name="메모 67 5" xfId="4804"/>
    <cellStyle name="메모 67 6" xfId="7969"/>
    <cellStyle name="메모 67 7" xfId="8524"/>
    <cellStyle name="메모 67 8" xfId="8841"/>
    <cellStyle name="메모 67 9" xfId="7709"/>
    <cellStyle name="메모 68" xfId="6445"/>
    <cellStyle name="메모 68 10" xfId="9810"/>
    <cellStyle name="메모 68 11" xfId="9215"/>
    <cellStyle name="메모 68 12" xfId="1448"/>
    <cellStyle name="메모 68 13" xfId="10789"/>
    <cellStyle name="메모 68 14" xfId="11145"/>
    <cellStyle name="메모 68 2" xfId="7319"/>
    <cellStyle name="메모 68 3" xfId="7348"/>
    <cellStyle name="메모 68 4" xfId="7837"/>
    <cellStyle name="메모 68 5" xfId="4866"/>
    <cellStyle name="메모 68 6" xfId="8488"/>
    <cellStyle name="메모 68 7" xfId="8936"/>
    <cellStyle name="메모 68 8" xfId="8668"/>
    <cellStyle name="메모 68 9" xfId="9129"/>
    <cellStyle name="메모 69" xfId="6858"/>
    <cellStyle name="메모 69 10" xfId="10607"/>
    <cellStyle name="메모 69 11" xfId="10199"/>
    <cellStyle name="메모 69 12" xfId="9404"/>
    <cellStyle name="메모 69 2" xfId="7844"/>
    <cellStyle name="메모 69 3" xfId="8238"/>
    <cellStyle name="메모 69 4" xfId="8051"/>
    <cellStyle name="메모 69 5" xfId="6359"/>
    <cellStyle name="메모 69 6" xfId="7975"/>
    <cellStyle name="메모 69 7" xfId="9441"/>
    <cellStyle name="메모 69 8" xfId="9435"/>
    <cellStyle name="메모 69 9" xfId="5956"/>
    <cellStyle name="메모 7" xfId="142"/>
    <cellStyle name="메모 70" xfId="6921"/>
    <cellStyle name="메모 70 10" xfId="2142"/>
    <cellStyle name="메모 70 11" xfId="10885"/>
    <cellStyle name="메모 70 12" xfId="10705"/>
    <cellStyle name="메모 70 2" xfId="7845"/>
    <cellStyle name="메모 70 3" xfId="8239"/>
    <cellStyle name="메모 70 4" xfId="3046"/>
    <cellStyle name="메모 70 5" xfId="2543"/>
    <cellStyle name="메모 70 6" xfId="6787"/>
    <cellStyle name="메모 70 7" xfId="1874"/>
    <cellStyle name="메모 70 8" xfId="9918"/>
    <cellStyle name="메모 70 9" xfId="8840"/>
    <cellStyle name="메모 71" xfId="4967"/>
    <cellStyle name="메모 71 10" xfId="3774"/>
    <cellStyle name="메모 71 11" xfId="11080"/>
    <cellStyle name="메모 71 2" xfId="8064"/>
    <cellStyle name="메모 71 3" xfId="8318"/>
    <cellStyle name="메모 71 4" xfId="6495"/>
    <cellStyle name="메모 71 5" xfId="7506"/>
    <cellStyle name="메모 71 6" xfId="9597"/>
    <cellStyle name="메모 71 7" xfId="9785"/>
    <cellStyle name="메모 71 8" xfId="10129"/>
    <cellStyle name="메모 71 9" xfId="2754"/>
    <cellStyle name="메모 72" xfId="7884"/>
    <cellStyle name="메모 72 10" xfId="10402"/>
    <cellStyle name="메모 72 2" xfId="8633"/>
    <cellStyle name="메모 72 3" xfId="8997"/>
    <cellStyle name="메모 72 4" xfId="9356"/>
    <cellStyle name="메모 72 5" xfId="7579"/>
    <cellStyle name="메모 72 6" xfId="9792"/>
    <cellStyle name="메모 72 7" xfId="10271"/>
    <cellStyle name="메모 72 8" xfId="10502"/>
    <cellStyle name="메모 72 9" xfId="2752"/>
    <cellStyle name="메모 73" xfId="6690"/>
    <cellStyle name="메모 73 2" xfId="6710"/>
    <cellStyle name="메모 73 3" xfId="2372"/>
    <cellStyle name="메모 73 4" xfId="9522"/>
    <cellStyle name="메모 73 5" xfId="5986"/>
    <cellStyle name="메모 73 6" xfId="10282"/>
    <cellStyle name="메모 73 7" xfId="10517"/>
    <cellStyle name="메모 73 8" xfId="10938"/>
    <cellStyle name="메모 73 9" xfId="11158"/>
    <cellStyle name="메모 74" xfId="7879"/>
    <cellStyle name="메모 74 2" xfId="9355"/>
    <cellStyle name="메모 74 3" xfId="9664"/>
    <cellStyle name="메모 74 4" xfId="9830"/>
    <cellStyle name="메모 74 5" xfId="10126"/>
    <cellStyle name="메모 74 6" xfId="10591"/>
    <cellStyle name="메모 74 7" xfId="10410"/>
    <cellStyle name="메모 74 8" xfId="8321"/>
    <cellStyle name="메모 75" xfId="2477"/>
    <cellStyle name="메모 75 2" xfId="9407"/>
    <cellStyle name="메모 75 3" xfId="9803"/>
    <cellStyle name="메모 75 4" xfId="10223"/>
    <cellStyle name="메모 75 5" xfId="4802"/>
    <cellStyle name="메모 75 6" xfId="10888"/>
    <cellStyle name="메모 75 7" xfId="11128"/>
    <cellStyle name="메모 76" xfId="9508"/>
    <cellStyle name="메모 76 2" xfId="10052"/>
    <cellStyle name="메모 76 3" xfId="10365"/>
    <cellStyle name="메모 76 4" xfId="10674"/>
    <cellStyle name="메모 76 5" xfId="6320"/>
    <cellStyle name="메모 76 6" xfId="1322"/>
    <cellStyle name="메모 77" xfId="4145"/>
    <cellStyle name="메모 77 2" xfId="9484"/>
    <cellStyle name="메모 77 3" xfId="10463"/>
    <cellStyle name="메모 77 4" xfId="10896"/>
    <cellStyle name="메모 77 5" xfId="3775"/>
    <cellStyle name="메모 78" xfId="3456"/>
    <cellStyle name="메모 78 2" xfId="10528"/>
    <cellStyle name="메모 78 3" xfId="9736"/>
    <cellStyle name="메모 78 4" xfId="11018"/>
    <cellStyle name="메모 79" xfId="9430"/>
    <cellStyle name="메모 79 2" xfId="9625"/>
    <cellStyle name="메모 79 3" xfId="11044"/>
    <cellStyle name="메모 8" xfId="155"/>
    <cellStyle name="메모 80" xfId="10774"/>
    <cellStyle name="메모 80 2" xfId="11269"/>
    <cellStyle name="메모 81" xfId="9753"/>
    <cellStyle name="메모 82" xfId="11294"/>
    <cellStyle name="메모 83" xfId="11283"/>
    <cellStyle name="메모 84" xfId="11305"/>
    <cellStyle name="메모 85" xfId="11359"/>
    <cellStyle name="메모 86" xfId="11435"/>
    <cellStyle name="메모 9" xfId="168"/>
    <cellStyle name="백분율 2" xfId="56"/>
    <cellStyle name="보통" xfId="8" builtinId="28" customBuiltin="1"/>
    <cellStyle name="설명 텍스트" xfId="16" builtinId="53" customBuiltin="1"/>
    <cellStyle name="셀 확인" xfId="13" builtinId="23" customBuiltin="1"/>
    <cellStyle name="쉼표 [0] 2" xfId="539"/>
    <cellStyle name="쉼표 [0] 3" xfId="538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  <cellStyle name="표준 2" xfId="42"/>
    <cellStyle name="표준 3" xfId="722"/>
  </cellStyles>
  <dxfs count="704"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B665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G173"/>
  <sheetViews>
    <sheetView zoomScale="70" zoomScaleNormal="70" workbookViewId="0">
      <pane xSplit="3" ySplit="2" topLeftCell="CZ13" activePane="bottomRight" state="frozen"/>
      <selection pane="topRight" activeCell="D1" sqref="D1"/>
      <selection pane="bottomLeft" activeCell="A3" sqref="A3"/>
      <selection pane="bottomRight" activeCell="EV37" sqref="EV37:EV39"/>
    </sheetView>
  </sheetViews>
  <sheetFormatPr defaultRowHeight="16.5"/>
  <cols>
    <col min="1" max="3" width="9" style="68"/>
    <col min="4" max="107" width="5.625" style="68" customWidth="1"/>
    <col min="108" max="108" width="4.75" style="68" bestFit="1" customWidth="1"/>
    <col min="109" max="109" width="6.25" style="68" bestFit="1" customWidth="1"/>
    <col min="110" max="110" width="6.875" style="68" bestFit="1" customWidth="1"/>
    <col min="111" max="122" width="4.625" style="68"/>
    <col min="123" max="123" width="6.75" style="68" bestFit="1" customWidth="1"/>
    <col min="124" max="136" width="4.625" style="68"/>
    <col min="137" max="137" width="6.25" style="68" bestFit="1" customWidth="1"/>
    <col min="138" max="138" width="4.625" style="68"/>
    <col min="139" max="139" width="6.75" style="68" bestFit="1" customWidth="1"/>
    <col min="140" max="140" width="5.25" style="68" bestFit="1" customWidth="1"/>
    <col min="141" max="141" width="6.25" style="68" bestFit="1" customWidth="1"/>
    <col min="142" max="142" width="4.75" style="68" bestFit="1" customWidth="1"/>
    <col min="143" max="143" width="6.25" style="68" bestFit="1" customWidth="1"/>
    <col min="144" max="144" width="4.625" style="68"/>
    <col min="145" max="145" width="6.25" style="68" bestFit="1" customWidth="1"/>
    <col min="146" max="147" width="4.625" style="68"/>
    <col min="148" max="148" width="5.25" style="68" bestFit="1" customWidth="1"/>
    <col min="149" max="149" width="6.25" style="68" bestFit="1" customWidth="1"/>
    <col min="150" max="152" width="4.625" style="68"/>
    <col min="153" max="153" width="6.25" style="68" bestFit="1" customWidth="1"/>
    <col min="154" max="155" width="4.625" style="68"/>
    <col min="156" max="156" width="5.25" style="68" bestFit="1" customWidth="1"/>
    <col min="157" max="161" width="4.625" style="68"/>
    <col min="162" max="162" width="5.25" style="68" bestFit="1" customWidth="1"/>
    <col min="163" max="16384" width="9" style="68"/>
  </cols>
  <sheetData>
    <row r="1" spans="1:156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628"/>
      <c r="AS1" s="628"/>
      <c r="AT1" s="628"/>
      <c r="AU1" s="628"/>
      <c r="AV1" s="628"/>
      <c r="AW1" s="628"/>
      <c r="AX1" s="628"/>
      <c r="AY1" s="628"/>
      <c r="AZ1" s="628"/>
      <c r="BA1" s="628"/>
      <c r="BB1" s="628"/>
      <c r="BC1" s="70"/>
      <c r="BD1" s="70"/>
      <c r="BE1" s="70"/>
      <c r="BF1" s="80"/>
      <c r="BG1" s="80"/>
      <c r="BH1" s="80"/>
      <c r="BI1" s="80"/>
      <c r="BJ1" s="80"/>
      <c r="BK1" s="86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</row>
    <row r="2" spans="1:156">
      <c r="A2" s="70"/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628"/>
      <c r="AR2" s="628"/>
      <c r="AS2" s="628"/>
      <c r="AT2" s="628"/>
      <c r="AU2" s="628"/>
      <c r="AV2" s="628"/>
      <c r="AW2" s="628"/>
      <c r="AX2" s="628"/>
      <c r="AY2" s="70"/>
      <c r="AZ2" s="70"/>
      <c r="BA2" s="70"/>
      <c r="BB2" s="70"/>
      <c r="BC2" s="80"/>
      <c r="BD2" s="80"/>
      <c r="BE2" s="80"/>
      <c r="BF2" s="80"/>
      <c r="BG2" s="80"/>
      <c r="BH2" s="86"/>
      <c r="BI2" s="70"/>
      <c r="BJ2" s="70"/>
      <c r="BK2" s="70"/>
      <c r="BL2" s="70"/>
      <c r="BM2" s="70"/>
      <c r="BN2" s="70"/>
      <c r="BO2" s="70"/>
      <c r="BP2" s="70"/>
      <c r="BQ2" s="70"/>
      <c r="BR2" s="70"/>
      <c r="BS2" s="70"/>
      <c r="BT2" s="70"/>
      <c r="BU2" s="70"/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  <c r="CJ2" s="70"/>
      <c r="CK2" s="70"/>
      <c r="CL2" s="70"/>
      <c r="CM2" s="70"/>
      <c r="CN2" s="70"/>
      <c r="CO2" s="70"/>
      <c r="CP2" s="70"/>
      <c r="CQ2" s="70"/>
      <c r="CR2" s="70"/>
      <c r="CS2" s="70"/>
      <c r="CT2" s="70"/>
      <c r="CU2" s="70"/>
      <c r="CV2" s="70"/>
      <c r="CW2" s="70"/>
      <c r="CX2" s="70"/>
      <c r="CY2" s="70"/>
      <c r="CZ2" s="70"/>
      <c r="DA2" s="70"/>
      <c r="DB2" s="70"/>
      <c r="DC2" s="70"/>
      <c r="DD2" s="70"/>
      <c r="DE2" s="70"/>
      <c r="DF2" s="70"/>
      <c r="DG2" s="70"/>
      <c r="DH2" s="70"/>
      <c r="DI2" s="70"/>
      <c r="DJ2" s="70"/>
      <c r="DK2" s="70"/>
      <c r="DL2" s="70"/>
      <c r="DM2" s="70"/>
      <c r="DN2" s="70"/>
      <c r="DO2" s="70"/>
      <c r="DP2" s="70"/>
      <c r="DQ2" s="70"/>
      <c r="DR2" s="70"/>
      <c r="DS2" s="70"/>
      <c r="DT2" s="70"/>
      <c r="DU2" s="70"/>
      <c r="DV2" s="70"/>
      <c r="DW2" s="70"/>
      <c r="DX2" s="70"/>
      <c r="DY2" s="70"/>
      <c r="DZ2" s="70"/>
      <c r="EA2" s="70"/>
      <c r="EB2" s="70"/>
      <c r="EC2" s="70"/>
      <c r="ED2" s="70"/>
      <c r="EE2" s="70"/>
      <c r="EF2" s="70"/>
      <c r="EG2" s="70"/>
      <c r="EH2" s="70"/>
      <c r="EI2" s="70"/>
      <c r="EJ2" s="70"/>
      <c r="EK2" s="70"/>
      <c r="EL2" s="70"/>
      <c r="EM2" s="70"/>
      <c r="EN2" s="70"/>
      <c r="EO2" s="70"/>
      <c r="EP2" s="70"/>
      <c r="EQ2" s="70"/>
      <c r="ER2" s="70"/>
      <c r="ES2" s="70"/>
      <c r="ET2" s="70"/>
      <c r="EU2" s="70"/>
      <c r="EV2" s="70"/>
      <c r="EW2" s="70"/>
      <c r="EX2" s="70"/>
      <c r="EY2" s="70"/>
      <c r="EZ2" s="70"/>
    </row>
    <row r="3" spans="1:156" s="122" customFormat="1">
      <c r="A3" s="129"/>
      <c r="B3" s="129"/>
      <c r="C3" s="129"/>
      <c r="D3" s="129"/>
      <c r="E3" s="129"/>
      <c r="F3" s="129"/>
      <c r="G3" s="129"/>
      <c r="H3" s="129"/>
      <c r="I3" s="129"/>
      <c r="J3" s="129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29"/>
      <c r="AG3" s="129"/>
      <c r="AH3" s="129"/>
      <c r="AI3" s="129"/>
      <c r="AJ3" s="129"/>
      <c r="AK3" s="129"/>
      <c r="AL3" s="129"/>
      <c r="AM3" s="129"/>
      <c r="AN3" s="129"/>
      <c r="AO3" s="129"/>
      <c r="AP3" s="129"/>
      <c r="AQ3" s="154"/>
      <c r="AR3" s="154"/>
      <c r="AS3" s="154"/>
      <c r="AT3" s="154"/>
      <c r="AU3" s="154"/>
      <c r="AV3" s="154"/>
      <c r="AW3" s="154"/>
      <c r="AX3" s="154"/>
      <c r="AY3" s="129"/>
      <c r="AZ3" s="129"/>
      <c r="BA3" s="129"/>
      <c r="BB3" s="129"/>
      <c r="BC3" s="80"/>
      <c r="BD3" s="80"/>
      <c r="BE3" s="80"/>
      <c r="BF3" s="80"/>
      <c r="BG3" s="80"/>
      <c r="BH3" s="154"/>
      <c r="BI3" s="129"/>
      <c r="BJ3" s="129"/>
      <c r="BK3" s="129"/>
      <c r="BL3" s="129"/>
      <c r="BM3" s="129"/>
      <c r="BN3" s="129"/>
      <c r="BO3" s="129"/>
      <c r="BP3" s="129"/>
      <c r="BQ3" s="129"/>
      <c r="BR3" s="129"/>
      <c r="BS3" s="129"/>
      <c r="BT3" s="129"/>
      <c r="BU3" s="129"/>
      <c r="BV3" s="129"/>
      <c r="BW3" s="129"/>
      <c r="BX3" s="129"/>
      <c r="BY3" s="129"/>
      <c r="BZ3" s="129"/>
      <c r="CA3" s="129"/>
      <c r="CB3" s="129"/>
      <c r="CC3" s="129"/>
      <c r="CD3" s="129"/>
      <c r="CE3" s="129"/>
      <c r="CF3" s="129"/>
      <c r="CG3" s="129"/>
      <c r="CH3" s="129"/>
      <c r="CI3" s="129"/>
      <c r="CJ3" s="129"/>
      <c r="CK3" s="129"/>
      <c r="CL3" s="129"/>
      <c r="CM3" s="129"/>
      <c r="CN3" s="129"/>
      <c r="CO3" s="129"/>
      <c r="CP3" s="129"/>
      <c r="CQ3" s="129"/>
      <c r="CR3" s="129"/>
      <c r="CS3" s="129"/>
      <c r="CT3" s="129"/>
      <c r="CU3" s="129"/>
      <c r="CV3" s="129"/>
      <c r="CW3" s="129"/>
      <c r="CX3" s="129"/>
      <c r="CY3" s="129"/>
      <c r="CZ3" s="129"/>
      <c r="DA3" s="129"/>
      <c r="DB3" s="129"/>
      <c r="DC3" s="129"/>
      <c r="DD3" s="129"/>
      <c r="DE3" s="129"/>
      <c r="DF3" s="129"/>
      <c r="DG3" s="129"/>
      <c r="DH3" s="129"/>
      <c r="DI3" s="129"/>
      <c r="DJ3" s="129"/>
      <c r="DK3" s="129"/>
      <c r="DL3" s="129"/>
      <c r="DM3" s="129"/>
      <c r="DN3" s="129"/>
      <c r="DO3" s="129"/>
      <c r="DP3" s="129"/>
      <c r="DQ3" s="129"/>
      <c r="DR3" s="129"/>
      <c r="DS3" s="129"/>
      <c r="DT3" s="129"/>
      <c r="DU3" s="129"/>
      <c r="DV3" s="129"/>
      <c r="DW3" s="129"/>
      <c r="DX3" s="129"/>
      <c r="DY3" s="129"/>
      <c r="DZ3" s="129"/>
      <c r="EA3" s="129"/>
      <c r="EB3" s="129"/>
      <c r="EC3" s="129"/>
      <c r="ED3" s="129"/>
      <c r="EE3" s="129"/>
      <c r="EF3" s="129"/>
      <c r="EG3" s="129"/>
      <c r="EH3" s="129"/>
      <c r="EI3" s="129"/>
      <c r="EJ3" s="129"/>
      <c r="EK3" s="129"/>
      <c r="EL3" s="129"/>
      <c r="EM3" s="129"/>
      <c r="EN3" s="129"/>
      <c r="EO3" s="129"/>
      <c r="EP3" s="129"/>
      <c r="EQ3" s="129"/>
      <c r="ER3" s="129"/>
      <c r="ES3" s="129"/>
      <c r="ET3" s="129"/>
      <c r="EU3" s="129"/>
      <c r="EV3" s="129"/>
      <c r="EW3" s="129"/>
      <c r="EX3" s="129"/>
      <c r="EY3" s="129"/>
      <c r="EZ3" s="129"/>
    </row>
    <row r="4" spans="1:156" s="122" customFormat="1">
      <c r="A4" s="129"/>
      <c r="B4" s="129"/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29"/>
      <c r="W4" s="129"/>
      <c r="X4" s="129"/>
      <c r="Y4" s="129"/>
      <c r="Z4" s="129"/>
      <c r="AA4" s="129"/>
      <c r="AB4" s="129"/>
      <c r="AC4" s="129"/>
      <c r="AD4" s="129"/>
      <c r="AE4" s="129"/>
      <c r="AF4" s="129"/>
      <c r="AG4" s="129"/>
      <c r="AH4" s="129"/>
      <c r="AI4" s="129"/>
      <c r="AJ4" s="129"/>
      <c r="AK4" s="129"/>
      <c r="AL4" s="129"/>
      <c r="AM4" s="129"/>
      <c r="AN4" s="129"/>
      <c r="AO4" s="129"/>
      <c r="AP4" s="129"/>
      <c r="AQ4" s="154"/>
      <c r="AR4" s="154"/>
      <c r="AS4" s="154"/>
      <c r="AT4" s="154"/>
      <c r="AU4" s="154"/>
      <c r="AV4" s="154"/>
      <c r="AW4" s="154"/>
      <c r="AX4" s="154"/>
      <c r="AY4" s="129"/>
      <c r="AZ4" s="129"/>
      <c r="BA4" s="129"/>
      <c r="BB4" s="129"/>
      <c r="BC4" s="80"/>
      <c r="BD4" s="80"/>
      <c r="BE4" s="80"/>
      <c r="BF4" s="80"/>
      <c r="BG4" s="80"/>
      <c r="BH4" s="154"/>
      <c r="BI4" s="129"/>
      <c r="BJ4" s="129"/>
      <c r="BK4" s="129"/>
      <c r="BL4" s="129"/>
      <c r="BM4" s="129"/>
      <c r="BN4" s="129"/>
      <c r="BO4" s="129"/>
      <c r="BP4" s="129"/>
      <c r="BQ4" s="129"/>
      <c r="BR4" s="129"/>
      <c r="BS4" s="129"/>
      <c r="BT4" s="129"/>
      <c r="BU4" s="129"/>
      <c r="BV4" s="129"/>
      <c r="BW4" s="129"/>
      <c r="BX4" s="129"/>
      <c r="BY4" s="129"/>
      <c r="BZ4" s="129"/>
      <c r="CA4" s="129"/>
      <c r="CB4" s="129"/>
      <c r="CC4" s="129"/>
      <c r="CD4" s="129"/>
      <c r="CE4" s="129"/>
      <c r="CF4" s="129"/>
      <c r="CG4" s="129"/>
      <c r="CH4" s="129"/>
      <c r="CI4" s="129"/>
      <c r="CJ4" s="129"/>
      <c r="CK4" s="129"/>
      <c r="CL4" s="129"/>
      <c r="CM4" s="129"/>
      <c r="CN4" s="129"/>
      <c r="CO4" s="129"/>
      <c r="CP4" s="129"/>
      <c r="CQ4" s="129"/>
      <c r="CR4" s="129"/>
      <c r="CS4" s="129"/>
      <c r="CT4" s="129"/>
      <c r="CU4" s="129"/>
      <c r="CV4" s="129"/>
      <c r="CW4" s="129"/>
      <c r="CX4" s="129"/>
      <c r="CY4" s="129"/>
      <c r="CZ4" s="129"/>
      <c r="DA4" s="129"/>
      <c r="DB4" s="129"/>
      <c r="DC4" s="129"/>
      <c r="DD4" s="129"/>
      <c r="DE4" s="129"/>
      <c r="DF4" s="129"/>
      <c r="DG4" s="129"/>
      <c r="DH4" s="129"/>
      <c r="DI4" s="129"/>
      <c r="DJ4" s="129"/>
      <c r="DK4" s="129"/>
      <c r="DL4" s="129"/>
      <c r="DM4" s="129"/>
      <c r="DN4" s="129"/>
      <c r="DO4" s="129"/>
      <c r="DP4" s="129"/>
      <c r="DQ4" s="129"/>
      <c r="DR4" s="129"/>
      <c r="DS4" s="129"/>
      <c r="DT4" s="129"/>
      <c r="DU4" s="129"/>
      <c r="DV4" s="129"/>
      <c r="DW4" s="129"/>
      <c r="DX4" s="129"/>
      <c r="DY4" s="129"/>
      <c r="DZ4" s="129"/>
      <c r="EA4" s="129"/>
      <c r="EB4" s="129"/>
      <c r="EC4" s="129"/>
      <c r="ED4" s="129"/>
      <c r="EE4" s="129"/>
      <c r="EF4" s="129"/>
      <c r="EG4" s="129"/>
      <c r="EH4" s="129"/>
      <c r="EI4" s="129"/>
      <c r="EJ4" s="129"/>
      <c r="EK4" s="129"/>
      <c r="EL4" s="129"/>
      <c r="EM4" s="129"/>
      <c r="EN4" s="129"/>
      <c r="EO4" s="129"/>
      <c r="EP4" s="129"/>
      <c r="EQ4" s="129"/>
      <c r="ER4" s="129"/>
      <c r="ES4" s="129"/>
      <c r="ET4" s="129"/>
      <c r="EU4" s="129"/>
      <c r="EV4" s="129"/>
      <c r="EW4" s="129"/>
      <c r="EX4" s="129"/>
      <c r="EY4" s="129"/>
      <c r="EZ4" s="129"/>
    </row>
    <row r="5" spans="1:156" s="122" customFormat="1">
      <c r="A5" s="129"/>
      <c r="B5" s="129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  <c r="O5" s="129"/>
      <c r="P5" s="129"/>
      <c r="Q5" s="129"/>
      <c r="R5" s="129"/>
      <c r="S5" s="129"/>
      <c r="T5" s="129"/>
      <c r="U5" s="129"/>
      <c r="V5" s="129"/>
      <c r="W5" s="129"/>
      <c r="X5" s="129"/>
      <c r="Y5" s="129"/>
      <c r="Z5" s="129"/>
      <c r="AA5" s="129"/>
      <c r="AB5" s="129"/>
      <c r="AC5" s="129"/>
      <c r="AD5" s="129"/>
      <c r="AE5" s="129"/>
      <c r="AF5" s="129"/>
      <c r="AG5" s="129"/>
      <c r="AH5" s="129"/>
      <c r="AI5" s="129"/>
      <c r="AJ5" s="129"/>
      <c r="AK5" s="129"/>
      <c r="AL5" s="129"/>
      <c r="AM5" s="129"/>
      <c r="AN5" s="129"/>
      <c r="AO5" s="129"/>
      <c r="AP5" s="129"/>
      <c r="AQ5" s="154"/>
      <c r="AR5" s="154"/>
      <c r="AS5" s="154"/>
      <c r="AT5" s="154"/>
      <c r="AU5" s="154"/>
      <c r="AV5" s="154"/>
      <c r="AW5" s="154"/>
      <c r="AX5" s="154"/>
      <c r="AY5" s="129"/>
      <c r="AZ5" s="129"/>
      <c r="BA5" s="129"/>
      <c r="BB5" s="129"/>
      <c r="BC5" s="80"/>
      <c r="BD5" s="80"/>
      <c r="BE5" s="80"/>
      <c r="BF5" s="80"/>
      <c r="BG5" s="80"/>
      <c r="BH5" s="154"/>
      <c r="BI5" s="129"/>
      <c r="BJ5" s="129"/>
      <c r="BK5" s="129"/>
      <c r="BL5" s="129"/>
      <c r="BM5" s="129"/>
      <c r="BN5" s="129"/>
      <c r="BO5" s="129"/>
      <c r="BP5" s="129"/>
      <c r="BQ5" s="129"/>
      <c r="BR5" s="129"/>
      <c r="BS5" s="129"/>
      <c r="BT5" s="129"/>
      <c r="BU5" s="129"/>
      <c r="BV5" s="129"/>
      <c r="BW5" s="129"/>
      <c r="BX5" s="129"/>
      <c r="BY5" s="129"/>
      <c r="BZ5" s="129"/>
      <c r="CA5" s="129"/>
      <c r="CB5" s="129"/>
      <c r="CC5" s="129"/>
      <c r="CD5" s="129"/>
      <c r="CE5" s="129"/>
      <c r="CF5" s="129"/>
      <c r="CG5" s="129"/>
      <c r="CH5" s="129"/>
      <c r="CI5" s="129"/>
      <c r="CJ5" s="129"/>
      <c r="CK5" s="129"/>
      <c r="CL5" s="129"/>
      <c r="CM5" s="129"/>
      <c r="CN5" s="129"/>
      <c r="CO5" s="129"/>
      <c r="CP5" s="129"/>
      <c r="CQ5" s="129"/>
      <c r="CR5" s="129"/>
      <c r="CS5" s="129"/>
      <c r="CT5" s="129"/>
      <c r="CU5" s="129"/>
      <c r="CV5" s="129"/>
      <c r="CW5" s="129"/>
      <c r="CX5" s="129"/>
      <c r="CY5" s="129"/>
      <c r="CZ5" s="129"/>
      <c r="DA5" s="129"/>
      <c r="DB5" s="129"/>
      <c r="DC5" s="129"/>
      <c r="DD5" s="129"/>
      <c r="DE5" s="129"/>
      <c r="DF5" s="129"/>
      <c r="DG5" s="129"/>
      <c r="DH5" s="129"/>
      <c r="DI5" s="129"/>
      <c r="DJ5" s="129"/>
      <c r="DK5" s="129"/>
      <c r="DL5" s="129"/>
      <c r="DM5" s="129"/>
      <c r="DN5" s="129"/>
      <c r="DO5" s="129"/>
      <c r="DP5" s="129"/>
      <c r="DQ5" s="129"/>
      <c r="DR5" s="129"/>
      <c r="DS5" s="129"/>
      <c r="DT5" s="129"/>
      <c r="DU5" s="129"/>
      <c r="DV5" s="129"/>
      <c r="DW5" s="129"/>
      <c r="DX5" s="129"/>
      <c r="DY5" s="129"/>
      <c r="DZ5" s="129"/>
      <c r="EA5" s="129"/>
      <c r="EB5" s="129"/>
      <c r="EC5" s="129"/>
      <c r="ED5" s="129"/>
      <c r="EE5" s="129"/>
      <c r="EF5" s="129"/>
      <c r="EG5" s="129"/>
      <c r="EH5" s="129"/>
      <c r="EI5" s="129"/>
      <c r="EJ5" s="129"/>
      <c r="EK5" s="129"/>
      <c r="EL5" s="129"/>
      <c r="EM5" s="129"/>
      <c r="EN5" s="129"/>
      <c r="EO5" s="129"/>
      <c r="EP5" s="129"/>
      <c r="EQ5" s="129"/>
      <c r="ER5" s="129"/>
      <c r="ES5" s="129"/>
      <c r="ET5" s="129"/>
      <c r="EU5" s="129"/>
      <c r="EV5" s="129"/>
      <c r="EW5" s="129"/>
      <c r="EX5" s="129"/>
      <c r="EY5" s="129"/>
      <c r="EZ5" s="129"/>
    </row>
    <row r="6" spans="1:156" s="122" customFormat="1">
      <c r="A6" s="129"/>
      <c r="B6" s="129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29"/>
      <c r="AB6" s="129"/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29"/>
      <c r="AN6" s="129"/>
      <c r="AO6" s="129"/>
      <c r="AP6" s="129"/>
      <c r="AQ6" s="154"/>
      <c r="AR6" s="154"/>
      <c r="AS6" s="154"/>
      <c r="AT6" s="154"/>
      <c r="AU6" s="154"/>
      <c r="AV6" s="154"/>
      <c r="AW6" s="154"/>
      <c r="AX6" s="154"/>
      <c r="AY6" s="129"/>
      <c r="AZ6" s="129"/>
      <c r="BA6" s="129"/>
      <c r="BB6" s="129"/>
      <c r="BC6" s="80"/>
      <c r="BD6" s="80"/>
      <c r="BE6" s="80"/>
      <c r="BF6" s="80"/>
      <c r="BG6" s="80"/>
      <c r="BH6" s="154"/>
      <c r="BI6" s="129"/>
      <c r="BJ6" s="129"/>
      <c r="BK6" s="129"/>
      <c r="BL6" s="129"/>
      <c r="BM6" s="129"/>
      <c r="BN6" s="129"/>
      <c r="BO6" s="129"/>
      <c r="BP6" s="129"/>
      <c r="BQ6" s="129"/>
      <c r="BR6" s="129"/>
      <c r="BS6" s="129"/>
      <c r="BT6" s="129"/>
      <c r="BU6" s="129"/>
      <c r="BV6" s="129"/>
      <c r="BW6" s="129"/>
      <c r="BX6" s="129"/>
      <c r="BY6" s="129"/>
      <c r="BZ6" s="129"/>
      <c r="CA6" s="129"/>
      <c r="CB6" s="129"/>
      <c r="CC6" s="129"/>
      <c r="CD6" s="129"/>
      <c r="CE6" s="129"/>
      <c r="CF6" s="129"/>
      <c r="CG6" s="129"/>
      <c r="CH6" s="129"/>
      <c r="CI6" s="129"/>
      <c r="CJ6" s="129"/>
      <c r="CK6" s="129"/>
      <c r="CL6" s="129"/>
      <c r="CM6" s="129"/>
      <c r="CN6" s="129"/>
      <c r="CO6" s="129"/>
      <c r="CP6" s="129"/>
      <c r="CQ6" s="129"/>
      <c r="CR6" s="129"/>
      <c r="CS6" s="129"/>
      <c r="CT6" s="129"/>
      <c r="CU6" s="129"/>
      <c r="CV6" s="129"/>
      <c r="CW6" s="129"/>
      <c r="CX6" s="129"/>
      <c r="CY6" s="122" t="s">
        <v>326</v>
      </c>
      <c r="DB6" s="129"/>
      <c r="DC6" s="129"/>
      <c r="DD6" s="129"/>
      <c r="DE6" s="129"/>
      <c r="DF6" s="129"/>
      <c r="DG6" s="129"/>
      <c r="DH6" s="129"/>
      <c r="DI6" s="129"/>
      <c r="DJ6" s="129"/>
      <c r="DK6" s="129"/>
      <c r="DL6" s="129"/>
      <c r="DM6" s="129"/>
      <c r="DN6" s="129"/>
      <c r="DO6" s="129"/>
      <c r="DP6" s="129"/>
      <c r="DQ6" s="129"/>
      <c r="DR6" s="129"/>
      <c r="DS6" s="129"/>
      <c r="DT6" s="129"/>
      <c r="DU6" s="129"/>
      <c r="DV6" s="129"/>
      <c r="DW6" s="129"/>
      <c r="DX6" s="129"/>
      <c r="DY6" s="129"/>
      <c r="DZ6" s="129"/>
      <c r="EA6" s="129"/>
      <c r="EB6" s="129"/>
      <c r="EC6" s="129"/>
      <c r="ED6" s="129"/>
      <c r="EE6" s="129"/>
      <c r="EF6" s="129"/>
      <c r="EG6" s="129"/>
      <c r="EH6" s="129"/>
      <c r="EI6" s="129"/>
      <c r="EJ6" s="129"/>
      <c r="EK6" s="129"/>
      <c r="EL6" s="129"/>
      <c r="EM6" s="129"/>
      <c r="EN6" s="129"/>
      <c r="EO6" s="129"/>
      <c r="EP6" s="129"/>
      <c r="EQ6" s="129"/>
      <c r="ER6" s="129"/>
      <c r="ES6" s="129"/>
      <c r="ET6" s="129"/>
      <c r="EU6" s="129"/>
      <c r="EV6" s="129"/>
      <c r="EW6" s="129"/>
      <c r="EX6" s="129"/>
      <c r="EY6" s="129"/>
      <c r="EZ6" s="129"/>
    </row>
    <row r="7" spans="1:156" s="122" customFormat="1">
      <c r="A7" s="129"/>
      <c r="B7" s="129"/>
      <c r="C7" s="129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9"/>
      <c r="T7" s="129"/>
      <c r="U7" s="129"/>
      <c r="V7" s="129"/>
      <c r="W7" s="129"/>
      <c r="X7" s="129"/>
      <c r="Y7" s="129"/>
      <c r="Z7" s="129"/>
      <c r="AA7" s="129"/>
      <c r="AB7" s="129"/>
      <c r="AC7" s="129"/>
      <c r="AD7" s="129"/>
      <c r="AE7" s="129"/>
      <c r="AF7" s="129"/>
      <c r="AG7" s="129"/>
      <c r="AH7" s="129"/>
      <c r="AI7" s="129"/>
      <c r="AJ7" s="129"/>
      <c r="AK7" s="129"/>
      <c r="AL7" s="129"/>
      <c r="AM7" s="129"/>
      <c r="AN7" s="129"/>
      <c r="AO7" s="129"/>
      <c r="AP7" s="129"/>
      <c r="AQ7" s="154"/>
      <c r="AR7" s="154"/>
      <c r="AS7" s="154"/>
      <c r="AT7" s="154"/>
      <c r="AU7" s="154"/>
      <c r="AV7" s="154"/>
      <c r="AW7" s="154"/>
      <c r="AX7" s="154"/>
      <c r="AY7" s="129"/>
      <c r="AZ7" s="129"/>
      <c r="BA7" s="129"/>
      <c r="BB7" s="129"/>
      <c r="BC7" s="80"/>
      <c r="BD7" s="80"/>
      <c r="BE7" s="80"/>
      <c r="BF7" s="80"/>
      <c r="BG7" s="80"/>
      <c r="BH7" s="154"/>
      <c r="BI7" s="129"/>
      <c r="BJ7" s="129"/>
      <c r="BK7" s="129"/>
      <c r="BL7" s="129"/>
      <c r="BM7" s="129"/>
      <c r="BN7" s="129"/>
      <c r="BO7" s="129"/>
      <c r="BP7" s="129"/>
      <c r="BQ7" s="129"/>
      <c r="BR7" s="129"/>
      <c r="BS7" s="129"/>
      <c r="BT7" s="129"/>
      <c r="BU7" s="129"/>
      <c r="BV7" s="129"/>
      <c r="BW7" s="129"/>
      <c r="BX7" s="129"/>
      <c r="BY7" s="129"/>
      <c r="BZ7" s="129"/>
      <c r="CA7" s="129"/>
      <c r="CB7" s="129"/>
      <c r="CC7" s="129"/>
      <c r="CD7" s="129"/>
      <c r="CE7" s="129"/>
      <c r="CF7" s="129"/>
      <c r="CG7" s="129"/>
      <c r="CH7" s="129"/>
      <c r="CI7" s="129"/>
      <c r="CJ7" s="129"/>
      <c r="CK7" s="129"/>
      <c r="CL7" s="129"/>
      <c r="CM7" s="129"/>
      <c r="CN7" s="129"/>
      <c r="CO7" s="129"/>
      <c r="CP7" s="129"/>
      <c r="CQ7" s="129"/>
      <c r="CR7" s="129"/>
      <c r="CS7" s="129"/>
      <c r="CT7" s="129"/>
      <c r="CU7" s="129"/>
      <c r="CV7" s="129"/>
      <c r="CW7" s="129"/>
      <c r="CX7" s="129"/>
      <c r="CY7" s="11">
        <v>0</v>
      </c>
      <c r="CZ7" s="11">
        <f>COUNTIF(CZ36:CZ107,CY7)</f>
        <v>15</v>
      </c>
      <c r="DA7" s="62">
        <f>CZ7/CZ18</f>
        <v>0.3125</v>
      </c>
      <c r="DB7" s="129"/>
      <c r="DC7" s="129"/>
      <c r="DD7" s="129"/>
      <c r="DE7" s="129"/>
      <c r="DF7" s="129"/>
      <c r="DG7" s="129"/>
      <c r="DH7" s="129"/>
      <c r="DI7" s="129"/>
      <c r="DJ7" s="129"/>
      <c r="DK7" s="129"/>
      <c r="DL7" s="129"/>
      <c r="DM7" s="129"/>
      <c r="DN7" s="129"/>
      <c r="DO7" s="129"/>
      <c r="DP7" s="129"/>
      <c r="DQ7" s="129"/>
      <c r="DR7" s="129"/>
      <c r="DS7" s="129"/>
      <c r="DT7" s="129"/>
      <c r="DU7" s="129"/>
      <c r="DV7" s="129"/>
      <c r="DW7" s="129"/>
      <c r="DX7" s="129"/>
      <c r="DY7" s="129"/>
      <c r="DZ7" s="129"/>
      <c r="EA7" s="129"/>
      <c r="EB7" s="129"/>
      <c r="EC7" s="129"/>
      <c r="ED7" s="129"/>
      <c r="EE7" s="129"/>
      <c r="EF7" s="129"/>
      <c r="EG7" s="129"/>
      <c r="EH7" s="129"/>
      <c r="EI7" s="129"/>
      <c r="EJ7" s="129"/>
      <c r="EK7" s="129"/>
      <c r="EL7" s="129"/>
      <c r="EM7" s="129"/>
      <c r="EN7" s="129"/>
      <c r="EO7" s="129"/>
      <c r="EP7" s="129"/>
      <c r="EQ7" s="129"/>
      <c r="ER7" s="129"/>
      <c r="ES7" s="129"/>
      <c r="ET7" s="129"/>
      <c r="EU7" s="129"/>
      <c r="EV7" s="129"/>
      <c r="EW7" s="129"/>
      <c r="EX7" s="129"/>
      <c r="EY7" s="129"/>
      <c r="EZ7" s="129"/>
    </row>
    <row r="8" spans="1:156" s="122" customFormat="1">
      <c r="A8" s="129"/>
      <c r="B8" s="129"/>
      <c r="C8" s="129"/>
      <c r="D8" s="129"/>
      <c r="E8" s="129"/>
      <c r="F8" s="129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54"/>
      <c r="AR8" s="154"/>
      <c r="AS8" s="154"/>
      <c r="AT8" s="154"/>
      <c r="AU8" s="154"/>
      <c r="AV8" s="154"/>
      <c r="AW8" s="154"/>
      <c r="AX8" s="154"/>
      <c r="AY8" s="129"/>
      <c r="AZ8" s="129"/>
      <c r="BA8" s="129"/>
      <c r="BB8" s="129"/>
      <c r="BC8" s="80"/>
      <c r="BD8" s="80"/>
      <c r="BE8" s="80"/>
      <c r="BF8" s="80"/>
      <c r="BG8" s="80"/>
      <c r="BH8" s="154"/>
      <c r="BI8" s="129"/>
      <c r="BJ8" s="129"/>
      <c r="BK8" s="129"/>
      <c r="BL8" s="129"/>
      <c r="BM8" s="129"/>
      <c r="BN8" s="129"/>
      <c r="BO8" s="129"/>
      <c r="BP8" s="129"/>
      <c r="BQ8" s="129"/>
      <c r="BR8" s="129"/>
      <c r="BS8" s="129"/>
      <c r="BT8" s="129"/>
      <c r="BU8" s="129"/>
      <c r="BV8" s="129"/>
      <c r="BW8" s="129"/>
      <c r="BX8" s="129"/>
      <c r="BY8" s="129"/>
      <c r="BZ8" s="129"/>
      <c r="CA8" s="129"/>
      <c r="CB8" s="129"/>
      <c r="CC8" s="129"/>
      <c r="CD8" s="129"/>
      <c r="CE8" s="129"/>
      <c r="CF8" s="129"/>
      <c r="CG8" s="129"/>
      <c r="CH8" s="129"/>
      <c r="CI8" s="129"/>
      <c r="CJ8" s="129"/>
      <c r="CK8" s="129"/>
      <c r="CL8" s="129"/>
      <c r="CM8" s="129"/>
      <c r="CN8" s="129"/>
      <c r="CO8" s="129"/>
      <c r="CP8" s="129"/>
      <c r="CQ8" s="129"/>
      <c r="CR8" s="129"/>
      <c r="CS8" s="129"/>
      <c r="CT8" s="129"/>
      <c r="CU8" s="129"/>
      <c r="CV8" s="129"/>
      <c r="CW8" s="129"/>
      <c r="CX8" s="129"/>
      <c r="CY8" s="11">
        <v>1</v>
      </c>
      <c r="CZ8" s="11">
        <f>COUNTIF(CZ36:CZ107,CY8)</f>
        <v>20</v>
      </c>
      <c r="DA8" s="62">
        <f>CZ8/CZ18</f>
        <v>0.41666666666666669</v>
      </c>
      <c r="DB8" s="129"/>
      <c r="DC8" s="129"/>
      <c r="DD8" s="129"/>
      <c r="DE8" s="129"/>
      <c r="DF8" s="129"/>
      <c r="DG8" s="129"/>
      <c r="DH8" s="129"/>
      <c r="DI8" s="129"/>
      <c r="DJ8" s="129"/>
      <c r="DK8" s="129"/>
      <c r="DL8" s="129"/>
      <c r="DM8" s="129"/>
      <c r="DN8" s="129"/>
      <c r="DO8" s="129"/>
      <c r="DP8" s="129"/>
      <c r="DQ8" s="129"/>
      <c r="DR8" s="129"/>
      <c r="DS8" s="129"/>
      <c r="DT8" s="129"/>
      <c r="DU8" s="129"/>
      <c r="DV8" s="129"/>
      <c r="DW8" s="129"/>
      <c r="DX8" s="129"/>
      <c r="DY8" s="129"/>
      <c r="DZ8" s="129"/>
      <c r="EA8" s="129"/>
      <c r="EB8" s="129"/>
      <c r="EC8" s="129"/>
      <c r="ED8" s="129"/>
      <c r="EE8" s="129"/>
      <c r="EF8" s="129"/>
      <c r="EG8" s="129"/>
      <c r="EH8" s="129"/>
      <c r="EI8" s="129"/>
      <c r="EJ8" s="129"/>
      <c r="EK8" s="129"/>
      <c r="EL8" s="129"/>
      <c r="EM8" s="129"/>
      <c r="EN8" s="129"/>
      <c r="EO8" s="129"/>
      <c r="EP8" s="129"/>
      <c r="EQ8" s="129"/>
      <c r="ER8" s="129"/>
      <c r="ES8" s="129"/>
      <c r="ET8" s="129"/>
      <c r="EU8" s="129"/>
      <c r="EV8" s="129"/>
      <c r="EW8" s="129"/>
      <c r="EX8" s="129"/>
      <c r="EY8" s="129"/>
      <c r="EZ8" s="129"/>
    </row>
    <row r="9" spans="1:156" s="122" customFormat="1">
      <c r="A9" s="129"/>
      <c r="B9" s="129"/>
      <c r="C9" s="129"/>
      <c r="D9" s="129"/>
      <c r="E9" s="129"/>
      <c r="F9" s="129"/>
      <c r="G9" s="129"/>
      <c r="H9" s="129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9"/>
      <c r="T9" s="129"/>
      <c r="U9" s="129"/>
      <c r="V9" s="129"/>
      <c r="W9" s="129"/>
      <c r="X9" s="129"/>
      <c r="Y9" s="129"/>
      <c r="Z9" s="129"/>
      <c r="AA9" s="129"/>
      <c r="AB9" s="129"/>
      <c r="AC9" s="129"/>
      <c r="AD9" s="129"/>
      <c r="AE9" s="129"/>
      <c r="AF9" s="129"/>
      <c r="AG9" s="129"/>
      <c r="AH9" s="129"/>
      <c r="AI9" s="129"/>
      <c r="AJ9" s="129"/>
      <c r="AK9" s="129"/>
      <c r="AL9" s="129"/>
      <c r="AM9" s="129"/>
      <c r="AN9" s="129"/>
      <c r="AO9" s="129"/>
      <c r="AP9" s="129"/>
      <c r="AQ9" s="154"/>
      <c r="AR9" s="154"/>
      <c r="AS9" s="154"/>
      <c r="AT9" s="154"/>
      <c r="AU9" s="154"/>
      <c r="AV9" s="154"/>
      <c r="AW9" s="154"/>
      <c r="AX9" s="154"/>
      <c r="AY9" s="129"/>
      <c r="AZ9" s="129"/>
      <c r="BA9" s="129"/>
      <c r="BB9" s="129"/>
      <c r="BC9" s="80"/>
      <c r="BD9" s="80"/>
      <c r="BE9" s="80"/>
      <c r="BF9" s="80"/>
      <c r="BG9" s="80"/>
      <c r="BH9" s="154"/>
      <c r="BI9" s="129"/>
      <c r="BJ9" s="129"/>
      <c r="BK9" s="129"/>
      <c r="BL9" s="129"/>
      <c r="BM9" s="129"/>
      <c r="BN9" s="129"/>
      <c r="BO9" s="129"/>
      <c r="BP9" s="129"/>
      <c r="BQ9" s="129"/>
      <c r="BR9" s="129"/>
      <c r="BS9" s="129"/>
      <c r="BT9" s="129"/>
      <c r="BU9" s="129"/>
      <c r="BV9" s="129"/>
      <c r="BW9" s="129"/>
      <c r="BX9" s="129"/>
      <c r="BY9" s="129"/>
      <c r="BZ9" s="129"/>
      <c r="CA9" s="129"/>
      <c r="CB9" s="129"/>
      <c r="CC9" s="129"/>
      <c r="CD9" s="129"/>
      <c r="CE9" s="129"/>
      <c r="CF9" s="129"/>
      <c r="CG9" s="129"/>
      <c r="CH9" s="129"/>
      <c r="CI9" s="129"/>
      <c r="CJ9" s="129"/>
      <c r="CK9" s="129"/>
      <c r="CL9" s="129"/>
      <c r="CM9" s="129"/>
      <c r="CN9" s="129"/>
      <c r="CO9" s="129"/>
      <c r="CP9" s="129"/>
      <c r="CQ9" s="129"/>
      <c r="CR9" s="129"/>
      <c r="CS9" s="129"/>
      <c r="CT9" s="129"/>
      <c r="CU9" s="129"/>
      <c r="CV9" s="129"/>
      <c r="CW9" s="129"/>
      <c r="CX9" s="129"/>
      <c r="CY9" s="11">
        <v>2</v>
      </c>
      <c r="CZ9" s="11">
        <f>COUNTIF(CZ36:CZ107,CY9)</f>
        <v>8</v>
      </c>
      <c r="DA9" s="62">
        <f>CZ9/CZ18</f>
        <v>0.16666666666666666</v>
      </c>
      <c r="DB9" s="129"/>
      <c r="DC9" s="129"/>
      <c r="DD9" s="129"/>
      <c r="DE9" s="129"/>
      <c r="DF9" s="129"/>
      <c r="DG9" s="129"/>
      <c r="DH9" s="129"/>
      <c r="DI9" s="129"/>
      <c r="DJ9" s="129"/>
      <c r="DK9" s="129"/>
      <c r="DL9" s="129"/>
      <c r="DM9" s="129"/>
      <c r="DN9" s="129"/>
      <c r="DO9" s="129"/>
      <c r="DP9" s="129"/>
      <c r="DQ9" s="129"/>
      <c r="DR9" s="129"/>
      <c r="DS9" s="129"/>
      <c r="DT9" s="129"/>
      <c r="DU9" s="129"/>
      <c r="DV9" s="129"/>
      <c r="DW9" s="129"/>
      <c r="DX9" s="129"/>
      <c r="DY9" s="129"/>
      <c r="DZ9" s="129"/>
      <c r="EA9" s="129"/>
      <c r="EB9" s="129"/>
      <c r="EC9" s="129"/>
      <c r="ED9" s="129"/>
      <c r="EE9" s="129"/>
      <c r="EF9" s="129"/>
      <c r="EG9" s="129"/>
      <c r="EH9" s="129"/>
      <c r="EI9" s="129"/>
      <c r="EJ9" s="129"/>
      <c r="EK9" s="129"/>
      <c r="EL9" s="129"/>
      <c r="EM9" s="129"/>
      <c r="EN9" s="129"/>
      <c r="EO9" s="129"/>
      <c r="EP9" s="129"/>
      <c r="EQ9" s="129"/>
      <c r="ER9" s="129"/>
      <c r="ES9" s="129"/>
      <c r="ET9" s="129"/>
      <c r="EU9" s="129"/>
      <c r="EV9" s="129"/>
      <c r="EW9" s="129"/>
      <c r="EX9" s="129"/>
      <c r="EY9" s="129"/>
      <c r="EZ9" s="129"/>
    </row>
    <row r="10" spans="1:156" ht="17.25">
      <c r="A10" s="70"/>
      <c r="B10" s="70"/>
      <c r="C10" s="70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18"/>
      <c r="AR10" s="3"/>
      <c r="AS10" s="3"/>
      <c r="AT10" s="3"/>
      <c r="AU10" s="3"/>
      <c r="AV10" s="3"/>
      <c r="AW10" s="3"/>
      <c r="AX10" s="3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  <c r="BO10" s="70"/>
      <c r="BP10" s="70" t="s">
        <v>229</v>
      </c>
      <c r="BQ10" s="70"/>
      <c r="BR10" s="70"/>
      <c r="BS10" s="70"/>
      <c r="BT10" s="70"/>
      <c r="BU10" s="70" t="s">
        <v>228</v>
      </c>
      <c r="BV10" s="70"/>
      <c r="BW10" s="70"/>
      <c r="BX10" s="70"/>
      <c r="BY10" s="70"/>
      <c r="BZ10" s="70"/>
      <c r="CA10" s="70"/>
      <c r="CB10" s="70"/>
      <c r="CC10" s="70"/>
      <c r="CD10" s="70"/>
      <c r="CE10" s="70"/>
      <c r="CF10" s="70"/>
      <c r="CG10" s="70"/>
      <c r="CH10" s="70"/>
      <c r="CI10" s="70"/>
      <c r="CJ10" s="70"/>
      <c r="CK10" s="70"/>
      <c r="CL10" s="70"/>
      <c r="CM10" s="70"/>
      <c r="CN10" s="70"/>
      <c r="CO10" s="70"/>
      <c r="CP10" s="70"/>
      <c r="CQ10" s="70"/>
      <c r="CR10" s="70"/>
      <c r="CS10" s="70"/>
      <c r="CT10" s="70"/>
      <c r="CU10" s="70"/>
      <c r="CV10" s="70"/>
      <c r="CW10" s="70"/>
      <c r="CX10" s="70"/>
      <c r="CY10" s="11">
        <v>3</v>
      </c>
      <c r="CZ10" s="11">
        <f>COUNTIF(CZ36:CZ107,CY10)</f>
        <v>2</v>
      </c>
      <c r="DA10" s="62">
        <f>CZ10/CZ18</f>
        <v>4.1666666666666664E-2</v>
      </c>
      <c r="DB10" s="70"/>
      <c r="DC10" s="70"/>
      <c r="DD10" s="70"/>
      <c r="DE10" s="70"/>
      <c r="DF10" s="70"/>
      <c r="DG10" s="70"/>
      <c r="DH10" s="70"/>
      <c r="DI10" s="70"/>
      <c r="DJ10" s="70"/>
      <c r="DK10" s="70"/>
      <c r="DL10" s="70"/>
      <c r="DM10" s="70"/>
      <c r="DN10" s="70"/>
      <c r="DO10" s="70"/>
      <c r="DP10" s="70"/>
      <c r="DQ10" s="70"/>
      <c r="DR10" s="70"/>
      <c r="DS10" s="70"/>
      <c r="DT10" s="70"/>
      <c r="DU10" s="70"/>
      <c r="DV10" s="70"/>
      <c r="DW10" s="70"/>
      <c r="DX10" s="70"/>
      <c r="DY10" s="70"/>
      <c r="DZ10" s="70"/>
      <c r="EA10" s="70"/>
      <c r="EB10" s="70"/>
      <c r="EC10" s="70"/>
      <c r="ED10" s="70"/>
      <c r="EE10" s="70"/>
      <c r="EF10" s="70"/>
      <c r="EG10" s="70"/>
      <c r="EH10" s="70"/>
      <c r="EI10" s="70"/>
      <c r="EJ10" s="70"/>
      <c r="EK10" s="70"/>
      <c r="EL10" s="70"/>
      <c r="EM10" s="70"/>
      <c r="EN10" s="70"/>
      <c r="EO10" s="70"/>
      <c r="EP10" s="70"/>
      <c r="EQ10" s="70"/>
      <c r="ER10" s="70"/>
      <c r="ES10" s="70"/>
      <c r="ET10" s="70"/>
      <c r="EU10" s="70"/>
      <c r="EV10" s="70"/>
      <c r="EW10" s="70"/>
      <c r="EX10" s="70"/>
      <c r="EY10" s="70"/>
      <c r="EZ10" s="70"/>
    </row>
    <row r="11" spans="1:156" ht="17.25">
      <c r="A11" s="70"/>
      <c r="B11" s="70"/>
      <c r="C11" s="70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18"/>
      <c r="AR11" s="3"/>
      <c r="AS11" s="3"/>
      <c r="AT11" s="3"/>
      <c r="AU11" s="3"/>
      <c r="AV11" s="3"/>
      <c r="AW11" s="3"/>
      <c r="AX11" s="3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11">
        <v>0</v>
      </c>
      <c r="BQ11" s="11">
        <f>COUNTIF(BP36:BP180,BP11)</f>
        <v>0</v>
      </c>
      <c r="BR11" s="62">
        <f>BQ11/BQ24</f>
        <v>0</v>
      </c>
      <c r="BS11" s="79"/>
      <c r="BT11" s="79"/>
      <c r="BU11" s="11">
        <v>0</v>
      </c>
      <c r="BV11" s="11">
        <f>COUNTIF(BU36:BU180,BU11)</f>
        <v>0</v>
      </c>
      <c r="BW11" s="62">
        <f>BV11/BV24</f>
        <v>0</v>
      </c>
      <c r="BX11" s="79"/>
      <c r="BY11" s="79"/>
      <c r="BZ11" s="79"/>
      <c r="CA11" s="79"/>
      <c r="CB11" s="79"/>
      <c r="CC11" s="79"/>
      <c r="CD11" s="70"/>
      <c r="CE11" s="70"/>
      <c r="CF11" s="70"/>
      <c r="CG11" s="70"/>
      <c r="CH11" s="70"/>
      <c r="CI11" s="70"/>
      <c r="CJ11" s="70"/>
      <c r="CK11" s="70"/>
      <c r="CL11" s="70"/>
      <c r="CM11" s="70"/>
      <c r="CN11" s="70"/>
      <c r="CO11" s="70"/>
      <c r="CP11" s="70"/>
      <c r="CQ11" s="70"/>
      <c r="CR11" s="70"/>
      <c r="CS11" s="70"/>
      <c r="CT11" s="70"/>
      <c r="CU11" s="70"/>
      <c r="CV11" s="70"/>
      <c r="CW11" s="70"/>
      <c r="CX11" s="70"/>
      <c r="CY11" s="11">
        <v>4</v>
      </c>
      <c r="CZ11" s="11">
        <f>COUNTIF(CZ36:CZ107,CY11)</f>
        <v>1</v>
      </c>
      <c r="DA11" s="62">
        <f>CZ11/CZ18</f>
        <v>2.0833333333333332E-2</v>
      </c>
      <c r="DB11" s="70"/>
      <c r="DC11" s="70"/>
      <c r="DD11" s="70"/>
      <c r="DE11" s="70"/>
      <c r="DF11" s="70"/>
      <c r="DG11" s="70"/>
      <c r="DH11" s="70"/>
      <c r="DI11" s="70"/>
      <c r="DJ11" s="70"/>
      <c r="DK11" s="70"/>
      <c r="DL11" s="70"/>
      <c r="DM11" s="70"/>
      <c r="DN11" s="70"/>
      <c r="DO11" s="70"/>
      <c r="DP11" s="70"/>
      <c r="DQ11" s="70"/>
      <c r="DR11" s="70"/>
      <c r="DS11" s="70"/>
      <c r="DT11" s="70"/>
      <c r="DU11" s="70"/>
      <c r="DV11" s="70"/>
      <c r="DW11" s="70"/>
      <c r="DX11" s="70"/>
      <c r="DY11" s="70"/>
      <c r="DZ11" s="70"/>
      <c r="EA11" s="70"/>
      <c r="EB11" s="70"/>
      <c r="EC11" s="70"/>
      <c r="ED11" s="70"/>
      <c r="EE11" s="70"/>
      <c r="EF11" s="70"/>
      <c r="EG11" s="70"/>
      <c r="EH11" s="70"/>
      <c r="EI11" s="70"/>
      <c r="EJ11" s="70"/>
      <c r="EK11" s="70"/>
      <c r="EL11" s="70"/>
      <c r="EM11" s="70"/>
      <c r="EN11" s="70"/>
      <c r="EO11" s="70"/>
      <c r="EP11" s="70"/>
      <c r="EQ11" s="70"/>
      <c r="ER11" s="70"/>
      <c r="ES11" s="70"/>
      <c r="ET11" s="70"/>
      <c r="EU11" s="70"/>
      <c r="EV11" s="70"/>
      <c r="EW11" s="70"/>
      <c r="EX11" s="70"/>
      <c r="EY11" s="70"/>
      <c r="EZ11" s="70"/>
    </row>
    <row r="12" spans="1:156" ht="17.25">
      <c r="A12" s="70"/>
      <c r="B12" s="70"/>
      <c r="C12" s="70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18"/>
      <c r="AR12" s="3"/>
      <c r="AS12" s="3"/>
      <c r="AT12" s="3"/>
      <c r="AU12" s="3"/>
      <c r="AV12" s="3"/>
      <c r="AW12" s="3"/>
      <c r="AX12" s="3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11">
        <v>1</v>
      </c>
      <c r="BQ12" s="11">
        <f>COUNTIF(BP36:BP180,BP12)</f>
        <v>1</v>
      </c>
      <c r="BR12" s="62">
        <f>BQ12/BQ24</f>
        <v>1.9607843137254902E-2</v>
      </c>
      <c r="BS12" s="79"/>
      <c r="BT12" s="79"/>
      <c r="BU12" s="11">
        <v>1</v>
      </c>
      <c r="BV12" s="11">
        <f>COUNTIF(BU36:BU180,BU12)</f>
        <v>4</v>
      </c>
      <c r="BW12" s="62">
        <f>BV12/BV24</f>
        <v>7.8431372549019607E-2</v>
      </c>
      <c r="BX12" s="79"/>
      <c r="BY12" s="79"/>
      <c r="BZ12" s="79"/>
      <c r="CA12" s="79"/>
      <c r="CB12" s="79"/>
      <c r="CC12" s="79"/>
      <c r="CD12" s="70"/>
      <c r="CE12" s="70"/>
      <c r="CF12" s="70"/>
      <c r="CG12" s="70"/>
      <c r="CH12" s="70"/>
      <c r="CI12" s="70"/>
      <c r="CJ12" s="70"/>
      <c r="CK12" s="70"/>
      <c r="CL12" s="70"/>
      <c r="CM12" s="70"/>
      <c r="CN12" s="70"/>
      <c r="CO12" s="70"/>
      <c r="CP12" s="70"/>
      <c r="CQ12" s="70"/>
      <c r="CR12" s="70"/>
      <c r="CS12" s="70"/>
      <c r="CT12" s="70"/>
      <c r="CU12" s="70"/>
      <c r="CV12" s="70"/>
      <c r="CW12" s="70"/>
      <c r="CX12" s="70"/>
      <c r="CY12" s="11">
        <v>5</v>
      </c>
      <c r="CZ12" s="11">
        <f>COUNTIF(CZ36:CZ107,CY12)</f>
        <v>2</v>
      </c>
      <c r="DA12" s="62">
        <f>CZ12/CZ18</f>
        <v>4.1666666666666664E-2</v>
      </c>
      <c r="DB12" s="70"/>
      <c r="DC12" s="70"/>
      <c r="DD12" s="70"/>
      <c r="DE12" s="70"/>
      <c r="DF12" s="70"/>
      <c r="DG12" s="70"/>
      <c r="DH12" s="70"/>
      <c r="DI12" s="70"/>
      <c r="DJ12" s="70"/>
      <c r="DK12" s="70"/>
      <c r="DL12" s="70"/>
      <c r="DM12" s="70"/>
      <c r="DN12" s="70"/>
      <c r="DO12" s="70"/>
      <c r="DP12" s="70"/>
      <c r="DQ12" s="70"/>
      <c r="DR12" s="70"/>
      <c r="DS12" s="70"/>
      <c r="DT12" s="70"/>
      <c r="DU12" s="70"/>
      <c r="DV12" s="70"/>
      <c r="DW12" s="70"/>
      <c r="DX12" s="70"/>
      <c r="DY12" s="70"/>
      <c r="DZ12" s="70"/>
      <c r="EA12" s="70"/>
      <c r="EB12" s="70"/>
      <c r="EC12" s="70"/>
      <c r="ED12" s="70"/>
      <c r="EE12" s="70"/>
      <c r="EF12" s="70"/>
      <c r="EG12" s="70"/>
      <c r="EH12" s="70"/>
      <c r="EI12" s="70"/>
      <c r="EJ12" s="70"/>
      <c r="EK12" s="70"/>
      <c r="EL12" s="70"/>
      <c r="EM12" s="70"/>
      <c r="EN12" s="70"/>
      <c r="EO12" s="70"/>
      <c r="EP12" s="70"/>
      <c r="EQ12" s="70"/>
      <c r="ER12" s="70"/>
      <c r="ES12" s="70"/>
      <c r="ET12" s="70"/>
      <c r="EU12" s="70"/>
      <c r="EV12" s="70"/>
      <c r="EW12" s="70"/>
      <c r="EX12" s="70"/>
      <c r="EY12" s="70"/>
      <c r="EZ12" s="70"/>
    </row>
    <row r="13" spans="1:156">
      <c r="B13" s="86"/>
      <c r="BP13" s="11">
        <v>2</v>
      </c>
      <c r="BQ13" s="11">
        <f>COUNTIF(BP36:BP180,BP13)</f>
        <v>6</v>
      </c>
      <c r="BR13" s="62">
        <f>BQ13/BQ24</f>
        <v>0.11764705882352941</v>
      </c>
      <c r="BS13" s="79"/>
      <c r="BT13" s="79"/>
      <c r="BU13" s="11">
        <v>2</v>
      </c>
      <c r="BV13" s="11">
        <f>COUNTIF(BU36:BU180,BU13)</f>
        <v>10</v>
      </c>
      <c r="BW13" s="62">
        <f>BV13/BV24</f>
        <v>0.19607843137254902</v>
      </c>
      <c r="BX13" s="79"/>
      <c r="BY13" s="79"/>
      <c r="BZ13" s="79"/>
      <c r="CA13" s="79"/>
      <c r="CB13" s="79"/>
      <c r="CC13" s="79"/>
      <c r="CY13" s="11">
        <v>6</v>
      </c>
      <c r="CZ13" s="11">
        <f>COUNTIF(CZ36:CZ107,CY13)</f>
        <v>0</v>
      </c>
      <c r="DA13" s="62">
        <f>CZ13/CZ18</f>
        <v>0</v>
      </c>
    </row>
    <row r="14" spans="1:156">
      <c r="B14" s="86"/>
      <c r="BP14" s="11">
        <v>3</v>
      </c>
      <c r="BQ14" s="11">
        <f>COUNTIF(BP36:BP180,BP14)</f>
        <v>3</v>
      </c>
      <c r="BR14" s="62">
        <f>BQ14/BQ24</f>
        <v>5.8823529411764705E-2</v>
      </c>
      <c r="BS14" s="79"/>
      <c r="BT14" s="79"/>
      <c r="BU14" s="11">
        <v>3</v>
      </c>
      <c r="BV14" s="11">
        <f>COUNTIF(BU36:BU180,BU14)</f>
        <v>8</v>
      </c>
      <c r="BW14" s="62">
        <f>BV14/BV24</f>
        <v>0.15686274509803921</v>
      </c>
      <c r="BX14" s="79"/>
      <c r="BY14" s="79"/>
      <c r="BZ14" s="79"/>
      <c r="CA14" s="79"/>
      <c r="CB14" s="79"/>
      <c r="CC14" s="79"/>
      <c r="CY14" s="11">
        <v>7</v>
      </c>
      <c r="CZ14" s="11">
        <f>COUNTIF(CZ36:CZ107,CY14)</f>
        <v>0</v>
      </c>
      <c r="DA14" s="62">
        <f>CZ14/CZ18</f>
        <v>0</v>
      </c>
    </row>
    <row r="15" spans="1:156">
      <c r="B15" s="86"/>
      <c r="BP15" s="11">
        <v>4</v>
      </c>
      <c r="BQ15" s="11">
        <f>COUNTIF(BP36:BP180,BP15)</f>
        <v>9</v>
      </c>
      <c r="BR15" s="62">
        <f>BQ15/BQ24</f>
        <v>0.17647058823529413</v>
      </c>
      <c r="BS15" s="79"/>
      <c r="BT15" s="79"/>
      <c r="BU15" s="11">
        <v>4</v>
      </c>
      <c r="BV15" s="11">
        <f>COUNTIF(BU36:BU180,BU15)</f>
        <v>8</v>
      </c>
      <c r="BW15" s="62">
        <f>BV15/BV24</f>
        <v>0.15686274509803921</v>
      </c>
      <c r="BX15" s="79"/>
      <c r="BY15" s="79"/>
      <c r="BZ15" s="79"/>
      <c r="CA15" s="79"/>
      <c r="CB15" s="79"/>
      <c r="CC15" s="79"/>
      <c r="CY15" s="11">
        <v>8</v>
      </c>
      <c r="CZ15" s="11">
        <f>COUNTIF(CZ36:CZ107,CY15)</f>
        <v>0</v>
      </c>
      <c r="DA15" s="62">
        <f>CZ15/CZ18</f>
        <v>0</v>
      </c>
    </row>
    <row r="16" spans="1:156">
      <c r="B16" s="40"/>
      <c r="BP16" s="11">
        <v>5</v>
      </c>
      <c r="BQ16" s="11">
        <f>COUNTIF(BP36:BP180,BP16)</f>
        <v>17</v>
      </c>
      <c r="BR16" s="62">
        <f>BQ16/BQ24</f>
        <v>0.33333333333333331</v>
      </c>
      <c r="BS16" s="79"/>
      <c r="BT16" s="79"/>
      <c r="BU16" s="11">
        <v>5</v>
      </c>
      <c r="BV16" s="11">
        <f>COUNTIF(BU36:BU180,BU16)</f>
        <v>14</v>
      </c>
      <c r="BW16" s="62">
        <f>BV16/BV24</f>
        <v>0.27450980392156865</v>
      </c>
      <c r="BX16" s="79"/>
      <c r="BY16" s="79"/>
      <c r="BZ16" s="79"/>
      <c r="CA16" s="79"/>
      <c r="CB16" s="79"/>
      <c r="CC16" s="79"/>
      <c r="CY16" s="11">
        <v>9</v>
      </c>
      <c r="CZ16" s="11">
        <f>COUNTIF(CZ36:CZ107,CY16)</f>
        <v>0</v>
      </c>
      <c r="DA16" s="62">
        <f>CZ16/CZ18</f>
        <v>0</v>
      </c>
      <c r="EE16" s="68" t="s">
        <v>235</v>
      </c>
      <c r="EM16" s="68" t="s">
        <v>239</v>
      </c>
      <c r="EU16" s="68" t="s">
        <v>244</v>
      </c>
      <c r="EZ16" s="68" t="s">
        <v>277</v>
      </c>
    </row>
    <row r="17" spans="2:162">
      <c r="B17" s="40"/>
      <c r="BP17" s="11">
        <v>6</v>
      </c>
      <c r="BQ17" s="11">
        <f>COUNTIF(BP36:BP180,BP17)</f>
        <v>5</v>
      </c>
      <c r="BR17" s="62">
        <f>BQ17/BQ24</f>
        <v>9.8039215686274508E-2</v>
      </c>
      <c r="BS17" s="79"/>
      <c r="BT17" s="79"/>
      <c r="BU17" s="11">
        <v>6</v>
      </c>
      <c r="BV17" s="11">
        <f>COUNTIF(BU36:BU180,BU17)</f>
        <v>3</v>
      </c>
      <c r="BW17" s="62">
        <f>BV17/BV24</f>
        <v>5.8823529411764705E-2</v>
      </c>
      <c r="BX17" s="79"/>
      <c r="BY17" s="79"/>
      <c r="BZ17" s="79"/>
      <c r="CA17" s="79"/>
      <c r="CB17" s="79"/>
      <c r="CC17" s="79"/>
      <c r="CY17" s="11">
        <v>10</v>
      </c>
      <c r="CZ17" s="11">
        <f>COUNTIF(CZ36:CZ107,CY17)</f>
        <v>0</v>
      </c>
      <c r="DA17" s="62">
        <f>CZ17/CZ18</f>
        <v>0</v>
      </c>
      <c r="EE17" s="627" t="s">
        <v>224</v>
      </c>
      <c r="EF17" s="627"/>
      <c r="EG17" s="627"/>
      <c r="EI17" s="627" t="s">
        <v>224</v>
      </c>
      <c r="EJ17" s="627"/>
      <c r="EK17" s="627"/>
      <c r="EM17" s="627" t="s">
        <v>226</v>
      </c>
      <c r="EN17" s="627"/>
      <c r="EO17" s="627"/>
      <c r="EQ17" s="627" t="s">
        <v>226</v>
      </c>
      <c r="ER17" s="627"/>
      <c r="ES17" s="627"/>
      <c r="EU17" s="627" t="s">
        <v>243</v>
      </c>
      <c r="EV17" s="627"/>
      <c r="EW17" s="627"/>
    </row>
    <row r="18" spans="2:162">
      <c r="B18" s="86"/>
      <c r="BP18" s="11">
        <v>7</v>
      </c>
      <c r="BQ18" s="11">
        <f>COUNTIF(BP36:BP180,BP18)</f>
        <v>5</v>
      </c>
      <c r="BR18" s="62">
        <f>BQ18/BQ24</f>
        <v>9.8039215686274508E-2</v>
      </c>
      <c r="BS18" s="79"/>
      <c r="BT18" s="79"/>
      <c r="BU18" s="11">
        <v>7</v>
      </c>
      <c r="BV18" s="11">
        <f>COUNTIF(BU36:BU180,BU18)</f>
        <v>3</v>
      </c>
      <c r="BW18" s="62">
        <f>BV18/BV24</f>
        <v>5.8823529411764705E-2</v>
      </c>
      <c r="BX18" s="79"/>
      <c r="BY18" s="79"/>
      <c r="BZ18" s="79"/>
      <c r="CA18" s="79"/>
      <c r="CB18" s="79"/>
      <c r="CC18" s="79"/>
      <c r="CY18" s="11"/>
      <c r="CZ18" s="11">
        <f>SUM(CZ7:CZ13)</f>
        <v>48</v>
      </c>
      <c r="DA18" s="62">
        <f>CZ18/CZ18</f>
        <v>1</v>
      </c>
      <c r="EE18" s="11">
        <v>0</v>
      </c>
      <c r="EF18" s="11">
        <f>COUNTIF(EE37:EE107,EE18)</f>
        <v>0</v>
      </c>
      <c r="EG18" s="62">
        <f>EF18/EF32</f>
        <v>0</v>
      </c>
      <c r="EI18" s="11">
        <v>0</v>
      </c>
      <c r="EJ18" s="11">
        <f>COUNTIF(DI22:EC107,EI18)</f>
        <v>733</v>
      </c>
      <c r="EK18" s="62">
        <f>EJ18/EJ25</f>
        <v>0.63463203463203466</v>
      </c>
      <c r="EM18" s="11">
        <v>0</v>
      </c>
      <c r="EN18" s="11">
        <f>COUNTIF(EM37:EM107,EM18)</f>
        <v>0</v>
      </c>
      <c r="EO18" s="62">
        <f>EN18/EN32</f>
        <v>0</v>
      </c>
      <c r="EQ18" s="11">
        <v>0</v>
      </c>
      <c r="ER18" s="11">
        <f>COUNTIF(DI22:DX107,EQ18)</f>
        <v>585</v>
      </c>
      <c r="ES18" s="62">
        <f>ER18/ER25</f>
        <v>0.63586956521739135</v>
      </c>
      <c r="EU18" s="11">
        <v>0</v>
      </c>
      <c r="EV18" s="11">
        <f>COUNTIF(EF37:EF107,EU18)</f>
        <v>0</v>
      </c>
      <c r="EW18" s="62">
        <f>EV18/EV32</f>
        <v>0</v>
      </c>
      <c r="FA18" s="68" t="s">
        <v>278</v>
      </c>
    </row>
    <row r="19" spans="2:162">
      <c r="B19" s="86"/>
      <c r="Y19" s="68" t="s">
        <v>207</v>
      </c>
      <c r="BP19" s="11">
        <v>8</v>
      </c>
      <c r="BQ19" s="11">
        <f>COUNTIF(BP36:BP180,BP19)</f>
        <v>3</v>
      </c>
      <c r="BR19" s="62">
        <f>BQ19/BQ24</f>
        <v>5.8823529411764705E-2</v>
      </c>
      <c r="BS19" s="79"/>
      <c r="BT19" s="79"/>
      <c r="BU19" s="11">
        <v>8</v>
      </c>
      <c r="BV19" s="11">
        <f>COUNTIF(BU36:BU180,BU19)</f>
        <v>1</v>
      </c>
      <c r="BW19" s="62">
        <f>BV19/BV24</f>
        <v>1.9607843137254902E-2</v>
      </c>
      <c r="BX19" s="79"/>
      <c r="BY19" s="79"/>
      <c r="BZ19" s="79"/>
      <c r="CA19" s="79"/>
      <c r="CB19" s="79"/>
      <c r="CC19" s="79"/>
      <c r="EE19" s="11">
        <v>1</v>
      </c>
      <c r="EF19" s="11">
        <f>COUNTIF(EE37:EE107,EE19)</f>
        <v>0</v>
      </c>
      <c r="EG19" s="62">
        <f>EF19/EF32</f>
        <v>0</v>
      </c>
      <c r="EI19" s="11">
        <v>1</v>
      </c>
      <c r="EJ19" s="11">
        <f>COUNTIF(DI22:EC107,EI19)</f>
        <v>368</v>
      </c>
      <c r="EK19" s="62">
        <f>EJ19/EJ25</f>
        <v>0.31861471861471863</v>
      </c>
      <c r="EM19" s="11">
        <v>1</v>
      </c>
      <c r="EN19" s="11">
        <f>COUNTIF(EM37:EM107,EM19)</f>
        <v>0</v>
      </c>
      <c r="EO19" s="62">
        <f>EN19/EN32</f>
        <v>0</v>
      </c>
      <c r="EQ19" s="11">
        <v>1</v>
      </c>
      <c r="ER19" s="11">
        <f>COUNTIF(DI22:DX107,EQ19)</f>
        <v>294</v>
      </c>
      <c r="ES19" s="62">
        <f>ER19/ER25</f>
        <v>0.31956521739130433</v>
      </c>
      <c r="EU19" s="11">
        <v>1</v>
      </c>
      <c r="EV19" s="11">
        <f>COUNTIF(EF37:EF107,EU19)</f>
        <v>0</v>
      </c>
      <c r="EW19" s="62">
        <f>EV19/EV32</f>
        <v>0</v>
      </c>
      <c r="EZ19" s="68">
        <v>559</v>
      </c>
      <c r="FA19" s="68">
        <v>4</v>
      </c>
    </row>
    <row r="20" spans="2:162">
      <c r="B20" s="40"/>
      <c r="X20" s="68" t="s">
        <v>186</v>
      </c>
      <c r="Y20" s="68" t="s">
        <v>230</v>
      </c>
      <c r="AS20" s="68" t="s">
        <v>231</v>
      </c>
      <c r="BP20" s="11">
        <v>9</v>
      </c>
      <c r="BQ20" s="11">
        <f>COUNTIF(BP36:BP180,BP20)</f>
        <v>2</v>
      </c>
      <c r="BR20" s="62">
        <f>BQ20/BQ24</f>
        <v>3.9215686274509803E-2</v>
      </c>
      <c r="BS20" s="79"/>
      <c r="BT20" s="79"/>
      <c r="BU20" s="11">
        <v>9</v>
      </c>
      <c r="BV20" s="11">
        <f>COUNTIF(BU36:BU180,BU20)</f>
        <v>0</v>
      </c>
      <c r="BW20" s="62">
        <f>BV20/BV24</f>
        <v>0</v>
      </c>
      <c r="BX20" s="79"/>
      <c r="BY20" s="79"/>
      <c r="BZ20" s="79"/>
      <c r="CA20" s="79"/>
      <c r="CB20" s="79"/>
      <c r="CC20" s="79"/>
      <c r="CD20" s="68" t="s">
        <v>197</v>
      </c>
      <c r="CY20" s="68" t="s">
        <v>233</v>
      </c>
      <c r="DC20" s="68" t="s">
        <v>232</v>
      </c>
      <c r="DI20" s="68" t="s">
        <v>205</v>
      </c>
      <c r="EE20" s="11">
        <v>2</v>
      </c>
      <c r="EF20" s="11">
        <f>COUNTIF(EE37:EE107,EE20)</f>
        <v>0</v>
      </c>
      <c r="EG20" s="62">
        <f>EF20/EF32</f>
        <v>0</v>
      </c>
      <c r="EI20" s="11">
        <v>2</v>
      </c>
      <c r="EJ20" s="11">
        <f>COUNTIF(DI22:EC107,EI20)</f>
        <v>47</v>
      </c>
      <c r="EK20" s="62">
        <f>EJ20/EJ25</f>
        <v>4.069264069264069E-2</v>
      </c>
      <c r="EM20" s="11">
        <v>2</v>
      </c>
      <c r="EN20" s="11">
        <f>COUNTIF(EM37:EM107,EM20)</f>
        <v>0</v>
      </c>
      <c r="EO20" s="62">
        <f>EN20/EN32</f>
        <v>0</v>
      </c>
      <c r="EQ20" s="11">
        <v>2</v>
      </c>
      <c r="ER20" s="11">
        <f>COUNTIF(DI22:DX107,EQ20)</f>
        <v>34</v>
      </c>
      <c r="ES20" s="62">
        <f>ER20/ER25</f>
        <v>3.6956521739130437E-2</v>
      </c>
      <c r="EU20" s="11">
        <v>2</v>
      </c>
      <c r="EV20" s="11">
        <f>COUNTIF(EF37:EF107,EU20)</f>
        <v>0</v>
      </c>
      <c r="EW20" s="62">
        <f>EV20/EV32</f>
        <v>0</v>
      </c>
      <c r="EZ20" s="68">
        <v>560</v>
      </c>
      <c r="FA20" s="68">
        <v>4</v>
      </c>
    </row>
    <row r="21" spans="2:162" ht="17.25" thickBot="1">
      <c r="B21" s="86"/>
      <c r="D21" s="68" t="s">
        <v>240</v>
      </c>
      <c r="G21" s="68" t="s">
        <v>237</v>
      </c>
      <c r="V21" s="11">
        <v>0</v>
      </c>
      <c r="W21" s="94" t="s">
        <v>187</v>
      </c>
      <c r="X21" s="94" t="s">
        <v>188</v>
      </c>
      <c r="Y21" s="94" t="s">
        <v>113</v>
      </c>
      <c r="Z21" s="94" t="s">
        <v>114</v>
      </c>
      <c r="AA21" s="94" t="s">
        <v>120</v>
      </c>
      <c r="AB21" s="94" t="s">
        <v>122</v>
      </c>
      <c r="AC21" s="94" t="s">
        <v>129</v>
      </c>
      <c r="AD21" s="94" t="s">
        <v>152</v>
      </c>
      <c r="AE21" s="94" t="s">
        <v>163</v>
      </c>
      <c r="AF21" s="94" t="s">
        <v>165</v>
      </c>
      <c r="AG21" s="94" t="s">
        <v>168</v>
      </c>
      <c r="AH21" s="94" t="s">
        <v>172</v>
      </c>
      <c r="AI21" s="94" t="s">
        <v>173</v>
      </c>
      <c r="AJ21" s="94" t="s">
        <v>174</v>
      </c>
      <c r="AK21" s="94" t="s">
        <v>181</v>
      </c>
      <c r="AL21" s="94" t="s">
        <v>200</v>
      </c>
      <c r="AM21" s="94" t="s">
        <v>201</v>
      </c>
      <c r="AN21" s="94" t="s">
        <v>202</v>
      </c>
      <c r="AO21" s="94" t="s">
        <v>203</v>
      </c>
      <c r="AP21" s="94" t="s">
        <v>204</v>
      </c>
      <c r="AS21" s="11">
        <v>0</v>
      </c>
      <c r="AT21" s="94" t="s">
        <v>187</v>
      </c>
      <c r="AU21" s="94" t="s">
        <v>188</v>
      </c>
      <c r="AV21" s="94" t="s">
        <v>113</v>
      </c>
      <c r="AW21" s="94" t="s">
        <v>114</v>
      </c>
      <c r="AX21" s="94" t="s">
        <v>120</v>
      </c>
      <c r="AY21" s="94" t="s">
        <v>122</v>
      </c>
      <c r="AZ21" s="94" t="s">
        <v>129</v>
      </c>
      <c r="BA21" s="94" t="s">
        <v>152</v>
      </c>
      <c r="BB21" s="94" t="s">
        <v>163</v>
      </c>
      <c r="BC21" s="94" t="s">
        <v>165</v>
      </c>
      <c r="BD21" s="94" t="s">
        <v>168</v>
      </c>
      <c r="BE21" s="94" t="s">
        <v>172</v>
      </c>
      <c r="BF21" s="94" t="s">
        <v>173</v>
      </c>
      <c r="BG21" s="94" t="s">
        <v>174</v>
      </c>
      <c r="BH21" s="94" t="s">
        <v>181</v>
      </c>
      <c r="BI21" s="94" t="s">
        <v>200</v>
      </c>
      <c r="BJ21" s="94" t="s">
        <v>201</v>
      </c>
      <c r="BK21" s="94" t="s">
        <v>202</v>
      </c>
      <c r="BL21" s="94" t="s">
        <v>203</v>
      </c>
      <c r="BM21" s="94" t="s">
        <v>204</v>
      </c>
      <c r="BN21" s="95"/>
      <c r="BP21" s="11">
        <v>10</v>
      </c>
      <c r="BQ21" s="11">
        <f>COUNTIF(BP36:BP180,BP21)</f>
        <v>0</v>
      </c>
      <c r="BR21" s="62">
        <f>BQ21/BQ24</f>
        <v>0</v>
      </c>
      <c r="BS21" s="79"/>
      <c r="BT21" s="79"/>
      <c r="BU21" s="11">
        <v>10</v>
      </c>
      <c r="BV21" s="11">
        <f>COUNTIF(BU36:BU180,BU21)</f>
        <v>0</v>
      </c>
      <c r="BW21" s="62">
        <f>BV21/BV24</f>
        <v>0</v>
      </c>
      <c r="BX21" s="79"/>
      <c r="BY21" s="79"/>
      <c r="BZ21" s="79"/>
      <c r="CA21" s="79"/>
      <c r="CB21" s="79"/>
      <c r="CC21" s="79"/>
      <c r="CD21" s="95" t="s">
        <v>111</v>
      </c>
      <c r="CE21" s="95" t="s">
        <v>188</v>
      </c>
      <c r="CF21" s="95" t="s">
        <v>113</v>
      </c>
      <c r="CG21" s="95" t="s">
        <v>114</v>
      </c>
      <c r="CH21" s="95" t="s">
        <v>120</v>
      </c>
      <c r="CI21" s="95" t="s">
        <v>122</v>
      </c>
      <c r="CJ21" s="95" t="s">
        <v>129</v>
      </c>
      <c r="CK21" s="95" t="s">
        <v>152</v>
      </c>
      <c r="CL21" s="95" t="s">
        <v>163</v>
      </c>
      <c r="CM21" s="95" t="s">
        <v>165</v>
      </c>
      <c r="CN21" s="95" t="s">
        <v>168</v>
      </c>
      <c r="CO21" s="95" t="s">
        <v>172</v>
      </c>
      <c r="CP21" s="95" t="s">
        <v>173</v>
      </c>
      <c r="CQ21" s="95" t="s">
        <v>174</v>
      </c>
      <c r="CR21" s="95" t="s">
        <v>181</v>
      </c>
      <c r="CS21" s="95" t="s">
        <v>200</v>
      </c>
      <c r="CT21" s="95" t="s">
        <v>201</v>
      </c>
      <c r="CU21" s="95" t="s">
        <v>202</v>
      </c>
      <c r="CV21" s="95" t="s">
        <v>203</v>
      </c>
      <c r="CW21" s="95" t="s">
        <v>204</v>
      </c>
      <c r="CY21" s="11">
        <v>0</v>
      </c>
      <c r="CZ21" s="11">
        <f>COUNTIF(CY36:CY107,CY21)</f>
        <v>13</v>
      </c>
      <c r="DA21" s="62">
        <f>CZ21/CZ32</f>
        <v>0.27083333333333331</v>
      </c>
      <c r="DC21" s="11">
        <v>0</v>
      </c>
      <c r="DD21" s="11">
        <f>COUNTIF(DC36:DC107,DC21)</f>
        <v>20</v>
      </c>
      <c r="DE21" s="62">
        <f>DD21/DD32</f>
        <v>0.41666666666666669</v>
      </c>
      <c r="DI21" s="127" t="s">
        <v>196</v>
      </c>
      <c r="DJ21" s="127" t="s">
        <v>111</v>
      </c>
      <c r="DK21" s="127" t="s">
        <v>188</v>
      </c>
      <c r="DL21" s="127" t="s">
        <v>113</v>
      </c>
      <c r="DM21" s="127" t="s">
        <v>114</v>
      </c>
      <c r="DN21" s="127" t="s">
        <v>120</v>
      </c>
      <c r="DO21" s="127" t="s">
        <v>122</v>
      </c>
      <c r="DP21" s="127" t="s">
        <v>129</v>
      </c>
      <c r="DQ21" s="127" t="s">
        <v>152</v>
      </c>
      <c r="DR21" s="127" t="s">
        <v>163</v>
      </c>
      <c r="DS21" s="127" t="s">
        <v>165</v>
      </c>
      <c r="DT21" s="127" t="s">
        <v>168</v>
      </c>
      <c r="DU21" s="127" t="s">
        <v>172</v>
      </c>
      <c r="DV21" s="127" t="s">
        <v>173</v>
      </c>
      <c r="DW21" s="127" t="s">
        <v>174</v>
      </c>
      <c r="DX21" s="127" t="s">
        <v>181</v>
      </c>
      <c r="DY21" s="127" t="s">
        <v>200</v>
      </c>
      <c r="DZ21" s="127" t="s">
        <v>201</v>
      </c>
      <c r="EA21" s="127" t="s">
        <v>202</v>
      </c>
      <c r="EB21" s="127" t="s">
        <v>203</v>
      </c>
      <c r="EC21" s="127" t="s">
        <v>204</v>
      </c>
      <c r="EE21" s="11">
        <v>3</v>
      </c>
      <c r="EF21" s="11">
        <f>COUNTIF(EE37:EE107,EE21)</f>
        <v>0</v>
      </c>
      <c r="EG21" s="62">
        <f>EF21/EF32</f>
        <v>0</v>
      </c>
      <c r="EI21" s="11">
        <v>3</v>
      </c>
      <c r="EJ21" s="11">
        <f>COUNTIF(DI22:EC107,EI21)</f>
        <v>7</v>
      </c>
      <c r="EK21" s="62">
        <f>EJ21/EJ25</f>
        <v>6.0606060606060606E-3</v>
      </c>
      <c r="EM21" s="11">
        <v>3</v>
      </c>
      <c r="EN21" s="11">
        <f>COUNTIF(EM37:EM107,EM21)</f>
        <v>4</v>
      </c>
      <c r="EO21" s="62">
        <f>EN21/EN32</f>
        <v>0.08</v>
      </c>
      <c r="EQ21" s="11">
        <v>3</v>
      </c>
      <c r="ER21" s="11">
        <f>COUNTIF(DI22:DX107,EQ21)</f>
        <v>7</v>
      </c>
      <c r="ES21" s="62">
        <f>ER21/ER25</f>
        <v>7.6086956521739134E-3</v>
      </c>
      <c r="EU21" s="11">
        <v>3</v>
      </c>
      <c r="EV21" s="11">
        <f>COUNTIF(EF37:EF107,EU21)</f>
        <v>4</v>
      </c>
      <c r="EW21" s="62">
        <f>EV21/EV32</f>
        <v>8.1632653061224483E-2</v>
      </c>
      <c r="EZ21" s="117">
        <v>561</v>
      </c>
      <c r="FA21" s="118">
        <v>1</v>
      </c>
      <c r="FB21" s="118"/>
      <c r="FC21" s="118"/>
      <c r="FD21" s="118"/>
      <c r="FE21" s="118"/>
      <c r="FF21" s="117"/>
    </row>
    <row r="22" spans="2:162" ht="17.25">
      <c r="B22" s="86"/>
      <c r="D22" s="87">
        <v>0</v>
      </c>
      <c r="E22" s="88">
        <f>COUNTIF(P36:P107,D22)</f>
        <v>3</v>
      </c>
      <c r="F22" s="89">
        <f>E22/E34</f>
        <v>5.8823529411764705E-2</v>
      </c>
      <c r="G22" s="87">
        <v>0</v>
      </c>
      <c r="H22" s="88">
        <f>COUNTIF(K36:K107,G22)</f>
        <v>1</v>
      </c>
      <c r="I22" s="89">
        <f>H22/H34</f>
        <v>1.9607843137254902E-2</v>
      </c>
      <c r="V22" s="56">
        <v>5</v>
      </c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1"/>
      <c r="AS22" s="56">
        <v>5</v>
      </c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8"/>
      <c r="BP22" s="11">
        <v>11</v>
      </c>
      <c r="BQ22" s="11">
        <f>COUNTIF(BP36:BP180,BP22)</f>
        <v>0</v>
      </c>
      <c r="BR22" s="62">
        <f>BQ22/BQ24</f>
        <v>0</v>
      </c>
      <c r="BS22" s="79"/>
      <c r="BT22" s="79"/>
      <c r="BU22" s="11">
        <v>11</v>
      </c>
      <c r="BV22" s="11">
        <f>COUNTIF(BU36:BU180,BU22)</f>
        <v>0</v>
      </c>
      <c r="BW22" s="62">
        <f>BV22/BV24</f>
        <v>0</v>
      </c>
      <c r="BX22" s="79"/>
      <c r="BY22" s="79"/>
      <c r="BZ22" s="79"/>
      <c r="CA22" s="79"/>
      <c r="CB22" s="79"/>
      <c r="CC22" s="79"/>
      <c r="CD22" s="134"/>
      <c r="CE22" s="134">
        <v>2</v>
      </c>
      <c r="CF22" s="134"/>
      <c r="CG22" s="134"/>
      <c r="CH22" s="134"/>
      <c r="CI22" s="134"/>
      <c r="CJ22" s="134"/>
      <c r="CK22" s="134"/>
      <c r="CL22" s="134"/>
      <c r="CM22" s="134"/>
      <c r="CN22" s="134"/>
      <c r="CO22" s="134"/>
      <c r="CP22" s="134"/>
      <c r="CQ22" s="134"/>
      <c r="CR22" s="134"/>
      <c r="CS22" s="134"/>
      <c r="CT22" s="134"/>
      <c r="CU22" s="134"/>
      <c r="CV22" s="134"/>
      <c r="CW22" s="134"/>
      <c r="CY22" s="11">
        <v>1</v>
      </c>
      <c r="CZ22" s="11">
        <f>COUNTIF(CY36:CY107,CY22)</f>
        <v>19</v>
      </c>
      <c r="DA22" s="62">
        <f>CZ22/CZ32</f>
        <v>0.39583333333333331</v>
      </c>
      <c r="DC22" s="11">
        <v>1</v>
      </c>
      <c r="DD22" s="11">
        <f>COUNTIF(DC36:DC107,DC22)</f>
        <v>19</v>
      </c>
      <c r="DE22" s="62">
        <f>DD22/DD32</f>
        <v>0.39583333333333331</v>
      </c>
      <c r="DI22" s="81" t="s">
        <v>192</v>
      </c>
      <c r="DJ22" s="126"/>
      <c r="DK22" s="126"/>
      <c r="DL22" s="126"/>
      <c r="DM22" s="126"/>
      <c r="DN22" s="126"/>
      <c r="DO22" s="126"/>
      <c r="DP22" s="126"/>
      <c r="DQ22" s="126"/>
      <c r="DR22" s="126"/>
      <c r="DS22" s="126"/>
      <c r="DT22" s="126"/>
      <c r="DU22" s="49"/>
      <c r="DV22" s="126"/>
      <c r="DW22" s="49"/>
      <c r="DX22" s="126"/>
      <c r="DY22" s="126"/>
      <c r="DZ22" s="126"/>
      <c r="EA22" s="126"/>
      <c r="EB22" s="126"/>
      <c r="EC22" s="126"/>
      <c r="EE22" s="11">
        <v>4</v>
      </c>
      <c r="EF22" s="11">
        <f>COUNTIF(EE37:EE107,EE22)</f>
        <v>1</v>
      </c>
      <c r="EG22" s="62">
        <f>EF22/EF32</f>
        <v>0.02</v>
      </c>
      <c r="EI22" s="11">
        <v>4</v>
      </c>
      <c r="EJ22" s="11">
        <f>COUNTIF(DI22:EC107,EI22)</f>
        <v>0</v>
      </c>
      <c r="EK22" s="62">
        <f>EJ22/EJ25</f>
        <v>0</v>
      </c>
      <c r="EM22" s="11">
        <v>4</v>
      </c>
      <c r="EN22" s="11">
        <f>COUNTIF(EM37:EM107,EM22)</f>
        <v>6</v>
      </c>
      <c r="EO22" s="62">
        <f>EN22/EN32</f>
        <v>0.12</v>
      </c>
      <c r="EQ22" s="11">
        <v>4</v>
      </c>
      <c r="ER22" s="11">
        <f>COUNTIF(DI22:DX107,EQ22)</f>
        <v>0</v>
      </c>
      <c r="ES22" s="62">
        <f>ER22/ER25</f>
        <v>0</v>
      </c>
      <c r="EU22" s="11">
        <v>4</v>
      </c>
      <c r="EV22" s="11">
        <f>COUNTIF(EF37:EF107,EU22)</f>
        <v>4</v>
      </c>
      <c r="EW22" s="62">
        <f>EV22/EV32</f>
        <v>8.1632653061224483E-2</v>
      </c>
      <c r="EZ22" s="123">
        <v>562</v>
      </c>
      <c r="FA22" s="118">
        <v>4</v>
      </c>
      <c r="FB22" s="118"/>
      <c r="FC22" s="118"/>
      <c r="FD22" s="118"/>
      <c r="FE22" s="118"/>
      <c r="FF22" s="123"/>
    </row>
    <row r="23" spans="2:162" ht="17.25">
      <c r="B23" s="86"/>
      <c r="D23" s="90">
        <v>1</v>
      </c>
      <c r="E23" s="11">
        <f>COUNTIF(P36:P107,D23)</f>
        <v>10</v>
      </c>
      <c r="F23" s="91">
        <f>E23/E34</f>
        <v>0.19607843137254902</v>
      </c>
      <c r="G23" s="90">
        <v>1</v>
      </c>
      <c r="H23" s="11">
        <f>COUNTIF(K36:K107,G23)</f>
        <v>6</v>
      </c>
      <c r="I23" s="91">
        <f>H23/H34</f>
        <v>0.11764705882352941</v>
      </c>
      <c r="V23" s="56">
        <v>4</v>
      </c>
      <c r="W23" s="56">
        <v>4</v>
      </c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1"/>
      <c r="AS23" s="56">
        <v>5</v>
      </c>
      <c r="AT23" s="56">
        <v>5</v>
      </c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8"/>
      <c r="BP23" s="11">
        <v>12</v>
      </c>
      <c r="BQ23" s="11">
        <f>COUNTIF(BP36:BP180,BP23)</f>
        <v>0</v>
      </c>
      <c r="BR23" s="62">
        <f>BQ23/BQ24</f>
        <v>0</v>
      </c>
      <c r="BS23" s="79"/>
      <c r="BT23" s="79"/>
      <c r="BU23" s="11">
        <v>12</v>
      </c>
      <c r="BV23" s="11">
        <f>COUNTIF(BU36:BU180,BU23)</f>
        <v>0</v>
      </c>
      <c r="BW23" s="62">
        <f>BV23/BV24</f>
        <v>0</v>
      </c>
      <c r="BX23" s="79"/>
      <c r="BY23" s="79"/>
      <c r="BZ23" s="79"/>
      <c r="CA23" s="79"/>
      <c r="CB23" s="79"/>
      <c r="CC23" s="79"/>
      <c r="CD23" s="134"/>
      <c r="CE23" s="134">
        <v>1</v>
      </c>
      <c r="CF23" s="134"/>
      <c r="CG23" s="134"/>
      <c r="CH23" s="134"/>
      <c r="CI23" s="134"/>
      <c r="CJ23" s="134"/>
      <c r="CK23" s="134"/>
      <c r="CL23" s="134"/>
      <c r="CM23" s="134"/>
      <c r="CN23" s="134"/>
      <c r="CO23" s="134"/>
      <c r="CP23" s="134"/>
      <c r="CQ23" s="134"/>
      <c r="CR23" s="134"/>
      <c r="CS23" s="134"/>
      <c r="CT23" s="134"/>
      <c r="CU23" s="134"/>
      <c r="CV23" s="134"/>
      <c r="CW23" s="134"/>
      <c r="CY23" s="11">
        <v>2</v>
      </c>
      <c r="CZ23" s="11">
        <f>COUNTIF(CY36:CY107,CY23)</f>
        <v>8</v>
      </c>
      <c r="DA23" s="62">
        <f>CZ23/CZ32</f>
        <v>0.16666666666666666</v>
      </c>
      <c r="DC23" s="11">
        <v>2</v>
      </c>
      <c r="DD23" s="11">
        <f>COUNTIF(DC36:DC107,DC23)</f>
        <v>2</v>
      </c>
      <c r="DE23" s="62">
        <f>DD23/DD32</f>
        <v>4.1666666666666664E-2</v>
      </c>
      <c r="DI23" s="82">
        <v>1</v>
      </c>
      <c r="DJ23" s="81" t="s">
        <v>194</v>
      </c>
      <c r="DK23" s="126"/>
      <c r="DL23" s="126"/>
      <c r="DM23" s="126"/>
      <c r="DN23" s="126"/>
      <c r="DO23" s="126"/>
      <c r="DP23" s="126"/>
      <c r="DQ23" s="126"/>
      <c r="DR23" s="126"/>
      <c r="DS23" s="126"/>
      <c r="DT23" s="126"/>
      <c r="DU23" s="126"/>
      <c r="DV23" s="126"/>
      <c r="DW23" s="126"/>
      <c r="DX23" s="126"/>
      <c r="DY23" s="126"/>
      <c r="DZ23" s="126"/>
      <c r="EA23" s="126"/>
      <c r="EB23" s="126"/>
      <c r="EC23" s="126"/>
      <c r="EE23" s="11">
        <v>5</v>
      </c>
      <c r="EF23" s="11">
        <f>COUNTIF(EE37:EE107,EE23)</f>
        <v>5</v>
      </c>
      <c r="EG23" s="62">
        <f>EF23/EF32</f>
        <v>0.1</v>
      </c>
      <c r="EI23" s="11">
        <v>5</v>
      </c>
      <c r="EJ23" s="11">
        <f>COUNTIF(DI22:EC107,EI23)</f>
        <v>0</v>
      </c>
      <c r="EK23" s="62">
        <f>EJ23/EJ25</f>
        <v>0</v>
      </c>
      <c r="EM23" s="11">
        <v>5</v>
      </c>
      <c r="EN23" s="11">
        <f>COUNTIF(EM37:EM107,EM23)</f>
        <v>10</v>
      </c>
      <c r="EO23" s="62">
        <f>EN23/EN32</f>
        <v>0.2</v>
      </c>
      <c r="EQ23" s="11">
        <v>5</v>
      </c>
      <c r="ER23" s="11">
        <f>COUNTIF(DI22:DX107,EQ23)</f>
        <v>0</v>
      </c>
      <c r="ES23" s="62">
        <f>ER23/ER25</f>
        <v>0</v>
      </c>
      <c r="EU23" s="11">
        <v>5</v>
      </c>
      <c r="EV23" s="11">
        <f>COUNTIF(EF37:EF107,EU23)</f>
        <v>5</v>
      </c>
      <c r="EW23" s="62">
        <f>EV23/EV32</f>
        <v>0.10204081632653061</v>
      </c>
      <c r="EZ23" s="132">
        <v>563</v>
      </c>
      <c r="FA23" s="118">
        <v>3</v>
      </c>
      <c r="FB23" s="118"/>
      <c r="FC23" s="118"/>
      <c r="FD23" s="118"/>
      <c r="FE23" s="118"/>
      <c r="FF23" s="123"/>
    </row>
    <row r="24" spans="2:162" ht="17.25">
      <c r="B24" s="40"/>
      <c r="D24" s="90">
        <v>2</v>
      </c>
      <c r="E24" s="11">
        <f>COUNTIF(P36:P107,D24)</f>
        <v>13</v>
      </c>
      <c r="F24" s="91">
        <f>E24/E34</f>
        <v>0.25490196078431371</v>
      </c>
      <c r="G24" s="90">
        <v>2</v>
      </c>
      <c r="H24" s="11">
        <f>COUNTIF(K36:K107,G24)</f>
        <v>9</v>
      </c>
      <c r="I24" s="91">
        <f>H24/H34</f>
        <v>0.17647058823529413</v>
      </c>
      <c r="V24" s="56">
        <v>5</v>
      </c>
      <c r="W24" s="56">
        <v>6</v>
      </c>
      <c r="X24" s="56">
        <v>4</v>
      </c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1"/>
      <c r="AS24" s="56">
        <v>6</v>
      </c>
      <c r="AT24" s="56">
        <v>6</v>
      </c>
      <c r="AU24" s="56">
        <v>5</v>
      </c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8"/>
      <c r="BP24" s="11"/>
      <c r="BQ24" s="11">
        <f>SUM(BQ11:BQ23)</f>
        <v>51</v>
      </c>
      <c r="BR24" s="62">
        <f>BQ24/BQ24</f>
        <v>1</v>
      </c>
      <c r="BS24" s="79"/>
      <c r="BT24" s="79"/>
      <c r="BU24" s="11"/>
      <c r="BV24" s="11">
        <f>SUM(BV11:BV23)</f>
        <v>51</v>
      </c>
      <c r="BW24" s="62">
        <f>BV24/BV24</f>
        <v>1</v>
      </c>
      <c r="BX24" s="79"/>
      <c r="BY24" s="79"/>
      <c r="BZ24" s="79"/>
      <c r="CA24" s="79"/>
      <c r="CB24" s="79"/>
      <c r="CC24" s="79"/>
      <c r="CD24" s="134"/>
      <c r="CE24" s="134">
        <v>1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Y24" s="11">
        <v>3</v>
      </c>
      <c r="CZ24" s="11">
        <f>COUNTIF(CY36:CY107,CY24)</f>
        <v>4</v>
      </c>
      <c r="DA24" s="62">
        <f>CZ24/CZ32</f>
        <v>8.3333333333333329E-2</v>
      </c>
      <c r="DC24" s="11">
        <v>3</v>
      </c>
      <c r="DD24" s="11">
        <f>COUNTIF(DC36:DC107,DC24)</f>
        <v>6</v>
      </c>
      <c r="DE24" s="62">
        <f>DD24/DD32</f>
        <v>0.125</v>
      </c>
      <c r="DI24" s="83">
        <v>1</v>
      </c>
      <c r="DJ24" s="82">
        <v>0</v>
      </c>
      <c r="DK24" s="81" t="s">
        <v>194</v>
      </c>
      <c r="DL24" s="126"/>
      <c r="DM24" s="126"/>
      <c r="DN24" s="126"/>
      <c r="DO24" s="126"/>
      <c r="DP24" s="47"/>
      <c r="DQ24" s="126"/>
      <c r="DR24" s="126"/>
      <c r="DS24" s="126"/>
      <c r="DT24" s="126"/>
      <c r="DU24" s="126"/>
      <c r="DV24" s="126"/>
      <c r="DW24" s="126"/>
      <c r="DX24" s="126"/>
      <c r="DY24" s="126"/>
      <c r="DZ24" s="126"/>
      <c r="EA24" s="126"/>
      <c r="EB24" s="126"/>
      <c r="EC24" s="126"/>
      <c r="EE24" s="11">
        <v>6</v>
      </c>
      <c r="EF24" s="11">
        <f>COUNTIF(EE37:EE107,EE24)</f>
        <v>8</v>
      </c>
      <c r="EG24" s="62">
        <f>EF24/EF32</f>
        <v>0.16</v>
      </c>
      <c r="EI24" s="11">
        <v>6</v>
      </c>
      <c r="EJ24" s="11">
        <f>COUNTIF(DI22:EC107,EI24)</f>
        <v>0</v>
      </c>
      <c r="EK24" s="62">
        <f>EJ24/EJ25</f>
        <v>0</v>
      </c>
      <c r="EM24" s="11">
        <v>6</v>
      </c>
      <c r="EN24" s="11">
        <f>COUNTIF(EM37:EM107,EM24)</f>
        <v>13</v>
      </c>
      <c r="EO24" s="62">
        <f>EN24/EN32</f>
        <v>0.26</v>
      </c>
      <c r="EQ24" s="11">
        <v>6</v>
      </c>
      <c r="ER24" s="11">
        <f>COUNTIF(DI22:DX107,EQ24)</f>
        <v>0</v>
      </c>
      <c r="ES24" s="62">
        <f>ER24/ER25</f>
        <v>0</v>
      </c>
      <c r="EU24" s="11">
        <v>6</v>
      </c>
      <c r="EV24" s="11">
        <f>COUNTIF(EF37:EF107,EU24)</f>
        <v>12</v>
      </c>
      <c r="EW24" s="62">
        <f>EV24/EV32</f>
        <v>0.24489795918367346</v>
      </c>
      <c r="EZ24" s="131">
        <v>1</v>
      </c>
      <c r="FB24" s="118"/>
      <c r="FC24" s="118"/>
      <c r="FD24" s="118"/>
      <c r="FE24" s="118"/>
      <c r="FF24" s="123"/>
    </row>
    <row r="25" spans="2:162" ht="17.25">
      <c r="B25" s="86"/>
      <c r="D25" s="90">
        <v>3</v>
      </c>
      <c r="E25" s="11">
        <f>COUNTIF(P36:P107,D25)</f>
        <v>9</v>
      </c>
      <c r="F25" s="91">
        <f>E25/E34</f>
        <v>0.17647058823529413</v>
      </c>
      <c r="G25" s="90">
        <v>3</v>
      </c>
      <c r="H25" s="11">
        <f>COUNTIF(K36:K107,G25)</f>
        <v>12</v>
      </c>
      <c r="I25" s="91">
        <f>H25/H34</f>
        <v>0.23529411764705882</v>
      </c>
      <c r="V25" s="56">
        <v>6</v>
      </c>
      <c r="W25" s="56">
        <v>3</v>
      </c>
      <c r="X25" s="56">
        <v>6</v>
      </c>
      <c r="Y25" s="56">
        <v>5</v>
      </c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1"/>
      <c r="AS25" s="56">
        <v>6</v>
      </c>
      <c r="AT25" s="56">
        <v>3</v>
      </c>
      <c r="AU25" s="56">
        <v>6</v>
      </c>
      <c r="AV25" s="56">
        <v>5</v>
      </c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8"/>
      <c r="BP25" s="68" t="s">
        <v>241</v>
      </c>
      <c r="BU25" s="68" t="s">
        <v>227</v>
      </c>
      <c r="CD25" s="134"/>
      <c r="CE25" s="134">
        <v>2</v>
      </c>
      <c r="CF25" s="134"/>
      <c r="CG25" s="134"/>
      <c r="CH25" s="134"/>
      <c r="CI25" s="134"/>
      <c r="CJ25" s="134"/>
      <c r="CK25" s="134"/>
      <c r="CL25" s="134"/>
      <c r="CM25" s="134"/>
      <c r="CN25" s="134"/>
      <c r="CO25" s="134"/>
      <c r="CP25" s="134"/>
      <c r="CQ25" s="134"/>
      <c r="CR25" s="134"/>
      <c r="CS25" s="134"/>
      <c r="CT25" s="134"/>
      <c r="CU25" s="134"/>
      <c r="CV25" s="134"/>
      <c r="CW25" s="134"/>
      <c r="CY25" s="11">
        <v>4</v>
      </c>
      <c r="CZ25" s="11">
        <f>COUNTIF(CY36:CY107,CY25)</f>
        <v>1</v>
      </c>
      <c r="DA25" s="62">
        <f>CZ25/CZ32</f>
        <v>2.0833333333333332E-2</v>
      </c>
      <c r="DC25" s="11">
        <v>4</v>
      </c>
      <c r="DD25" s="11">
        <f>COUNTIF(DC36:DC107,DC25)</f>
        <v>1</v>
      </c>
      <c r="DE25" s="62">
        <f>DD25/DD32</f>
        <v>2.0833333333333332E-2</v>
      </c>
      <c r="DI25" s="126">
        <v>0</v>
      </c>
      <c r="DJ25" s="83">
        <v>0</v>
      </c>
      <c r="DK25" s="82">
        <v>0</v>
      </c>
      <c r="DL25" s="81" t="s">
        <v>192</v>
      </c>
      <c r="DM25" s="126"/>
      <c r="DN25" s="126"/>
      <c r="DO25" s="126"/>
      <c r="DP25" s="49"/>
      <c r="DQ25" s="126"/>
      <c r="DR25" s="126"/>
      <c r="DS25" s="126"/>
      <c r="DT25" s="126"/>
      <c r="DU25" s="126"/>
      <c r="DV25" s="126"/>
      <c r="DW25" s="126"/>
      <c r="DX25" s="126"/>
      <c r="DY25" s="126"/>
      <c r="DZ25" s="126"/>
      <c r="EA25" s="126"/>
      <c r="EB25" s="126"/>
      <c r="EC25" s="126"/>
      <c r="EE25" s="11">
        <v>7</v>
      </c>
      <c r="EF25" s="11">
        <f>COUNTIF(EE37:EE107,EE25)</f>
        <v>13</v>
      </c>
      <c r="EG25" s="62">
        <f>EF25/EF32</f>
        <v>0.26</v>
      </c>
      <c r="EI25" s="11"/>
      <c r="EJ25" s="11">
        <f>SUM(EJ18:EJ24)</f>
        <v>1155</v>
      </c>
      <c r="EK25" s="62">
        <f>EJ25/EJ25</f>
        <v>1</v>
      </c>
      <c r="EM25" s="11">
        <v>7</v>
      </c>
      <c r="EN25" s="11">
        <f>COUNTIF(EM37:EM107,EM25)</f>
        <v>11</v>
      </c>
      <c r="EO25" s="62">
        <f>EN25/EN32</f>
        <v>0.22</v>
      </c>
      <c r="EQ25" s="11"/>
      <c r="ER25" s="11">
        <f>SUM(ER18:ER24)</f>
        <v>920</v>
      </c>
      <c r="ES25" s="62">
        <f>ER25/ER25</f>
        <v>1</v>
      </c>
      <c r="EU25" s="11">
        <v>7</v>
      </c>
      <c r="EV25" s="11">
        <f>COUNTIF(EF37:EF107,EU25)</f>
        <v>10</v>
      </c>
      <c r="EW25" s="62">
        <f>EV25/EV32</f>
        <v>0.20408163265306123</v>
      </c>
      <c r="EZ25" s="131">
        <v>4</v>
      </c>
      <c r="FB25" s="118"/>
      <c r="FC25" s="118"/>
      <c r="FD25" s="118"/>
      <c r="FE25" s="118"/>
      <c r="FF25" s="123"/>
    </row>
    <row r="26" spans="2:162" ht="17.25">
      <c r="B26" s="86"/>
      <c r="D26" s="90">
        <v>4</v>
      </c>
      <c r="E26" s="11">
        <f>COUNTIF(P36:P107,D26)</f>
        <v>6</v>
      </c>
      <c r="F26" s="91">
        <f>E26/E34</f>
        <v>0.11764705882352941</v>
      </c>
      <c r="G26" s="90">
        <v>4</v>
      </c>
      <c r="H26" s="11">
        <f>COUNTIF(K36:K107,G26)</f>
        <v>10</v>
      </c>
      <c r="I26" s="91">
        <f>H26/H34</f>
        <v>0.19607843137254902</v>
      </c>
      <c r="V26" s="56">
        <v>4</v>
      </c>
      <c r="W26" s="56">
        <v>5</v>
      </c>
      <c r="X26" s="56">
        <v>4</v>
      </c>
      <c r="Y26" s="56">
        <v>6</v>
      </c>
      <c r="Z26" s="56">
        <v>4</v>
      </c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1"/>
      <c r="AS26" s="56">
        <v>4</v>
      </c>
      <c r="AT26" s="56">
        <v>5</v>
      </c>
      <c r="AU26" s="56">
        <v>4</v>
      </c>
      <c r="AV26" s="56">
        <v>6</v>
      </c>
      <c r="AW26" s="56">
        <v>5</v>
      </c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8"/>
      <c r="BP26" s="11">
        <v>0</v>
      </c>
      <c r="BQ26" s="11">
        <f>COUNTIF(BQ36:BQ107,BP26)</f>
        <v>4</v>
      </c>
      <c r="BR26" s="62">
        <f>BQ26/BQ33</f>
        <v>7.8431372549019607E-2</v>
      </c>
      <c r="BS26" s="79"/>
      <c r="BT26" s="79"/>
      <c r="BU26" s="11">
        <v>0</v>
      </c>
      <c r="BV26" s="11">
        <f>COUNTIF(BV36:BV107,BU26)</f>
        <v>7</v>
      </c>
      <c r="BW26" s="62">
        <f>BV26/BV33</f>
        <v>0.13725490196078433</v>
      </c>
      <c r="BX26" s="79"/>
      <c r="BY26" s="79"/>
      <c r="BZ26" s="79"/>
      <c r="CA26" s="79"/>
      <c r="CB26" s="79"/>
      <c r="CC26" s="79"/>
      <c r="CD26" s="134"/>
      <c r="CE26" s="134">
        <v>3</v>
      </c>
      <c r="CF26" s="134"/>
      <c r="CG26" s="134"/>
      <c r="CH26" s="134"/>
      <c r="CI26" s="134"/>
      <c r="CJ26" s="134"/>
      <c r="CK26" s="134"/>
      <c r="CL26" s="134"/>
      <c r="CM26" s="134"/>
      <c r="CN26" s="134"/>
      <c r="CO26" s="134"/>
      <c r="CP26" s="134"/>
      <c r="CQ26" s="134"/>
      <c r="CR26" s="134"/>
      <c r="CS26" s="134"/>
      <c r="CT26" s="134"/>
      <c r="CU26" s="134"/>
      <c r="CV26" s="134"/>
      <c r="CW26" s="134"/>
      <c r="CY26" s="11">
        <v>5</v>
      </c>
      <c r="CZ26" s="11">
        <f>COUNTIF(CY36:CY107,CY26)</f>
        <v>2</v>
      </c>
      <c r="DA26" s="62">
        <f>CZ26/CZ32</f>
        <v>4.1666666666666664E-2</v>
      </c>
      <c r="DC26" s="11">
        <v>5</v>
      </c>
      <c r="DD26" s="11">
        <f>COUNTIF(DC36:DC107,DC26)</f>
        <v>0</v>
      </c>
      <c r="DE26" s="62">
        <f>DD26/DD32</f>
        <v>0</v>
      </c>
      <c r="DI26" s="126">
        <v>0</v>
      </c>
      <c r="DJ26" s="126">
        <v>0</v>
      </c>
      <c r="DK26" s="83">
        <v>0</v>
      </c>
      <c r="DL26" s="82">
        <v>0</v>
      </c>
      <c r="DM26" s="81" t="s">
        <v>194</v>
      </c>
      <c r="DN26" s="126"/>
      <c r="DO26" s="126"/>
      <c r="DP26" s="126"/>
      <c r="DQ26" s="126"/>
      <c r="DR26" s="126"/>
      <c r="DS26" s="126"/>
      <c r="DT26" s="126"/>
      <c r="DU26" s="126"/>
      <c r="DV26" s="126"/>
      <c r="DW26" s="126"/>
      <c r="DX26" s="126"/>
      <c r="DY26" s="126"/>
      <c r="DZ26" s="126"/>
      <c r="EA26" s="126"/>
      <c r="EB26" s="126"/>
      <c r="EC26" s="126"/>
      <c r="EE26" s="11">
        <v>8</v>
      </c>
      <c r="EF26" s="11">
        <f>COUNTIF(EE37:EE107,EE26)</f>
        <v>9</v>
      </c>
      <c r="EG26" s="62">
        <f>EF26/EF32</f>
        <v>0.18</v>
      </c>
      <c r="EM26" s="11">
        <v>8</v>
      </c>
      <c r="EN26" s="11">
        <f>COUNTIF(EM37:EM107,EM26)</f>
        <v>3</v>
      </c>
      <c r="EO26" s="62">
        <f>EN26/EN32</f>
        <v>0.06</v>
      </c>
      <c r="EU26" s="11">
        <v>8</v>
      </c>
      <c r="EV26" s="11">
        <f>COUNTIF(EF37:EF107,EU26)</f>
        <v>6</v>
      </c>
      <c r="EW26" s="62">
        <f>EV26/EV32</f>
        <v>0.12244897959183673</v>
      </c>
      <c r="EZ26" s="131">
        <v>5</v>
      </c>
      <c r="FB26" s="118"/>
      <c r="FC26" s="118"/>
      <c r="FD26" s="118"/>
      <c r="FE26" s="118"/>
      <c r="FF26" s="123"/>
    </row>
    <row r="27" spans="2:162" ht="17.25">
      <c r="B27" s="86"/>
      <c r="D27" s="90">
        <v>5</v>
      </c>
      <c r="E27" s="11">
        <f>COUNTIF(P36:P107,D27)</f>
        <v>8</v>
      </c>
      <c r="F27" s="91">
        <f>E27/E34</f>
        <v>0.15686274509803921</v>
      </c>
      <c r="G27" s="90">
        <v>5</v>
      </c>
      <c r="H27" s="11">
        <f>COUNTIF(K36:K107,G27)</f>
        <v>8</v>
      </c>
      <c r="I27" s="91">
        <f>H27/H34</f>
        <v>0.15686274509803921</v>
      </c>
      <c r="V27" s="56">
        <v>4</v>
      </c>
      <c r="W27" s="56">
        <v>5</v>
      </c>
      <c r="X27" s="56">
        <v>5</v>
      </c>
      <c r="Y27" s="56">
        <v>3</v>
      </c>
      <c r="Z27" s="56">
        <v>4</v>
      </c>
      <c r="AA27" s="56">
        <v>4</v>
      </c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1"/>
      <c r="AS27" s="56">
        <v>4</v>
      </c>
      <c r="AT27" s="56">
        <v>5</v>
      </c>
      <c r="AU27" s="56">
        <v>5</v>
      </c>
      <c r="AV27" s="56">
        <v>3</v>
      </c>
      <c r="AW27" s="56">
        <v>4</v>
      </c>
      <c r="AX27" s="56">
        <v>4</v>
      </c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8"/>
      <c r="BP27" s="11">
        <v>1</v>
      </c>
      <c r="BQ27" s="11">
        <f>COUNTIF(BQ36:BQ107,BP27)</f>
        <v>15</v>
      </c>
      <c r="BR27" s="62">
        <f>BQ27/BQ33</f>
        <v>0.29411764705882354</v>
      </c>
      <c r="BS27" s="79"/>
      <c r="BT27" s="79"/>
      <c r="BU27" s="11">
        <v>1</v>
      </c>
      <c r="BV27" s="11">
        <f>COUNTIF(BV36:BV107,BU27)</f>
        <v>17</v>
      </c>
      <c r="BW27" s="62">
        <f>BV27/BV33</f>
        <v>0.33333333333333331</v>
      </c>
      <c r="BX27" s="79"/>
      <c r="BY27" s="79"/>
      <c r="BZ27" s="79"/>
      <c r="CA27" s="79"/>
      <c r="CB27" s="79"/>
      <c r="CC27" s="79"/>
      <c r="CD27" s="134"/>
      <c r="CE27" s="134">
        <v>0</v>
      </c>
      <c r="CF27" s="134"/>
      <c r="CG27" s="134"/>
      <c r="CH27" s="134"/>
      <c r="CI27" s="134"/>
      <c r="CJ27" s="134"/>
      <c r="CK27" s="134"/>
      <c r="CL27" s="134"/>
      <c r="CM27" s="134"/>
      <c r="CN27" s="134"/>
      <c r="CO27" s="134"/>
      <c r="CP27" s="134"/>
      <c r="CQ27" s="134"/>
      <c r="CR27" s="134"/>
      <c r="CS27" s="134"/>
      <c r="CT27" s="134"/>
      <c r="CU27" s="134"/>
      <c r="CV27" s="134"/>
      <c r="CW27" s="134"/>
      <c r="CY27" s="11">
        <v>6</v>
      </c>
      <c r="CZ27" s="11">
        <f>COUNTIF(CY36:CY107,CY27)</f>
        <v>1</v>
      </c>
      <c r="DA27" s="62">
        <f>CZ27/CZ32</f>
        <v>2.0833333333333332E-2</v>
      </c>
      <c r="DC27" s="11">
        <v>6</v>
      </c>
      <c r="DD27" s="11">
        <f>COUNTIF(DC36:DC107,DC27)</f>
        <v>0</v>
      </c>
      <c r="DE27" s="62">
        <f>DD27/DD32</f>
        <v>0</v>
      </c>
      <c r="DI27" s="126">
        <v>0</v>
      </c>
      <c r="DJ27" s="126">
        <v>1</v>
      </c>
      <c r="DK27" s="126">
        <v>0</v>
      </c>
      <c r="DL27" s="83">
        <v>0</v>
      </c>
      <c r="DM27" s="82">
        <v>0</v>
      </c>
      <c r="DN27" s="81" t="s">
        <v>194</v>
      </c>
      <c r="DO27" s="126"/>
      <c r="DP27" s="126"/>
      <c r="DQ27" s="126"/>
      <c r="DR27" s="126"/>
      <c r="DS27" s="126"/>
      <c r="DT27" s="126"/>
      <c r="DU27" s="126"/>
      <c r="DV27" s="126"/>
      <c r="DW27" s="126"/>
      <c r="DX27" s="126"/>
      <c r="DY27" s="126"/>
      <c r="DZ27" s="126"/>
      <c r="EA27" s="126"/>
      <c r="EB27" s="126"/>
      <c r="EC27" s="126"/>
      <c r="EE27" s="11">
        <v>9</v>
      </c>
      <c r="EF27" s="11">
        <f>COUNTIF(EE37:EE107,EE27)</f>
        <v>6</v>
      </c>
      <c r="EG27" s="62">
        <f>EF27/EF32</f>
        <v>0.12</v>
      </c>
      <c r="EM27" s="11">
        <v>9</v>
      </c>
      <c r="EN27" s="11">
        <f>COUNTIF(EM37:EM107,EM27)</f>
        <v>2</v>
      </c>
      <c r="EO27" s="62">
        <f>EN27/EN32</f>
        <v>0.04</v>
      </c>
      <c r="EU27" s="11">
        <v>9</v>
      </c>
      <c r="EV27" s="11">
        <f>COUNTIF(EF37:EF107,EU27)</f>
        <v>4</v>
      </c>
      <c r="EW27" s="62">
        <f>EV27/EV32</f>
        <v>8.1632653061224483E-2</v>
      </c>
      <c r="EZ27" s="131">
        <v>7</v>
      </c>
      <c r="FB27" s="118"/>
      <c r="FC27" s="118"/>
      <c r="FD27" s="118"/>
      <c r="FE27" s="118"/>
      <c r="FF27" s="123"/>
    </row>
    <row r="28" spans="2:162" ht="17.25">
      <c r="B28" s="40"/>
      <c r="D28" s="90">
        <v>6</v>
      </c>
      <c r="E28" s="11">
        <f>COUNTIF(P36:P107,D28)</f>
        <v>1</v>
      </c>
      <c r="F28" s="91">
        <f>E28/E34</f>
        <v>1.9607843137254902E-2</v>
      </c>
      <c r="G28" s="90">
        <v>6</v>
      </c>
      <c r="H28" s="11">
        <f>COUNTIF(K36:K107,G28)</f>
        <v>4</v>
      </c>
      <c r="I28" s="91">
        <f>H28/H34</f>
        <v>7.8431372549019607E-2</v>
      </c>
      <c r="V28" s="56">
        <v>3</v>
      </c>
      <c r="W28" s="56">
        <v>4</v>
      </c>
      <c r="X28" s="56">
        <v>6</v>
      </c>
      <c r="Y28" s="56">
        <v>3</v>
      </c>
      <c r="Z28" s="56">
        <v>6</v>
      </c>
      <c r="AA28" s="56">
        <v>5</v>
      </c>
      <c r="AB28" s="81" t="s">
        <v>184</v>
      </c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1"/>
      <c r="AS28" s="56">
        <v>4</v>
      </c>
      <c r="AT28" s="56">
        <v>4</v>
      </c>
      <c r="AU28" s="56">
        <v>6</v>
      </c>
      <c r="AV28" s="56">
        <v>3</v>
      </c>
      <c r="AW28" s="56">
        <v>6</v>
      </c>
      <c r="AX28" s="56">
        <v>6</v>
      </c>
      <c r="AY28" s="56">
        <v>3</v>
      </c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8"/>
      <c r="BP28" s="11">
        <v>2</v>
      </c>
      <c r="BQ28" s="11">
        <f>COUNTIF(BQ36:BQ107,BP28)</f>
        <v>15</v>
      </c>
      <c r="BR28" s="62">
        <f>BQ28/BQ33</f>
        <v>0.29411764705882354</v>
      </c>
      <c r="BS28" s="79"/>
      <c r="BT28" s="79"/>
      <c r="BU28" s="11">
        <v>2</v>
      </c>
      <c r="BV28" s="11">
        <f>COUNTIF(BV36:BV107,BU28)</f>
        <v>13</v>
      </c>
      <c r="BW28" s="62">
        <f>BV28/BV33</f>
        <v>0.25490196078431371</v>
      </c>
      <c r="BX28" s="79"/>
      <c r="BY28" s="79"/>
      <c r="BZ28" s="79"/>
      <c r="CA28" s="79"/>
      <c r="CB28" s="79"/>
      <c r="CC28" s="79"/>
      <c r="CD28" s="134"/>
      <c r="CE28" s="134">
        <v>3</v>
      </c>
      <c r="CF28" s="134"/>
      <c r="CG28" s="134"/>
      <c r="CH28" s="134"/>
      <c r="CI28" s="134"/>
      <c r="CJ28" s="134"/>
      <c r="CK28" s="134">
        <v>2</v>
      </c>
      <c r="CL28" s="134"/>
      <c r="CM28" s="134"/>
      <c r="CN28" s="134"/>
      <c r="CO28" s="134"/>
      <c r="CP28" s="134"/>
      <c r="CQ28" s="134"/>
      <c r="CR28" s="134"/>
      <c r="CS28" s="134"/>
      <c r="CT28" s="134"/>
      <c r="CU28" s="134"/>
      <c r="CV28" s="134"/>
      <c r="CW28" s="134"/>
      <c r="CY28" s="11">
        <v>7</v>
      </c>
      <c r="CZ28" s="11">
        <f>COUNTIF(CY36:CY107,CY28)</f>
        <v>0</v>
      </c>
      <c r="DA28" s="62">
        <f>CZ28/CZ32</f>
        <v>0</v>
      </c>
      <c r="DC28" s="11">
        <v>7</v>
      </c>
      <c r="DD28" s="11">
        <f>COUNTIF(DC36:DC107,DC28)</f>
        <v>0</v>
      </c>
      <c r="DE28" s="62">
        <f>DD28/DD32</f>
        <v>0</v>
      </c>
      <c r="DI28" s="126">
        <v>1</v>
      </c>
      <c r="DJ28" s="126">
        <v>1</v>
      </c>
      <c r="DK28" s="126">
        <v>0</v>
      </c>
      <c r="DL28" s="126">
        <v>0</v>
      </c>
      <c r="DM28" s="83">
        <v>0</v>
      </c>
      <c r="DN28" s="82">
        <v>1</v>
      </c>
      <c r="DO28" s="81" t="s">
        <v>194</v>
      </c>
      <c r="DP28" s="126"/>
      <c r="DQ28" s="126"/>
      <c r="DR28" s="126"/>
      <c r="DS28" s="126"/>
      <c r="DT28" s="126"/>
      <c r="DU28" s="126"/>
      <c r="DV28" s="126"/>
      <c r="DW28" s="126"/>
      <c r="DX28" s="126"/>
      <c r="DY28" s="126"/>
      <c r="DZ28" s="126"/>
      <c r="EA28" s="126"/>
      <c r="EB28" s="126"/>
      <c r="EC28" s="126"/>
      <c r="EE28" s="11">
        <v>10</v>
      </c>
      <c r="EF28" s="11">
        <f>COUNTIF(EE37:EE107,EE28)</f>
        <v>4</v>
      </c>
      <c r="EG28" s="62">
        <f>EF28/EF32</f>
        <v>0.08</v>
      </c>
      <c r="EM28" s="11">
        <v>10</v>
      </c>
      <c r="EN28" s="11">
        <f>COUNTIF(EM37:EM107,EM28)</f>
        <v>0</v>
      </c>
      <c r="EO28" s="62">
        <f>EN28/EN32</f>
        <v>0</v>
      </c>
      <c r="EU28" s="11">
        <v>10</v>
      </c>
      <c r="EV28" s="11">
        <f>COUNTIF(EF36:EF79,EU28)</f>
        <v>3</v>
      </c>
      <c r="EW28" s="62">
        <f>EV28/EV32</f>
        <v>6.1224489795918366E-2</v>
      </c>
      <c r="EZ28" s="131">
        <v>11</v>
      </c>
      <c r="FB28" s="118"/>
      <c r="FC28" s="118"/>
      <c r="FD28" s="118"/>
      <c r="FE28" s="118"/>
      <c r="FF28" s="123"/>
    </row>
    <row r="29" spans="2:162" ht="17.25">
      <c r="B29" s="86"/>
      <c r="D29" s="90">
        <v>7</v>
      </c>
      <c r="E29" s="11">
        <f>COUNTIF(P36:P107,D29)</f>
        <v>0</v>
      </c>
      <c r="F29" s="91">
        <f>E29/E34</f>
        <v>0</v>
      </c>
      <c r="G29" s="90">
        <v>7</v>
      </c>
      <c r="H29" s="11">
        <f>COUNTIF(K36:K107,G29)</f>
        <v>0</v>
      </c>
      <c r="I29" s="91">
        <f>H29/H34</f>
        <v>0</v>
      </c>
      <c r="V29" s="56">
        <v>6</v>
      </c>
      <c r="W29" s="56">
        <v>1</v>
      </c>
      <c r="X29" s="56">
        <v>5</v>
      </c>
      <c r="Y29" s="56">
        <v>6</v>
      </c>
      <c r="Z29" s="56">
        <v>4</v>
      </c>
      <c r="AA29" s="56">
        <v>6</v>
      </c>
      <c r="AB29" s="82">
        <v>5</v>
      </c>
      <c r="AC29" s="81" t="s">
        <v>183</v>
      </c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1"/>
      <c r="AS29" s="56">
        <v>6</v>
      </c>
      <c r="AT29" s="56">
        <v>2</v>
      </c>
      <c r="AU29" s="56">
        <v>5</v>
      </c>
      <c r="AV29" s="56">
        <v>5</v>
      </c>
      <c r="AW29" s="56">
        <v>4</v>
      </c>
      <c r="AX29" s="56">
        <v>6</v>
      </c>
      <c r="AY29" s="56">
        <v>5</v>
      </c>
      <c r="AZ29" s="56">
        <v>4</v>
      </c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8"/>
      <c r="BP29" s="11">
        <v>3</v>
      </c>
      <c r="BQ29" s="11">
        <f>COUNTIF(BQ36:BQ107,BP29)</f>
        <v>5</v>
      </c>
      <c r="BR29" s="62">
        <f>BQ29/BQ33</f>
        <v>9.8039215686274508E-2</v>
      </c>
      <c r="BS29" s="79"/>
      <c r="BT29" s="79"/>
      <c r="BU29" s="11">
        <v>3</v>
      </c>
      <c r="BV29" s="11">
        <f>COUNTIF(BV36:BV107,BU29)</f>
        <v>8</v>
      </c>
      <c r="BW29" s="62">
        <f>BV29/BV33</f>
        <v>0.15686274509803921</v>
      </c>
      <c r="BX29" s="79"/>
      <c r="BY29" s="79"/>
      <c r="BZ29" s="79"/>
      <c r="CA29" s="79"/>
      <c r="CB29" s="79"/>
      <c r="CC29" s="79"/>
      <c r="CD29" s="134"/>
      <c r="CE29" s="134">
        <v>4</v>
      </c>
      <c r="CF29" s="134"/>
      <c r="CG29" s="134"/>
      <c r="CH29" s="134"/>
      <c r="CI29" s="134"/>
      <c r="CJ29" s="134"/>
      <c r="CK29" s="134">
        <v>1</v>
      </c>
      <c r="CL29" s="134">
        <v>1</v>
      </c>
      <c r="CM29" s="134"/>
      <c r="CN29" s="134"/>
      <c r="CO29" s="134"/>
      <c r="CP29" s="134"/>
      <c r="CQ29" s="134"/>
      <c r="CR29" s="134"/>
      <c r="CS29" s="134"/>
      <c r="CT29" s="134"/>
      <c r="CU29" s="134"/>
      <c r="CV29" s="134"/>
      <c r="CW29" s="134"/>
      <c r="CY29" s="11">
        <v>8</v>
      </c>
      <c r="CZ29" s="11">
        <f>COUNTIF(CY36:CY107,CY29)</f>
        <v>0</v>
      </c>
      <c r="DA29" s="62">
        <f>CZ29/CZ32</f>
        <v>0</v>
      </c>
      <c r="DC29" s="11">
        <v>8</v>
      </c>
      <c r="DD29" s="11">
        <f>COUNTIF(DC36:DC107,DC29)</f>
        <v>0</v>
      </c>
      <c r="DE29" s="62">
        <f>DD29/DD32</f>
        <v>0</v>
      </c>
      <c r="DI29" s="126">
        <v>0</v>
      </c>
      <c r="DJ29" s="126">
        <v>2</v>
      </c>
      <c r="DK29" s="126">
        <v>0</v>
      </c>
      <c r="DL29" s="126">
        <v>0</v>
      </c>
      <c r="DM29" s="126">
        <v>0</v>
      </c>
      <c r="DN29" s="83">
        <v>0</v>
      </c>
      <c r="DO29" s="82">
        <v>0</v>
      </c>
      <c r="DP29" s="126">
        <v>0</v>
      </c>
      <c r="DQ29" s="126"/>
      <c r="DR29" s="126"/>
      <c r="DS29" s="126"/>
      <c r="DT29" s="126"/>
      <c r="DU29" s="126"/>
      <c r="DV29" s="126"/>
      <c r="DW29" s="126"/>
      <c r="DX29" s="126"/>
      <c r="DY29" s="126"/>
      <c r="DZ29" s="126"/>
      <c r="EA29" s="126"/>
      <c r="EB29" s="126"/>
      <c r="EC29" s="126"/>
      <c r="EE29" s="11">
        <v>11</v>
      </c>
      <c r="EF29" s="11">
        <f>COUNTIF(EE37:EE107,EE29)</f>
        <v>2</v>
      </c>
      <c r="EG29" s="62">
        <f>EF29/EF32</f>
        <v>0.04</v>
      </c>
      <c r="EM29" s="11">
        <v>11</v>
      </c>
      <c r="EN29" s="11">
        <f>COUNTIF(EM37:EM107,EM29)</f>
        <v>1</v>
      </c>
      <c r="EO29" s="62">
        <f>EN29/EN32</f>
        <v>0.02</v>
      </c>
      <c r="EU29" s="11">
        <v>11</v>
      </c>
      <c r="EV29" s="11">
        <f>COUNTIF(EF37:EF107,EU29)</f>
        <v>1</v>
      </c>
      <c r="EW29" s="62">
        <f>EV29/EV32</f>
        <v>2.0408163265306121E-2</v>
      </c>
      <c r="EZ29" s="131">
        <v>12</v>
      </c>
      <c r="FB29" s="118"/>
      <c r="FC29" s="118"/>
      <c r="FD29" s="118"/>
      <c r="FE29" s="118"/>
      <c r="FF29" s="123"/>
    </row>
    <row r="30" spans="2:162" ht="17.25">
      <c r="B30" s="40"/>
      <c r="D30" s="90">
        <v>8</v>
      </c>
      <c r="E30" s="11">
        <f>COUNTIF(P36:P107,D30)</f>
        <v>1</v>
      </c>
      <c r="F30" s="91">
        <f>E30/E34</f>
        <v>1.9607843137254902E-2</v>
      </c>
      <c r="G30" s="90">
        <v>8</v>
      </c>
      <c r="H30" s="11">
        <f>COUNTIF(K36:K107,G30)</f>
        <v>1</v>
      </c>
      <c r="I30" s="91">
        <f>H30/H34</f>
        <v>1.9607843137254902E-2</v>
      </c>
      <c r="V30" s="56">
        <v>4</v>
      </c>
      <c r="W30" s="56">
        <v>2</v>
      </c>
      <c r="X30" s="56">
        <v>2</v>
      </c>
      <c r="Y30" s="56">
        <v>5</v>
      </c>
      <c r="Z30" s="56">
        <v>5</v>
      </c>
      <c r="AA30" s="56">
        <v>5</v>
      </c>
      <c r="AB30" s="83">
        <v>3</v>
      </c>
      <c r="AC30" s="82">
        <v>6</v>
      </c>
      <c r="AD30" s="56">
        <v>5</v>
      </c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1"/>
      <c r="AS30" s="56">
        <v>4</v>
      </c>
      <c r="AT30" s="56">
        <v>1</v>
      </c>
      <c r="AU30" s="56">
        <v>3</v>
      </c>
      <c r="AV30" s="56">
        <v>5</v>
      </c>
      <c r="AW30" s="56">
        <v>5</v>
      </c>
      <c r="AX30" s="56">
        <v>4</v>
      </c>
      <c r="AY30" s="56">
        <v>4</v>
      </c>
      <c r="AZ30" s="56">
        <v>5</v>
      </c>
      <c r="BA30" s="56">
        <v>6</v>
      </c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8"/>
      <c r="BP30" s="11">
        <v>4</v>
      </c>
      <c r="BQ30" s="11">
        <f>COUNTIF(BQ36:BQ107,BP30)</f>
        <v>9</v>
      </c>
      <c r="BR30" s="62">
        <f>BQ30/BQ33</f>
        <v>0.17647058823529413</v>
      </c>
      <c r="BS30" s="79"/>
      <c r="BT30" s="79"/>
      <c r="BU30" s="11">
        <v>4</v>
      </c>
      <c r="BV30" s="11">
        <f>COUNTIF(BV36:BV107,BU30)</f>
        <v>5</v>
      </c>
      <c r="BW30" s="62">
        <f>BV30/BV33</f>
        <v>9.8039215686274508E-2</v>
      </c>
      <c r="BX30" s="79"/>
      <c r="BY30" s="79"/>
      <c r="BZ30" s="79"/>
      <c r="CA30" s="79"/>
      <c r="CB30" s="79"/>
      <c r="CC30" s="79"/>
      <c r="CD30" s="134"/>
      <c r="CE30" s="134">
        <v>2</v>
      </c>
      <c r="CF30" s="134"/>
      <c r="CG30" s="134"/>
      <c r="CH30" s="134"/>
      <c r="CI30" s="134"/>
      <c r="CJ30" s="134"/>
      <c r="CK30" s="134">
        <v>1</v>
      </c>
      <c r="CL30" s="134">
        <v>1</v>
      </c>
      <c r="CM30" s="134">
        <v>4</v>
      </c>
      <c r="CN30" s="134"/>
      <c r="CO30" s="134"/>
      <c r="CP30" s="134"/>
      <c r="CQ30" s="134"/>
      <c r="CR30" s="134"/>
      <c r="CS30" s="134"/>
      <c r="CT30" s="134"/>
      <c r="CU30" s="134"/>
      <c r="CV30" s="134"/>
      <c r="CW30" s="134"/>
      <c r="CY30" s="11">
        <v>9</v>
      </c>
      <c r="CZ30" s="11">
        <f>COUNTIF(CY36:CY107,CY30)</f>
        <v>0</v>
      </c>
      <c r="DA30" s="62">
        <f>CZ30/CZ32</f>
        <v>0</v>
      </c>
      <c r="DC30" s="11">
        <v>9</v>
      </c>
      <c r="DD30" s="11">
        <f>COUNTIF(DC36:DC107,DC30)</f>
        <v>0</v>
      </c>
      <c r="DE30" s="62">
        <f>DD30/DD32</f>
        <v>0</v>
      </c>
      <c r="DI30" s="126">
        <v>0</v>
      </c>
      <c r="DJ30" s="126">
        <v>0</v>
      </c>
      <c r="DK30" s="126">
        <v>1</v>
      </c>
      <c r="DL30" s="126">
        <v>1</v>
      </c>
      <c r="DM30" s="126">
        <v>0</v>
      </c>
      <c r="DN30" s="126">
        <v>0</v>
      </c>
      <c r="DO30" s="83">
        <v>1</v>
      </c>
      <c r="DP30" s="82">
        <v>0</v>
      </c>
      <c r="DQ30" s="81" t="s">
        <v>194</v>
      </c>
      <c r="DR30" s="126"/>
      <c r="DS30" s="126"/>
      <c r="DT30" s="126"/>
      <c r="DU30" s="126"/>
      <c r="DV30" s="126"/>
      <c r="DW30" s="126"/>
      <c r="DX30" s="126"/>
      <c r="DY30" s="126"/>
      <c r="DZ30" s="126"/>
      <c r="EA30" s="126"/>
      <c r="EB30" s="126"/>
      <c r="EC30" s="126"/>
      <c r="EE30" s="11">
        <v>12</v>
      </c>
      <c r="EF30" s="11">
        <f>COUNTIF(EE37:EE107,EE30)</f>
        <v>1</v>
      </c>
      <c r="EG30" s="62">
        <f>EF30/EF32</f>
        <v>0.02</v>
      </c>
      <c r="EM30" s="11">
        <v>12</v>
      </c>
      <c r="EN30" s="11">
        <f>COUNTIF(EM37:EM107,EM30)</f>
        <v>0</v>
      </c>
      <c r="EO30" s="62">
        <f>EN30/EN32</f>
        <v>0</v>
      </c>
      <c r="EU30" s="11">
        <v>12</v>
      </c>
      <c r="EV30" s="11">
        <f>COUNTIF(EF37:EF107,EU30)</f>
        <v>0</v>
      </c>
      <c r="EW30" s="62">
        <f>EV30/EV32</f>
        <v>0</v>
      </c>
      <c r="EZ30" s="131">
        <v>13</v>
      </c>
      <c r="FB30" s="118"/>
      <c r="FC30" s="118"/>
      <c r="FD30" s="118"/>
      <c r="FE30" s="118"/>
      <c r="FF30" s="123"/>
    </row>
    <row r="31" spans="2:162" ht="17.25">
      <c r="B31" s="40"/>
      <c r="D31" s="90">
        <v>9</v>
      </c>
      <c r="E31" s="11">
        <f>COUNTIF(P36:P107,D31)</f>
        <v>0</v>
      </c>
      <c r="F31" s="91">
        <f>E31/E34</f>
        <v>0</v>
      </c>
      <c r="G31" s="90">
        <v>9</v>
      </c>
      <c r="H31" s="11">
        <f>COUNTIF(K36:K107,G31)</f>
        <v>0</v>
      </c>
      <c r="I31" s="91">
        <f>H31/H34</f>
        <v>0</v>
      </c>
      <c r="V31" s="56">
        <v>6</v>
      </c>
      <c r="W31" s="56">
        <v>5</v>
      </c>
      <c r="X31" s="56">
        <v>6</v>
      </c>
      <c r="Y31" s="56">
        <v>4</v>
      </c>
      <c r="Z31" s="56">
        <v>4</v>
      </c>
      <c r="AA31" s="56">
        <v>6</v>
      </c>
      <c r="AB31" s="14">
        <v>5</v>
      </c>
      <c r="AC31" s="83">
        <v>5</v>
      </c>
      <c r="AD31" s="56">
        <v>4</v>
      </c>
      <c r="AE31" s="56">
        <v>3</v>
      </c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1"/>
      <c r="AS31" s="56">
        <v>6</v>
      </c>
      <c r="AT31" s="56">
        <v>5</v>
      </c>
      <c r="AU31" s="56">
        <v>6</v>
      </c>
      <c r="AV31" s="56">
        <v>6</v>
      </c>
      <c r="AW31" s="56">
        <v>4</v>
      </c>
      <c r="AX31" s="56">
        <v>5</v>
      </c>
      <c r="AY31" s="56">
        <v>4</v>
      </c>
      <c r="AZ31" s="56">
        <v>5</v>
      </c>
      <c r="BA31" s="56">
        <v>4</v>
      </c>
      <c r="BB31" s="56">
        <v>4</v>
      </c>
      <c r="BC31" s="12"/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8"/>
      <c r="BP31" s="11">
        <v>5</v>
      </c>
      <c r="BQ31" s="11">
        <f>COUNTIF(BQ36:BQ107,BP31)</f>
        <v>3</v>
      </c>
      <c r="BR31" s="62">
        <f>BQ31/BQ33</f>
        <v>5.8823529411764705E-2</v>
      </c>
      <c r="BS31" s="79"/>
      <c r="BT31" s="79"/>
      <c r="BU31" s="11">
        <v>5</v>
      </c>
      <c r="BV31" s="11">
        <f>COUNTIF(BV36:BV107,BU31)</f>
        <v>1</v>
      </c>
      <c r="BW31" s="62">
        <f>BV31/BV33</f>
        <v>1.9607843137254902E-2</v>
      </c>
      <c r="BX31" s="79"/>
      <c r="BY31" s="79"/>
      <c r="BZ31" s="79"/>
      <c r="CA31" s="79"/>
      <c r="CB31" s="79"/>
      <c r="CC31" s="79"/>
      <c r="CD31" s="134"/>
      <c r="CE31" s="134">
        <v>2</v>
      </c>
      <c r="CF31" s="134"/>
      <c r="CG31" s="134"/>
      <c r="CH31" s="134"/>
      <c r="CI31" s="134"/>
      <c r="CJ31" s="134"/>
      <c r="CK31" s="134">
        <v>3</v>
      </c>
      <c r="CL31" s="134">
        <v>1</v>
      </c>
      <c r="CM31" s="134">
        <v>1</v>
      </c>
      <c r="CN31" s="134">
        <v>1</v>
      </c>
      <c r="CO31" s="134"/>
      <c r="CP31" s="134"/>
      <c r="CQ31" s="134"/>
      <c r="CR31" s="134"/>
      <c r="CS31" s="134"/>
      <c r="CT31" s="134"/>
      <c r="CU31" s="134"/>
      <c r="CV31" s="134"/>
      <c r="CW31" s="134"/>
      <c r="CY31" s="11">
        <v>10</v>
      </c>
      <c r="CZ31" s="11">
        <f>COUNTIF(CY36:CY107,CY31)</f>
        <v>0</v>
      </c>
      <c r="DA31" s="62">
        <f>CZ31/CZ32</f>
        <v>0</v>
      </c>
      <c r="DC31" s="11">
        <v>10</v>
      </c>
      <c r="DD31" s="11">
        <f>COUNTIF(DC36:DC107,DC31)</f>
        <v>0</v>
      </c>
      <c r="DE31" s="62">
        <f>DD31/DD32</f>
        <v>0</v>
      </c>
      <c r="DI31" s="126">
        <v>0</v>
      </c>
      <c r="DJ31" s="126">
        <v>0</v>
      </c>
      <c r="DK31" s="126">
        <v>0</v>
      </c>
      <c r="DL31" s="126">
        <v>2</v>
      </c>
      <c r="DM31" s="126">
        <v>0</v>
      </c>
      <c r="DN31" s="126">
        <v>0</v>
      </c>
      <c r="DO31" s="126">
        <v>0</v>
      </c>
      <c r="DP31" s="83">
        <v>1</v>
      </c>
      <c r="DQ31" s="82">
        <v>0</v>
      </c>
      <c r="DR31" s="81" t="s">
        <v>194</v>
      </c>
      <c r="DS31" s="126"/>
      <c r="DT31" s="126"/>
      <c r="DU31" s="126"/>
      <c r="DV31" s="126"/>
      <c r="DW31" s="126"/>
      <c r="DX31" s="126"/>
      <c r="DY31" s="126"/>
      <c r="DZ31" s="126"/>
      <c r="EA31" s="126"/>
      <c r="EB31" s="126"/>
      <c r="EC31" s="126"/>
      <c r="EE31" s="11">
        <v>13</v>
      </c>
      <c r="EF31" s="11">
        <f>COUNTIF(EE37:EE107,EE31)</f>
        <v>1</v>
      </c>
      <c r="EG31" s="62">
        <f>EF31/EF32</f>
        <v>0.02</v>
      </c>
      <c r="EM31" s="11">
        <v>13</v>
      </c>
      <c r="EN31" s="11">
        <f>COUNTIF(EM37:EM107,EM31)</f>
        <v>0</v>
      </c>
      <c r="EO31" s="62">
        <f>EN31/EN32</f>
        <v>0</v>
      </c>
      <c r="EU31" s="11">
        <v>13</v>
      </c>
      <c r="EV31" s="11">
        <f>COUNTIF(EF37:EF107,EU31)</f>
        <v>0</v>
      </c>
      <c r="EW31" s="62">
        <f>EV31/EV32</f>
        <v>0</v>
      </c>
      <c r="EZ31" s="131">
        <v>15</v>
      </c>
      <c r="FB31" s="118"/>
      <c r="FC31" s="118"/>
      <c r="FD31" s="118"/>
      <c r="FE31" s="118"/>
      <c r="FF31" s="123"/>
    </row>
    <row r="32" spans="2:162" ht="17.25">
      <c r="B32" s="40"/>
      <c r="D32" s="90">
        <v>10</v>
      </c>
      <c r="E32" s="11">
        <f>COUNTIF(P36:P107,D32)</f>
        <v>0</v>
      </c>
      <c r="F32" s="91">
        <f>E32/E34</f>
        <v>0</v>
      </c>
      <c r="G32" s="90">
        <v>10</v>
      </c>
      <c r="H32" s="11">
        <f>COUNTIF(K36:K107,G32)</f>
        <v>0</v>
      </c>
      <c r="I32" s="91">
        <f>H32/H34</f>
        <v>0</v>
      </c>
      <c r="V32" s="56">
        <v>4</v>
      </c>
      <c r="W32" s="56">
        <v>6</v>
      </c>
      <c r="X32" s="56">
        <v>4</v>
      </c>
      <c r="Y32" s="56">
        <v>6</v>
      </c>
      <c r="Z32" s="56">
        <v>4</v>
      </c>
      <c r="AA32" s="56">
        <v>4</v>
      </c>
      <c r="AB32" s="14">
        <v>6</v>
      </c>
      <c r="AC32" s="14">
        <v>6</v>
      </c>
      <c r="AD32" s="56">
        <v>6</v>
      </c>
      <c r="AE32" s="56">
        <v>4</v>
      </c>
      <c r="AF32" s="56">
        <v>5</v>
      </c>
      <c r="AG32" s="14"/>
      <c r="AH32" s="14"/>
      <c r="AI32" s="14"/>
      <c r="AJ32" s="14"/>
      <c r="AK32" s="14"/>
      <c r="AL32" s="14"/>
      <c r="AM32" s="14"/>
      <c r="AN32" s="14"/>
      <c r="AO32" s="14"/>
      <c r="AP32" s="11"/>
      <c r="AS32" s="56">
        <v>4</v>
      </c>
      <c r="AT32" s="56">
        <v>6</v>
      </c>
      <c r="AU32" s="56">
        <v>4</v>
      </c>
      <c r="AV32" s="56">
        <v>6</v>
      </c>
      <c r="AW32" s="56">
        <v>4</v>
      </c>
      <c r="AX32" s="56">
        <v>5</v>
      </c>
      <c r="AY32" s="56">
        <v>5</v>
      </c>
      <c r="AZ32" s="56">
        <v>5</v>
      </c>
      <c r="BA32" s="56">
        <v>6</v>
      </c>
      <c r="BB32" s="56">
        <v>4</v>
      </c>
      <c r="BC32" s="56">
        <v>5</v>
      </c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8"/>
      <c r="BP32" s="11">
        <v>6</v>
      </c>
      <c r="BQ32" s="11">
        <f>COUNTIF(BQ36:BQ107,BP32)</f>
        <v>0</v>
      </c>
      <c r="BR32" s="62">
        <f>BQ32/BQ33</f>
        <v>0</v>
      </c>
      <c r="BS32" s="79"/>
      <c r="BT32" s="79"/>
      <c r="BU32" s="11">
        <v>6</v>
      </c>
      <c r="BV32" s="11">
        <f>COUNTIF(BV36:BV107,BU32)</f>
        <v>0</v>
      </c>
      <c r="BW32" s="62">
        <f>BV32/BV33</f>
        <v>0</v>
      </c>
      <c r="BX32" s="79"/>
      <c r="BY32" s="79"/>
      <c r="BZ32" s="79"/>
      <c r="CA32" s="79"/>
      <c r="CB32" s="79"/>
      <c r="CC32" s="79"/>
      <c r="CD32" s="134"/>
      <c r="CE32" s="134">
        <v>4</v>
      </c>
      <c r="CF32" s="134"/>
      <c r="CG32" s="134"/>
      <c r="CH32" s="134"/>
      <c r="CI32" s="134"/>
      <c r="CJ32" s="134"/>
      <c r="CK32" s="134">
        <v>1</v>
      </c>
      <c r="CL32" s="134">
        <v>0</v>
      </c>
      <c r="CM32" s="134">
        <v>3</v>
      </c>
      <c r="CN32" s="134">
        <v>3</v>
      </c>
      <c r="CO32" s="134">
        <v>2</v>
      </c>
      <c r="CP32" s="134"/>
      <c r="CQ32" s="134"/>
      <c r="CR32" s="134"/>
      <c r="CS32" s="134"/>
      <c r="CT32" s="134"/>
      <c r="CU32" s="134"/>
      <c r="CV32" s="134"/>
      <c r="CW32" s="134"/>
      <c r="CY32" s="11"/>
      <c r="CZ32" s="11">
        <f>SUM(CZ21:CZ27)</f>
        <v>48</v>
      </c>
      <c r="DA32" s="62">
        <f>CZ32/CZ32</f>
        <v>1</v>
      </c>
      <c r="DC32" s="11"/>
      <c r="DD32" s="11">
        <f>SUM(DD21:DD27)</f>
        <v>48</v>
      </c>
      <c r="DE32" s="62">
        <f>DD32/DD32</f>
        <v>1</v>
      </c>
      <c r="DI32" s="126">
        <v>0</v>
      </c>
      <c r="DJ32" s="126">
        <v>0</v>
      </c>
      <c r="DK32" s="126">
        <v>0</v>
      </c>
      <c r="DL32" s="126">
        <v>0</v>
      </c>
      <c r="DM32" s="126">
        <v>1</v>
      </c>
      <c r="DN32" s="126">
        <v>1</v>
      </c>
      <c r="DO32" s="126">
        <v>0</v>
      </c>
      <c r="DP32" s="126">
        <v>0</v>
      </c>
      <c r="DQ32" s="83">
        <v>0</v>
      </c>
      <c r="DR32" s="82">
        <v>0</v>
      </c>
      <c r="DS32" s="81" t="s">
        <v>192</v>
      </c>
      <c r="DT32" s="126"/>
      <c r="DU32" s="126"/>
      <c r="DV32" s="126"/>
      <c r="DW32" s="126"/>
      <c r="DX32" s="126"/>
      <c r="DY32" s="126"/>
      <c r="DZ32" s="126"/>
      <c r="EA32" s="126"/>
      <c r="EB32" s="126"/>
      <c r="EC32" s="126"/>
      <c r="EE32" s="11"/>
      <c r="EF32" s="11">
        <f>SUM(EF18:EF31)</f>
        <v>50</v>
      </c>
      <c r="EG32" s="62">
        <f>EF32/EF32</f>
        <v>1</v>
      </c>
      <c r="EM32" s="11"/>
      <c r="EN32" s="11">
        <f>SUM(EN18:EN31)</f>
        <v>50</v>
      </c>
      <c r="EO32" s="62">
        <f>EN32/EN32</f>
        <v>1</v>
      </c>
      <c r="EU32" s="11"/>
      <c r="EV32" s="11">
        <f>SUM(EV18:EV31)</f>
        <v>49</v>
      </c>
      <c r="EW32" s="62">
        <f>EV32/EV32</f>
        <v>1</v>
      </c>
      <c r="EZ32" s="131">
        <v>17</v>
      </c>
      <c r="FB32" s="118"/>
      <c r="FC32" s="118"/>
      <c r="FD32" s="118"/>
      <c r="FE32" s="118"/>
      <c r="FF32" s="123"/>
    </row>
    <row r="33" spans="2:162" ht="18" thickBot="1">
      <c r="B33" s="86"/>
      <c r="D33" s="90">
        <v>11</v>
      </c>
      <c r="E33" s="11">
        <f>COUNTIF(P36:P107,D33)</f>
        <v>0</v>
      </c>
      <c r="F33" s="91">
        <f>E33/E34</f>
        <v>0</v>
      </c>
      <c r="G33" s="90">
        <v>11</v>
      </c>
      <c r="H33" s="11">
        <f>COUNTIF(K36:K107,G33)</f>
        <v>0</v>
      </c>
      <c r="I33" s="91">
        <f>H33/H34</f>
        <v>0</v>
      </c>
      <c r="V33" s="56">
        <v>3</v>
      </c>
      <c r="W33" s="56">
        <v>6</v>
      </c>
      <c r="X33" s="56">
        <v>5</v>
      </c>
      <c r="Y33" s="56">
        <v>6</v>
      </c>
      <c r="Z33" s="56">
        <v>5</v>
      </c>
      <c r="AA33" s="56">
        <v>6</v>
      </c>
      <c r="AB33" s="14">
        <v>5</v>
      </c>
      <c r="AC33" s="14">
        <v>5</v>
      </c>
      <c r="AD33" s="56">
        <v>5</v>
      </c>
      <c r="AE33" s="56">
        <v>3</v>
      </c>
      <c r="AF33" s="56">
        <v>5</v>
      </c>
      <c r="AG33" s="56">
        <v>3</v>
      </c>
      <c r="AH33" s="14"/>
      <c r="AI33" s="14"/>
      <c r="AJ33" s="14"/>
      <c r="AK33" s="14"/>
      <c r="AL33" s="14"/>
      <c r="AM33" s="14"/>
      <c r="AN33" s="14"/>
      <c r="AO33" s="14"/>
      <c r="AP33" s="11"/>
      <c r="AS33" s="78">
        <v>4</v>
      </c>
      <c r="AT33" s="56">
        <v>6</v>
      </c>
      <c r="AU33" s="56">
        <v>6</v>
      </c>
      <c r="AV33" s="56">
        <v>6</v>
      </c>
      <c r="AW33" s="56">
        <v>5</v>
      </c>
      <c r="AX33" s="56">
        <v>6</v>
      </c>
      <c r="AY33" s="56">
        <v>4</v>
      </c>
      <c r="AZ33" s="56">
        <v>5</v>
      </c>
      <c r="BA33" s="56">
        <v>5</v>
      </c>
      <c r="BB33" s="56">
        <v>4</v>
      </c>
      <c r="BC33" s="56">
        <v>5</v>
      </c>
      <c r="BD33" s="56">
        <v>3</v>
      </c>
      <c r="BE33" s="12"/>
      <c r="BF33" s="12"/>
      <c r="BG33" s="12"/>
      <c r="BH33" s="12"/>
      <c r="BI33" s="12"/>
      <c r="BJ33" s="12"/>
      <c r="BK33" s="12"/>
      <c r="BL33" s="12"/>
      <c r="BM33" s="12"/>
      <c r="BN33" s="18"/>
      <c r="BP33" s="13"/>
      <c r="BQ33" s="13">
        <f>SUM(BQ26:BQ32)</f>
        <v>51</v>
      </c>
      <c r="BR33" s="101">
        <f>BQ33/BQ33</f>
        <v>1</v>
      </c>
      <c r="BS33" s="79"/>
      <c r="BT33" s="79"/>
      <c r="BU33" s="13"/>
      <c r="BV33" s="13">
        <f>SUM(BV26:BV32)</f>
        <v>51</v>
      </c>
      <c r="BW33" s="101">
        <f>BV33/BV33</f>
        <v>1</v>
      </c>
      <c r="BX33" s="79"/>
      <c r="BY33" s="79"/>
      <c r="BZ33" s="79"/>
      <c r="CA33" s="79"/>
      <c r="CB33" s="79"/>
      <c r="CC33" s="79"/>
      <c r="CD33" s="134"/>
      <c r="CE33" s="134">
        <v>3</v>
      </c>
      <c r="CF33" s="134"/>
      <c r="CG33" s="134"/>
      <c r="CH33" s="134"/>
      <c r="CI33" s="134"/>
      <c r="CJ33" s="134"/>
      <c r="CK33" s="134">
        <v>4</v>
      </c>
      <c r="CL33" s="134">
        <v>3</v>
      </c>
      <c r="CM33" s="134">
        <v>3</v>
      </c>
      <c r="CN33" s="134">
        <v>3</v>
      </c>
      <c r="CO33" s="134">
        <v>1</v>
      </c>
      <c r="CP33" s="134">
        <v>3</v>
      </c>
      <c r="CQ33" s="134"/>
      <c r="CR33" s="134"/>
      <c r="CS33" s="134"/>
      <c r="CT33" s="134"/>
      <c r="CU33" s="134"/>
      <c r="CV33" s="134"/>
      <c r="CW33" s="134"/>
      <c r="DI33" s="126">
        <v>1</v>
      </c>
      <c r="DJ33" s="126">
        <v>0</v>
      </c>
      <c r="DK33" s="126">
        <v>1</v>
      </c>
      <c r="DL33" s="126">
        <v>0</v>
      </c>
      <c r="DM33" s="126">
        <v>0</v>
      </c>
      <c r="DN33" s="126">
        <v>0</v>
      </c>
      <c r="DO33" s="126">
        <v>0</v>
      </c>
      <c r="DP33" s="126">
        <v>0</v>
      </c>
      <c r="DQ33" s="126">
        <v>0</v>
      </c>
      <c r="DR33" s="83">
        <v>1</v>
      </c>
      <c r="DS33" s="82">
        <v>0</v>
      </c>
      <c r="DT33" s="81" t="s">
        <v>192</v>
      </c>
      <c r="DU33" s="126"/>
      <c r="DV33" s="126"/>
      <c r="DW33" s="126"/>
      <c r="DX33" s="126"/>
      <c r="DY33" s="126"/>
      <c r="DZ33" s="126"/>
      <c r="EA33" s="126"/>
      <c r="EB33" s="126"/>
      <c r="EC33" s="126"/>
      <c r="EZ33" s="131">
        <v>18</v>
      </c>
      <c r="FB33" s="118"/>
      <c r="FC33" s="118"/>
      <c r="FD33" s="118"/>
      <c r="FE33" s="118"/>
      <c r="FF33" s="123"/>
    </row>
    <row r="34" spans="2:162" ht="18" thickBot="1">
      <c r="B34" s="86"/>
      <c r="D34" s="92"/>
      <c r="E34" s="96">
        <f>SUM(E22:E33)</f>
        <v>51</v>
      </c>
      <c r="F34" s="93">
        <f>E34/E34</f>
        <v>1</v>
      </c>
      <c r="G34" s="92"/>
      <c r="H34" s="96">
        <f>SUM(H22:H33)</f>
        <v>51</v>
      </c>
      <c r="I34" s="93">
        <f>H34/H34</f>
        <v>1</v>
      </c>
      <c r="K34" s="620" t="s">
        <v>217</v>
      </c>
      <c r="L34" s="621"/>
      <c r="M34" s="621"/>
      <c r="N34" s="621"/>
      <c r="O34" s="622"/>
      <c r="P34" s="623" t="s">
        <v>220</v>
      </c>
      <c r="Q34" s="624"/>
      <c r="R34" s="624"/>
      <c r="S34" s="624"/>
      <c r="T34" s="625"/>
      <c r="V34" s="56">
        <v>5</v>
      </c>
      <c r="W34" s="56">
        <v>5</v>
      </c>
      <c r="X34" s="56">
        <v>6</v>
      </c>
      <c r="Y34" s="56">
        <v>6</v>
      </c>
      <c r="Z34" s="56">
        <v>5</v>
      </c>
      <c r="AA34" s="56">
        <v>5</v>
      </c>
      <c r="AB34" s="14">
        <v>4</v>
      </c>
      <c r="AC34" s="14">
        <v>5</v>
      </c>
      <c r="AD34" s="56">
        <v>3</v>
      </c>
      <c r="AE34" s="56">
        <v>3</v>
      </c>
      <c r="AF34" s="56">
        <v>6</v>
      </c>
      <c r="AG34" s="56">
        <v>4</v>
      </c>
      <c r="AH34" s="14">
        <v>6</v>
      </c>
      <c r="AI34" s="14"/>
      <c r="AJ34" s="14"/>
      <c r="AK34" s="14"/>
      <c r="AL34" s="14"/>
      <c r="AM34" s="14"/>
      <c r="AN34" s="14"/>
      <c r="AO34" s="14"/>
      <c r="AP34" s="11"/>
      <c r="AS34" s="56">
        <v>5</v>
      </c>
      <c r="AT34" s="56">
        <v>6</v>
      </c>
      <c r="AU34" s="56">
        <v>5</v>
      </c>
      <c r="AV34" s="56">
        <v>5</v>
      </c>
      <c r="AW34" s="56">
        <v>4</v>
      </c>
      <c r="AX34" s="56">
        <v>4</v>
      </c>
      <c r="AY34" s="56">
        <v>5</v>
      </c>
      <c r="AZ34" s="56">
        <v>4</v>
      </c>
      <c r="BA34" s="56">
        <v>4</v>
      </c>
      <c r="BB34" s="56">
        <v>5</v>
      </c>
      <c r="BC34" s="56">
        <v>6</v>
      </c>
      <c r="BD34" s="56">
        <v>5</v>
      </c>
      <c r="BE34" s="56">
        <v>6</v>
      </c>
      <c r="BF34" s="12"/>
      <c r="BG34" s="12"/>
      <c r="BH34" s="12"/>
      <c r="BI34" s="12"/>
      <c r="BJ34" s="12"/>
      <c r="BK34" s="12"/>
      <c r="BL34" s="12"/>
      <c r="BM34" s="12"/>
      <c r="BN34" s="18"/>
      <c r="BP34" s="626" t="s">
        <v>216</v>
      </c>
      <c r="BQ34" s="627" t="s">
        <v>288</v>
      </c>
      <c r="BR34" s="627"/>
      <c r="BS34" s="627"/>
      <c r="BT34" s="627"/>
      <c r="BU34" s="626" t="s">
        <v>216</v>
      </c>
      <c r="BV34" s="627" t="s">
        <v>289</v>
      </c>
      <c r="BW34" s="627"/>
      <c r="BX34" s="627"/>
      <c r="BY34" s="627"/>
      <c r="CD34" s="134"/>
      <c r="CE34" s="45">
        <v>1</v>
      </c>
      <c r="CF34" s="134"/>
      <c r="CG34" s="134"/>
      <c r="CH34" s="134"/>
      <c r="CI34" s="134"/>
      <c r="CJ34" s="134"/>
      <c r="CK34" s="134">
        <v>2</v>
      </c>
      <c r="CL34" s="134">
        <v>2</v>
      </c>
      <c r="CM34" s="134">
        <v>1</v>
      </c>
      <c r="CN34" s="134">
        <v>3</v>
      </c>
      <c r="CO34" s="134">
        <v>2</v>
      </c>
      <c r="CP34" s="134">
        <v>2</v>
      </c>
      <c r="CQ34" s="134">
        <v>2</v>
      </c>
      <c r="CR34" s="134">
        <v>1</v>
      </c>
      <c r="CS34" s="134"/>
      <c r="CT34" s="134"/>
      <c r="CU34" s="134"/>
      <c r="CV34" s="134"/>
      <c r="CW34" s="134"/>
      <c r="CY34" s="627" t="s">
        <v>222</v>
      </c>
      <c r="CZ34" s="627"/>
      <c r="DA34" s="627"/>
      <c r="DB34" s="627"/>
      <c r="DC34" s="627" t="s">
        <v>223</v>
      </c>
      <c r="DD34" s="627"/>
      <c r="DE34" s="627"/>
      <c r="DF34" s="627"/>
      <c r="DI34" s="126">
        <v>1</v>
      </c>
      <c r="DJ34" s="126">
        <v>1</v>
      </c>
      <c r="DK34" s="126">
        <v>0</v>
      </c>
      <c r="DL34" s="126">
        <v>0</v>
      </c>
      <c r="DM34" s="126">
        <v>0</v>
      </c>
      <c r="DN34" s="126">
        <v>0</v>
      </c>
      <c r="DO34" s="126">
        <v>1</v>
      </c>
      <c r="DP34" s="126">
        <v>0</v>
      </c>
      <c r="DQ34" s="126">
        <v>0</v>
      </c>
      <c r="DR34" s="126">
        <v>2</v>
      </c>
      <c r="DS34" s="83">
        <v>0</v>
      </c>
      <c r="DT34" s="82">
        <v>1</v>
      </c>
      <c r="DU34" s="126">
        <v>0</v>
      </c>
      <c r="DV34" s="126"/>
      <c r="DW34" s="126"/>
      <c r="DX34" s="126"/>
      <c r="DY34" s="126"/>
      <c r="DZ34" s="126"/>
      <c r="EA34" s="126"/>
      <c r="EB34" s="126"/>
      <c r="EC34" s="126"/>
      <c r="EZ34" s="131">
        <v>19</v>
      </c>
      <c r="FB34" s="118"/>
      <c r="FC34" s="118"/>
      <c r="FD34" s="118"/>
      <c r="FE34" s="118"/>
      <c r="FF34" s="123"/>
    </row>
    <row r="35" spans="2:162" ht="17.25">
      <c r="B35" s="40"/>
      <c r="K35" s="98" t="s">
        <v>218</v>
      </c>
      <c r="L35" s="97" t="s">
        <v>219</v>
      </c>
      <c r="M35" s="14">
        <v>1</v>
      </c>
      <c r="N35" s="14">
        <v>2</v>
      </c>
      <c r="O35" s="99">
        <v>3</v>
      </c>
      <c r="P35" s="98" t="s">
        <v>218</v>
      </c>
      <c r="Q35" s="97" t="s">
        <v>219</v>
      </c>
      <c r="R35" s="14">
        <v>1</v>
      </c>
      <c r="S35" s="14">
        <v>2</v>
      </c>
      <c r="T35" s="99">
        <v>3</v>
      </c>
      <c r="V35" s="56">
        <v>6</v>
      </c>
      <c r="W35" s="56">
        <v>6</v>
      </c>
      <c r="X35" s="56">
        <v>1</v>
      </c>
      <c r="Y35" s="56">
        <v>4</v>
      </c>
      <c r="Z35" s="56">
        <v>6</v>
      </c>
      <c r="AA35" s="56">
        <v>5</v>
      </c>
      <c r="AB35" s="14">
        <v>5</v>
      </c>
      <c r="AC35" s="14">
        <v>5</v>
      </c>
      <c r="AD35" s="56">
        <v>5</v>
      </c>
      <c r="AE35" s="56">
        <v>6</v>
      </c>
      <c r="AF35" s="56">
        <v>6</v>
      </c>
      <c r="AG35" s="56">
        <v>4</v>
      </c>
      <c r="AH35" s="14">
        <v>6</v>
      </c>
      <c r="AI35" s="14">
        <v>4</v>
      </c>
      <c r="AJ35" s="14"/>
      <c r="AK35" s="14"/>
      <c r="AL35" s="14"/>
      <c r="AM35" s="14"/>
      <c r="AN35" s="14"/>
      <c r="AO35" s="14"/>
      <c r="AP35" s="11"/>
      <c r="AS35" s="56">
        <v>5</v>
      </c>
      <c r="AT35" s="56">
        <v>5</v>
      </c>
      <c r="AU35" s="56">
        <v>1</v>
      </c>
      <c r="AV35" s="56">
        <v>3</v>
      </c>
      <c r="AW35" s="56">
        <v>5</v>
      </c>
      <c r="AX35" s="56">
        <v>5</v>
      </c>
      <c r="AY35" s="56">
        <v>6</v>
      </c>
      <c r="AZ35" s="56">
        <v>4</v>
      </c>
      <c r="BA35" s="56">
        <v>6</v>
      </c>
      <c r="BB35" s="56">
        <v>6</v>
      </c>
      <c r="BC35" s="56">
        <v>6</v>
      </c>
      <c r="BD35" s="56">
        <v>5</v>
      </c>
      <c r="BE35" s="56">
        <v>6</v>
      </c>
      <c r="BF35" s="56">
        <v>5</v>
      </c>
      <c r="BG35" s="12"/>
      <c r="BH35" s="12"/>
      <c r="BI35" s="12"/>
      <c r="BJ35" s="12"/>
      <c r="BK35" s="12"/>
      <c r="BL35" s="12"/>
      <c r="BM35" s="12"/>
      <c r="BN35" s="18"/>
      <c r="BP35" s="626"/>
      <c r="BQ35" s="97" t="s">
        <v>221</v>
      </c>
      <c r="BR35" s="11">
        <v>3</v>
      </c>
      <c r="BS35" s="11">
        <v>2</v>
      </c>
      <c r="BT35" s="11">
        <v>1</v>
      </c>
      <c r="BU35" s="626"/>
      <c r="BV35" s="97" t="s">
        <v>221</v>
      </c>
      <c r="BW35" s="11">
        <v>3</v>
      </c>
      <c r="BX35" s="11">
        <v>2</v>
      </c>
      <c r="BY35" s="11">
        <v>1</v>
      </c>
      <c r="CD35" s="134"/>
      <c r="CE35" s="134">
        <v>2</v>
      </c>
      <c r="CF35" s="134"/>
      <c r="CG35" s="134"/>
      <c r="CH35" s="134"/>
      <c r="CI35" s="134"/>
      <c r="CJ35" s="134"/>
      <c r="CK35" s="134">
        <v>2</v>
      </c>
      <c r="CL35" s="134">
        <v>3</v>
      </c>
      <c r="CM35" s="134">
        <v>0</v>
      </c>
      <c r="CN35" s="134">
        <v>0</v>
      </c>
      <c r="CO35" s="134">
        <v>0</v>
      </c>
      <c r="CP35" s="134">
        <v>0</v>
      </c>
      <c r="CQ35" s="134">
        <v>1</v>
      </c>
      <c r="CR35" s="134">
        <v>2</v>
      </c>
      <c r="CS35" s="134">
        <v>1</v>
      </c>
      <c r="CT35" s="134"/>
      <c r="CU35" s="134"/>
      <c r="CV35" s="134"/>
      <c r="CW35" s="134"/>
      <c r="CY35" s="14" t="s">
        <v>221</v>
      </c>
      <c r="CZ35" s="14">
        <v>4</v>
      </c>
      <c r="DA35" s="14">
        <v>5</v>
      </c>
      <c r="DB35" s="14">
        <v>6</v>
      </c>
      <c r="DC35" s="14" t="s">
        <v>221</v>
      </c>
      <c r="DD35" s="14">
        <v>4</v>
      </c>
      <c r="DE35" s="14">
        <v>5</v>
      </c>
      <c r="DF35" s="14">
        <v>6</v>
      </c>
      <c r="DI35" s="84">
        <v>0</v>
      </c>
      <c r="DJ35" s="126">
        <v>0</v>
      </c>
      <c r="DK35" s="126">
        <v>1</v>
      </c>
      <c r="DL35" s="126">
        <v>0</v>
      </c>
      <c r="DM35" s="126">
        <v>0</v>
      </c>
      <c r="DN35" s="126">
        <v>1</v>
      </c>
      <c r="DO35" s="126">
        <v>1</v>
      </c>
      <c r="DP35" s="126">
        <v>0</v>
      </c>
      <c r="DQ35" s="126">
        <v>1</v>
      </c>
      <c r="DR35" s="126">
        <v>0</v>
      </c>
      <c r="DS35" s="126">
        <v>0</v>
      </c>
      <c r="DT35" s="83">
        <v>1</v>
      </c>
      <c r="DU35" s="126">
        <v>0</v>
      </c>
      <c r="DV35" s="126">
        <v>1</v>
      </c>
      <c r="DW35" s="126"/>
      <c r="DX35" s="126"/>
      <c r="DY35" s="126"/>
      <c r="DZ35" s="126"/>
      <c r="EA35" s="126"/>
      <c r="EB35" s="126"/>
      <c r="EC35" s="126"/>
      <c r="EE35" s="627" t="s">
        <v>224</v>
      </c>
      <c r="EF35" s="627"/>
      <c r="EG35" s="627"/>
      <c r="EH35" s="627"/>
      <c r="EI35" s="627"/>
      <c r="EM35" s="627" t="s">
        <v>226</v>
      </c>
      <c r="EN35" s="627"/>
      <c r="EO35" s="627"/>
      <c r="EP35" s="627"/>
      <c r="EQ35" s="627"/>
      <c r="EU35" s="68" t="s">
        <v>244</v>
      </c>
      <c r="EZ35" s="131">
        <v>20</v>
      </c>
      <c r="FB35" s="118"/>
      <c r="FC35" s="118"/>
      <c r="FD35" s="118"/>
      <c r="FE35" s="118"/>
      <c r="FF35" s="123"/>
    </row>
    <row r="36" spans="2:162" ht="18" thickBot="1">
      <c r="B36" s="86"/>
      <c r="D36" s="68" t="s">
        <v>238</v>
      </c>
      <c r="G36" s="68" t="s">
        <v>236</v>
      </c>
      <c r="K36" s="100">
        <f>COUNTIF(V36:AP36,6)</f>
        <v>1</v>
      </c>
      <c r="L36" s="14">
        <f>SUM(M36:O36)</f>
        <v>4</v>
      </c>
      <c r="M36" s="14">
        <f>COUNTIF(V36:AP36,1)</f>
        <v>1</v>
      </c>
      <c r="N36" s="14">
        <f>COUNTIF(V36:AP36,2)</f>
        <v>0</v>
      </c>
      <c r="O36" s="99">
        <f>COUNTIF(V36:AP36,3)</f>
        <v>3</v>
      </c>
      <c r="P36" s="100">
        <f>COUNTIF(V36:AK36,6)</f>
        <v>1</v>
      </c>
      <c r="Q36" s="14">
        <f>SUM(R36:T36)</f>
        <v>4</v>
      </c>
      <c r="R36" s="14">
        <f>COUNTIF(V36:AK36,1)</f>
        <v>1</v>
      </c>
      <c r="S36" s="14">
        <f>COUNTIF(V36:AK36,2)</f>
        <v>0</v>
      </c>
      <c r="T36" s="99">
        <f>COUNTIF(V36:AK36,3)</f>
        <v>3</v>
      </c>
      <c r="V36" s="56">
        <v>5</v>
      </c>
      <c r="W36" s="56">
        <v>5</v>
      </c>
      <c r="X36" s="56">
        <v>5</v>
      </c>
      <c r="Y36" s="56">
        <v>3</v>
      </c>
      <c r="Z36" s="56">
        <v>5</v>
      </c>
      <c r="AA36" s="56">
        <v>5</v>
      </c>
      <c r="AB36" s="14">
        <v>5</v>
      </c>
      <c r="AC36" s="14">
        <v>6</v>
      </c>
      <c r="AD36" s="56">
        <v>3</v>
      </c>
      <c r="AE36" s="56">
        <v>4</v>
      </c>
      <c r="AF36" s="56">
        <v>4</v>
      </c>
      <c r="AG36" s="56">
        <v>4</v>
      </c>
      <c r="AH36" s="14">
        <v>3</v>
      </c>
      <c r="AI36" s="14">
        <v>5</v>
      </c>
      <c r="AJ36" s="14">
        <v>1</v>
      </c>
      <c r="AK36" s="14"/>
      <c r="AL36" s="14"/>
      <c r="AM36" s="14"/>
      <c r="AN36" s="14"/>
      <c r="AO36" s="14"/>
      <c r="AP36" s="11"/>
      <c r="AS36" s="78">
        <v>5</v>
      </c>
      <c r="AT36" s="56">
        <v>5</v>
      </c>
      <c r="AU36" s="56">
        <v>4</v>
      </c>
      <c r="AV36" s="56">
        <v>3</v>
      </c>
      <c r="AW36" s="56">
        <v>4</v>
      </c>
      <c r="AX36" s="56">
        <v>5</v>
      </c>
      <c r="AY36" s="56">
        <v>6</v>
      </c>
      <c r="AZ36" s="56">
        <v>5</v>
      </c>
      <c r="BA36" s="56">
        <v>3</v>
      </c>
      <c r="BB36" s="56">
        <v>5</v>
      </c>
      <c r="BC36" s="56">
        <v>4</v>
      </c>
      <c r="BD36" s="56">
        <v>4</v>
      </c>
      <c r="BE36" s="56">
        <v>3</v>
      </c>
      <c r="BF36" s="56">
        <v>5</v>
      </c>
      <c r="BG36" s="56">
        <v>2</v>
      </c>
      <c r="BH36" s="12"/>
      <c r="BI36" s="12"/>
      <c r="BJ36" s="12"/>
      <c r="BK36" s="12"/>
      <c r="BL36" s="12"/>
      <c r="BM36" s="12"/>
      <c r="BN36" s="18"/>
      <c r="BP36" s="100">
        <f>COUNTIF(AS36:BM36,6)</f>
        <v>1</v>
      </c>
      <c r="BQ36" s="14">
        <f>SUM(BR36:BT36)</f>
        <v>4</v>
      </c>
      <c r="BR36" s="9">
        <f>COUNTIF(AS36:BM36,3)</f>
        <v>3</v>
      </c>
      <c r="BS36" s="100">
        <f>COUNTIF(AS36:BM36,2)</f>
        <v>1</v>
      </c>
      <c r="BT36" s="100">
        <f>COUNTIF(AS36:BM36,1)</f>
        <v>0</v>
      </c>
      <c r="BU36" s="100">
        <f>COUNTIF(AS36:BH36,6)</f>
        <v>1</v>
      </c>
      <c r="BV36" s="14">
        <f>SUM(BW36:BY36)</f>
        <v>4</v>
      </c>
      <c r="BW36" s="9">
        <f>COUNTIF(AS36:BH36,3)</f>
        <v>3</v>
      </c>
      <c r="BX36" s="100">
        <f>COUNTIF(AS36:BH36,2)</f>
        <v>1</v>
      </c>
      <c r="BY36" s="100">
        <f>COUNTIF(AS36:BH36,1)</f>
        <v>0</v>
      </c>
      <c r="CD36" s="134">
        <v>3</v>
      </c>
      <c r="CE36" s="134">
        <v>0</v>
      </c>
      <c r="CF36" s="134">
        <v>3</v>
      </c>
      <c r="CG36" s="45">
        <v>2</v>
      </c>
      <c r="CH36" s="134">
        <v>1</v>
      </c>
      <c r="CI36" s="134">
        <v>2</v>
      </c>
      <c r="CJ36" s="134">
        <v>1</v>
      </c>
      <c r="CK36" s="134">
        <v>0</v>
      </c>
      <c r="CL36" s="134">
        <v>4</v>
      </c>
      <c r="CM36" s="134">
        <v>3</v>
      </c>
      <c r="CN36" s="134">
        <v>1</v>
      </c>
      <c r="CO36" s="134">
        <v>2</v>
      </c>
      <c r="CP36" s="134">
        <v>2</v>
      </c>
      <c r="CQ36" s="134">
        <v>2</v>
      </c>
      <c r="CR36" s="134">
        <v>2</v>
      </c>
      <c r="CS36" s="134">
        <v>2</v>
      </c>
      <c r="CT36" s="134">
        <v>2</v>
      </c>
      <c r="CU36" s="134"/>
      <c r="CV36" s="134"/>
      <c r="CW36" s="134"/>
      <c r="CY36" s="14">
        <f>SUM(CZ36:DB36)</f>
        <v>1</v>
      </c>
      <c r="CZ36" s="14">
        <f>COUNTIF(CD36:CW36,4)</f>
        <v>1</v>
      </c>
      <c r="DA36" s="14">
        <f>COUNTIF(CD36:CW36,5)</f>
        <v>0</v>
      </c>
      <c r="DB36" s="14">
        <f>COUNTIF(CD36:CW36,6)</f>
        <v>0</v>
      </c>
      <c r="DC36" s="14">
        <f>SUM(DD36:DF36)</f>
        <v>1</v>
      </c>
      <c r="DD36" s="14">
        <f>COUNTIF(CD36:CR36,4)</f>
        <v>1</v>
      </c>
      <c r="DE36" s="14">
        <f>COUNTIF(CD36:CR36,5)</f>
        <v>0</v>
      </c>
      <c r="DF36" s="14">
        <f>COUNTIF(CD36:CR36,6)</f>
        <v>0</v>
      </c>
      <c r="DI36" s="84">
        <v>0</v>
      </c>
      <c r="DJ36" s="84">
        <v>1</v>
      </c>
      <c r="DK36" s="126">
        <v>0</v>
      </c>
      <c r="DL36" s="126">
        <v>1</v>
      </c>
      <c r="DM36" s="126">
        <v>0</v>
      </c>
      <c r="DN36" s="126">
        <v>1</v>
      </c>
      <c r="DO36" s="126">
        <v>1</v>
      </c>
      <c r="DP36" s="126">
        <v>0</v>
      </c>
      <c r="DQ36" s="126">
        <v>0</v>
      </c>
      <c r="DR36" s="126">
        <v>1</v>
      </c>
      <c r="DS36" s="126">
        <v>0</v>
      </c>
      <c r="DT36" s="126">
        <v>0</v>
      </c>
      <c r="DU36" s="126">
        <v>0</v>
      </c>
      <c r="DV36" s="126">
        <v>0</v>
      </c>
      <c r="DW36" s="126">
        <v>1</v>
      </c>
      <c r="DX36" s="126"/>
      <c r="DY36" s="126"/>
      <c r="DZ36" s="126"/>
      <c r="EA36" s="126"/>
      <c r="EB36" s="126"/>
      <c r="EC36" s="126"/>
      <c r="EE36" s="14" t="s">
        <v>225</v>
      </c>
      <c r="EF36" s="14">
        <v>1</v>
      </c>
      <c r="EG36" s="14">
        <v>2</v>
      </c>
      <c r="EH36" s="14">
        <v>3</v>
      </c>
      <c r="EI36" s="14">
        <v>4</v>
      </c>
      <c r="EM36" s="14" t="s">
        <v>225</v>
      </c>
      <c r="EN36" s="14">
        <v>1</v>
      </c>
      <c r="EO36" s="14">
        <v>2</v>
      </c>
      <c r="EP36" s="14">
        <v>3</v>
      </c>
      <c r="EQ36" s="14">
        <v>4</v>
      </c>
      <c r="EU36" s="627" t="s">
        <v>325</v>
      </c>
      <c r="EV36" s="627"/>
      <c r="EW36" s="627"/>
      <c r="EZ36" s="131">
        <v>23</v>
      </c>
      <c r="FB36" s="118"/>
      <c r="FC36" s="118"/>
      <c r="FD36" s="118"/>
      <c r="FE36" s="118"/>
      <c r="FF36" s="123"/>
    </row>
    <row r="37" spans="2:162" ht="18" thickBot="1">
      <c r="B37" s="40"/>
      <c r="D37" s="87">
        <v>0</v>
      </c>
      <c r="E37" s="88">
        <f>COUNTIF(Q36:Q181,D37)</f>
        <v>0</v>
      </c>
      <c r="F37" s="89">
        <f>E37/E49</f>
        <v>0</v>
      </c>
      <c r="G37" s="87">
        <v>0</v>
      </c>
      <c r="H37" s="88">
        <f>COUNTIF(L36:L181,G37)</f>
        <v>0</v>
      </c>
      <c r="I37" s="89">
        <f>H37/H49</f>
        <v>0</v>
      </c>
      <c r="K37" s="100">
        <f t="shared" ref="K37:K68" si="0">COUNTIF(V37:AP37,6)</f>
        <v>6</v>
      </c>
      <c r="L37" s="14">
        <f t="shared" ref="L37:L69" si="1">SUM(M37:O37)</f>
        <v>4</v>
      </c>
      <c r="M37" s="14">
        <f>COUNTIF(V37:AP37,1)</f>
        <v>0</v>
      </c>
      <c r="N37" s="14">
        <f t="shared" ref="N37:N69" si="2">COUNTIF(V37:AP37,2)</f>
        <v>0</v>
      </c>
      <c r="O37" s="99">
        <f t="shared" ref="O37:O69" si="3">COUNTIF(V37:AP37,3)</f>
        <v>4</v>
      </c>
      <c r="P37" s="100">
        <f t="shared" ref="P37:P69" si="4">COUNTIF(V37:AK37,6)</f>
        <v>6</v>
      </c>
      <c r="Q37" s="14">
        <f t="shared" ref="Q37:Q69" si="5">SUM(R37:T37)</f>
        <v>4</v>
      </c>
      <c r="R37" s="14">
        <f t="shared" ref="R37:R69" si="6">COUNTIF(V37:AK37,1)</f>
        <v>0</v>
      </c>
      <c r="S37" s="14">
        <f t="shared" ref="S37:S69" si="7">COUNTIF(V37:AK37,2)</f>
        <v>0</v>
      </c>
      <c r="T37" s="99">
        <f t="shared" ref="T37:T69" si="8">COUNTIF(V37:AK37,3)</f>
        <v>4</v>
      </c>
      <c r="V37" s="56">
        <v>6</v>
      </c>
      <c r="W37" s="56">
        <v>6</v>
      </c>
      <c r="X37" s="56">
        <v>6</v>
      </c>
      <c r="Y37" s="56">
        <v>4</v>
      </c>
      <c r="Z37" s="56">
        <v>6</v>
      </c>
      <c r="AA37" s="56">
        <v>4</v>
      </c>
      <c r="AB37" s="14">
        <v>3</v>
      </c>
      <c r="AC37" s="14">
        <v>5</v>
      </c>
      <c r="AD37" s="56">
        <v>6</v>
      </c>
      <c r="AE37" s="56">
        <v>3</v>
      </c>
      <c r="AF37" s="56">
        <v>3</v>
      </c>
      <c r="AG37" s="56">
        <v>4</v>
      </c>
      <c r="AH37" s="14">
        <v>6</v>
      </c>
      <c r="AI37" s="14">
        <v>4</v>
      </c>
      <c r="AJ37" s="14">
        <v>4</v>
      </c>
      <c r="AK37" s="14">
        <v>3</v>
      </c>
      <c r="AL37" s="14"/>
      <c r="AM37" s="14"/>
      <c r="AN37" s="14"/>
      <c r="AO37" s="14"/>
      <c r="AP37" s="11"/>
      <c r="AS37" s="78">
        <v>6</v>
      </c>
      <c r="AT37" s="78">
        <v>5</v>
      </c>
      <c r="AU37" s="56">
        <v>5</v>
      </c>
      <c r="AV37" s="56">
        <v>4</v>
      </c>
      <c r="AW37" s="56">
        <v>5</v>
      </c>
      <c r="AX37" s="56">
        <v>4</v>
      </c>
      <c r="AY37" s="56">
        <v>3</v>
      </c>
      <c r="AZ37" s="56">
        <v>6</v>
      </c>
      <c r="BA37" s="56">
        <v>6</v>
      </c>
      <c r="BB37" s="56">
        <v>3</v>
      </c>
      <c r="BC37" s="56">
        <v>4</v>
      </c>
      <c r="BD37" s="56">
        <v>5</v>
      </c>
      <c r="BE37" s="56">
        <v>6</v>
      </c>
      <c r="BF37" s="56">
        <v>4</v>
      </c>
      <c r="BG37" s="56">
        <v>6</v>
      </c>
      <c r="BH37" s="56">
        <v>4</v>
      </c>
      <c r="BI37" s="56"/>
      <c r="BJ37" s="56"/>
      <c r="BK37" s="56"/>
      <c r="BL37" s="56"/>
      <c r="BM37" s="56"/>
      <c r="BN37" s="52"/>
      <c r="BP37" s="100">
        <f>COUNTIF(AS37:BM37,6)</f>
        <v>5</v>
      </c>
      <c r="BQ37" s="14">
        <f t="shared" ref="BQ37:BQ69" si="9">SUM(BR37:BT37)</f>
        <v>2</v>
      </c>
      <c r="BR37" s="9">
        <f>COUNTIF(AS37:BM37,3)</f>
        <v>2</v>
      </c>
      <c r="BS37" s="100">
        <f t="shared" ref="BS37:BS69" si="10">COUNTIF(AS37:BM37,2)</f>
        <v>0</v>
      </c>
      <c r="BT37" s="100">
        <f t="shared" ref="BT37:BT69" si="11">COUNTIF(AS37:BM37,1)</f>
        <v>0</v>
      </c>
      <c r="BU37" s="100">
        <f>COUNTIF(AS37:BH37,6)</f>
        <v>5</v>
      </c>
      <c r="BV37" s="14">
        <f t="shared" ref="BV37:BV69" si="12">SUM(BW37:BY37)</f>
        <v>2</v>
      </c>
      <c r="BW37" s="9">
        <f t="shared" ref="BW37:BW69" si="13">COUNTIF(AS37:BH37,3)</f>
        <v>2</v>
      </c>
      <c r="BX37" s="100">
        <f t="shared" ref="BX37:BX69" si="14">COUNTIF(AS37:BH37,2)</f>
        <v>0</v>
      </c>
      <c r="BY37" s="100">
        <f t="shared" ref="BY37:BY69" si="15">COUNTIF(AS37:BH37,1)</f>
        <v>0</v>
      </c>
      <c r="CD37" s="134">
        <v>2</v>
      </c>
      <c r="CE37" s="134">
        <v>1</v>
      </c>
      <c r="CF37" s="134">
        <v>1</v>
      </c>
      <c r="CG37" s="134">
        <v>3</v>
      </c>
      <c r="CH37" s="45">
        <v>3</v>
      </c>
      <c r="CI37" s="134">
        <v>1</v>
      </c>
      <c r="CJ37" s="134">
        <v>2</v>
      </c>
      <c r="CK37" s="134">
        <v>2</v>
      </c>
      <c r="CL37" s="134">
        <v>0</v>
      </c>
      <c r="CM37" s="134">
        <v>1</v>
      </c>
      <c r="CN37" s="134">
        <v>2</v>
      </c>
      <c r="CO37" s="134">
        <v>4</v>
      </c>
      <c r="CP37" s="134">
        <v>1</v>
      </c>
      <c r="CQ37" s="134">
        <v>2</v>
      </c>
      <c r="CR37" s="134">
        <v>1</v>
      </c>
      <c r="CS37" s="134">
        <v>1</v>
      </c>
      <c r="CT37" s="134">
        <v>5</v>
      </c>
      <c r="CU37" s="134">
        <v>3</v>
      </c>
      <c r="CV37" s="134"/>
      <c r="CW37" s="134"/>
      <c r="CY37" s="14">
        <f t="shared" ref="CY37:CY66" si="16">SUM(CZ37:DB37)</f>
        <v>2</v>
      </c>
      <c r="CZ37" s="14">
        <f t="shared" ref="CZ37:CZ66" si="17">COUNTIF(CD37:CW37,4)</f>
        <v>1</v>
      </c>
      <c r="DA37" s="14">
        <f t="shared" ref="DA37:DA66" si="18">COUNTIF(CD37:CW37,5)</f>
        <v>1</v>
      </c>
      <c r="DB37" s="14">
        <f t="shared" ref="DB37:DB66" si="19">COUNTIF(CD37:CW37,6)</f>
        <v>0</v>
      </c>
      <c r="DC37" s="14">
        <f t="shared" ref="DC37:DC66" si="20">SUM(DD37:DF37)</f>
        <v>1</v>
      </c>
      <c r="DD37" s="14">
        <f t="shared" ref="DD37:DD66" si="21">COUNTIF(CD37:CR37,4)</f>
        <v>1</v>
      </c>
      <c r="DE37" s="14">
        <f t="shared" ref="DE37:DE66" si="22">COUNTIF(CD37:CR37,5)</f>
        <v>0</v>
      </c>
      <c r="DF37" s="14">
        <f t="shared" ref="DF37:DF66" si="23">COUNTIF(CD37:CR37,6)</f>
        <v>0</v>
      </c>
      <c r="DI37" s="84">
        <v>0</v>
      </c>
      <c r="DJ37" s="84">
        <v>0</v>
      </c>
      <c r="DK37" s="84">
        <v>0</v>
      </c>
      <c r="DL37" s="126">
        <v>1</v>
      </c>
      <c r="DM37" s="126">
        <v>0</v>
      </c>
      <c r="DN37" s="126">
        <v>1</v>
      </c>
      <c r="DO37" s="126">
        <v>0</v>
      </c>
      <c r="DP37" s="126">
        <v>1</v>
      </c>
      <c r="DQ37" s="126">
        <v>0</v>
      </c>
      <c r="DR37" s="126">
        <v>0</v>
      </c>
      <c r="DS37" s="126">
        <v>1</v>
      </c>
      <c r="DT37" s="126">
        <v>1</v>
      </c>
      <c r="DU37" s="126">
        <v>0</v>
      </c>
      <c r="DV37" s="126">
        <v>0</v>
      </c>
      <c r="DW37" s="126">
        <v>2</v>
      </c>
      <c r="DX37" s="126">
        <v>1</v>
      </c>
      <c r="DY37" s="126"/>
      <c r="DZ37" s="126"/>
      <c r="EA37" s="126"/>
      <c r="EB37" s="126"/>
      <c r="EC37" s="126"/>
      <c r="EE37" s="46">
        <f>SUM(EF37:EI37)</f>
        <v>7</v>
      </c>
      <c r="EF37" s="14">
        <f>COUNTIF(DI37:EC37,1)</f>
        <v>6</v>
      </c>
      <c r="EG37" s="14">
        <f>COUNTIF(DI37:EC37,2)</f>
        <v>1</v>
      </c>
      <c r="EH37" s="14">
        <f>COUNTIF(DI37:EC37,3)</f>
        <v>0</v>
      </c>
      <c r="EI37" s="14">
        <f>COUNTIF(DI37:EC37,4)</f>
        <v>0</v>
      </c>
      <c r="EM37" s="46">
        <f>SUM(EN37:EQ37)</f>
        <v>7</v>
      </c>
      <c r="EN37" s="14">
        <f>COUNTIF(DI37:DX37,1)</f>
        <v>6</v>
      </c>
      <c r="EO37" s="14">
        <f>COUNTIF(DI37:DX37,2)</f>
        <v>1</v>
      </c>
      <c r="EP37" s="14">
        <f>COUNTIF(DI37:DX37,3)</f>
        <v>0</v>
      </c>
      <c r="EQ37" s="14">
        <f>COUNTIF(DI37:DX37,4)</f>
        <v>0</v>
      </c>
      <c r="EU37" s="11">
        <v>0</v>
      </c>
      <c r="EV37" s="11">
        <f>COUNTIF(EG37:EG107,EU37)</f>
        <v>19</v>
      </c>
      <c r="EW37" s="62">
        <f>EV37/EV51</f>
        <v>0.38</v>
      </c>
      <c r="EZ37" s="131">
        <v>25</v>
      </c>
      <c r="FB37" s="118"/>
      <c r="FC37" s="118"/>
      <c r="FD37" s="118"/>
      <c r="FE37" s="118"/>
      <c r="FF37" s="123"/>
    </row>
    <row r="38" spans="2:162" ht="18" thickBot="1">
      <c r="B38" s="86"/>
      <c r="D38" s="90">
        <v>1</v>
      </c>
      <c r="E38" s="88">
        <f>COUNTIF(Q36:Q181,D38)</f>
        <v>7</v>
      </c>
      <c r="F38" s="91">
        <f>E38/E49</f>
        <v>0.13725490196078433</v>
      </c>
      <c r="G38" s="90">
        <v>1</v>
      </c>
      <c r="H38" s="11">
        <f>COUNTIF(L36:L181,G38)</f>
        <v>3</v>
      </c>
      <c r="I38" s="91">
        <f>H38/H49</f>
        <v>5.8823529411764705E-2</v>
      </c>
      <c r="K38" s="100">
        <f t="shared" si="0"/>
        <v>5</v>
      </c>
      <c r="L38" s="14">
        <f t="shared" si="1"/>
        <v>2</v>
      </c>
      <c r="M38" s="14">
        <f t="shared" ref="M38:M69" si="24">COUNTIF(V38:AP38,1)</f>
        <v>0</v>
      </c>
      <c r="N38" s="14">
        <f t="shared" si="2"/>
        <v>1</v>
      </c>
      <c r="O38" s="99">
        <f t="shared" si="3"/>
        <v>1</v>
      </c>
      <c r="P38" s="100">
        <f>COUNTIF(V38:AK38,6)</f>
        <v>5</v>
      </c>
      <c r="Q38" s="14">
        <f t="shared" si="5"/>
        <v>2</v>
      </c>
      <c r="R38" s="14">
        <f t="shared" si="6"/>
        <v>0</v>
      </c>
      <c r="S38" s="14">
        <f t="shared" si="7"/>
        <v>1</v>
      </c>
      <c r="T38" s="99">
        <f t="shared" si="8"/>
        <v>1</v>
      </c>
      <c r="V38" s="56">
        <v>4</v>
      </c>
      <c r="W38" s="56">
        <v>6</v>
      </c>
      <c r="X38" s="56">
        <v>4</v>
      </c>
      <c r="Y38" s="56">
        <v>6</v>
      </c>
      <c r="Z38" s="56">
        <v>5</v>
      </c>
      <c r="AA38" s="56">
        <v>6</v>
      </c>
      <c r="AB38" s="14">
        <v>5</v>
      </c>
      <c r="AC38" s="14">
        <v>6</v>
      </c>
      <c r="AD38" s="56">
        <v>4</v>
      </c>
      <c r="AE38" s="56">
        <v>5</v>
      </c>
      <c r="AF38" s="56">
        <v>2</v>
      </c>
      <c r="AG38" s="56">
        <v>3</v>
      </c>
      <c r="AH38" s="14">
        <v>4</v>
      </c>
      <c r="AI38" s="14">
        <v>5</v>
      </c>
      <c r="AJ38" s="14">
        <v>6</v>
      </c>
      <c r="AK38" s="14">
        <v>4</v>
      </c>
      <c r="AL38" s="11">
        <v>4</v>
      </c>
      <c r="AM38" s="14"/>
      <c r="AN38" s="14"/>
      <c r="AO38" s="14"/>
      <c r="AP38" s="11"/>
      <c r="AS38" s="78">
        <v>4</v>
      </c>
      <c r="AT38" s="78">
        <v>5</v>
      </c>
      <c r="AU38" s="78">
        <v>3</v>
      </c>
      <c r="AV38" s="56">
        <v>6</v>
      </c>
      <c r="AW38" s="56">
        <v>5</v>
      </c>
      <c r="AX38" s="56">
        <v>6</v>
      </c>
      <c r="AY38" s="56">
        <v>4</v>
      </c>
      <c r="AZ38" s="56">
        <v>5</v>
      </c>
      <c r="BA38" s="56">
        <v>4</v>
      </c>
      <c r="BB38" s="56">
        <v>5</v>
      </c>
      <c r="BC38" s="56">
        <v>3</v>
      </c>
      <c r="BD38" s="56">
        <v>3</v>
      </c>
      <c r="BE38" s="56">
        <v>6</v>
      </c>
      <c r="BF38" s="56">
        <v>5</v>
      </c>
      <c r="BG38" s="56">
        <v>6</v>
      </c>
      <c r="BH38" s="56">
        <v>6</v>
      </c>
      <c r="BI38" s="14">
        <v>5</v>
      </c>
      <c r="BJ38" s="56"/>
      <c r="BK38" s="56"/>
      <c r="BL38" s="56"/>
      <c r="BM38" s="56"/>
      <c r="BN38" s="52"/>
      <c r="BP38" s="100">
        <f>COUNTIF(AS38:BM38,6)</f>
        <v>5</v>
      </c>
      <c r="BQ38" s="14">
        <f t="shared" si="9"/>
        <v>3</v>
      </c>
      <c r="BR38" s="9">
        <f t="shared" ref="BR38:BR69" si="25">COUNTIF(AS38:BM38,3)</f>
        <v>3</v>
      </c>
      <c r="BS38" s="100">
        <f t="shared" si="10"/>
        <v>0</v>
      </c>
      <c r="BT38" s="100">
        <f t="shared" si="11"/>
        <v>0</v>
      </c>
      <c r="BU38" s="100">
        <f>COUNTIF(AS38:BH38,6)</f>
        <v>5</v>
      </c>
      <c r="BV38" s="14">
        <f t="shared" si="12"/>
        <v>3</v>
      </c>
      <c r="BW38" s="9">
        <f t="shared" si="13"/>
        <v>3</v>
      </c>
      <c r="BX38" s="100">
        <f t="shared" si="14"/>
        <v>0</v>
      </c>
      <c r="BY38" s="100">
        <f t="shared" si="15"/>
        <v>0</v>
      </c>
      <c r="CD38" s="134">
        <v>1</v>
      </c>
      <c r="CE38" s="134">
        <v>2</v>
      </c>
      <c r="CF38" s="134">
        <v>1</v>
      </c>
      <c r="CG38" s="134">
        <v>2</v>
      </c>
      <c r="CH38" s="134">
        <v>1</v>
      </c>
      <c r="CI38" s="45">
        <v>1</v>
      </c>
      <c r="CJ38" s="134">
        <v>2</v>
      </c>
      <c r="CK38" s="134">
        <v>1</v>
      </c>
      <c r="CL38" s="134">
        <v>2</v>
      </c>
      <c r="CM38" s="134">
        <v>2</v>
      </c>
      <c r="CN38" s="134">
        <v>2</v>
      </c>
      <c r="CO38" s="134">
        <v>2</v>
      </c>
      <c r="CP38" s="134">
        <v>3</v>
      </c>
      <c r="CQ38" s="134">
        <v>2</v>
      </c>
      <c r="CR38" s="134">
        <v>2</v>
      </c>
      <c r="CS38" s="134">
        <v>3</v>
      </c>
      <c r="CT38" s="134">
        <v>1</v>
      </c>
      <c r="CU38" s="134">
        <v>5</v>
      </c>
      <c r="CV38" s="134">
        <v>2</v>
      </c>
      <c r="CW38" s="134"/>
      <c r="CY38" s="14">
        <f t="shared" si="16"/>
        <v>1</v>
      </c>
      <c r="CZ38" s="14">
        <f t="shared" si="17"/>
        <v>0</v>
      </c>
      <c r="DA38" s="14">
        <f t="shared" si="18"/>
        <v>1</v>
      </c>
      <c r="DB38" s="14">
        <f t="shared" si="19"/>
        <v>0</v>
      </c>
      <c r="DC38" s="14">
        <f t="shared" si="20"/>
        <v>0</v>
      </c>
      <c r="DD38" s="14">
        <f t="shared" si="21"/>
        <v>0</v>
      </c>
      <c r="DE38" s="14">
        <f t="shared" si="22"/>
        <v>0</v>
      </c>
      <c r="DF38" s="14">
        <f t="shared" si="23"/>
        <v>0</v>
      </c>
      <c r="DI38" s="45">
        <v>1</v>
      </c>
      <c r="DJ38" s="84">
        <v>0</v>
      </c>
      <c r="DK38" s="84">
        <v>0</v>
      </c>
      <c r="DL38" s="84">
        <v>0</v>
      </c>
      <c r="DM38" s="126">
        <v>0</v>
      </c>
      <c r="DN38" s="126">
        <v>0</v>
      </c>
      <c r="DO38" s="126">
        <v>0</v>
      </c>
      <c r="DP38" s="126">
        <v>0</v>
      </c>
      <c r="DQ38" s="126">
        <v>0</v>
      </c>
      <c r="DR38" s="126">
        <v>0</v>
      </c>
      <c r="DS38" s="126">
        <v>1</v>
      </c>
      <c r="DT38" s="126">
        <v>0</v>
      </c>
      <c r="DU38" s="126">
        <v>2</v>
      </c>
      <c r="DV38" s="126">
        <v>0</v>
      </c>
      <c r="DW38" s="126">
        <v>0</v>
      </c>
      <c r="DX38" s="126">
        <v>2</v>
      </c>
      <c r="DY38" s="126">
        <v>1</v>
      </c>
      <c r="DZ38" s="126"/>
      <c r="EA38" s="126"/>
      <c r="EB38" s="126"/>
      <c r="EC38" s="126"/>
      <c r="EE38" s="46">
        <f t="shared" ref="EE38:EE69" si="26">SUM(EF38:EI38)</f>
        <v>5</v>
      </c>
      <c r="EF38" s="14">
        <f t="shared" ref="EF38:EF69" si="27">COUNTIF(DI38:EC38,1)</f>
        <v>3</v>
      </c>
      <c r="EG38" s="14">
        <f t="shared" ref="EG38:EG69" si="28">COUNTIF(DI38:EC38,2)</f>
        <v>2</v>
      </c>
      <c r="EH38" s="14">
        <f t="shared" ref="EH38:EH69" si="29">COUNTIF(DI38:EC38,3)</f>
        <v>0</v>
      </c>
      <c r="EI38" s="14">
        <f t="shared" ref="EI38:EI69" si="30">COUNTIF(DI38:EC38,4)</f>
        <v>0</v>
      </c>
      <c r="EM38" s="46">
        <f t="shared" ref="EM38:EM69" si="31">SUM(EN38:EQ38)</f>
        <v>4</v>
      </c>
      <c r="EN38" s="14">
        <f t="shared" ref="EN38:EN69" si="32">COUNTIF(DI38:DX38,1)</f>
        <v>2</v>
      </c>
      <c r="EO38" s="14">
        <f t="shared" ref="EO38:EO69" si="33">COUNTIF(DI38:DX38,2)</f>
        <v>2</v>
      </c>
      <c r="EP38" s="14">
        <f t="shared" ref="EP38:EP69" si="34">COUNTIF(DI38:DX38,3)</f>
        <v>0</v>
      </c>
      <c r="EQ38" s="14">
        <f t="shared" ref="EQ38:EQ69" si="35">COUNTIF(DI38:DX38,4)</f>
        <v>0</v>
      </c>
      <c r="EU38" s="11">
        <v>1</v>
      </c>
      <c r="EV38" s="11">
        <f>COUNTIF(EG37:EG107,EU38)</f>
        <v>20</v>
      </c>
      <c r="EW38" s="62">
        <f>EV38/EV51</f>
        <v>0.4</v>
      </c>
      <c r="EZ38" s="131">
        <v>26</v>
      </c>
      <c r="FA38" s="123"/>
      <c r="FB38" s="118"/>
      <c r="FC38" s="118"/>
      <c r="FD38" s="118"/>
      <c r="FE38" s="118"/>
      <c r="FF38" s="123"/>
    </row>
    <row r="39" spans="2:162" ht="18" thickBot="1">
      <c r="B39" s="86"/>
      <c r="D39" s="90">
        <v>2</v>
      </c>
      <c r="E39" s="88">
        <f>COUNTIF(Q36:Q181,D39)</f>
        <v>9</v>
      </c>
      <c r="F39" s="91">
        <f>E39/E49</f>
        <v>0.17647058823529413</v>
      </c>
      <c r="G39" s="90">
        <v>2</v>
      </c>
      <c r="H39" s="11">
        <f>COUNTIF(L36:L181,G39)</f>
        <v>4</v>
      </c>
      <c r="I39" s="91">
        <f>H39/H49</f>
        <v>7.8431372549019607E-2</v>
      </c>
      <c r="K39" s="100">
        <f t="shared" si="0"/>
        <v>4</v>
      </c>
      <c r="L39" s="14">
        <f t="shared" si="1"/>
        <v>3</v>
      </c>
      <c r="M39" s="14">
        <f t="shared" si="24"/>
        <v>0</v>
      </c>
      <c r="N39" s="14">
        <f t="shared" si="2"/>
        <v>1</v>
      </c>
      <c r="O39" s="99">
        <f t="shared" si="3"/>
        <v>2</v>
      </c>
      <c r="P39" s="100">
        <f>COUNTIF(V39:AK39,6)</f>
        <v>4</v>
      </c>
      <c r="Q39" s="14">
        <f t="shared" si="5"/>
        <v>3</v>
      </c>
      <c r="R39" s="14">
        <f>COUNTIF(V39:AK39,1)</f>
        <v>0</v>
      </c>
      <c r="S39" s="14">
        <f t="shared" si="7"/>
        <v>1</v>
      </c>
      <c r="T39" s="99">
        <f t="shared" si="8"/>
        <v>2</v>
      </c>
      <c r="V39" s="56">
        <v>3</v>
      </c>
      <c r="W39" s="56">
        <v>4</v>
      </c>
      <c r="X39" s="56">
        <v>5</v>
      </c>
      <c r="Y39" s="56">
        <v>5</v>
      </c>
      <c r="Z39" s="56">
        <v>6</v>
      </c>
      <c r="AA39" s="56">
        <v>5</v>
      </c>
      <c r="AB39" s="14">
        <v>4</v>
      </c>
      <c r="AC39" s="14">
        <v>6</v>
      </c>
      <c r="AD39" s="56">
        <v>5</v>
      </c>
      <c r="AE39" s="56">
        <v>2</v>
      </c>
      <c r="AF39" s="56">
        <v>6</v>
      </c>
      <c r="AG39" s="56">
        <v>4</v>
      </c>
      <c r="AH39" s="14">
        <v>5</v>
      </c>
      <c r="AI39" s="14">
        <v>6</v>
      </c>
      <c r="AJ39" s="14">
        <v>5</v>
      </c>
      <c r="AK39" s="14">
        <v>3</v>
      </c>
      <c r="AL39" s="11">
        <v>4</v>
      </c>
      <c r="AM39" s="11">
        <v>4</v>
      </c>
      <c r="AN39" s="14"/>
      <c r="AO39" s="14"/>
      <c r="AP39" s="11"/>
      <c r="AS39" s="56">
        <v>3</v>
      </c>
      <c r="AT39" s="78">
        <v>3</v>
      </c>
      <c r="AU39" s="78">
        <v>4</v>
      </c>
      <c r="AV39" s="78">
        <v>5</v>
      </c>
      <c r="AW39" s="56">
        <v>5</v>
      </c>
      <c r="AX39" s="56">
        <v>5</v>
      </c>
      <c r="AY39" s="56">
        <v>5</v>
      </c>
      <c r="AZ39" s="56">
        <v>5</v>
      </c>
      <c r="BA39" s="56">
        <v>6</v>
      </c>
      <c r="BB39" s="56">
        <v>3</v>
      </c>
      <c r="BC39" s="56">
        <v>6</v>
      </c>
      <c r="BD39" s="56">
        <v>6</v>
      </c>
      <c r="BE39" s="56">
        <v>5</v>
      </c>
      <c r="BF39" s="56">
        <v>6</v>
      </c>
      <c r="BG39" s="56">
        <v>6</v>
      </c>
      <c r="BH39" s="56">
        <v>4</v>
      </c>
      <c r="BI39" s="14">
        <v>4</v>
      </c>
      <c r="BJ39" s="14">
        <v>5</v>
      </c>
      <c r="BK39" s="56"/>
      <c r="BL39" s="56"/>
      <c r="BM39" s="56"/>
      <c r="BN39" s="52"/>
      <c r="BP39" s="100">
        <f t="shared" ref="BP39:BP69" si="36">COUNTIF(AS39:BM39,6)</f>
        <v>5</v>
      </c>
      <c r="BQ39" s="14">
        <f t="shared" si="9"/>
        <v>3</v>
      </c>
      <c r="BR39" s="9">
        <f t="shared" si="25"/>
        <v>3</v>
      </c>
      <c r="BS39" s="100">
        <f t="shared" si="10"/>
        <v>0</v>
      </c>
      <c r="BT39" s="100">
        <f t="shared" si="11"/>
        <v>0</v>
      </c>
      <c r="BU39" s="100">
        <f t="shared" ref="BU39:BU69" si="37">COUNTIF(AS39:BH39,6)</f>
        <v>5</v>
      </c>
      <c r="BV39" s="14">
        <f t="shared" si="12"/>
        <v>3</v>
      </c>
      <c r="BW39" s="9">
        <f t="shared" si="13"/>
        <v>3</v>
      </c>
      <c r="BX39" s="100">
        <f t="shared" si="14"/>
        <v>0</v>
      </c>
      <c r="BY39" s="100">
        <f t="shared" si="15"/>
        <v>0</v>
      </c>
      <c r="CD39" s="134">
        <v>1</v>
      </c>
      <c r="CE39" s="134">
        <v>3</v>
      </c>
      <c r="CF39" s="134">
        <v>2</v>
      </c>
      <c r="CG39" s="134">
        <v>1</v>
      </c>
      <c r="CH39" s="134">
        <v>2</v>
      </c>
      <c r="CI39" s="134">
        <v>2</v>
      </c>
      <c r="CJ39" s="45">
        <v>1</v>
      </c>
      <c r="CK39" s="134">
        <v>4</v>
      </c>
      <c r="CL39" s="134">
        <v>2</v>
      </c>
      <c r="CM39" s="134">
        <v>0</v>
      </c>
      <c r="CN39" s="134">
        <v>3</v>
      </c>
      <c r="CO39" s="134">
        <v>0</v>
      </c>
      <c r="CP39" s="134">
        <v>0</v>
      </c>
      <c r="CQ39" s="134">
        <v>1</v>
      </c>
      <c r="CR39" s="134">
        <v>2</v>
      </c>
      <c r="CS39" s="134">
        <v>1</v>
      </c>
      <c r="CT39" s="134">
        <v>1</v>
      </c>
      <c r="CU39" s="134">
        <v>3</v>
      </c>
      <c r="CV39" s="134">
        <v>1</v>
      </c>
      <c r="CW39" s="134">
        <v>2</v>
      </c>
      <c r="CY39" s="14">
        <f t="shared" si="16"/>
        <v>1</v>
      </c>
      <c r="CZ39" s="14">
        <f t="shared" si="17"/>
        <v>1</v>
      </c>
      <c r="DA39" s="14">
        <f t="shared" si="18"/>
        <v>0</v>
      </c>
      <c r="DB39" s="14">
        <f t="shared" si="19"/>
        <v>0</v>
      </c>
      <c r="DC39" s="14">
        <f t="shared" si="20"/>
        <v>1</v>
      </c>
      <c r="DD39" s="14">
        <f t="shared" si="21"/>
        <v>1</v>
      </c>
      <c r="DE39" s="14">
        <f t="shared" si="22"/>
        <v>0</v>
      </c>
      <c r="DF39" s="14">
        <f t="shared" si="23"/>
        <v>0</v>
      </c>
      <c r="DI39" s="84">
        <v>1</v>
      </c>
      <c r="DJ39" s="45">
        <v>0</v>
      </c>
      <c r="DK39" s="84">
        <v>0</v>
      </c>
      <c r="DL39" s="84">
        <v>1</v>
      </c>
      <c r="DM39" s="84">
        <v>0</v>
      </c>
      <c r="DN39" s="126">
        <v>1</v>
      </c>
      <c r="DO39" s="126">
        <v>2</v>
      </c>
      <c r="DP39" s="126">
        <v>0</v>
      </c>
      <c r="DQ39" s="126">
        <v>1</v>
      </c>
      <c r="DR39" s="126">
        <v>1</v>
      </c>
      <c r="DS39" s="126">
        <v>0</v>
      </c>
      <c r="DT39" s="126">
        <v>2</v>
      </c>
      <c r="DU39" s="126">
        <v>0</v>
      </c>
      <c r="DV39" s="126">
        <v>0</v>
      </c>
      <c r="DW39" s="126">
        <v>1</v>
      </c>
      <c r="DX39" s="126">
        <v>1</v>
      </c>
      <c r="DY39" s="126">
        <v>0</v>
      </c>
      <c r="DZ39" s="126">
        <v>1</v>
      </c>
      <c r="EA39" s="126"/>
      <c r="EB39" s="126"/>
      <c r="EC39" s="126"/>
      <c r="EE39" s="46">
        <f t="shared" si="26"/>
        <v>10</v>
      </c>
      <c r="EF39" s="14">
        <f t="shared" si="27"/>
        <v>8</v>
      </c>
      <c r="EG39" s="14">
        <f t="shared" si="28"/>
        <v>2</v>
      </c>
      <c r="EH39" s="14">
        <f t="shared" si="29"/>
        <v>0</v>
      </c>
      <c r="EI39" s="14">
        <f t="shared" si="30"/>
        <v>0</v>
      </c>
      <c r="EM39" s="46">
        <f t="shared" si="31"/>
        <v>9</v>
      </c>
      <c r="EN39" s="14">
        <f t="shared" si="32"/>
        <v>7</v>
      </c>
      <c r="EO39" s="14">
        <f t="shared" si="33"/>
        <v>2</v>
      </c>
      <c r="EP39" s="14">
        <f t="shared" si="34"/>
        <v>0</v>
      </c>
      <c r="EQ39" s="14">
        <f t="shared" si="35"/>
        <v>0</v>
      </c>
      <c r="EU39" s="11">
        <v>2</v>
      </c>
      <c r="EV39" s="11">
        <f>COUNTIF(EG37:EG107,EU39)</f>
        <v>9</v>
      </c>
      <c r="EW39" s="62">
        <f>EV39/EV51</f>
        <v>0.18</v>
      </c>
      <c r="EZ39" s="131">
        <v>28</v>
      </c>
      <c r="FA39" s="123"/>
      <c r="FB39" s="118"/>
      <c r="FC39" s="118"/>
      <c r="FD39" s="118"/>
      <c r="FE39" s="118"/>
      <c r="FF39" s="123"/>
    </row>
    <row r="40" spans="2:162" ht="18" thickBot="1">
      <c r="B40" s="40"/>
      <c r="D40" s="90">
        <v>3</v>
      </c>
      <c r="E40" s="88">
        <f>COUNTIF(Q36:Q181,D40)</f>
        <v>14</v>
      </c>
      <c r="F40" s="91">
        <f>E40/E49</f>
        <v>0.27450980392156865</v>
      </c>
      <c r="G40" s="90">
        <v>3</v>
      </c>
      <c r="H40" s="11">
        <f>COUNTIF(L36:L181,G40)</f>
        <v>13</v>
      </c>
      <c r="I40" s="91">
        <f>H40/H49</f>
        <v>0.25490196078431371</v>
      </c>
      <c r="K40" s="100">
        <f t="shared" si="0"/>
        <v>5</v>
      </c>
      <c r="L40" s="14">
        <f t="shared" si="1"/>
        <v>3</v>
      </c>
      <c r="M40" s="14">
        <f t="shared" si="24"/>
        <v>0</v>
      </c>
      <c r="N40" s="14">
        <f t="shared" si="2"/>
        <v>0</v>
      </c>
      <c r="O40" s="99">
        <f t="shared" si="3"/>
        <v>3</v>
      </c>
      <c r="P40" s="100">
        <f t="shared" si="4"/>
        <v>4</v>
      </c>
      <c r="Q40" s="14">
        <f t="shared" si="5"/>
        <v>3</v>
      </c>
      <c r="R40" s="14">
        <f t="shared" si="6"/>
        <v>0</v>
      </c>
      <c r="S40" s="14">
        <f t="shared" si="7"/>
        <v>0</v>
      </c>
      <c r="T40" s="99">
        <f t="shared" si="8"/>
        <v>3</v>
      </c>
      <c r="V40" s="56">
        <v>6</v>
      </c>
      <c r="W40" s="56">
        <v>4</v>
      </c>
      <c r="X40" s="56">
        <v>6</v>
      </c>
      <c r="Y40" s="56">
        <v>6</v>
      </c>
      <c r="Z40" s="56">
        <v>6</v>
      </c>
      <c r="AA40" s="56">
        <v>5</v>
      </c>
      <c r="AB40" s="14">
        <v>4</v>
      </c>
      <c r="AC40" s="14">
        <v>4</v>
      </c>
      <c r="AD40" s="56">
        <v>4</v>
      </c>
      <c r="AE40" s="56">
        <v>4</v>
      </c>
      <c r="AF40" s="56">
        <v>3</v>
      </c>
      <c r="AG40" s="14">
        <v>5</v>
      </c>
      <c r="AH40" s="14">
        <v>4</v>
      </c>
      <c r="AI40" s="14">
        <v>4</v>
      </c>
      <c r="AJ40" s="14">
        <v>3</v>
      </c>
      <c r="AK40" s="14">
        <v>3</v>
      </c>
      <c r="AL40" s="11">
        <v>4</v>
      </c>
      <c r="AM40" s="11">
        <v>6</v>
      </c>
      <c r="AN40" s="11">
        <v>4</v>
      </c>
      <c r="AO40" s="14"/>
      <c r="AP40" s="11"/>
      <c r="AS40" s="56">
        <v>6</v>
      </c>
      <c r="AT40" s="56">
        <v>4</v>
      </c>
      <c r="AU40" s="78">
        <v>5</v>
      </c>
      <c r="AV40" s="78">
        <v>6</v>
      </c>
      <c r="AW40" s="78">
        <v>6</v>
      </c>
      <c r="AX40" s="56">
        <v>5</v>
      </c>
      <c r="AY40" s="56">
        <v>4</v>
      </c>
      <c r="AZ40" s="56">
        <v>3</v>
      </c>
      <c r="BA40" s="56">
        <v>4</v>
      </c>
      <c r="BB40" s="56">
        <v>5</v>
      </c>
      <c r="BC40" s="56">
        <v>3</v>
      </c>
      <c r="BD40" s="56">
        <v>5</v>
      </c>
      <c r="BE40" s="56">
        <v>4</v>
      </c>
      <c r="BF40" s="56">
        <v>4</v>
      </c>
      <c r="BG40" s="56">
        <v>3</v>
      </c>
      <c r="BH40" s="56">
        <v>3</v>
      </c>
      <c r="BI40" s="14">
        <v>4</v>
      </c>
      <c r="BJ40" s="14">
        <v>6</v>
      </c>
      <c r="BK40" s="14">
        <v>6</v>
      </c>
      <c r="BL40" s="56"/>
      <c r="BM40" s="56"/>
      <c r="BN40" s="52"/>
      <c r="BP40" s="100">
        <f t="shared" si="36"/>
        <v>5</v>
      </c>
      <c r="BQ40" s="14">
        <f t="shared" si="9"/>
        <v>4</v>
      </c>
      <c r="BR40" s="9">
        <f t="shared" si="25"/>
        <v>4</v>
      </c>
      <c r="BS40" s="100">
        <f t="shared" si="10"/>
        <v>0</v>
      </c>
      <c r="BT40" s="100">
        <f t="shared" si="11"/>
        <v>0</v>
      </c>
      <c r="BU40" s="100">
        <f t="shared" si="37"/>
        <v>3</v>
      </c>
      <c r="BV40" s="14">
        <f t="shared" si="12"/>
        <v>4</v>
      </c>
      <c r="BW40" s="9">
        <f t="shared" si="13"/>
        <v>4</v>
      </c>
      <c r="BX40" s="100">
        <f t="shared" si="14"/>
        <v>0</v>
      </c>
      <c r="BY40" s="100">
        <f t="shared" si="15"/>
        <v>0</v>
      </c>
      <c r="CD40" s="134">
        <v>2</v>
      </c>
      <c r="CE40" s="134">
        <v>1</v>
      </c>
      <c r="CF40" s="134">
        <v>4</v>
      </c>
      <c r="CG40" s="134">
        <v>0</v>
      </c>
      <c r="CH40" s="134">
        <v>2</v>
      </c>
      <c r="CI40" s="134">
        <v>0</v>
      </c>
      <c r="CJ40" s="134">
        <v>1</v>
      </c>
      <c r="CK40" s="45">
        <v>1</v>
      </c>
      <c r="CL40" s="134">
        <v>3</v>
      </c>
      <c r="CM40" s="134">
        <v>0</v>
      </c>
      <c r="CN40" s="134">
        <v>1</v>
      </c>
      <c r="CO40" s="134">
        <v>1</v>
      </c>
      <c r="CP40" s="134">
        <v>1</v>
      </c>
      <c r="CQ40" s="134">
        <v>1</v>
      </c>
      <c r="CR40" s="134">
        <v>2</v>
      </c>
      <c r="CS40" s="134">
        <v>1</v>
      </c>
      <c r="CT40" s="134">
        <v>3</v>
      </c>
      <c r="CU40" s="134">
        <v>1</v>
      </c>
      <c r="CV40" s="134">
        <v>2</v>
      </c>
      <c r="CW40" s="134">
        <v>2</v>
      </c>
      <c r="CY40" s="14">
        <f t="shared" si="16"/>
        <v>1</v>
      </c>
      <c r="CZ40" s="14">
        <f t="shared" si="17"/>
        <v>1</v>
      </c>
      <c r="DA40" s="14">
        <f t="shared" si="18"/>
        <v>0</v>
      </c>
      <c r="DB40" s="14">
        <f t="shared" si="19"/>
        <v>0</v>
      </c>
      <c r="DC40" s="14">
        <f t="shared" si="20"/>
        <v>1</v>
      </c>
      <c r="DD40" s="14">
        <f t="shared" si="21"/>
        <v>1</v>
      </c>
      <c r="DE40" s="14">
        <f t="shared" si="22"/>
        <v>0</v>
      </c>
      <c r="DF40" s="14">
        <f t="shared" si="23"/>
        <v>0</v>
      </c>
      <c r="DI40" s="84">
        <v>0</v>
      </c>
      <c r="DJ40" s="84">
        <v>1</v>
      </c>
      <c r="DK40" s="45">
        <v>0</v>
      </c>
      <c r="DL40" s="84">
        <v>0</v>
      </c>
      <c r="DM40" s="84">
        <v>0</v>
      </c>
      <c r="DN40" s="84">
        <v>1</v>
      </c>
      <c r="DO40" s="126">
        <v>1</v>
      </c>
      <c r="DP40" s="126">
        <v>0</v>
      </c>
      <c r="DQ40" s="126">
        <v>0</v>
      </c>
      <c r="DR40" s="126">
        <v>1</v>
      </c>
      <c r="DS40" s="126">
        <v>0</v>
      </c>
      <c r="DT40" s="126">
        <v>1</v>
      </c>
      <c r="DU40" s="126">
        <v>0</v>
      </c>
      <c r="DV40" s="126">
        <v>0</v>
      </c>
      <c r="DW40" s="126">
        <v>0</v>
      </c>
      <c r="DX40" s="126">
        <v>0</v>
      </c>
      <c r="DY40" s="126">
        <v>0</v>
      </c>
      <c r="DZ40" s="126">
        <v>0</v>
      </c>
      <c r="EA40" s="126">
        <v>2</v>
      </c>
      <c r="EB40" s="126"/>
      <c r="EC40" s="126"/>
      <c r="EE40" s="46">
        <f t="shared" si="26"/>
        <v>6</v>
      </c>
      <c r="EF40" s="14">
        <f t="shared" si="27"/>
        <v>5</v>
      </c>
      <c r="EG40" s="14">
        <f t="shared" si="28"/>
        <v>1</v>
      </c>
      <c r="EH40" s="14">
        <f t="shared" si="29"/>
        <v>0</v>
      </c>
      <c r="EI40" s="14">
        <f t="shared" si="30"/>
        <v>0</v>
      </c>
      <c r="EM40" s="46">
        <f t="shared" si="31"/>
        <v>5</v>
      </c>
      <c r="EN40" s="14">
        <f t="shared" si="32"/>
        <v>5</v>
      </c>
      <c r="EO40" s="14">
        <f t="shared" si="33"/>
        <v>0</v>
      </c>
      <c r="EP40" s="14">
        <f t="shared" si="34"/>
        <v>0</v>
      </c>
      <c r="EQ40" s="14">
        <f t="shared" si="35"/>
        <v>0</v>
      </c>
      <c r="EU40" s="11">
        <v>3</v>
      </c>
      <c r="EV40" s="11">
        <f>COUNTIF(EG37:EG107,EU40)</f>
        <v>2</v>
      </c>
      <c r="EW40" s="62">
        <f>EV40/EV51</f>
        <v>0.04</v>
      </c>
      <c r="EZ40" s="131">
        <v>29</v>
      </c>
      <c r="FA40" s="123"/>
      <c r="FB40" s="118"/>
      <c r="FC40" s="118"/>
      <c r="FD40" s="118"/>
      <c r="FE40" s="118"/>
      <c r="FF40" s="123"/>
    </row>
    <row r="41" spans="2:162" ht="18" thickBot="1">
      <c r="B41" s="86"/>
      <c r="D41" s="90">
        <v>4</v>
      </c>
      <c r="E41" s="88">
        <f>COUNTIF(Q36:Q181,D41)</f>
        <v>13</v>
      </c>
      <c r="F41" s="91">
        <f>E41/E49</f>
        <v>0.25490196078431371</v>
      </c>
      <c r="G41" s="90">
        <v>4</v>
      </c>
      <c r="H41" s="11">
        <f>COUNTIF(L36:L181,G41)</f>
        <v>15</v>
      </c>
      <c r="I41" s="91">
        <f>H41/H49</f>
        <v>0.29411764705882354</v>
      </c>
      <c r="K41" s="100">
        <f t="shared" si="0"/>
        <v>5</v>
      </c>
      <c r="L41" s="14">
        <f t="shared" si="1"/>
        <v>1</v>
      </c>
      <c r="M41" s="14">
        <f t="shared" si="24"/>
        <v>0</v>
      </c>
      <c r="N41" s="14">
        <f t="shared" si="2"/>
        <v>0</v>
      </c>
      <c r="O41" s="99">
        <f t="shared" si="3"/>
        <v>1</v>
      </c>
      <c r="P41" s="100">
        <f t="shared" si="4"/>
        <v>5</v>
      </c>
      <c r="Q41" s="14">
        <f t="shared" si="5"/>
        <v>1</v>
      </c>
      <c r="R41" s="14">
        <f t="shared" si="6"/>
        <v>0</v>
      </c>
      <c r="S41" s="14">
        <f t="shared" si="7"/>
        <v>0</v>
      </c>
      <c r="T41" s="99">
        <f t="shared" si="8"/>
        <v>1</v>
      </c>
      <c r="V41" s="56">
        <v>6</v>
      </c>
      <c r="W41" s="56">
        <v>6</v>
      </c>
      <c r="X41" s="56">
        <v>6</v>
      </c>
      <c r="Y41" s="56">
        <v>4</v>
      </c>
      <c r="Z41" s="56">
        <v>6</v>
      </c>
      <c r="AA41" s="56">
        <v>4</v>
      </c>
      <c r="AB41" s="84">
        <v>5</v>
      </c>
      <c r="AC41" s="14">
        <v>5</v>
      </c>
      <c r="AD41" s="56">
        <v>3</v>
      </c>
      <c r="AE41" s="56">
        <v>5</v>
      </c>
      <c r="AF41" s="56">
        <v>5</v>
      </c>
      <c r="AG41" s="14">
        <v>0</v>
      </c>
      <c r="AH41" s="14">
        <v>4</v>
      </c>
      <c r="AI41" s="14">
        <v>6</v>
      </c>
      <c r="AJ41" s="14">
        <v>5</v>
      </c>
      <c r="AK41" s="14">
        <v>4</v>
      </c>
      <c r="AL41" s="11">
        <v>4</v>
      </c>
      <c r="AM41" s="11">
        <v>5</v>
      </c>
      <c r="AN41" s="11">
        <v>5</v>
      </c>
      <c r="AO41" s="11">
        <v>5</v>
      </c>
      <c r="AP41" s="11"/>
      <c r="AS41" s="56">
        <v>6</v>
      </c>
      <c r="AT41" s="56">
        <v>6</v>
      </c>
      <c r="AU41" s="56">
        <v>6</v>
      </c>
      <c r="AV41" s="78">
        <v>3</v>
      </c>
      <c r="AW41" s="78">
        <v>5</v>
      </c>
      <c r="AX41" s="78">
        <v>4</v>
      </c>
      <c r="AY41" s="56">
        <v>4</v>
      </c>
      <c r="AZ41" s="56">
        <v>5</v>
      </c>
      <c r="BA41" s="56">
        <v>6</v>
      </c>
      <c r="BB41" s="56">
        <v>6</v>
      </c>
      <c r="BC41" s="56">
        <v>5</v>
      </c>
      <c r="BD41" s="56">
        <v>3</v>
      </c>
      <c r="BE41" s="56">
        <v>6</v>
      </c>
      <c r="BF41" s="56">
        <v>6</v>
      </c>
      <c r="BG41" s="56">
        <v>5</v>
      </c>
      <c r="BH41" s="56">
        <v>4</v>
      </c>
      <c r="BI41" s="14">
        <v>4</v>
      </c>
      <c r="BJ41" s="14">
        <v>5</v>
      </c>
      <c r="BK41" s="14">
        <v>5</v>
      </c>
      <c r="BL41" s="14">
        <v>5</v>
      </c>
      <c r="BM41" s="56"/>
      <c r="BN41" s="52"/>
      <c r="BP41" s="100">
        <f t="shared" si="36"/>
        <v>7</v>
      </c>
      <c r="BQ41" s="14">
        <f t="shared" si="9"/>
        <v>2</v>
      </c>
      <c r="BR41" s="9">
        <f t="shared" si="25"/>
        <v>2</v>
      </c>
      <c r="BS41" s="100">
        <f t="shared" si="10"/>
        <v>0</v>
      </c>
      <c r="BT41" s="100">
        <f t="shared" si="11"/>
        <v>0</v>
      </c>
      <c r="BU41" s="100">
        <f t="shared" si="37"/>
        <v>7</v>
      </c>
      <c r="BV41" s="14">
        <f t="shared" si="12"/>
        <v>2</v>
      </c>
      <c r="BW41" s="9">
        <f t="shared" si="13"/>
        <v>2</v>
      </c>
      <c r="BX41" s="100">
        <f t="shared" si="14"/>
        <v>0</v>
      </c>
      <c r="BY41" s="100">
        <f t="shared" si="15"/>
        <v>0</v>
      </c>
      <c r="CD41" s="134">
        <v>2</v>
      </c>
      <c r="CE41" s="134">
        <v>2</v>
      </c>
      <c r="CF41" s="134">
        <v>2</v>
      </c>
      <c r="CG41" s="134">
        <v>0</v>
      </c>
      <c r="CH41" s="134">
        <v>3</v>
      </c>
      <c r="CI41" s="134">
        <v>2</v>
      </c>
      <c r="CJ41" s="134">
        <v>0</v>
      </c>
      <c r="CK41" s="134">
        <v>2</v>
      </c>
      <c r="CL41" s="45">
        <v>1</v>
      </c>
      <c r="CM41" s="134">
        <v>1</v>
      </c>
      <c r="CN41" s="134">
        <v>2</v>
      </c>
      <c r="CO41" s="134">
        <v>1</v>
      </c>
      <c r="CP41" s="134">
        <v>2</v>
      </c>
      <c r="CQ41" s="134">
        <v>2</v>
      </c>
      <c r="CR41" s="134">
        <v>1</v>
      </c>
      <c r="CS41" s="134">
        <v>3</v>
      </c>
      <c r="CT41" s="134">
        <v>4</v>
      </c>
      <c r="CU41" s="134">
        <v>4</v>
      </c>
      <c r="CV41" s="134">
        <v>3</v>
      </c>
      <c r="CW41" s="134">
        <v>1</v>
      </c>
      <c r="CY41" s="14">
        <f t="shared" si="16"/>
        <v>2</v>
      </c>
      <c r="CZ41" s="14">
        <f t="shared" si="17"/>
        <v>2</v>
      </c>
      <c r="DA41" s="14">
        <f t="shared" si="18"/>
        <v>0</v>
      </c>
      <c r="DB41" s="14">
        <f t="shared" si="19"/>
        <v>0</v>
      </c>
      <c r="DC41" s="14">
        <f t="shared" si="20"/>
        <v>0</v>
      </c>
      <c r="DD41" s="14">
        <f t="shared" si="21"/>
        <v>0</v>
      </c>
      <c r="DE41" s="14">
        <f t="shared" si="22"/>
        <v>0</v>
      </c>
      <c r="DF41" s="14">
        <f t="shared" si="23"/>
        <v>0</v>
      </c>
      <c r="DI41" s="84">
        <v>0</v>
      </c>
      <c r="DJ41" s="84">
        <v>0</v>
      </c>
      <c r="DK41" s="84">
        <v>0</v>
      </c>
      <c r="DL41" s="45">
        <v>0</v>
      </c>
      <c r="DM41" s="84">
        <v>0</v>
      </c>
      <c r="DN41" s="84">
        <v>1</v>
      </c>
      <c r="DO41" s="84">
        <v>0</v>
      </c>
      <c r="DP41" s="126">
        <v>1</v>
      </c>
      <c r="DQ41" s="126">
        <v>3</v>
      </c>
      <c r="DR41" s="126">
        <v>1</v>
      </c>
      <c r="DS41" s="126">
        <v>0</v>
      </c>
      <c r="DT41" s="126">
        <v>3</v>
      </c>
      <c r="DU41" s="126">
        <v>2</v>
      </c>
      <c r="DV41" s="126">
        <v>0</v>
      </c>
      <c r="DW41" s="126">
        <v>0</v>
      </c>
      <c r="DX41" s="126">
        <v>0</v>
      </c>
      <c r="DY41" s="126">
        <v>0</v>
      </c>
      <c r="DZ41" s="126">
        <v>0</v>
      </c>
      <c r="EA41" s="126">
        <v>0</v>
      </c>
      <c r="EB41" s="126">
        <v>0</v>
      </c>
      <c r="EC41" s="126"/>
      <c r="EE41" s="46">
        <f t="shared" si="26"/>
        <v>6</v>
      </c>
      <c r="EF41" s="14">
        <f t="shared" si="27"/>
        <v>3</v>
      </c>
      <c r="EG41" s="14">
        <f t="shared" si="28"/>
        <v>1</v>
      </c>
      <c r="EH41" s="14">
        <f t="shared" si="29"/>
        <v>2</v>
      </c>
      <c r="EI41" s="14">
        <f t="shared" si="30"/>
        <v>0</v>
      </c>
      <c r="EM41" s="46">
        <f t="shared" si="31"/>
        <v>6</v>
      </c>
      <c r="EN41" s="14">
        <f t="shared" si="32"/>
        <v>3</v>
      </c>
      <c r="EO41" s="14">
        <f t="shared" si="33"/>
        <v>1</v>
      </c>
      <c r="EP41" s="14">
        <f t="shared" si="34"/>
        <v>2</v>
      </c>
      <c r="EQ41" s="14">
        <f t="shared" si="35"/>
        <v>0</v>
      </c>
      <c r="EU41" s="11">
        <v>4</v>
      </c>
      <c r="EV41" s="11">
        <f>COUNTIF(EG37:EG107,EU41)</f>
        <v>0</v>
      </c>
      <c r="EW41" s="62">
        <f>EV41/EV51</f>
        <v>0</v>
      </c>
      <c r="EZ41" s="131">
        <v>31</v>
      </c>
      <c r="FA41" s="123"/>
      <c r="FB41" s="118"/>
      <c r="FC41" s="118"/>
      <c r="FD41" s="118"/>
      <c r="FE41" s="118"/>
      <c r="FF41" s="123"/>
    </row>
    <row r="42" spans="2:162" ht="18" thickBot="1">
      <c r="B42" s="86"/>
      <c r="D42" s="90">
        <v>5</v>
      </c>
      <c r="E42" s="88">
        <f>COUNTIF(Q36:Q181,D42)</f>
        <v>4</v>
      </c>
      <c r="F42" s="91">
        <f>E42/E49</f>
        <v>7.8431372549019607E-2</v>
      </c>
      <c r="G42" s="90">
        <v>5</v>
      </c>
      <c r="H42" s="11">
        <f>COUNTIF(L36:L181,G42)</f>
        <v>4</v>
      </c>
      <c r="I42" s="91">
        <f>H42/H49</f>
        <v>7.8431372549019607E-2</v>
      </c>
      <c r="K42" s="100">
        <f t="shared" si="0"/>
        <v>4</v>
      </c>
      <c r="L42" s="14">
        <f t="shared" si="1"/>
        <v>3</v>
      </c>
      <c r="M42" s="14">
        <f t="shared" si="24"/>
        <v>0</v>
      </c>
      <c r="N42" s="14">
        <f t="shared" si="2"/>
        <v>0</v>
      </c>
      <c r="O42" s="99">
        <f t="shared" si="3"/>
        <v>3</v>
      </c>
      <c r="P42" s="100">
        <f t="shared" si="4"/>
        <v>3</v>
      </c>
      <c r="Q42" s="14">
        <f t="shared" si="5"/>
        <v>3</v>
      </c>
      <c r="R42" s="14">
        <f t="shared" si="6"/>
        <v>0</v>
      </c>
      <c r="S42" s="14">
        <f t="shared" si="7"/>
        <v>0</v>
      </c>
      <c r="T42" s="99">
        <f t="shared" si="8"/>
        <v>3</v>
      </c>
      <c r="V42" s="56">
        <v>4</v>
      </c>
      <c r="W42" s="56">
        <v>6</v>
      </c>
      <c r="X42" s="56">
        <v>6</v>
      </c>
      <c r="Y42" s="56">
        <v>4</v>
      </c>
      <c r="Z42" s="56">
        <v>5</v>
      </c>
      <c r="AA42" s="56">
        <v>5</v>
      </c>
      <c r="AB42" s="84">
        <v>6</v>
      </c>
      <c r="AC42" s="84">
        <v>5</v>
      </c>
      <c r="AD42" s="56">
        <v>5</v>
      </c>
      <c r="AE42" s="56">
        <v>3</v>
      </c>
      <c r="AF42" s="56">
        <v>5</v>
      </c>
      <c r="AG42" s="14">
        <v>3</v>
      </c>
      <c r="AH42" s="14">
        <v>3</v>
      </c>
      <c r="AI42" s="14">
        <v>5</v>
      </c>
      <c r="AJ42" s="14">
        <v>5</v>
      </c>
      <c r="AK42" s="14">
        <v>4</v>
      </c>
      <c r="AL42" s="11">
        <v>4</v>
      </c>
      <c r="AM42" s="11">
        <v>5</v>
      </c>
      <c r="AN42" s="11">
        <v>4</v>
      </c>
      <c r="AO42" s="11">
        <v>4</v>
      </c>
      <c r="AP42" s="11">
        <v>6</v>
      </c>
      <c r="AS42" s="56">
        <v>3</v>
      </c>
      <c r="AT42" s="78">
        <v>5</v>
      </c>
      <c r="AU42" s="56">
        <v>6</v>
      </c>
      <c r="AV42" s="56">
        <v>4</v>
      </c>
      <c r="AW42" s="78">
        <v>5</v>
      </c>
      <c r="AX42" s="78">
        <v>5</v>
      </c>
      <c r="AY42" s="78">
        <v>5</v>
      </c>
      <c r="AZ42" s="56">
        <v>4</v>
      </c>
      <c r="BA42" s="56">
        <v>5</v>
      </c>
      <c r="BB42" s="56">
        <v>4</v>
      </c>
      <c r="BC42" s="56">
        <v>6</v>
      </c>
      <c r="BD42" s="56">
        <v>4</v>
      </c>
      <c r="BE42" s="56">
        <v>4</v>
      </c>
      <c r="BF42" s="56">
        <v>5</v>
      </c>
      <c r="BG42" s="56">
        <v>6</v>
      </c>
      <c r="BH42" s="56">
        <v>4</v>
      </c>
      <c r="BI42" s="14">
        <v>4</v>
      </c>
      <c r="BJ42" s="14">
        <v>6</v>
      </c>
      <c r="BK42" s="14">
        <v>4</v>
      </c>
      <c r="BL42" s="14">
        <v>4</v>
      </c>
      <c r="BM42" s="14">
        <v>6</v>
      </c>
      <c r="BN42" s="52"/>
      <c r="BP42" s="100">
        <f t="shared" si="36"/>
        <v>5</v>
      </c>
      <c r="BQ42" s="14">
        <f t="shared" si="9"/>
        <v>1</v>
      </c>
      <c r="BR42" s="9">
        <f t="shared" si="25"/>
        <v>1</v>
      </c>
      <c r="BS42" s="100">
        <f t="shared" si="10"/>
        <v>0</v>
      </c>
      <c r="BT42" s="100">
        <f t="shared" si="11"/>
        <v>0</v>
      </c>
      <c r="BU42" s="100">
        <f t="shared" si="37"/>
        <v>3</v>
      </c>
      <c r="BV42" s="14">
        <f t="shared" si="12"/>
        <v>1</v>
      </c>
      <c r="BW42" s="9">
        <f t="shared" si="13"/>
        <v>1</v>
      </c>
      <c r="BX42" s="100">
        <f t="shared" si="14"/>
        <v>0</v>
      </c>
      <c r="BY42" s="100">
        <f t="shared" si="15"/>
        <v>0</v>
      </c>
      <c r="CD42" s="134">
        <v>1</v>
      </c>
      <c r="CE42" s="134">
        <v>2</v>
      </c>
      <c r="CF42" s="134">
        <v>2</v>
      </c>
      <c r="CG42" s="134">
        <v>2</v>
      </c>
      <c r="CH42" s="134">
        <v>2</v>
      </c>
      <c r="CI42" s="134">
        <v>2</v>
      </c>
      <c r="CJ42" s="134">
        <v>3</v>
      </c>
      <c r="CK42" s="134">
        <v>2</v>
      </c>
      <c r="CL42" s="134">
        <v>3</v>
      </c>
      <c r="CM42" s="45">
        <v>2</v>
      </c>
      <c r="CN42" s="134">
        <v>3</v>
      </c>
      <c r="CO42" s="134">
        <v>1</v>
      </c>
      <c r="CP42" s="134">
        <v>1</v>
      </c>
      <c r="CQ42" s="134">
        <v>3</v>
      </c>
      <c r="CR42" s="134">
        <v>1</v>
      </c>
      <c r="CS42" s="134">
        <v>2</v>
      </c>
      <c r="CT42" s="134">
        <v>2</v>
      </c>
      <c r="CU42" s="134">
        <v>0</v>
      </c>
      <c r="CV42" s="134">
        <v>1</v>
      </c>
      <c r="CW42" s="134">
        <v>0</v>
      </c>
      <c r="CY42" s="14">
        <f t="shared" si="16"/>
        <v>0</v>
      </c>
      <c r="CZ42" s="14">
        <f t="shared" si="17"/>
        <v>0</v>
      </c>
      <c r="DA42" s="14">
        <f t="shared" si="18"/>
        <v>0</v>
      </c>
      <c r="DB42" s="14">
        <f t="shared" si="19"/>
        <v>0</v>
      </c>
      <c r="DC42" s="14">
        <f t="shared" si="20"/>
        <v>0</v>
      </c>
      <c r="DD42" s="14">
        <f t="shared" si="21"/>
        <v>0</v>
      </c>
      <c r="DE42" s="14">
        <f t="shared" si="22"/>
        <v>0</v>
      </c>
      <c r="DF42" s="14">
        <f t="shared" si="23"/>
        <v>0</v>
      </c>
      <c r="DI42" s="84">
        <v>0</v>
      </c>
      <c r="DJ42" s="84">
        <v>0</v>
      </c>
      <c r="DK42" s="84">
        <v>0</v>
      </c>
      <c r="DL42" s="84">
        <v>1</v>
      </c>
      <c r="DM42" s="45">
        <v>0</v>
      </c>
      <c r="DN42" s="84">
        <v>0</v>
      </c>
      <c r="DO42" s="84">
        <v>0</v>
      </c>
      <c r="DP42" s="84">
        <v>0</v>
      </c>
      <c r="DQ42" s="126">
        <v>0</v>
      </c>
      <c r="DR42" s="126">
        <v>1</v>
      </c>
      <c r="DS42" s="126">
        <v>1</v>
      </c>
      <c r="DT42" s="126">
        <v>1</v>
      </c>
      <c r="DU42" s="126">
        <v>1</v>
      </c>
      <c r="DV42" s="126">
        <v>0</v>
      </c>
      <c r="DW42" s="126">
        <v>1</v>
      </c>
      <c r="DX42" s="126">
        <v>0</v>
      </c>
      <c r="DY42" s="126">
        <v>0</v>
      </c>
      <c r="DZ42" s="126">
        <v>1</v>
      </c>
      <c r="EA42" s="126">
        <v>0</v>
      </c>
      <c r="EB42" s="126">
        <v>0</v>
      </c>
      <c r="EC42" s="126">
        <v>0</v>
      </c>
      <c r="EE42" s="46">
        <f>SUM(EF42:EI42)</f>
        <v>7</v>
      </c>
      <c r="EF42" s="14">
        <f t="shared" si="27"/>
        <v>7</v>
      </c>
      <c r="EG42" s="14">
        <f t="shared" si="28"/>
        <v>0</v>
      </c>
      <c r="EH42" s="14">
        <f t="shared" si="29"/>
        <v>0</v>
      </c>
      <c r="EI42" s="14">
        <f t="shared" si="30"/>
        <v>0</v>
      </c>
      <c r="EM42" s="46">
        <f t="shared" si="31"/>
        <v>6</v>
      </c>
      <c r="EN42" s="14">
        <f t="shared" si="32"/>
        <v>6</v>
      </c>
      <c r="EO42" s="14">
        <f t="shared" si="33"/>
        <v>0</v>
      </c>
      <c r="EP42" s="14">
        <f t="shared" si="34"/>
        <v>0</v>
      </c>
      <c r="EQ42" s="14">
        <f t="shared" si="35"/>
        <v>0</v>
      </c>
      <c r="EU42" s="11">
        <v>5</v>
      </c>
      <c r="EV42" s="11">
        <f>COUNTIF(EG37:EG107,EU42)</f>
        <v>0</v>
      </c>
      <c r="EW42" s="62">
        <f>EV42/EV51</f>
        <v>0</v>
      </c>
      <c r="EZ42" s="131">
        <v>32</v>
      </c>
      <c r="FA42" s="123"/>
      <c r="FB42" s="118"/>
      <c r="FC42" s="118"/>
      <c r="FD42" s="118"/>
      <c r="FE42" s="118"/>
      <c r="FF42" s="123"/>
    </row>
    <row r="43" spans="2:162" ht="18" thickBot="1">
      <c r="B43" s="86"/>
      <c r="D43" s="90">
        <v>6</v>
      </c>
      <c r="E43" s="88">
        <f>COUNTIF(Q36:Q181,D43)</f>
        <v>4</v>
      </c>
      <c r="F43" s="91">
        <f>E43/E49</f>
        <v>7.8431372549019607E-2</v>
      </c>
      <c r="G43" s="90">
        <v>6</v>
      </c>
      <c r="H43" s="11">
        <f>COUNTIF(L36:L181,G43)</f>
        <v>6</v>
      </c>
      <c r="I43" s="91">
        <f>H43/H49</f>
        <v>0.11764705882352941</v>
      </c>
      <c r="K43" s="100">
        <f t="shared" si="0"/>
        <v>8</v>
      </c>
      <c r="L43" s="14">
        <f t="shared" si="1"/>
        <v>4</v>
      </c>
      <c r="M43" s="14">
        <f t="shared" si="24"/>
        <v>0</v>
      </c>
      <c r="N43" s="14">
        <f t="shared" si="2"/>
        <v>1</v>
      </c>
      <c r="O43" s="99">
        <f t="shared" si="3"/>
        <v>3</v>
      </c>
      <c r="P43" s="100">
        <f t="shared" si="4"/>
        <v>8</v>
      </c>
      <c r="Q43" s="14">
        <f t="shared" si="5"/>
        <v>3</v>
      </c>
      <c r="R43" s="14">
        <f t="shared" si="6"/>
        <v>0</v>
      </c>
      <c r="S43" s="14">
        <f t="shared" si="7"/>
        <v>1</v>
      </c>
      <c r="T43" s="99">
        <f t="shared" si="8"/>
        <v>2</v>
      </c>
      <c r="V43" s="56">
        <v>6</v>
      </c>
      <c r="W43" s="56">
        <v>6</v>
      </c>
      <c r="X43" s="56">
        <v>6</v>
      </c>
      <c r="Y43" s="56">
        <v>6</v>
      </c>
      <c r="Z43" s="56">
        <v>6</v>
      </c>
      <c r="AA43" s="56">
        <v>3</v>
      </c>
      <c r="AB43" s="84">
        <v>6</v>
      </c>
      <c r="AC43" s="84">
        <v>6</v>
      </c>
      <c r="AD43" s="56">
        <v>4</v>
      </c>
      <c r="AE43" s="56">
        <v>4</v>
      </c>
      <c r="AF43" s="56">
        <v>2</v>
      </c>
      <c r="AG43" s="14">
        <v>4</v>
      </c>
      <c r="AH43" s="14">
        <v>4</v>
      </c>
      <c r="AI43" s="14">
        <v>5</v>
      </c>
      <c r="AJ43" s="14">
        <v>6</v>
      </c>
      <c r="AK43" s="14">
        <v>3</v>
      </c>
      <c r="AL43" s="11">
        <v>3</v>
      </c>
      <c r="AM43" s="11">
        <v>4</v>
      </c>
      <c r="AN43" s="11">
        <v>4</v>
      </c>
      <c r="AO43" s="11">
        <v>4</v>
      </c>
      <c r="AP43" s="11">
        <v>4</v>
      </c>
      <c r="AS43" s="45">
        <v>5</v>
      </c>
      <c r="AT43" s="78">
        <v>6</v>
      </c>
      <c r="AU43" s="56">
        <v>4</v>
      </c>
      <c r="AV43" s="56">
        <v>6</v>
      </c>
      <c r="AW43" s="56">
        <v>6</v>
      </c>
      <c r="AX43" s="78">
        <v>4</v>
      </c>
      <c r="AY43" s="78">
        <v>6</v>
      </c>
      <c r="AZ43" s="56">
        <v>5</v>
      </c>
      <c r="BA43" s="56">
        <v>5</v>
      </c>
      <c r="BB43" s="56">
        <v>4</v>
      </c>
      <c r="BC43" s="56">
        <v>3</v>
      </c>
      <c r="BD43" s="56">
        <v>4</v>
      </c>
      <c r="BE43" s="56">
        <v>4</v>
      </c>
      <c r="BF43" s="56">
        <v>5</v>
      </c>
      <c r="BG43" s="56">
        <v>6</v>
      </c>
      <c r="BH43" s="56">
        <v>4</v>
      </c>
      <c r="BI43" s="14">
        <v>4</v>
      </c>
      <c r="BJ43" s="14">
        <v>5</v>
      </c>
      <c r="BK43" s="14">
        <v>4</v>
      </c>
      <c r="BL43" s="14">
        <v>4</v>
      </c>
      <c r="BM43" s="14">
        <v>5</v>
      </c>
      <c r="BN43" s="52"/>
      <c r="BP43" s="100">
        <f t="shared" si="36"/>
        <v>5</v>
      </c>
      <c r="BQ43" s="14">
        <f t="shared" si="9"/>
        <v>1</v>
      </c>
      <c r="BR43" s="9">
        <f t="shared" si="25"/>
        <v>1</v>
      </c>
      <c r="BS43" s="100">
        <f t="shared" si="10"/>
        <v>0</v>
      </c>
      <c r="BT43" s="100">
        <f t="shared" si="11"/>
        <v>0</v>
      </c>
      <c r="BU43" s="100">
        <f t="shared" si="37"/>
        <v>5</v>
      </c>
      <c r="BV43" s="14">
        <f t="shared" si="12"/>
        <v>1</v>
      </c>
      <c r="BW43" s="9">
        <f t="shared" si="13"/>
        <v>1</v>
      </c>
      <c r="BX43" s="100">
        <f t="shared" si="14"/>
        <v>0</v>
      </c>
      <c r="BY43" s="100">
        <f t="shared" si="15"/>
        <v>0</v>
      </c>
      <c r="CD43" s="134">
        <v>0</v>
      </c>
      <c r="CE43" s="134">
        <v>3</v>
      </c>
      <c r="CF43" s="134">
        <v>1</v>
      </c>
      <c r="CG43" s="134">
        <v>1</v>
      </c>
      <c r="CH43" s="134">
        <v>1</v>
      </c>
      <c r="CI43" s="134">
        <v>1</v>
      </c>
      <c r="CJ43" s="134">
        <v>3</v>
      </c>
      <c r="CK43" s="134">
        <v>2</v>
      </c>
      <c r="CL43" s="134">
        <v>0</v>
      </c>
      <c r="CM43" s="134">
        <v>2</v>
      </c>
      <c r="CN43" s="45">
        <v>2</v>
      </c>
      <c r="CO43" s="134">
        <v>1</v>
      </c>
      <c r="CP43" s="134">
        <v>2</v>
      </c>
      <c r="CQ43" s="134">
        <v>1</v>
      </c>
      <c r="CR43" s="134">
        <v>2</v>
      </c>
      <c r="CS43" s="134">
        <v>2</v>
      </c>
      <c r="CT43" s="134">
        <v>2</v>
      </c>
      <c r="CU43" s="134">
        <v>3</v>
      </c>
      <c r="CV43" s="134">
        <v>4</v>
      </c>
      <c r="CW43" s="134">
        <v>2</v>
      </c>
      <c r="CY43" s="14">
        <f t="shared" si="16"/>
        <v>1</v>
      </c>
      <c r="CZ43" s="14">
        <f t="shared" si="17"/>
        <v>1</v>
      </c>
      <c r="DA43" s="14">
        <f t="shared" si="18"/>
        <v>0</v>
      </c>
      <c r="DB43" s="14">
        <f t="shared" si="19"/>
        <v>0</v>
      </c>
      <c r="DC43" s="14">
        <f t="shared" si="20"/>
        <v>0</v>
      </c>
      <c r="DD43" s="14">
        <f t="shared" si="21"/>
        <v>0</v>
      </c>
      <c r="DE43" s="14">
        <f t="shared" si="22"/>
        <v>0</v>
      </c>
      <c r="DF43" s="14">
        <f t="shared" si="23"/>
        <v>0</v>
      </c>
      <c r="DI43" s="84">
        <v>0</v>
      </c>
      <c r="DJ43" s="84">
        <v>0</v>
      </c>
      <c r="DK43" s="84">
        <v>0</v>
      </c>
      <c r="DL43" s="84">
        <v>0</v>
      </c>
      <c r="DM43" s="84">
        <v>0</v>
      </c>
      <c r="DN43" s="45">
        <v>1</v>
      </c>
      <c r="DO43" s="84">
        <v>0</v>
      </c>
      <c r="DP43" s="84">
        <v>0</v>
      </c>
      <c r="DQ43" s="84">
        <v>1</v>
      </c>
      <c r="DR43" s="126">
        <v>0</v>
      </c>
      <c r="DS43" s="126">
        <v>1</v>
      </c>
      <c r="DT43" s="126">
        <v>0</v>
      </c>
      <c r="DU43" s="126">
        <v>0</v>
      </c>
      <c r="DV43" s="126">
        <v>0</v>
      </c>
      <c r="DW43" s="126">
        <v>0</v>
      </c>
      <c r="DX43" s="126">
        <v>1</v>
      </c>
      <c r="DY43" s="126">
        <v>1</v>
      </c>
      <c r="DZ43" s="126">
        <v>1</v>
      </c>
      <c r="EA43" s="126">
        <v>0</v>
      </c>
      <c r="EB43" s="126">
        <v>0</v>
      </c>
      <c r="EC43" s="126">
        <v>1</v>
      </c>
      <c r="EE43" s="46">
        <f t="shared" si="26"/>
        <v>7</v>
      </c>
      <c r="EF43" s="14">
        <f t="shared" si="27"/>
        <v>7</v>
      </c>
      <c r="EG43" s="14">
        <f t="shared" si="28"/>
        <v>0</v>
      </c>
      <c r="EH43" s="14">
        <f t="shared" si="29"/>
        <v>0</v>
      </c>
      <c r="EI43" s="14">
        <f t="shared" si="30"/>
        <v>0</v>
      </c>
      <c r="EM43" s="46">
        <f t="shared" si="31"/>
        <v>4</v>
      </c>
      <c r="EN43" s="14">
        <f t="shared" si="32"/>
        <v>4</v>
      </c>
      <c r="EO43" s="14">
        <f t="shared" si="33"/>
        <v>0</v>
      </c>
      <c r="EP43" s="14">
        <f t="shared" si="34"/>
        <v>0</v>
      </c>
      <c r="EQ43" s="14">
        <f t="shared" si="35"/>
        <v>0</v>
      </c>
      <c r="EU43" s="11">
        <v>6</v>
      </c>
      <c r="EV43" s="11">
        <f>COUNTIF(EG37:EG107,EU43)</f>
        <v>0</v>
      </c>
      <c r="EW43" s="62">
        <f>EV43/EV51</f>
        <v>0</v>
      </c>
      <c r="EZ43" s="131">
        <v>35</v>
      </c>
      <c r="FA43" s="123"/>
      <c r="FB43" s="118"/>
      <c r="FC43" s="118"/>
      <c r="FD43" s="118"/>
      <c r="FE43" s="118"/>
      <c r="FF43" s="123"/>
    </row>
    <row r="44" spans="2:162" ht="18" thickBot="1">
      <c r="B44" s="40"/>
      <c r="D44" s="90">
        <v>7</v>
      </c>
      <c r="E44" s="88">
        <f>COUNTIF(Q36:Q181,D44)</f>
        <v>0</v>
      </c>
      <c r="F44" s="91">
        <f>E44/E49</f>
        <v>0</v>
      </c>
      <c r="G44" s="90">
        <v>7</v>
      </c>
      <c r="H44" s="11">
        <f>COUNTIF(L36:L181,G44)</f>
        <v>4</v>
      </c>
      <c r="I44" s="91">
        <f>H44/H49</f>
        <v>7.8431372549019607E-2</v>
      </c>
      <c r="K44" s="100">
        <f t="shared" si="0"/>
        <v>5</v>
      </c>
      <c r="L44" s="14">
        <f t="shared" si="1"/>
        <v>5</v>
      </c>
      <c r="M44" s="14">
        <f t="shared" si="24"/>
        <v>0</v>
      </c>
      <c r="N44" s="14">
        <f t="shared" si="2"/>
        <v>2</v>
      </c>
      <c r="O44" s="99">
        <f t="shared" si="3"/>
        <v>3</v>
      </c>
      <c r="P44" s="100">
        <f t="shared" si="4"/>
        <v>5</v>
      </c>
      <c r="Q44" s="14">
        <f t="shared" si="5"/>
        <v>4</v>
      </c>
      <c r="R44" s="14">
        <f t="shared" si="6"/>
        <v>0</v>
      </c>
      <c r="S44" s="14">
        <f t="shared" si="7"/>
        <v>1</v>
      </c>
      <c r="T44" s="99">
        <f t="shared" si="8"/>
        <v>3</v>
      </c>
      <c r="V44" s="56">
        <v>5</v>
      </c>
      <c r="W44" s="56">
        <v>5</v>
      </c>
      <c r="X44" s="56">
        <v>6</v>
      </c>
      <c r="Y44" s="56">
        <v>6</v>
      </c>
      <c r="Z44" s="56">
        <v>6</v>
      </c>
      <c r="AA44" s="56">
        <v>5</v>
      </c>
      <c r="AB44" s="45">
        <v>5</v>
      </c>
      <c r="AC44" s="84">
        <v>6</v>
      </c>
      <c r="AD44" s="56">
        <v>5</v>
      </c>
      <c r="AE44" s="56">
        <v>4</v>
      </c>
      <c r="AF44" s="56">
        <v>3</v>
      </c>
      <c r="AG44" s="14">
        <v>2</v>
      </c>
      <c r="AH44" s="14">
        <v>6</v>
      </c>
      <c r="AI44" s="14">
        <v>3</v>
      </c>
      <c r="AJ44" s="14">
        <v>4</v>
      </c>
      <c r="AK44" s="14">
        <v>3</v>
      </c>
      <c r="AL44" s="11">
        <v>4</v>
      </c>
      <c r="AM44" s="11">
        <v>5</v>
      </c>
      <c r="AN44" s="11">
        <v>5</v>
      </c>
      <c r="AO44" s="11">
        <v>5</v>
      </c>
      <c r="AP44" s="11">
        <v>2</v>
      </c>
      <c r="AS44" s="56">
        <v>4</v>
      </c>
      <c r="AT44" s="45">
        <v>5</v>
      </c>
      <c r="AU44" s="56">
        <v>5</v>
      </c>
      <c r="AV44" s="56">
        <v>6</v>
      </c>
      <c r="AW44" s="56">
        <v>5</v>
      </c>
      <c r="AX44" s="56">
        <v>5</v>
      </c>
      <c r="AY44" s="78">
        <v>4</v>
      </c>
      <c r="AZ44" s="56">
        <v>5</v>
      </c>
      <c r="BA44" s="56">
        <v>5</v>
      </c>
      <c r="BB44" s="56">
        <v>5</v>
      </c>
      <c r="BC44" s="56">
        <v>4</v>
      </c>
      <c r="BD44" s="56">
        <v>4</v>
      </c>
      <c r="BE44" s="56">
        <v>6</v>
      </c>
      <c r="BF44" s="56">
        <v>4</v>
      </c>
      <c r="BG44" s="56">
        <v>5</v>
      </c>
      <c r="BH44" s="56">
        <v>4</v>
      </c>
      <c r="BI44" s="14">
        <v>5</v>
      </c>
      <c r="BJ44" s="14">
        <v>5</v>
      </c>
      <c r="BK44" s="14">
        <v>5</v>
      </c>
      <c r="BL44" s="14">
        <v>5</v>
      </c>
      <c r="BM44" s="14">
        <v>2</v>
      </c>
      <c r="BN44" s="52"/>
      <c r="BP44" s="100">
        <f t="shared" si="36"/>
        <v>2</v>
      </c>
      <c r="BQ44" s="14">
        <f t="shared" si="9"/>
        <v>1</v>
      </c>
      <c r="BR44" s="9">
        <f t="shared" si="25"/>
        <v>0</v>
      </c>
      <c r="BS44" s="100">
        <f t="shared" si="10"/>
        <v>1</v>
      </c>
      <c r="BT44" s="100">
        <f t="shared" si="11"/>
        <v>0</v>
      </c>
      <c r="BU44" s="100">
        <f t="shared" si="37"/>
        <v>2</v>
      </c>
      <c r="BV44" s="14">
        <f t="shared" si="12"/>
        <v>0</v>
      </c>
      <c r="BW44" s="9">
        <f t="shared" si="13"/>
        <v>0</v>
      </c>
      <c r="BX44" s="100">
        <f t="shared" si="14"/>
        <v>0</v>
      </c>
      <c r="BY44" s="100">
        <f t="shared" si="15"/>
        <v>0</v>
      </c>
      <c r="CD44" s="134">
        <v>3</v>
      </c>
      <c r="CE44" s="134">
        <v>1</v>
      </c>
      <c r="CF44" s="134">
        <v>1</v>
      </c>
      <c r="CG44" s="134">
        <v>2</v>
      </c>
      <c r="CH44" s="134">
        <v>2</v>
      </c>
      <c r="CI44" s="134">
        <v>2</v>
      </c>
      <c r="CJ44" s="134">
        <v>5</v>
      </c>
      <c r="CK44" s="134">
        <v>2</v>
      </c>
      <c r="CL44" s="134">
        <v>2</v>
      </c>
      <c r="CM44" s="134">
        <v>1</v>
      </c>
      <c r="CN44" s="134">
        <v>1</v>
      </c>
      <c r="CO44" s="45">
        <v>2</v>
      </c>
      <c r="CP44" s="134">
        <v>0</v>
      </c>
      <c r="CQ44" s="134">
        <v>1</v>
      </c>
      <c r="CR44" s="134">
        <v>2</v>
      </c>
      <c r="CS44" s="134">
        <v>1</v>
      </c>
      <c r="CT44" s="134">
        <v>2</v>
      </c>
      <c r="CU44" s="134">
        <v>1</v>
      </c>
      <c r="CV44" s="134">
        <v>3</v>
      </c>
      <c r="CW44" s="134">
        <v>1</v>
      </c>
      <c r="CY44" s="14">
        <f t="shared" si="16"/>
        <v>1</v>
      </c>
      <c r="CZ44" s="14">
        <f t="shared" si="17"/>
        <v>0</v>
      </c>
      <c r="DA44" s="14">
        <f t="shared" si="18"/>
        <v>1</v>
      </c>
      <c r="DB44" s="14">
        <f t="shared" si="19"/>
        <v>0</v>
      </c>
      <c r="DC44" s="14">
        <f t="shared" si="20"/>
        <v>1</v>
      </c>
      <c r="DD44" s="14">
        <f t="shared" si="21"/>
        <v>0</v>
      </c>
      <c r="DE44" s="14">
        <f t="shared" si="22"/>
        <v>1</v>
      </c>
      <c r="DF44" s="14">
        <f t="shared" si="23"/>
        <v>0</v>
      </c>
      <c r="DI44" s="84">
        <v>0</v>
      </c>
      <c r="DJ44" s="84">
        <v>0</v>
      </c>
      <c r="DK44" s="84">
        <v>0</v>
      </c>
      <c r="DL44" s="84">
        <v>0</v>
      </c>
      <c r="DM44" s="84">
        <v>0</v>
      </c>
      <c r="DN44" s="84">
        <v>0</v>
      </c>
      <c r="DO44" s="84">
        <v>0</v>
      </c>
      <c r="DP44" s="84">
        <v>0</v>
      </c>
      <c r="DQ44" s="84">
        <v>0</v>
      </c>
      <c r="DR44" s="84">
        <v>1</v>
      </c>
      <c r="DS44" s="126">
        <v>1</v>
      </c>
      <c r="DT44" s="126">
        <v>2</v>
      </c>
      <c r="DU44" s="126">
        <v>0</v>
      </c>
      <c r="DV44" s="126">
        <v>1</v>
      </c>
      <c r="DW44" s="126">
        <v>1</v>
      </c>
      <c r="DX44" s="126">
        <v>1</v>
      </c>
      <c r="DY44" s="126">
        <v>1</v>
      </c>
      <c r="DZ44" s="126">
        <v>0</v>
      </c>
      <c r="EA44" s="126">
        <v>0</v>
      </c>
      <c r="EB44" s="126">
        <v>0</v>
      </c>
      <c r="EC44" s="126">
        <v>0</v>
      </c>
      <c r="EE44" s="46">
        <f t="shared" si="26"/>
        <v>7</v>
      </c>
      <c r="EF44" s="14">
        <f t="shared" si="27"/>
        <v>6</v>
      </c>
      <c r="EG44" s="14">
        <f t="shared" si="28"/>
        <v>1</v>
      </c>
      <c r="EH44" s="14">
        <f t="shared" si="29"/>
        <v>0</v>
      </c>
      <c r="EI44" s="14">
        <f t="shared" si="30"/>
        <v>0</v>
      </c>
      <c r="EM44" s="46">
        <f t="shared" si="31"/>
        <v>6</v>
      </c>
      <c r="EN44" s="14">
        <f t="shared" si="32"/>
        <v>5</v>
      </c>
      <c r="EO44" s="14">
        <f t="shared" si="33"/>
        <v>1</v>
      </c>
      <c r="EP44" s="14">
        <f t="shared" si="34"/>
        <v>0</v>
      </c>
      <c r="EQ44" s="14">
        <f t="shared" si="35"/>
        <v>0</v>
      </c>
      <c r="EU44" s="11">
        <v>7</v>
      </c>
      <c r="EV44" s="11">
        <f>COUNTIF(EG37:EG107,EU44)</f>
        <v>0</v>
      </c>
      <c r="EW44" s="62">
        <f>EV44/EV51</f>
        <v>0</v>
      </c>
      <c r="EZ44" s="131">
        <v>37</v>
      </c>
      <c r="FA44" s="123"/>
      <c r="FB44" s="118"/>
      <c r="FC44" s="118"/>
      <c r="FD44" s="118"/>
      <c r="FE44" s="118"/>
      <c r="FF44" s="123"/>
    </row>
    <row r="45" spans="2:162" ht="18" thickBot="1">
      <c r="B45" s="40"/>
      <c r="D45" s="90">
        <v>8</v>
      </c>
      <c r="E45" s="88">
        <f>COUNTIF(Q36:Q181,D45)</f>
        <v>0</v>
      </c>
      <c r="F45" s="91">
        <f>E45/E49</f>
        <v>0</v>
      </c>
      <c r="G45" s="90">
        <v>8</v>
      </c>
      <c r="H45" s="11">
        <f>COUNTIF(L36:L181,G45)</f>
        <v>2</v>
      </c>
      <c r="I45" s="91">
        <f>H45/H49</f>
        <v>3.9215686274509803E-2</v>
      </c>
      <c r="K45" s="100">
        <f t="shared" si="0"/>
        <v>6</v>
      </c>
      <c r="L45" s="14">
        <f t="shared" si="1"/>
        <v>2</v>
      </c>
      <c r="M45" s="14">
        <f t="shared" si="24"/>
        <v>0</v>
      </c>
      <c r="N45" s="14">
        <f t="shared" si="2"/>
        <v>1</v>
      </c>
      <c r="O45" s="99">
        <f t="shared" si="3"/>
        <v>1</v>
      </c>
      <c r="P45" s="100">
        <f t="shared" si="4"/>
        <v>5</v>
      </c>
      <c r="Q45" s="14">
        <f t="shared" si="5"/>
        <v>1</v>
      </c>
      <c r="R45" s="14">
        <f t="shared" si="6"/>
        <v>0</v>
      </c>
      <c r="S45" s="14">
        <f t="shared" si="7"/>
        <v>1</v>
      </c>
      <c r="T45" s="99">
        <f t="shared" si="8"/>
        <v>0</v>
      </c>
      <c r="V45" s="56">
        <v>2</v>
      </c>
      <c r="W45" s="56">
        <v>6</v>
      </c>
      <c r="X45" s="56">
        <v>5</v>
      </c>
      <c r="Y45" s="56">
        <v>6</v>
      </c>
      <c r="Z45" s="56">
        <v>6</v>
      </c>
      <c r="AA45" s="56">
        <v>6</v>
      </c>
      <c r="AB45" s="84">
        <v>5</v>
      </c>
      <c r="AC45" s="45">
        <v>5</v>
      </c>
      <c r="AD45" s="56">
        <v>6</v>
      </c>
      <c r="AE45" s="56">
        <v>4</v>
      </c>
      <c r="AF45" s="56">
        <v>4</v>
      </c>
      <c r="AG45" s="14">
        <v>4</v>
      </c>
      <c r="AH45" s="14">
        <v>5</v>
      </c>
      <c r="AI45" s="14">
        <v>5</v>
      </c>
      <c r="AJ45" s="14">
        <v>5</v>
      </c>
      <c r="AK45" s="14">
        <v>4</v>
      </c>
      <c r="AL45" s="11">
        <v>6</v>
      </c>
      <c r="AM45" s="11">
        <v>3</v>
      </c>
      <c r="AN45" s="11">
        <v>4</v>
      </c>
      <c r="AO45" s="11">
        <v>4</v>
      </c>
      <c r="AP45" s="11">
        <v>4</v>
      </c>
      <c r="AS45" s="56">
        <v>3</v>
      </c>
      <c r="AT45" s="56">
        <v>5</v>
      </c>
      <c r="AU45" s="45">
        <v>5</v>
      </c>
      <c r="AV45" s="56">
        <v>5</v>
      </c>
      <c r="AW45" s="56">
        <v>6</v>
      </c>
      <c r="AX45" s="56">
        <v>6</v>
      </c>
      <c r="AY45" s="56">
        <v>5</v>
      </c>
      <c r="AZ45" s="56">
        <v>5</v>
      </c>
      <c r="BA45" s="56">
        <v>6</v>
      </c>
      <c r="BB45" s="56">
        <v>5</v>
      </c>
      <c r="BC45" s="56">
        <v>5</v>
      </c>
      <c r="BD45" s="56">
        <v>4</v>
      </c>
      <c r="BE45" s="56">
        <v>6</v>
      </c>
      <c r="BF45" s="56">
        <v>5</v>
      </c>
      <c r="BG45" s="56">
        <v>5</v>
      </c>
      <c r="BH45" s="56">
        <v>4</v>
      </c>
      <c r="BI45" s="14">
        <v>6</v>
      </c>
      <c r="BJ45" s="14">
        <v>4</v>
      </c>
      <c r="BK45" s="14">
        <v>5</v>
      </c>
      <c r="BL45" s="14">
        <v>5</v>
      </c>
      <c r="BM45" s="14">
        <v>4</v>
      </c>
      <c r="BN45" s="52"/>
      <c r="BP45" s="100">
        <f t="shared" si="36"/>
        <v>5</v>
      </c>
      <c r="BQ45" s="14">
        <f t="shared" si="9"/>
        <v>1</v>
      </c>
      <c r="BR45" s="9">
        <f t="shared" si="25"/>
        <v>1</v>
      </c>
      <c r="BS45" s="100">
        <f t="shared" si="10"/>
        <v>0</v>
      </c>
      <c r="BT45" s="100">
        <f t="shared" si="11"/>
        <v>0</v>
      </c>
      <c r="BU45" s="100">
        <f t="shared" si="37"/>
        <v>4</v>
      </c>
      <c r="BV45" s="14">
        <f t="shared" si="12"/>
        <v>1</v>
      </c>
      <c r="BW45" s="9">
        <f t="shared" si="13"/>
        <v>1</v>
      </c>
      <c r="BX45" s="100">
        <f t="shared" si="14"/>
        <v>0</v>
      </c>
      <c r="BY45" s="100">
        <f t="shared" si="15"/>
        <v>0</v>
      </c>
      <c r="CD45" s="134">
        <v>2</v>
      </c>
      <c r="CE45" s="134">
        <v>3</v>
      </c>
      <c r="CF45" s="134">
        <v>1</v>
      </c>
      <c r="CG45" s="134">
        <v>1</v>
      </c>
      <c r="CH45" s="34">
        <v>1</v>
      </c>
      <c r="CI45" s="134">
        <v>1</v>
      </c>
      <c r="CJ45" s="134">
        <v>3</v>
      </c>
      <c r="CK45" s="134">
        <v>0</v>
      </c>
      <c r="CL45" s="134">
        <v>4</v>
      </c>
      <c r="CM45" s="134">
        <v>4</v>
      </c>
      <c r="CN45" s="134">
        <v>2</v>
      </c>
      <c r="CO45" s="134">
        <v>2</v>
      </c>
      <c r="CP45" s="45">
        <v>1</v>
      </c>
      <c r="CQ45" s="134">
        <v>4</v>
      </c>
      <c r="CR45" s="134">
        <v>2</v>
      </c>
      <c r="CS45" s="134">
        <v>1</v>
      </c>
      <c r="CT45" s="134">
        <v>1</v>
      </c>
      <c r="CU45" s="134">
        <v>1</v>
      </c>
      <c r="CV45" s="134">
        <v>4</v>
      </c>
      <c r="CW45" s="134">
        <v>5</v>
      </c>
      <c r="CY45" s="14">
        <f t="shared" si="16"/>
        <v>5</v>
      </c>
      <c r="CZ45" s="14">
        <f t="shared" si="17"/>
        <v>4</v>
      </c>
      <c r="DA45" s="14">
        <f t="shared" si="18"/>
        <v>1</v>
      </c>
      <c r="DB45" s="14">
        <f t="shared" si="19"/>
        <v>0</v>
      </c>
      <c r="DC45" s="14">
        <f t="shared" si="20"/>
        <v>3</v>
      </c>
      <c r="DD45" s="14">
        <f t="shared" si="21"/>
        <v>3</v>
      </c>
      <c r="DE45" s="14">
        <f t="shared" si="22"/>
        <v>0</v>
      </c>
      <c r="DF45" s="14">
        <f t="shared" si="23"/>
        <v>0</v>
      </c>
      <c r="DI45" s="84">
        <v>2</v>
      </c>
      <c r="DJ45" s="84">
        <v>0</v>
      </c>
      <c r="DK45" s="84">
        <v>1</v>
      </c>
      <c r="DL45" s="84">
        <v>0</v>
      </c>
      <c r="DM45" s="84">
        <v>0</v>
      </c>
      <c r="DN45" s="84">
        <v>0</v>
      </c>
      <c r="DO45" s="84">
        <v>0</v>
      </c>
      <c r="DP45" s="84">
        <v>1</v>
      </c>
      <c r="DQ45" s="84">
        <v>0</v>
      </c>
      <c r="DR45" s="84">
        <v>1</v>
      </c>
      <c r="DS45" s="84">
        <v>1</v>
      </c>
      <c r="DT45" s="126">
        <v>0</v>
      </c>
      <c r="DU45" s="126">
        <v>1</v>
      </c>
      <c r="DV45" s="126">
        <v>0</v>
      </c>
      <c r="DW45" s="126">
        <v>0</v>
      </c>
      <c r="DX45" s="126">
        <v>0</v>
      </c>
      <c r="DY45" s="126">
        <v>0</v>
      </c>
      <c r="DZ45" s="126">
        <v>1</v>
      </c>
      <c r="EA45" s="126">
        <v>1</v>
      </c>
      <c r="EB45" s="126">
        <v>1</v>
      </c>
      <c r="EC45" s="126">
        <v>0</v>
      </c>
      <c r="EE45" s="46">
        <f t="shared" si="26"/>
        <v>9</v>
      </c>
      <c r="EF45" s="14">
        <f t="shared" si="27"/>
        <v>8</v>
      </c>
      <c r="EG45" s="14">
        <f t="shared" si="28"/>
        <v>1</v>
      </c>
      <c r="EH45" s="14">
        <f t="shared" si="29"/>
        <v>0</v>
      </c>
      <c r="EI45" s="14">
        <f t="shared" si="30"/>
        <v>0</v>
      </c>
      <c r="EM45" s="46">
        <f t="shared" si="31"/>
        <v>6</v>
      </c>
      <c r="EN45" s="14">
        <f t="shared" si="32"/>
        <v>5</v>
      </c>
      <c r="EO45" s="14">
        <f t="shared" si="33"/>
        <v>1</v>
      </c>
      <c r="EP45" s="14">
        <f t="shared" si="34"/>
        <v>0</v>
      </c>
      <c r="EQ45" s="14">
        <f t="shared" si="35"/>
        <v>0</v>
      </c>
      <c r="EU45" s="11">
        <v>8</v>
      </c>
      <c r="EV45" s="11">
        <f>COUNTIF(EG37:EG107,EU45)</f>
        <v>0</v>
      </c>
      <c r="EW45" s="62">
        <f>EV45/EV51</f>
        <v>0</v>
      </c>
      <c r="EZ45" s="131">
        <v>40</v>
      </c>
      <c r="FA45" s="115"/>
      <c r="FB45" s="115"/>
      <c r="FC45" s="115"/>
      <c r="FD45" s="115"/>
      <c r="FE45" s="115"/>
      <c r="FF45" s="115"/>
    </row>
    <row r="46" spans="2:162" ht="18" thickBot="1">
      <c r="B46" s="86"/>
      <c r="D46" s="90">
        <v>9</v>
      </c>
      <c r="E46" s="88">
        <f>COUNTIF(Q36:Q181,D46)</f>
        <v>0</v>
      </c>
      <c r="F46" s="91">
        <f>E46/E49</f>
        <v>0</v>
      </c>
      <c r="G46" s="90">
        <v>9</v>
      </c>
      <c r="H46" s="11">
        <f>COUNTIF(L36:L181,G46)</f>
        <v>0</v>
      </c>
      <c r="I46" s="91">
        <f>H46/H49</f>
        <v>0</v>
      </c>
      <c r="K46" s="100">
        <f t="shared" si="0"/>
        <v>6</v>
      </c>
      <c r="L46" s="14">
        <f t="shared" si="1"/>
        <v>4</v>
      </c>
      <c r="M46" s="14">
        <f t="shared" si="24"/>
        <v>0</v>
      </c>
      <c r="N46" s="14">
        <f t="shared" si="2"/>
        <v>1</v>
      </c>
      <c r="O46" s="99">
        <f t="shared" si="3"/>
        <v>3</v>
      </c>
      <c r="P46" s="100">
        <f t="shared" si="4"/>
        <v>5</v>
      </c>
      <c r="Q46" s="14">
        <f t="shared" si="5"/>
        <v>3</v>
      </c>
      <c r="R46" s="14">
        <f t="shared" si="6"/>
        <v>0</v>
      </c>
      <c r="S46" s="14">
        <f t="shared" si="7"/>
        <v>0</v>
      </c>
      <c r="T46" s="99">
        <f t="shared" si="8"/>
        <v>3</v>
      </c>
      <c r="V46" s="56">
        <v>5</v>
      </c>
      <c r="W46" s="56">
        <v>5</v>
      </c>
      <c r="X46" s="56">
        <v>6</v>
      </c>
      <c r="Y46" s="56">
        <v>5</v>
      </c>
      <c r="Z46" s="56">
        <v>6</v>
      </c>
      <c r="AA46" s="56">
        <v>6</v>
      </c>
      <c r="AB46" s="84">
        <v>5</v>
      </c>
      <c r="AC46" s="14">
        <v>6</v>
      </c>
      <c r="AD46" s="56">
        <v>5</v>
      </c>
      <c r="AE46" s="56">
        <v>6</v>
      </c>
      <c r="AF46" s="56">
        <v>5</v>
      </c>
      <c r="AG46" s="14">
        <v>5</v>
      </c>
      <c r="AH46" s="14">
        <v>3</v>
      </c>
      <c r="AI46" s="14">
        <v>3</v>
      </c>
      <c r="AJ46" s="14">
        <v>3</v>
      </c>
      <c r="AK46" s="14">
        <v>5</v>
      </c>
      <c r="AL46" s="11">
        <v>2</v>
      </c>
      <c r="AM46" s="11">
        <v>5</v>
      </c>
      <c r="AN46" s="11">
        <v>6</v>
      </c>
      <c r="AO46" s="11">
        <v>4</v>
      </c>
      <c r="AP46" s="11">
        <v>5</v>
      </c>
      <c r="AS46" s="56">
        <v>6</v>
      </c>
      <c r="AT46" s="56">
        <v>5</v>
      </c>
      <c r="AU46" s="56">
        <v>5</v>
      </c>
      <c r="AV46" s="56">
        <v>4</v>
      </c>
      <c r="AW46" s="56">
        <v>6</v>
      </c>
      <c r="AX46" s="78">
        <v>5</v>
      </c>
      <c r="AY46" s="56">
        <v>6</v>
      </c>
      <c r="AZ46" s="56">
        <v>6</v>
      </c>
      <c r="BA46" s="56">
        <v>5</v>
      </c>
      <c r="BB46" s="56">
        <v>6</v>
      </c>
      <c r="BC46" s="56">
        <v>6</v>
      </c>
      <c r="BD46" s="56">
        <v>5</v>
      </c>
      <c r="BE46" s="56">
        <v>3</v>
      </c>
      <c r="BF46" s="56">
        <v>3</v>
      </c>
      <c r="BG46" s="56">
        <v>4</v>
      </c>
      <c r="BH46" s="56">
        <v>6</v>
      </c>
      <c r="BI46" s="14">
        <v>2</v>
      </c>
      <c r="BJ46" s="14">
        <v>5</v>
      </c>
      <c r="BK46" s="14">
        <v>6</v>
      </c>
      <c r="BL46" s="14">
        <v>4</v>
      </c>
      <c r="BM46" s="14">
        <v>5</v>
      </c>
      <c r="BN46" s="52"/>
      <c r="BP46" s="100">
        <f t="shared" si="36"/>
        <v>8</v>
      </c>
      <c r="BQ46" s="14">
        <f t="shared" si="9"/>
        <v>3</v>
      </c>
      <c r="BR46" s="9">
        <f t="shared" si="25"/>
        <v>2</v>
      </c>
      <c r="BS46" s="100">
        <f t="shared" si="10"/>
        <v>1</v>
      </c>
      <c r="BT46" s="100">
        <f t="shared" si="11"/>
        <v>0</v>
      </c>
      <c r="BU46" s="100">
        <f t="shared" si="37"/>
        <v>7</v>
      </c>
      <c r="BV46" s="14">
        <f t="shared" si="12"/>
        <v>2</v>
      </c>
      <c r="BW46" s="9">
        <f t="shared" si="13"/>
        <v>2</v>
      </c>
      <c r="BX46" s="100">
        <f t="shared" si="14"/>
        <v>0</v>
      </c>
      <c r="BY46" s="100">
        <f t="shared" si="15"/>
        <v>0</v>
      </c>
      <c r="CD46" s="134">
        <v>1</v>
      </c>
      <c r="CE46" s="134">
        <v>2</v>
      </c>
      <c r="CF46" s="134">
        <v>2</v>
      </c>
      <c r="CG46" s="134">
        <v>1</v>
      </c>
      <c r="CH46" s="134">
        <v>1</v>
      </c>
      <c r="CI46" s="134">
        <v>3</v>
      </c>
      <c r="CJ46" s="134">
        <v>3</v>
      </c>
      <c r="CK46" s="134">
        <v>2</v>
      </c>
      <c r="CL46" s="134">
        <v>3</v>
      </c>
      <c r="CM46" s="134">
        <v>4</v>
      </c>
      <c r="CN46" s="134">
        <v>4</v>
      </c>
      <c r="CO46" s="134">
        <v>0</v>
      </c>
      <c r="CP46" s="134">
        <v>3</v>
      </c>
      <c r="CQ46" s="45">
        <v>2</v>
      </c>
      <c r="CR46" s="45">
        <v>4</v>
      </c>
      <c r="CS46" s="134">
        <v>2</v>
      </c>
      <c r="CT46" s="134">
        <v>4</v>
      </c>
      <c r="CU46" s="134">
        <v>2</v>
      </c>
      <c r="CV46" s="134">
        <v>2</v>
      </c>
      <c r="CW46" s="134">
        <v>4</v>
      </c>
      <c r="CY46" s="14">
        <f t="shared" si="16"/>
        <v>5</v>
      </c>
      <c r="CZ46" s="14">
        <f t="shared" si="17"/>
        <v>5</v>
      </c>
      <c r="DA46" s="14">
        <f t="shared" si="18"/>
        <v>0</v>
      </c>
      <c r="DB46" s="14">
        <f t="shared" si="19"/>
        <v>0</v>
      </c>
      <c r="DC46" s="14">
        <f t="shared" si="20"/>
        <v>3</v>
      </c>
      <c r="DD46" s="14">
        <f t="shared" si="21"/>
        <v>3</v>
      </c>
      <c r="DE46" s="14">
        <f t="shared" si="22"/>
        <v>0</v>
      </c>
      <c r="DF46" s="14">
        <f t="shared" si="23"/>
        <v>0</v>
      </c>
      <c r="DI46" s="84">
        <v>1</v>
      </c>
      <c r="DJ46" s="84">
        <v>0</v>
      </c>
      <c r="DK46" s="84">
        <v>0</v>
      </c>
      <c r="DL46" s="84">
        <v>0</v>
      </c>
      <c r="DM46" s="84">
        <v>0</v>
      </c>
      <c r="DN46" s="84">
        <v>0</v>
      </c>
      <c r="DO46" s="84">
        <v>1</v>
      </c>
      <c r="DP46" s="84">
        <v>0</v>
      </c>
      <c r="DQ46" s="45">
        <v>0</v>
      </c>
      <c r="DR46" s="84">
        <v>0</v>
      </c>
      <c r="DS46" s="84">
        <v>1</v>
      </c>
      <c r="DT46" s="84">
        <v>0</v>
      </c>
      <c r="DU46" s="126">
        <v>0</v>
      </c>
      <c r="DV46" s="126">
        <v>0</v>
      </c>
      <c r="DW46" s="126">
        <v>1</v>
      </c>
      <c r="DX46" s="126">
        <v>1</v>
      </c>
      <c r="DY46" s="126">
        <v>0</v>
      </c>
      <c r="DZ46" s="126">
        <v>0</v>
      </c>
      <c r="EA46" s="126">
        <v>0</v>
      </c>
      <c r="EB46" s="126">
        <v>0</v>
      </c>
      <c r="EC46" s="126">
        <v>0</v>
      </c>
      <c r="EE46" s="46">
        <f t="shared" si="26"/>
        <v>5</v>
      </c>
      <c r="EF46" s="14">
        <f t="shared" si="27"/>
        <v>5</v>
      </c>
      <c r="EG46" s="14">
        <f t="shared" si="28"/>
        <v>0</v>
      </c>
      <c r="EH46" s="14">
        <f t="shared" si="29"/>
        <v>0</v>
      </c>
      <c r="EI46" s="14">
        <f t="shared" si="30"/>
        <v>0</v>
      </c>
      <c r="EM46" s="46">
        <f t="shared" si="31"/>
        <v>5</v>
      </c>
      <c r="EN46" s="14">
        <f t="shared" si="32"/>
        <v>5</v>
      </c>
      <c r="EO46" s="14">
        <f t="shared" si="33"/>
        <v>0</v>
      </c>
      <c r="EP46" s="14">
        <f t="shared" si="34"/>
        <v>0</v>
      </c>
      <c r="EQ46" s="14">
        <f t="shared" si="35"/>
        <v>0</v>
      </c>
      <c r="EU46" s="11">
        <v>9</v>
      </c>
      <c r="EV46" s="11">
        <f>COUNTIF(EG37:EG107,EU46)</f>
        <v>0</v>
      </c>
      <c r="EW46" s="62">
        <f>EV46/EV51</f>
        <v>0</v>
      </c>
      <c r="EZ46" s="131">
        <v>42</v>
      </c>
      <c r="FA46" s="115"/>
      <c r="FB46" s="115"/>
      <c r="FC46" s="115"/>
      <c r="FD46" s="115"/>
      <c r="FE46" s="115"/>
      <c r="FF46" s="115"/>
    </row>
    <row r="47" spans="2:162" ht="18" thickBot="1">
      <c r="B47" s="86"/>
      <c r="D47" s="90">
        <v>10</v>
      </c>
      <c r="E47" s="88">
        <f>COUNTIF(Q36:Q181,D47)</f>
        <v>0</v>
      </c>
      <c r="F47" s="91">
        <f>E47/E49</f>
        <v>0</v>
      </c>
      <c r="G47" s="90">
        <v>10</v>
      </c>
      <c r="H47" s="11">
        <f>COUNTIF(L36:L181,G47)</f>
        <v>0</v>
      </c>
      <c r="I47" s="91">
        <f>H47/H49</f>
        <v>0</v>
      </c>
      <c r="K47" s="100">
        <f t="shared" si="0"/>
        <v>1</v>
      </c>
      <c r="L47" s="14">
        <f t="shared" si="1"/>
        <v>3</v>
      </c>
      <c r="M47" s="14">
        <f t="shared" si="24"/>
        <v>0</v>
      </c>
      <c r="N47" s="14">
        <f t="shared" si="2"/>
        <v>1</v>
      </c>
      <c r="O47" s="99">
        <f t="shared" si="3"/>
        <v>2</v>
      </c>
      <c r="P47" s="100">
        <f t="shared" si="4"/>
        <v>1</v>
      </c>
      <c r="Q47" s="14">
        <f t="shared" si="5"/>
        <v>1</v>
      </c>
      <c r="R47" s="14">
        <f t="shared" si="6"/>
        <v>0</v>
      </c>
      <c r="S47" s="14">
        <f t="shared" si="7"/>
        <v>1</v>
      </c>
      <c r="T47" s="99">
        <f t="shared" si="8"/>
        <v>0</v>
      </c>
      <c r="V47" s="56">
        <v>4</v>
      </c>
      <c r="W47" s="56">
        <v>5</v>
      </c>
      <c r="X47" s="56">
        <v>5</v>
      </c>
      <c r="Y47" s="56">
        <v>5</v>
      </c>
      <c r="Z47" s="56">
        <v>5</v>
      </c>
      <c r="AA47" s="56">
        <v>6</v>
      </c>
      <c r="AB47" s="84">
        <v>5</v>
      </c>
      <c r="AC47" s="14">
        <v>4</v>
      </c>
      <c r="AD47" s="56">
        <v>5</v>
      </c>
      <c r="AE47" s="56">
        <v>5</v>
      </c>
      <c r="AF47" s="56">
        <v>5</v>
      </c>
      <c r="AG47" s="14">
        <v>5</v>
      </c>
      <c r="AH47" s="14">
        <v>5</v>
      </c>
      <c r="AI47" s="14">
        <v>5</v>
      </c>
      <c r="AJ47" s="14">
        <v>5</v>
      </c>
      <c r="AK47" s="14">
        <v>2</v>
      </c>
      <c r="AL47" s="11">
        <v>5</v>
      </c>
      <c r="AM47" s="11">
        <v>5</v>
      </c>
      <c r="AN47" s="11">
        <v>5</v>
      </c>
      <c r="AO47" s="11">
        <v>3</v>
      </c>
      <c r="AP47" s="11">
        <v>3</v>
      </c>
      <c r="AS47" s="56">
        <v>4</v>
      </c>
      <c r="AT47" s="56">
        <v>5</v>
      </c>
      <c r="AU47" s="56">
        <v>5</v>
      </c>
      <c r="AV47" s="56">
        <v>4</v>
      </c>
      <c r="AW47" s="56">
        <v>5</v>
      </c>
      <c r="AX47" s="78">
        <v>5</v>
      </c>
      <c r="AY47" s="78">
        <v>5</v>
      </c>
      <c r="AZ47" s="56">
        <v>4</v>
      </c>
      <c r="BA47" s="56">
        <v>5</v>
      </c>
      <c r="BB47" s="56">
        <v>5</v>
      </c>
      <c r="BC47" s="56">
        <v>5</v>
      </c>
      <c r="BD47" s="56">
        <v>5</v>
      </c>
      <c r="BE47" s="56">
        <v>5</v>
      </c>
      <c r="BF47" s="56">
        <v>6</v>
      </c>
      <c r="BG47" s="56">
        <v>5</v>
      </c>
      <c r="BH47" s="56">
        <v>3</v>
      </c>
      <c r="BI47" s="14">
        <v>5</v>
      </c>
      <c r="BJ47" s="14">
        <v>6</v>
      </c>
      <c r="BK47" s="14">
        <v>5</v>
      </c>
      <c r="BL47" s="14">
        <v>3</v>
      </c>
      <c r="BM47" s="14">
        <v>5</v>
      </c>
      <c r="BN47" s="52"/>
      <c r="BP47" s="100">
        <f t="shared" si="36"/>
        <v>2</v>
      </c>
      <c r="BQ47" s="14">
        <f t="shared" si="9"/>
        <v>2</v>
      </c>
      <c r="BR47" s="9">
        <f t="shared" si="25"/>
        <v>2</v>
      </c>
      <c r="BS47" s="100">
        <f t="shared" si="10"/>
        <v>0</v>
      </c>
      <c r="BT47" s="100">
        <f t="shared" si="11"/>
        <v>0</v>
      </c>
      <c r="BU47" s="100">
        <f t="shared" si="37"/>
        <v>1</v>
      </c>
      <c r="BV47" s="14">
        <f t="shared" si="12"/>
        <v>1</v>
      </c>
      <c r="BW47" s="9">
        <f t="shared" si="13"/>
        <v>1</v>
      </c>
      <c r="BX47" s="100">
        <f t="shared" si="14"/>
        <v>0</v>
      </c>
      <c r="BY47" s="100">
        <f t="shared" si="15"/>
        <v>0</v>
      </c>
      <c r="CD47" s="34">
        <v>2</v>
      </c>
      <c r="CE47" s="134">
        <v>3</v>
      </c>
      <c r="CF47" s="134">
        <v>1</v>
      </c>
      <c r="CG47" s="134">
        <v>2</v>
      </c>
      <c r="CH47" s="134">
        <v>2</v>
      </c>
      <c r="CI47" s="134">
        <v>2</v>
      </c>
      <c r="CJ47" s="34">
        <v>2</v>
      </c>
      <c r="CK47" s="134">
        <v>2</v>
      </c>
      <c r="CL47" s="134">
        <v>2</v>
      </c>
      <c r="CM47" s="134">
        <v>2</v>
      </c>
      <c r="CN47" s="134">
        <v>1</v>
      </c>
      <c r="CO47" s="134">
        <v>1</v>
      </c>
      <c r="CP47" s="134">
        <v>3</v>
      </c>
      <c r="CQ47" s="134">
        <v>2</v>
      </c>
      <c r="CR47" s="134">
        <v>2</v>
      </c>
      <c r="CS47" s="45">
        <v>1</v>
      </c>
      <c r="CT47" s="134">
        <v>0</v>
      </c>
      <c r="CU47" s="134">
        <v>3</v>
      </c>
      <c r="CV47" s="134">
        <v>3</v>
      </c>
      <c r="CW47" s="134">
        <v>2</v>
      </c>
      <c r="CY47" s="14">
        <f t="shared" si="16"/>
        <v>0</v>
      </c>
      <c r="CZ47" s="14">
        <f t="shared" si="17"/>
        <v>0</v>
      </c>
      <c r="DA47" s="14">
        <f t="shared" si="18"/>
        <v>0</v>
      </c>
      <c r="DB47" s="14">
        <f t="shared" si="19"/>
        <v>0</v>
      </c>
      <c r="DC47" s="14">
        <f t="shared" si="20"/>
        <v>0</v>
      </c>
      <c r="DD47" s="14">
        <f t="shared" si="21"/>
        <v>0</v>
      </c>
      <c r="DE47" s="14">
        <f t="shared" si="22"/>
        <v>0</v>
      </c>
      <c r="DF47" s="14">
        <f t="shared" si="23"/>
        <v>0</v>
      </c>
      <c r="DI47" s="84">
        <v>1</v>
      </c>
      <c r="DJ47" s="84">
        <v>0</v>
      </c>
      <c r="DK47" s="84">
        <v>0</v>
      </c>
      <c r="DL47" s="84">
        <v>0</v>
      </c>
      <c r="DM47" s="84">
        <v>1</v>
      </c>
      <c r="DN47" s="84">
        <v>0</v>
      </c>
      <c r="DO47" s="84">
        <v>0</v>
      </c>
      <c r="DP47" s="84">
        <v>1</v>
      </c>
      <c r="DQ47" s="84">
        <v>0</v>
      </c>
      <c r="DR47" s="45">
        <v>0</v>
      </c>
      <c r="DS47" s="84">
        <v>0</v>
      </c>
      <c r="DT47" s="84">
        <v>0</v>
      </c>
      <c r="DU47" s="126">
        <v>0</v>
      </c>
      <c r="DV47" s="126">
        <v>1</v>
      </c>
      <c r="DW47" s="126">
        <v>0</v>
      </c>
      <c r="DX47" s="126">
        <v>1</v>
      </c>
      <c r="DY47" s="126">
        <v>0</v>
      </c>
      <c r="DZ47" s="126">
        <v>1</v>
      </c>
      <c r="EA47" s="126">
        <v>0</v>
      </c>
      <c r="EB47" s="126">
        <v>0</v>
      </c>
      <c r="EC47" s="126">
        <v>2</v>
      </c>
      <c r="EE47" s="46">
        <f t="shared" si="26"/>
        <v>7</v>
      </c>
      <c r="EF47" s="14">
        <f t="shared" si="27"/>
        <v>6</v>
      </c>
      <c r="EG47" s="14">
        <f t="shared" si="28"/>
        <v>1</v>
      </c>
      <c r="EH47" s="14">
        <f t="shared" si="29"/>
        <v>0</v>
      </c>
      <c r="EI47" s="14">
        <f t="shared" si="30"/>
        <v>0</v>
      </c>
      <c r="EM47" s="46">
        <f t="shared" si="31"/>
        <v>5</v>
      </c>
      <c r="EN47" s="14">
        <f t="shared" si="32"/>
        <v>5</v>
      </c>
      <c r="EO47" s="14">
        <f t="shared" si="33"/>
        <v>0</v>
      </c>
      <c r="EP47" s="14">
        <f t="shared" si="34"/>
        <v>0</v>
      </c>
      <c r="EQ47" s="14">
        <f t="shared" si="35"/>
        <v>0</v>
      </c>
      <c r="EU47" s="11">
        <v>10</v>
      </c>
      <c r="EV47" s="11">
        <f>COUNTIF(EG37:EG107,EU47)</f>
        <v>0</v>
      </c>
      <c r="EW47" s="62">
        <f>EV47/EV51</f>
        <v>0</v>
      </c>
      <c r="EZ47" s="131">
        <v>43</v>
      </c>
    </row>
    <row r="48" spans="2:162" ht="17.25">
      <c r="B48" s="86"/>
      <c r="D48" s="90">
        <v>11</v>
      </c>
      <c r="E48" s="88">
        <f>COUNTIF(Q36:Q181,D48)</f>
        <v>0</v>
      </c>
      <c r="F48" s="91">
        <f>E48/E49</f>
        <v>0</v>
      </c>
      <c r="G48" s="90">
        <v>11</v>
      </c>
      <c r="H48" s="11">
        <f>COUNTIF(L36:L181,G48)</f>
        <v>0</v>
      </c>
      <c r="I48" s="91">
        <f>H48/H49</f>
        <v>0</v>
      </c>
      <c r="K48" s="100">
        <f t="shared" si="0"/>
        <v>5</v>
      </c>
      <c r="L48" s="14">
        <f t="shared" si="1"/>
        <v>3</v>
      </c>
      <c r="M48" s="14">
        <f t="shared" si="24"/>
        <v>0</v>
      </c>
      <c r="N48" s="14">
        <f t="shared" si="2"/>
        <v>1</v>
      </c>
      <c r="O48" s="99">
        <f t="shared" si="3"/>
        <v>2</v>
      </c>
      <c r="P48" s="100">
        <f t="shared" si="4"/>
        <v>5</v>
      </c>
      <c r="Q48" s="14">
        <f t="shared" si="5"/>
        <v>1</v>
      </c>
      <c r="R48" s="14">
        <f t="shared" si="6"/>
        <v>0</v>
      </c>
      <c r="S48" s="14">
        <f t="shared" si="7"/>
        <v>0</v>
      </c>
      <c r="T48" s="99">
        <f t="shared" si="8"/>
        <v>1</v>
      </c>
      <c r="V48" s="34">
        <v>4</v>
      </c>
      <c r="W48" s="56">
        <v>6</v>
      </c>
      <c r="X48" s="56">
        <v>4</v>
      </c>
      <c r="Y48" s="56">
        <v>6</v>
      </c>
      <c r="Z48" s="56">
        <v>6</v>
      </c>
      <c r="AA48" s="56">
        <v>5</v>
      </c>
      <c r="AB48" s="84">
        <v>5</v>
      </c>
      <c r="AC48" s="14">
        <v>6</v>
      </c>
      <c r="AD48" s="56">
        <v>5</v>
      </c>
      <c r="AE48" s="56">
        <v>3</v>
      </c>
      <c r="AF48" s="56">
        <v>4</v>
      </c>
      <c r="AG48" s="14">
        <v>4</v>
      </c>
      <c r="AH48" s="14">
        <v>5</v>
      </c>
      <c r="AI48" s="14">
        <v>6</v>
      </c>
      <c r="AJ48" s="14">
        <v>4</v>
      </c>
      <c r="AK48" s="14">
        <v>4</v>
      </c>
      <c r="AL48" s="11">
        <v>4</v>
      </c>
      <c r="AM48" s="11">
        <v>3</v>
      </c>
      <c r="AN48" s="11">
        <v>2</v>
      </c>
      <c r="AO48" s="11">
        <v>5</v>
      </c>
      <c r="AP48" s="11">
        <v>5</v>
      </c>
      <c r="AS48" s="78">
        <v>3</v>
      </c>
      <c r="AT48" s="56">
        <v>5</v>
      </c>
      <c r="AU48" s="56">
        <v>5</v>
      </c>
      <c r="AV48" s="56">
        <v>6</v>
      </c>
      <c r="AW48" s="56">
        <v>6</v>
      </c>
      <c r="AX48" s="45">
        <v>5</v>
      </c>
      <c r="AY48" s="78">
        <v>4</v>
      </c>
      <c r="AZ48" s="56">
        <v>5</v>
      </c>
      <c r="BA48" s="56">
        <v>6</v>
      </c>
      <c r="BB48" s="56">
        <v>4</v>
      </c>
      <c r="BC48" s="56">
        <v>4</v>
      </c>
      <c r="BD48" s="56">
        <v>4</v>
      </c>
      <c r="BE48" s="56">
        <v>5</v>
      </c>
      <c r="BF48" s="56">
        <v>6</v>
      </c>
      <c r="BG48" s="56">
        <v>4</v>
      </c>
      <c r="BH48" s="56">
        <v>4</v>
      </c>
      <c r="BI48" s="14">
        <v>4</v>
      </c>
      <c r="BJ48" s="14">
        <v>4</v>
      </c>
      <c r="BK48" s="14">
        <v>2</v>
      </c>
      <c r="BL48" s="14">
        <v>5</v>
      </c>
      <c r="BM48" s="14">
        <v>5</v>
      </c>
      <c r="BN48" s="52"/>
      <c r="BP48" s="100">
        <f t="shared" si="36"/>
        <v>4</v>
      </c>
      <c r="BQ48" s="14">
        <f t="shared" si="9"/>
        <v>2</v>
      </c>
      <c r="BR48" s="9">
        <f t="shared" si="25"/>
        <v>1</v>
      </c>
      <c r="BS48" s="100">
        <f t="shared" si="10"/>
        <v>1</v>
      </c>
      <c r="BT48" s="100">
        <f t="shared" si="11"/>
        <v>0</v>
      </c>
      <c r="BU48" s="100">
        <f t="shared" si="37"/>
        <v>4</v>
      </c>
      <c r="BV48" s="14">
        <f t="shared" si="12"/>
        <v>1</v>
      </c>
      <c r="BW48" s="9">
        <f t="shared" si="13"/>
        <v>1</v>
      </c>
      <c r="BX48" s="100">
        <f t="shared" si="14"/>
        <v>0</v>
      </c>
      <c r="BY48" s="100">
        <f t="shared" si="15"/>
        <v>0</v>
      </c>
      <c r="CD48" s="134">
        <v>2</v>
      </c>
      <c r="CE48" s="34">
        <v>2</v>
      </c>
      <c r="CF48" s="134">
        <v>1</v>
      </c>
      <c r="CG48" s="134">
        <v>1</v>
      </c>
      <c r="CH48" s="134">
        <v>2</v>
      </c>
      <c r="CI48" s="134">
        <v>1</v>
      </c>
      <c r="CJ48" s="134">
        <v>1</v>
      </c>
      <c r="CK48" s="34">
        <v>0</v>
      </c>
      <c r="CL48" s="134">
        <v>2</v>
      </c>
      <c r="CM48" s="134">
        <v>1</v>
      </c>
      <c r="CN48" s="134">
        <v>0</v>
      </c>
      <c r="CO48" s="134">
        <v>3</v>
      </c>
      <c r="CP48" s="134">
        <v>1</v>
      </c>
      <c r="CQ48" s="134">
        <v>2</v>
      </c>
      <c r="CR48" s="134">
        <v>0</v>
      </c>
      <c r="CS48" s="134">
        <v>1</v>
      </c>
      <c r="CT48" s="45">
        <v>2</v>
      </c>
      <c r="CU48" s="134">
        <v>3</v>
      </c>
      <c r="CV48" s="134">
        <v>2</v>
      </c>
      <c r="CW48" s="134">
        <v>3</v>
      </c>
      <c r="CY48" s="14">
        <f t="shared" si="16"/>
        <v>0</v>
      </c>
      <c r="CZ48" s="14">
        <f t="shared" si="17"/>
        <v>0</v>
      </c>
      <c r="DA48" s="14">
        <f t="shared" si="18"/>
        <v>0</v>
      </c>
      <c r="DB48" s="14">
        <f t="shared" si="19"/>
        <v>0</v>
      </c>
      <c r="DC48" s="14">
        <f t="shared" si="20"/>
        <v>0</v>
      </c>
      <c r="DD48" s="14">
        <f t="shared" si="21"/>
        <v>0</v>
      </c>
      <c r="DE48" s="14">
        <f t="shared" si="22"/>
        <v>0</v>
      </c>
      <c r="DF48" s="14">
        <f t="shared" si="23"/>
        <v>0</v>
      </c>
      <c r="DI48" s="34">
        <v>0</v>
      </c>
      <c r="DJ48" s="84">
        <v>0</v>
      </c>
      <c r="DK48" s="84">
        <v>2</v>
      </c>
      <c r="DL48" s="84">
        <v>0</v>
      </c>
      <c r="DM48" s="84">
        <v>0</v>
      </c>
      <c r="DN48" s="84">
        <v>0</v>
      </c>
      <c r="DO48" s="84">
        <v>0</v>
      </c>
      <c r="DP48" s="84">
        <v>0</v>
      </c>
      <c r="DQ48" s="84">
        <v>1</v>
      </c>
      <c r="DR48" s="84">
        <v>1</v>
      </c>
      <c r="DS48" s="45">
        <v>0</v>
      </c>
      <c r="DT48" s="84">
        <v>0</v>
      </c>
      <c r="DU48" s="126">
        <v>0</v>
      </c>
      <c r="DV48" s="126">
        <v>0</v>
      </c>
      <c r="DW48" s="126">
        <v>0</v>
      </c>
      <c r="DX48" s="126">
        <v>0</v>
      </c>
      <c r="DY48" s="126">
        <v>0</v>
      </c>
      <c r="DZ48" s="126">
        <v>1</v>
      </c>
      <c r="EA48" s="126">
        <v>0</v>
      </c>
      <c r="EB48" s="126">
        <v>0</v>
      </c>
      <c r="EC48" s="126">
        <v>0</v>
      </c>
      <c r="EE48" s="46">
        <f t="shared" si="26"/>
        <v>4</v>
      </c>
      <c r="EF48" s="14">
        <f t="shared" si="27"/>
        <v>3</v>
      </c>
      <c r="EG48" s="14">
        <f t="shared" si="28"/>
        <v>1</v>
      </c>
      <c r="EH48" s="14">
        <f t="shared" si="29"/>
        <v>0</v>
      </c>
      <c r="EI48" s="14">
        <f t="shared" si="30"/>
        <v>0</v>
      </c>
      <c r="EM48" s="46">
        <f t="shared" si="31"/>
        <v>3</v>
      </c>
      <c r="EN48" s="14">
        <f t="shared" si="32"/>
        <v>2</v>
      </c>
      <c r="EO48" s="14">
        <f t="shared" si="33"/>
        <v>1</v>
      </c>
      <c r="EP48" s="14">
        <f t="shared" si="34"/>
        <v>0</v>
      </c>
      <c r="EQ48" s="14">
        <f t="shared" si="35"/>
        <v>0</v>
      </c>
      <c r="EU48" s="11">
        <v>11</v>
      </c>
      <c r="EV48" s="11">
        <f>COUNTIF(EG37:EG107,EU48)</f>
        <v>0</v>
      </c>
      <c r="EW48" s="62">
        <f>EV48/EV51</f>
        <v>0</v>
      </c>
      <c r="EZ48" s="131">
        <v>44</v>
      </c>
    </row>
    <row r="49" spans="4:163" ht="18" thickBot="1">
      <c r="D49" s="92"/>
      <c r="E49" s="96">
        <f>SUM(E37:E48)</f>
        <v>51</v>
      </c>
      <c r="F49" s="93">
        <f>E49/E49</f>
        <v>1</v>
      </c>
      <c r="G49" s="92"/>
      <c r="H49" s="96">
        <f>SUM(H37:H48)</f>
        <v>51</v>
      </c>
      <c r="I49" s="93">
        <f>H49/H49</f>
        <v>1</v>
      </c>
      <c r="K49" s="100">
        <f t="shared" si="0"/>
        <v>5</v>
      </c>
      <c r="L49" s="14">
        <f t="shared" si="1"/>
        <v>3</v>
      </c>
      <c r="M49" s="14">
        <f t="shared" si="24"/>
        <v>0</v>
      </c>
      <c r="N49" s="14">
        <f t="shared" si="2"/>
        <v>0</v>
      </c>
      <c r="O49" s="99">
        <f t="shared" si="3"/>
        <v>3</v>
      </c>
      <c r="P49" s="100">
        <f t="shared" si="4"/>
        <v>4</v>
      </c>
      <c r="Q49" s="14">
        <f t="shared" si="5"/>
        <v>3</v>
      </c>
      <c r="R49" s="14">
        <f t="shared" si="6"/>
        <v>0</v>
      </c>
      <c r="S49" s="14">
        <f t="shared" si="7"/>
        <v>0</v>
      </c>
      <c r="T49" s="99">
        <f t="shared" si="8"/>
        <v>3</v>
      </c>
      <c r="V49" s="34">
        <v>6</v>
      </c>
      <c r="W49" s="34">
        <v>5</v>
      </c>
      <c r="X49" s="56">
        <v>5</v>
      </c>
      <c r="Y49" s="56">
        <v>4</v>
      </c>
      <c r="Z49" s="56">
        <v>5</v>
      </c>
      <c r="AA49" s="56">
        <v>6</v>
      </c>
      <c r="AB49" s="84">
        <v>4</v>
      </c>
      <c r="AC49" s="14">
        <v>5</v>
      </c>
      <c r="AD49" s="56">
        <v>3</v>
      </c>
      <c r="AE49" s="56">
        <v>6</v>
      </c>
      <c r="AF49" s="56">
        <v>4</v>
      </c>
      <c r="AG49" s="14">
        <v>6</v>
      </c>
      <c r="AH49" s="14">
        <v>3</v>
      </c>
      <c r="AI49" s="14">
        <v>4</v>
      </c>
      <c r="AJ49" s="14">
        <v>5</v>
      </c>
      <c r="AK49" s="14">
        <v>3</v>
      </c>
      <c r="AL49" s="11">
        <v>4</v>
      </c>
      <c r="AM49" s="11">
        <v>5</v>
      </c>
      <c r="AN49" s="11">
        <v>5</v>
      </c>
      <c r="AO49" s="11">
        <v>6</v>
      </c>
      <c r="AP49" s="11">
        <v>5</v>
      </c>
      <c r="AS49" s="56">
        <v>6</v>
      </c>
      <c r="AT49" s="78">
        <v>5</v>
      </c>
      <c r="AU49" s="56">
        <v>5</v>
      </c>
      <c r="AV49" s="56">
        <v>4</v>
      </c>
      <c r="AW49" s="56">
        <v>5</v>
      </c>
      <c r="AX49" s="56">
        <v>6</v>
      </c>
      <c r="AY49" s="45">
        <v>4</v>
      </c>
      <c r="AZ49" s="56">
        <v>5</v>
      </c>
      <c r="BA49" s="56">
        <v>4</v>
      </c>
      <c r="BB49" s="56">
        <v>6</v>
      </c>
      <c r="BC49" s="56">
        <v>5</v>
      </c>
      <c r="BD49" s="56">
        <v>6</v>
      </c>
      <c r="BE49" s="56">
        <v>4</v>
      </c>
      <c r="BF49" s="56">
        <v>4</v>
      </c>
      <c r="BG49" s="56">
        <v>5</v>
      </c>
      <c r="BH49" s="56">
        <v>4</v>
      </c>
      <c r="BI49" s="14">
        <v>4</v>
      </c>
      <c r="BJ49" s="14">
        <v>5</v>
      </c>
      <c r="BK49" s="14">
        <v>5</v>
      </c>
      <c r="BL49" s="14">
        <v>6</v>
      </c>
      <c r="BM49" s="14">
        <v>5</v>
      </c>
      <c r="BN49" s="52"/>
      <c r="BP49" s="100">
        <f t="shared" si="36"/>
        <v>5</v>
      </c>
      <c r="BQ49" s="14">
        <f t="shared" si="9"/>
        <v>0</v>
      </c>
      <c r="BR49" s="9">
        <f t="shared" si="25"/>
        <v>0</v>
      </c>
      <c r="BS49" s="100">
        <f t="shared" si="10"/>
        <v>0</v>
      </c>
      <c r="BT49" s="100">
        <f t="shared" si="11"/>
        <v>0</v>
      </c>
      <c r="BU49" s="100">
        <f t="shared" si="37"/>
        <v>4</v>
      </c>
      <c r="BV49" s="14">
        <f t="shared" si="12"/>
        <v>0</v>
      </c>
      <c r="BW49" s="9">
        <f t="shared" si="13"/>
        <v>0</v>
      </c>
      <c r="BX49" s="100">
        <f t="shared" si="14"/>
        <v>0</v>
      </c>
      <c r="BY49" s="100">
        <f t="shared" si="15"/>
        <v>0</v>
      </c>
      <c r="CD49" s="134">
        <v>3</v>
      </c>
      <c r="CE49" s="134">
        <v>5</v>
      </c>
      <c r="CF49" s="34">
        <v>4</v>
      </c>
      <c r="CG49" s="134">
        <v>3</v>
      </c>
      <c r="CH49" s="134">
        <v>2</v>
      </c>
      <c r="CI49" s="134">
        <v>2</v>
      </c>
      <c r="CJ49" s="134">
        <v>2</v>
      </c>
      <c r="CK49" s="134">
        <v>1</v>
      </c>
      <c r="CL49" s="134">
        <v>2</v>
      </c>
      <c r="CM49" s="134">
        <v>4</v>
      </c>
      <c r="CN49" s="134">
        <v>2</v>
      </c>
      <c r="CO49" s="134">
        <v>1</v>
      </c>
      <c r="CP49" s="134">
        <v>1</v>
      </c>
      <c r="CQ49" s="134">
        <v>2</v>
      </c>
      <c r="CR49" s="134">
        <v>1</v>
      </c>
      <c r="CS49" s="134">
        <v>2</v>
      </c>
      <c r="CT49" s="134">
        <v>0</v>
      </c>
      <c r="CU49" s="45">
        <v>2</v>
      </c>
      <c r="CV49" s="134">
        <v>1</v>
      </c>
      <c r="CW49" s="134">
        <v>2</v>
      </c>
      <c r="CY49" s="14">
        <f t="shared" si="16"/>
        <v>3</v>
      </c>
      <c r="CZ49" s="14">
        <f t="shared" si="17"/>
        <v>2</v>
      </c>
      <c r="DA49" s="14">
        <f t="shared" si="18"/>
        <v>1</v>
      </c>
      <c r="DB49" s="14">
        <f t="shared" si="19"/>
        <v>0</v>
      </c>
      <c r="DC49" s="14">
        <f t="shared" si="20"/>
        <v>3</v>
      </c>
      <c r="DD49" s="14">
        <f t="shared" si="21"/>
        <v>2</v>
      </c>
      <c r="DE49" s="14">
        <f t="shared" si="22"/>
        <v>1</v>
      </c>
      <c r="DF49" s="14">
        <f t="shared" si="23"/>
        <v>0</v>
      </c>
      <c r="DI49" s="34">
        <v>0</v>
      </c>
      <c r="DJ49" s="34">
        <v>0</v>
      </c>
      <c r="DK49" s="84">
        <v>1</v>
      </c>
      <c r="DL49" s="84">
        <v>0</v>
      </c>
      <c r="DM49" s="84">
        <v>0</v>
      </c>
      <c r="DN49" s="84">
        <v>0</v>
      </c>
      <c r="DO49" s="84">
        <v>1</v>
      </c>
      <c r="DP49" s="84">
        <v>0</v>
      </c>
      <c r="DQ49" s="84">
        <v>1</v>
      </c>
      <c r="DR49" s="84">
        <v>0</v>
      </c>
      <c r="DS49" s="84">
        <v>1</v>
      </c>
      <c r="DT49" s="45">
        <v>0</v>
      </c>
      <c r="DU49" s="126">
        <v>1</v>
      </c>
      <c r="DV49" s="126">
        <v>0</v>
      </c>
      <c r="DW49" s="126">
        <v>0</v>
      </c>
      <c r="DX49" s="126">
        <v>1</v>
      </c>
      <c r="DY49" s="126">
        <v>0</v>
      </c>
      <c r="DZ49" s="126">
        <v>0</v>
      </c>
      <c r="EA49" s="126">
        <v>0</v>
      </c>
      <c r="EB49" s="126">
        <v>0</v>
      </c>
      <c r="EC49" s="126">
        <v>0</v>
      </c>
      <c r="EE49" s="46">
        <f t="shared" si="26"/>
        <v>6</v>
      </c>
      <c r="EF49" s="14">
        <f t="shared" si="27"/>
        <v>6</v>
      </c>
      <c r="EG49" s="14">
        <f t="shared" si="28"/>
        <v>0</v>
      </c>
      <c r="EH49" s="14">
        <f t="shared" si="29"/>
        <v>0</v>
      </c>
      <c r="EI49" s="14">
        <f t="shared" si="30"/>
        <v>0</v>
      </c>
      <c r="EM49" s="46">
        <f t="shared" si="31"/>
        <v>6</v>
      </c>
      <c r="EN49" s="14">
        <f t="shared" si="32"/>
        <v>6</v>
      </c>
      <c r="EO49" s="14">
        <f t="shared" si="33"/>
        <v>0</v>
      </c>
      <c r="EP49" s="14">
        <f t="shared" si="34"/>
        <v>0</v>
      </c>
      <c r="EQ49" s="14">
        <f t="shared" si="35"/>
        <v>0</v>
      </c>
      <c r="EU49" s="11">
        <v>12</v>
      </c>
      <c r="EV49" s="11">
        <f>COUNTIF(EG37:EG107,EU49)</f>
        <v>0</v>
      </c>
      <c r="EW49" s="62">
        <f>EV49/EV51</f>
        <v>0</v>
      </c>
      <c r="EZ49" s="131">
        <v>45</v>
      </c>
    </row>
    <row r="50" spans="4:163" ht="17.25">
      <c r="K50" s="100">
        <f t="shared" si="0"/>
        <v>2</v>
      </c>
      <c r="L50" s="14">
        <f t="shared" si="1"/>
        <v>6</v>
      </c>
      <c r="M50" s="14">
        <f t="shared" si="24"/>
        <v>0</v>
      </c>
      <c r="N50" s="14">
        <f t="shared" si="2"/>
        <v>1</v>
      </c>
      <c r="O50" s="99">
        <f t="shared" si="3"/>
        <v>5</v>
      </c>
      <c r="P50" s="100">
        <f t="shared" si="4"/>
        <v>1</v>
      </c>
      <c r="Q50" s="14">
        <f t="shared" si="5"/>
        <v>5</v>
      </c>
      <c r="R50" s="14">
        <f t="shared" si="6"/>
        <v>0</v>
      </c>
      <c r="S50" s="14">
        <f t="shared" si="7"/>
        <v>1</v>
      </c>
      <c r="T50" s="99">
        <f t="shared" si="8"/>
        <v>4</v>
      </c>
      <c r="V50" s="34">
        <v>5</v>
      </c>
      <c r="W50" s="34">
        <v>5</v>
      </c>
      <c r="X50" s="34">
        <v>3</v>
      </c>
      <c r="Y50" s="56">
        <v>4</v>
      </c>
      <c r="Z50" s="56">
        <v>3</v>
      </c>
      <c r="AA50" s="56">
        <v>5</v>
      </c>
      <c r="AB50" s="84">
        <v>5</v>
      </c>
      <c r="AC50" s="14">
        <v>3</v>
      </c>
      <c r="AD50" s="56">
        <v>4</v>
      </c>
      <c r="AE50" s="56">
        <v>6</v>
      </c>
      <c r="AF50" s="56">
        <v>3</v>
      </c>
      <c r="AG50" s="14">
        <v>4</v>
      </c>
      <c r="AH50" s="14">
        <v>5</v>
      </c>
      <c r="AI50" s="14">
        <v>2</v>
      </c>
      <c r="AJ50" s="14">
        <v>4</v>
      </c>
      <c r="AK50" s="14">
        <v>4</v>
      </c>
      <c r="AL50" s="11">
        <v>4</v>
      </c>
      <c r="AM50" s="11">
        <v>6</v>
      </c>
      <c r="AN50" s="11">
        <v>3</v>
      </c>
      <c r="AO50" s="11">
        <v>5</v>
      </c>
      <c r="AP50" s="11">
        <v>4</v>
      </c>
      <c r="AS50" s="78">
        <v>5</v>
      </c>
      <c r="AT50" s="56">
        <v>5</v>
      </c>
      <c r="AU50" s="78">
        <v>4</v>
      </c>
      <c r="AV50" s="56">
        <v>5</v>
      </c>
      <c r="AW50" s="56">
        <v>3</v>
      </c>
      <c r="AX50" s="56">
        <v>5</v>
      </c>
      <c r="AY50" s="78">
        <v>6</v>
      </c>
      <c r="AZ50" s="56">
        <v>4</v>
      </c>
      <c r="BA50" s="56">
        <v>4</v>
      </c>
      <c r="BB50" s="56">
        <v>6</v>
      </c>
      <c r="BC50" s="56">
        <v>4</v>
      </c>
      <c r="BD50" s="56">
        <v>5</v>
      </c>
      <c r="BE50" s="56">
        <v>6</v>
      </c>
      <c r="BF50" s="56">
        <v>4</v>
      </c>
      <c r="BG50" s="56">
        <v>4</v>
      </c>
      <c r="BH50" s="56">
        <v>4</v>
      </c>
      <c r="BI50" s="14">
        <v>4</v>
      </c>
      <c r="BJ50" s="14">
        <v>6</v>
      </c>
      <c r="BK50" s="14">
        <v>3</v>
      </c>
      <c r="BL50" s="14">
        <v>5</v>
      </c>
      <c r="BM50" s="14">
        <v>4</v>
      </c>
      <c r="BN50" s="52"/>
      <c r="BP50" s="100">
        <f t="shared" si="36"/>
        <v>4</v>
      </c>
      <c r="BQ50" s="14">
        <f t="shared" si="9"/>
        <v>2</v>
      </c>
      <c r="BR50" s="9">
        <f t="shared" si="25"/>
        <v>2</v>
      </c>
      <c r="BS50" s="100">
        <f t="shared" si="10"/>
        <v>0</v>
      </c>
      <c r="BT50" s="100">
        <f t="shared" si="11"/>
        <v>0</v>
      </c>
      <c r="BU50" s="100">
        <f t="shared" si="37"/>
        <v>3</v>
      </c>
      <c r="BV50" s="14">
        <f t="shared" si="12"/>
        <v>1</v>
      </c>
      <c r="BW50" s="9">
        <f t="shared" si="13"/>
        <v>1</v>
      </c>
      <c r="BX50" s="100">
        <f t="shared" si="14"/>
        <v>0</v>
      </c>
      <c r="BY50" s="100">
        <f t="shared" si="15"/>
        <v>0</v>
      </c>
      <c r="CD50" s="34">
        <v>2</v>
      </c>
      <c r="CE50" s="134">
        <v>2</v>
      </c>
      <c r="CF50" s="134">
        <v>3</v>
      </c>
      <c r="CG50" s="34">
        <v>3</v>
      </c>
      <c r="CH50" s="134">
        <v>1</v>
      </c>
      <c r="CI50" s="134">
        <v>1</v>
      </c>
      <c r="CJ50" s="134">
        <v>1</v>
      </c>
      <c r="CK50" s="134">
        <v>1</v>
      </c>
      <c r="CL50" s="134">
        <v>2</v>
      </c>
      <c r="CM50" s="134">
        <v>3</v>
      </c>
      <c r="CN50" s="134">
        <v>2</v>
      </c>
      <c r="CO50" s="134">
        <v>2</v>
      </c>
      <c r="CP50" s="134">
        <v>3</v>
      </c>
      <c r="CQ50" s="134">
        <v>2</v>
      </c>
      <c r="CR50" s="134">
        <v>2</v>
      </c>
      <c r="CS50" s="134">
        <v>3</v>
      </c>
      <c r="CT50" s="134">
        <v>1</v>
      </c>
      <c r="CU50" s="134">
        <v>1</v>
      </c>
      <c r="CV50" s="45">
        <v>2</v>
      </c>
      <c r="CW50" s="134">
        <v>0</v>
      </c>
      <c r="CY50" s="14">
        <f t="shared" si="16"/>
        <v>0</v>
      </c>
      <c r="CZ50" s="14">
        <f t="shared" si="17"/>
        <v>0</v>
      </c>
      <c r="DA50" s="14">
        <f t="shared" si="18"/>
        <v>0</v>
      </c>
      <c r="DB50" s="14">
        <f t="shared" si="19"/>
        <v>0</v>
      </c>
      <c r="DC50" s="14">
        <f t="shared" si="20"/>
        <v>0</v>
      </c>
      <c r="DD50" s="14">
        <f t="shared" si="21"/>
        <v>0</v>
      </c>
      <c r="DE50" s="14">
        <f t="shared" si="22"/>
        <v>0</v>
      </c>
      <c r="DF50" s="14">
        <f t="shared" si="23"/>
        <v>0</v>
      </c>
      <c r="DI50" s="34">
        <v>0</v>
      </c>
      <c r="DJ50" s="34">
        <v>0</v>
      </c>
      <c r="DK50" s="34">
        <v>1</v>
      </c>
      <c r="DL50" s="84">
        <v>1</v>
      </c>
      <c r="DM50" s="84">
        <v>0</v>
      </c>
      <c r="DN50" s="84">
        <v>0</v>
      </c>
      <c r="DO50" s="84">
        <v>1</v>
      </c>
      <c r="DP50" s="84">
        <v>1</v>
      </c>
      <c r="DQ50" s="84">
        <v>0</v>
      </c>
      <c r="DR50" s="84">
        <v>0</v>
      </c>
      <c r="DS50" s="84">
        <v>1</v>
      </c>
      <c r="DT50" s="84">
        <v>1</v>
      </c>
      <c r="DU50" s="126">
        <v>1</v>
      </c>
      <c r="DV50" s="126">
        <v>0</v>
      </c>
      <c r="DW50" s="126">
        <v>0</v>
      </c>
      <c r="DX50" s="126">
        <v>0</v>
      </c>
      <c r="DY50" s="126">
        <v>0</v>
      </c>
      <c r="DZ50" s="126">
        <v>0</v>
      </c>
      <c r="EA50" s="126">
        <v>0</v>
      </c>
      <c r="EB50" s="126">
        <v>0</v>
      </c>
      <c r="EC50" s="126">
        <v>0</v>
      </c>
      <c r="EE50" s="46">
        <f t="shared" si="26"/>
        <v>7</v>
      </c>
      <c r="EF50" s="14">
        <f t="shared" si="27"/>
        <v>7</v>
      </c>
      <c r="EG50" s="14">
        <f t="shared" si="28"/>
        <v>0</v>
      </c>
      <c r="EH50" s="14">
        <f t="shared" si="29"/>
        <v>0</v>
      </c>
      <c r="EI50" s="14">
        <f t="shared" si="30"/>
        <v>0</v>
      </c>
      <c r="EM50" s="46">
        <f t="shared" si="31"/>
        <v>7</v>
      </c>
      <c r="EN50" s="14">
        <f t="shared" si="32"/>
        <v>7</v>
      </c>
      <c r="EO50" s="14">
        <f t="shared" si="33"/>
        <v>0</v>
      </c>
      <c r="EP50" s="14">
        <f t="shared" si="34"/>
        <v>0</v>
      </c>
      <c r="EQ50" s="14">
        <f t="shared" si="35"/>
        <v>0</v>
      </c>
      <c r="EU50" s="11">
        <v>13</v>
      </c>
      <c r="EV50" s="11">
        <f>COUNTIF(EG37:EG107,EU50)</f>
        <v>0</v>
      </c>
      <c r="EW50" s="62">
        <f>EV50/EV51</f>
        <v>0</v>
      </c>
    </row>
    <row r="51" spans="4:163" ht="17.25">
      <c r="K51" s="100">
        <f t="shared" si="0"/>
        <v>4</v>
      </c>
      <c r="L51" s="14">
        <f t="shared" si="1"/>
        <v>4</v>
      </c>
      <c r="M51" s="14">
        <f t="shared" si="24"/>
        <v>1</v>
      </c>
      <c r="N51" s="14">
        <f t="shared" si="2"/>
        <v>1</v>
      </c>
      <c r="O51" s="99">
        <f t="shared" si="3"/>
        <v>2</v>
      </c>
      <c r="P51" s="100">
        <f t="shared" si="4"/>
        <v>2</v>
      </c>
      <c r="Q51" s="14">
        <f t="shared" si="5"/>
        <v>3</v>
      </c>
      <c r="R51" s="14">
        <f t="shared" si="6"/>
        <v>1</v>
      </c>
      <c r="S51" s="14">
        <f t="shared" si="7"/>
        <v>0</v>
      </c>
      <c r="T51" s="99">
        <f t="shared" si="8"/>
        <v>2</v>
      </c>
      <c r="V51" s="34">
        <v>3</v>
      </c>
      <c r="W51" s="34">
        <v>4</v>
      </c>
      <c r="X51" s="34">
        <v>4</v>
      </c>
      <c r="Y51" s="34">
        <v>4</v>
      </c>
      <c r="Z51" s="56">
        <v>5</v>
      </c>
      <c r="AA51" s="56">
        <v>3</v>
      </c>
      <c r="AB51" s="84">
        <v>5</v>
      </c>
      <c r="AC51" s="14">
        <v>4</v>
      </c>
      <c r="AD51" s="56">
        <v>1</v>
      </c>
      <c r="AE51" s="56">
        <v>5</v>
      </c>
      <c r="AF51" s="56">
        <v>4</v>
      </c>
      <c r="AG51" s="14">
        <v>4</v>
      </c>
      <c r="AH51" s="14">
        <v>4</v>
      </c>
      <c r="AI51" s="14">
        <v>6</v>
      </c>
      <c r="AJ51" s="14">
        <v>4</v>
      </c>
      <c r="AK51" s="14">
        <v>6</v>
      </c>
      <c r="AL51" s="11">
        <v>6</v>
      </c>
      <c r="AM51" s="11">
        <v>2</v>
      </c>
      <c r="AN51" s="11">
        <v>6</v>
      </c>
      <c r="AO51" s="11">
        <v>4</v>
      </c>
      <c r="AP51" s="11">
        <v>4</v>
      </c>
      <c r="AS51" s="78">
        <v>3</v>
      </c>
      <c r="AT51" s="56">
        <v>5</v>
      </c>
      <c r="AU51" s="56">
        <v>5</v>
      </c>
      <c r="AV51" s="78">
        <v>3</v>
      </c>
      <c r="AW51" s="56">
        <v>5</v>
      </c>
      <c r="AX51" s="56">
        <v>3</v>
      </c>
      <c r="AY51" s="78">
        <v>5</v>
      </c>
      <c r="AZ51" s="56">
        <v>4</v>
      </c>
      <c r="BA51" s="56">
        <v>1</v>
      </c>
      <c r="BB51" s="56">
        <v>5</v>
      </c>
      <c r="BC51" s="56">
        <v>4</v>
      </c>
      <c r="BD51" s="56">
        <v>5</v>
      </c>
      <c r="BE51" s="56">
        <v>5</v>
      </c>
      <c r="BF51" s="56">
        <v>6</v>
      </c>
      <c r="BG51" s="56">
        <v>4</v>
      </c>
      <c r="BH51" s="56">
        <v>6</v>
      </c>
      <c r="BI51" s="14">
        <v>6</v>
      </c>
      <c r="BJ51" s="14">
        <v>4</v>
      </c>
      <c r="BK51" s="14">
        <v>6</v>
      </c>
      <c r="BL51" s="14">
        <v>6</v>
      </c>
      <c r="BM51" s="14">
        <v>4</v>
      </c>
      <c r="BN51" s="52"/>
      <c r="BP51" s="100">
        <f t="shared" si="36"/>
        <v>5</v>
      </c>
      <c r="BQ51" s="14">
        <f t="shared" si="9"/>
        <v>4</v>
      </c>
      <c r="BR51" s="9">
        <f t="shared" si="25"/>
        <v>3</v>
      </c>
      <c r="BS51" s="100">
        <f t="shared" si="10"/>
        <v>0</v>
      </c>
      <c r="BT51" s="100">
        <f t="shared" si="11"/>
        <v>1</v>
      </c>
      <c r="BU51" s="100">
        <f t="shared" si="37"/>
        <v>2</v>
      </c>
      <c r="BV51" s="14">
        <f t="shared" si="12"/>
        <v>4</v>
      </c>
      <c r="BW51" s="9">
        <f t="shared" si="13"/>
        <v>3</v>
      </c>
      <c r="BX51" s="100">
        <f t="shared" si="14"/>
        <v>0</v>
      </c>
      <c r="BY51" s="100">
        <f t="shared" si="15"/>
        <v>1</v>
      </c>
      <c r="CD51" s="49">
        <v>1</v>
      </c>
      <c r="CE51" s="49">
        <v>3</v>
      </c>
      <c r="CF51" s="34">
        <v>3</v>
      </c>
      <c r="CG51" s="134">
        <v>2</v>
      </c>
      <c r="CH51" s="34">
        <v>4</v>
      </c>
      <c r="CI51" s="134">
        <v>1</v>
      </c>
      <c r="CJ51" s="134">
        <v>1</v>
      </c>
      <c r="CK51" s="134">
        <v>2</v>
      </c>
      <c r="CL51" s="134">
        <v>1</v>
      </c>
      <c r="CM51" s="134">
        <v>1</v>
      </c>
      <c r="CN51" s="134">
        <v>1</v>
      </c>
      <c r="CO51" s="134">
        <v>1</v>
      </c>
      <c r="CP51" s="134">
        <v>2</v>
      </c>
      <c r="CQ51" s="134">
        <v>2</v>
      </c>
      <c r="CR51" s="134">
        <v>2</v>
      </c>
      <c r="CS51" s="134">
        <v>1</v>
      </c>
      <c r="CT51" s="134">
        <v>0</v>
      </c>
      <c r="CU51" s="134">
        <v>0</v>
      </c>
      <c r="CV51" s="134">
        <v>2</v>
      </c>
      <c r="CW51" s="45">
        <v>2</v>
      </c>
      <c r="CY51" s="14">
        <f t="shared" si="16"/>
        <v>1</v>
      </c>
      <c r="CZ51" s="14">
        <f t="shared" si="17"/>
        <v>1</v>
      </c>
      <c r="DA51" s="14">
        <f t="shared" si="18"/>
        <v>0</v>
      </c>
      <c r="DB51" s="14">
        <f t="shared" si="19"/>
        <v>0</v>
      </c>
      <c r="DC51" s="14">
        <f t="shared" si="20"/>
        <v>1</v>
      </c>
      <c r="DD51" s="14">
        <f t="shared" si="21"/>
        <v>1</v>
      </c>
      <c r="DE51" s="14">
        <f t="shared" si="22"/>
        <v>0</v>
      </c>
      <c r="DF51" s="14">
        <f t="shared" si="23"/>
        <v>0</v>
      </c>
      <c r="DI51" s="34">
        <v>0</v>
      </c>
      <c r="DJ51" s="34">
        <v>1</v>
      </c>
      <c r="DK51" s="34">
        <v>1</v>
      </c>
      <c r="DL51" s="34">
        <v>0</v>
      </c>
      <c r="DM51" s="84">
        <v>0</v>
      </c>
      <c r="DN51" s="84">
        <v>0</v>
      </c>
      <c r="DO51" s="84">
        <v>0</v>
      </c>
      <c r="DP51" s="84">
        <v>0</v>
      </c>
      <c r="DQ51" s="84">
        <v>0</v>
      </c>
      <c r="DR51" s="84">
        <v>0</v>
      </c>
      <c r="DS51" s="84">
        <v>0</v>
      </c>
      <c r="DT51" s="84">
        <v>1</v>
      </c>
      <c r="DU51" s="126">
        <v>1</v>
      </c>
      <c r="DV51" s="126">
        <v>1</v>
      </c>
      <c r="DW51" s="126">
        <v>0</v>
      </c>
      <c r="DX51" s="126">
        <v>0</v>
      </c>
      <c r="DY51" s="126">
        <v>0</v>
      </c>
      <c r="DZ51" s="126">
        <v>2</v>
      </c>
      <c r="EA51" s="126">
        <v>0</v>
      </c>
      <c r="EB51" s="126">
        <v>2</v>
      </c>
      <c r="EC51" s="126">
        <v>0</v>
      </c>
      <c r="EE51" s="46">
        <f t="shared" si="26"/>
        <v>7</v>
      </c>
      <c r="EF51" s="14">
        <f t="shared" si="27"/>
        <v>5</v>
      </c>
      <c r="EG51" s="14">
        <f t="shared" si="28"/>
        <v>2</v>
      </c>
      <c r="EH51" s="14">
        <f t="shared" si="29"/>
        <v>0</v>
      </c>
      <c r="EI51" s="14">
        <f t="shared" si="30"/>
        <v>0</v>
      </c>
      <c r="EM51" s="46">
        <f t="shared" si="31"/>
        <v>5</v>
      </c>
      <c r="EN51" s="14">
        <f t="shared" si="32"/>
        <v>5</v>
      </c>
      <c r="EO51" s="14">
        <f t="shared" si="33"/>
        <v>0</v>
      </c>
      <c r="EP51" s="14">
        <f t="shared" si="34"/>
        <v>0</v>
      </c>
      <c r="EQ51" s="14">
        <f t="shared" si="35"/>
        <v>0</v>
      </c>
      <c r="EU51" s="11"/>
      <c r="EV51" s="11">
        <f>SUM(EV37:EV50)</f>
        <v>50</v>
      </c>
      <c r="EW51" s="62">
        <f>EV51/EV51</f>
        <v>1</v>
      </c>
      <c r="FB51" s="11"/>
      <c r="FC51" s="11"/>
      <c r="FD51" s="11"/>
      <c r="FE51" s="11"/>
      <c r="FF51" s="11"/>
      <c r="FG51" s="11"/>
    </row>
    <row r="52" spans="4:163" ht="17.25">
      <c r="K52" s="100">
        <f t="shared" si="0"/>
        <v>4</v>
      </c>
      <c r="L52" s="14">
        <f t="shared" si="1"/>
        <v>3</v>
      </c>
      <c r="M52" s="14">
        <f t="shared" si="24"/>
        <v>0</v>
      </c>
      <c r="N52" s="14">
        <f t="shared" si="2"/>
        <v>0</v>
      </c>
      <c r="O52" s="99">
        <f t="shared" si="3"/>
        <v>3</v>
      </c>
      <c r="P52" s="100">
        <f t="shared" si="4"/>
        <v>4</v>
      </c>
      <c r="Q52" s="14">
        <f t="shared" si="5"/>
        <v>2</v>
      </c>
      <c r="R52" s="14">
        <f t="shared" si="6"/>
        <v>0</v>
      </c>
      <c r="S52" s="14">
        <f t="shared" si="7"/>
        <v>0</v>
      </c>
      <c r="T52" s="99">
        <f t="shared" si="8"/>
        <v>2</v>
      </c>
      <c r="V52" s="34">
        <v>6</v>
      </c>
      <c r="W52" s="34">
        <v>5</v>
      </c>
      <c r="X52" s="34">
        <v>3</v>
      </c>
      <c r="Y52" s="34">
        <v>5</v>
      </c>
      <c r="Z52" s="34">
        <v>6</v>
      </c>
      <c r="AA52" s="56">
        <v>5</v>
      </c>
      <c r="AB52" s="84">
        <v>5</v>
      </c>
      <c r="AC52" s="14">
        <v>4</v>
      </c>
      <c r="AD52" s="56">
        <v>4</v>
      </c>
      <c r="AE52" s="56">
        <v>3</v>
      </c>
      <c r="AF52" s="56">
        <v>5</v>
      </c>
      <c r="AG52" s="14">
        <v>5</v>
      </c>
      <c r="AH52" s="14">
        <v>6</v>
      </c>
      <c r="AI52" s="14">
        <v>4</v>
      </c>
      <c r="AJ52" s="14">
        <v>5</v>
      </c>
      <c r="AK52" s="14">
        <v>6</v>
      </c>
      <c r="AL52" s="11">
        <v>5</v>
      </c>
      <c r="AM52" s="11">
        <v>5</v>
      </c>
      <c r="AN52" s="11">
        <v>4</v>
      </c>
      <c r="AO52" s="11">
        <v>3</v>
      </c>
      <c r="AP52" s="11">
        <v>5</v>
      </c>
      <c r="AS52" s="78">
        <v>6</v>
      </c>
      <c r="AT52" s="78">
        <v>5</v>
      </c>
      <c r="AU52" s="56">
        <v>6</v>
      </c>
      <c r="AV52" s="56">
        <v>5</v>
      </c>
      <c r="AW52" s="78">
        <v>6</v>
      </c>
      <c r="AX52" s="56">
        <v>5</v>
      </c>
      <c r="AY52" s="78">
        <v>5</v>
      </c>
      <c r="AZ52" s="56">
        <v>5</v>
      </c>
      <c r="BA52" s="56">
        <v>5</v>
      </c>
      <c r="BB52" s="56">
        <v>5</v>
      </c>
      <c r="BC52" s="56">
        <v>5</v>
      </c>
      <c r="BD52" s="56">
        <v>5</v>
      </c>
      <c r="BE52" s="56">
        <v>6</v>
      </c>
      <c r="BF52" s="56">
        <v>4</v>
      </c>
      <c r="BG52" s="56">
        <v>5</v>
      </c>
      <c r="BH52" s="56">
        <v>6</v>
      </c>
      <c r="BI52" s="14">
        <v>5</v>
      </c>
      <c r="BJ52" s="14">
        <v>5</v>
      </c>
      <c r="BK52" s="14">
        <v>4</v>
      </c>
      <c r="BL52" s="14">
        <v>4</v>
      </c>
      <c r="BM52" s="14">
        <v>6</v>
      </c>
      <c r="BN52" s="52"/>
      <c r="BP52" s="100">
        <f t="shared" si="36"/>
        <v>6</v>
      </c>
      <c r="BQ52" s="14">
        <f t="shared" si="9"/>
        <v>0</v>
      </c>
      <c r="BR52" s="9">
        <f t="shared" si="25"/>
        <v>0</v>
      </c>
      <c r="BS52" s="100">
        <f t="shared" si="10"/>
        <v>0</v>
      </c>
      <c r="BT52" s="100">
        <f t="shared" si="11"/>
        <v>0</v>
      </c>
      <c r="BU52" s="100">
        <f t="shared" si="37"/>
        <v>5</v>
      </c>
      <c r="BV52" s="14">
        <f t="shared" si="12"/>
        <v>0</v>
      </c>
      <c r="BW52" s="9">
        <f t="shared" si="13"/>
        <v>0</v>
      </c>
      <c r="BX52" s="100">
        <f t="shared" si="14"/>
        <v>0</v>
      </c>
      <c r="BY52" s="100">
        <f t="shared" si="15"/>
        <v>0</v>
      </c>
      <c r="CD52" s="49">
        <v>3</v>
      </c>
      <c r="CE52" s="134">
        <v>1</v>
      </c>
      <c r="CF52" s="34">
        <v>4</v>
      </c>
      <c r="CG52" s="134">
        <v>2</v>
      </c>
      <c r="CH52" s="134">
        <v>2</v>
      </c>
      <c r="CI52" s="34">
        <v>2</v>
      </c>
      <c r="CJ52" s="134">
        <v>3</v>
      </c>
      <c r="CK52" s="134">
        <v>1</v>
      </c>
      <c r="CL52" s="134">
        <v>1</v>
      </c>
      <c r="CM52" s="134">
        <v>1</v>
      </c>
      <c r="CN52" s="134">
        <v>2</v>
      </c>
      <c r="CO52" s="134">
        <v>1</v>
      </c>
      <c r="CP52" s="134">
        <v>2</v>
      </c>
      <c r="CQ52" s="134">
        <v>2</v>
      </c>
      <c r="CR52" s="134">
        <v>1</v>
      </c>
      <c r="CS52" s="134">
        <v>0</v>
      </c>
      <c r="CT52" s="134">
        <v>3</v>
      </c>
      <c r="CU52" s="134">
        <v>2</v>
      </c>
      <c r="CV52" s="134">
        <v>2</v>
      </c>
      <c r="CW52" s="134">
        <v>3</v>
      </c>
      <c r="CY52" s="14">
        <f t="shared" si="16"/>
        <v>1</v>
      </c>
      <c r="CZ52" s="14">
        <f t="shared" si="17"/>
        <v>1</v>
      </c>
      <c r="DA52" s="14">
        <f t="shared" si="18"/>
        <v>0</v>
      </c>
      <c r="DB52" s="14">
        <f t="shared" si="19"/>
        <v>0</v>
      </c>
      <c r="DC52" s="14">
        <f t="shared" si="20"/>
        <v>1</v>
      </c>
      <c r="DD52" s="14">
        <f t="shared" si="21"/>
        <v>1</v>
      </c>
      <c r="DE52" s="14">
        <f t="shared" si="22"/>
        <v>0</v>
      </c>
      <c r="DF52" s="14">
        <f t="shared" si="23"/>
        <v>0</v>
      </c>
      <c r="DI52" s="34">
        <v>0</v>
      </c>
      <c r="DJ52" s="34">
        <v>0</v>
      </c>
      <c r="DK52" s="34">
        <v>3</v>
      </c>
      <c r="DL52" s="34">
        <v>0</v>
      </c>
      <c r="DM52" s="34">
        <v>0</v>
      </c>
      <c r="DN52" s="84">
        <v>0</v>
      </c>
      <c r="DO52" s="84">
        <v>0</v>
      </c>
      <c r="DP52" s="84">
        <v>1</v>
      </c>
      <c r="DQ52" s="84">
        <v>1</v>
      </c>
      <c r="DR52" s="84">
        <v>2</v>
      </c>
      <c r="DS52" s="84">
        <v>0</v>
      </c>
      <c r="DT52" s="84">
        <v>0</v>
      </c>
      <c r="DU52" s="126">
        <v>0</v>
      </c>
      <c r="DV52" s="126">
        <v>0</v>
      </c>
      <c r="DW52" s="126">
        <v>0</v>
      </c>
      <c r="DX52" s="126">
        <v>0</v>
      </c>
      <c r="DY52" s="126">
        <v>0</v>
      </c>
      <c r="DZ52" s="126">
        <v>0</v>
      </c>
      <c r="EA52" s="126">
        <v>0</v>
      </c>
      <c r="EB52" s="126">
        <v>1</v>
      </c>
      <c r="EC52" s="126">
        <v>1</v>
      </c>
      <c r="EE52" s="46">
        <f t="shared" si="26"/>
        <v>6</v>
      </c>
      <c r="EF52" s="14">
        <f t="shared" si="27"/>
        <v>4</v>
      </c>
      <c r="EG52" s="14">
        <f t="shared" si="28"/>
        <v>1</v>
      </c>
      <c r="EH52" s="14">
        <f t="shared" si="29"/>
        <v>1</v>
      </c>
      <c r="EI52" s="14">
        <f t="shared" si="30"/>
        <v>0</v>
      </c>
      <c r="EM52" s="46">
        <f t="shared" si="31"/>
        <v>4</v>
      </c>
      <c r="EN52" s="14">
        <f t="shared" si="32"/>
        <v>2</v>
      </c>
      <c r="EO52" s="14">
        <f t="shared" si="33"/>
        <v>1</v>
      </c>
      <c r="EP52" s="14">
        <f t="shared" si="34"/>
        <v>1</v>
      </c>
      <c r="EQ52" s="14">
        <f t="shared" si="35"/>
        <v>0</v>
      </c>
    </row>
    <row r="53" spans="4:163" ht="17.25">
      <c r="K53" s="100">
        <f t="shared" si="0"/>
        <v>3</v>
      </c>
      <c r="L53" s="14">
        <f t="shared" si="1"/>
        <v>4</v>
      </c>
      <c r="M53" s="14">
        <f t="shared" si="24"/>
        <v>1</v>
      </c>
      <c r="N53" s="14">
        <f t="shared" si="2"/>
        <v>0</v>
      </c>
      <c r="O53" s="99">
        <f t="shared" si="3"/>
        <v>3</v>
      </c>
      <c r="P53" s="100">
        <f t="shared" si="4"/>
        <v>1</v>
      </c>
      <c r="Q53" s="14">
        <f t="shared" si="5"/>
        <v>3</v>
      </c>
      <c r="R53" s="14">
        <f t="shared" si="6"/>
        <v>1</v>
      </c>
      <c r="S53" s="14">
        <f t="shared" si="7"/>
        <v>0</v>
      </c>
      <c r="T53" s="99">
        <f t="shared" si="8"/>
        <v>2</v>
      </c>
      <c r="V53" s="49">
        <v>1</v>
      </c>
      <c r="W53" s="34">
        <v>5</v>
      </c>
      <c r="X53" s="34">
        <v>6</v>
      </c>
      <c r="Y53" s="34">
        <v>5</v>
      </c>
      <c r="Z53" s="34">
        <v>5</v>
      </c>
      <c r="AA53" s="34">
        <v>3</v>
      </c>
      <c r="AB53" s="84">
        <v>4</v>
      </c>
      <c r="AC53" s="14">
        <v>4</v>
      </c>
      <c r="AD53" s="56">
        <v>5</v>
      </c>
      <c r="AE53" s="56">
        <v>5</v>
      </c>
      <c r="AF53" s="56">
        <v>5</v>
      </c>
      <c r="AG53" s="14">
        <v>4</v>
      </c>
      <c r="AH53" s="14">
        <v>5</v>
      </c>
      <c r="AI53" s="14">
        <v>4</v>
      </c>
      <c r="AJ53" s="14">
        <v>3</v>
      </c>
      <c r="AK53" s="14">
        <v>5</v>
      </c>
      <c r="AL53" s="11">
        <v>5</v>
      </c>
      <c r="AM53" s="11">
        <v>6</v>
      </c>
      <c r="AN53" s="11">
        <v>6</v>
      </c>
      <c r="AO53" s="11">
        <v>5</v>
      </c>
      <c r="AP53" s="11">
        <v>3</v>
      </c>
      <c r="AS53" s="78">
        <v>2</v>
      </c>
      <c r="AT53" s="78">
        <v>6</v>
      </c>
      <c r="AU53" s="78">
        <v>6</v>
      </c>
      <c r="AV53" s="78">
        <v>6</v>
      </c>
      <c r="AW53" s="56">
        <v>4</v>
      </c>
      <c r="AX53" s="78">
        <v>3</v>
      </c>
      <c r="AY53" s="56">
        <v>4</v>
      </c>
      <c r="AZ53" s="56">
        <v>4</v>
      </c>
      <c r="BA53" s="56">
        <v>6</v>
      </c>
      <c r="BB53" s="56">
        <v>5</v>
      </c>
      <c r="BC53" s="56">
        <v>5</v>
      </c>
      <c r="BD53" s="56">
        <v>4</v>
      </c>
      <c r="BE53" s="56">
        <v>5</v>
      </c>
      <c r="BF53" s="56">
        <v>4</v>
      </c>
      <c r="BG53" s="56">
        <v>4</v>
      </c>
      <c r="BH53" s="56">
        <v>6</v>
      </c>
      <c r="BI53" s="14">
        <v>5</v>
      </c>
      <c r="BJ53" s="14">
        <v>6</v>
      </c>
      <c r="BK53" s="14">
        <v>6</v>
      </c>
      <c r="BL53" s="14">
        <v>5</v>
      </c>
      <c r="BM53" s="14">
        <v>4</v>
      </c>
      <c r="BN53" s="52"/>
      <c r="BP53" s="100">
        <f t="shared" si="36"/>
        <v>7</v>
      </c>
      <c r="BQ53" s="14">
        <f t="shared" si="9"/>
        <v>2</v>
      </c>
      <c r="BR53" s="9">
        <f t="shared" si="25"/>
        <v>1</v>
      </c>
      <c r="BS53" s="100">
        <f t="shared" si="10"/>
        <v>1</v>
      </c>
      <c r="BT53" s="100">
        <f t="shared" si="11"/>
        <v>0</v>
      </c>
      <c r="BU53" s="100">
        <f t="shared" si="37"/>
        <v>5</v>
      </c>
      <c r="BV53" s="14">
        <f t="shared" si="12"/>
        <v>2</v>
      </c>
      <c r="BW53" s="9">
        <f t="shared" si="13"/>
        <v>1</v>
      </c>
      <c r="BX53" s="100">
        <f t="shared" si="14"/>
        <v>1</v>
      </c>
      <c r="BY53" s="100">
        <f t="shared" si="15"/>
        <v>0</v>
      </c>
      <c r="CD53" s="49">
        <v>3</v>
      </c>
      <c r="CE53" s="134">
        <v>2</v>
      </c>
      <c r="CF53" s="34">
        <v>3</v>
      </c>
      <c r="CG53" s="34">
        <v>2</v>
      </c>
      <c r="CH53" s="134">
        <v>2</v>
      </c>
      <c r="CI53" s="134">
        <v>2</v>
      </c>
      <c r="CJ53" s="34">
        <v>2</v>
      </c>
      <c r="CK53" s="134">
        <v>2</v>
      </c>
      <c r="CL53" s="134">
        <v>1</v>
      </c>
      <c r="CM53" s="134">
        <v>4</v>
      </c>
      <c r="CN53" s="134">
        <v>3</v>
      </c>
      <c r="CO53" s="134">
        <v>2</v>
      </c>
      <c r="CP53" s="134">
        <v>0</v>
      </c>
      <c r="CQ53" s="134">
        <v>3</v>
      </c>
      <c r="CR53" s="134">
        <v>1</v>
      </c>
      <c r="CS53" s="134">
        <v>1</v>
      </c>
      <c r="CT53" s="134">
        <v>1</v>
      </c>
      <c r="CU53" s="134">
        <v>2</v>
      </c>
      <c r="CV53" s="134">
        <v>1</v>
      </c>
      <c r="CW53" s="134">
        <v>0</v>
      </c>
      <c r="CY53" s="14">
        <f t="shared" si="16"/>
        <v>1</v>
      </c>
      <c r="CZ53" s="14">
        <f t="shared" si="17"/>
        <v>1</v>
      </c>
      <c r="DA53" s="14">
        <f t="shared" si="18"/>
        <v>0</v>
      </c>
      <c r="DB53" s="14">
        <f t="shared" si="19"/>
        <v>0</v>
      </c>
      <c r="DC53" s="14">
        <f t="shared" si="20"/>
        <v>1</v>
      </c>
      <c r="DD53" s="14">
        <f t="shared" si="21"/>
        <v>1</v>
      </c>
      <c r="DE53" s="14">
        <f t="shared" si="22"/>
        <v>0</v>
      </c>
      <c r="DF53" s="14">
        <f t="shared" si="23"/>
        <v>0</v>
      </c>
      <c r="DI53" s="49">
        <v>2</v>
      </c>
      <c r="DJ53" s="34">
        <v>1</v>
      </c>
      <c r="DK53" s="34">
        <v>0</v>
      </c>
      <c r="DL53" s="34">
        <v>1</v>
      </c>
      <c r="DM53" s="34">
        <v>0</v>
      </c>
      <c r="DN53" s="34">
        <v>1</v>
      </c>
      <c r="DO53" s="84">
        <v>0</v>
      </c>
      <c r="DP53" s="84">
        <v>0</v>
      </c>
      <c r="DQ53" s="84">
        <v>1</v>
      </c>
      <c r="DR53" s="84">
        <v>0</v>
      </c>
      <c r="DS53" s="84">
        <v>0</v>
      </c>
      <c r="DT53" s="84">
        <v>0</v>
      </c>
      <c r="DU53" s="126">
        <v>0</v>
      </c>
      <c r="DV53" s="126">
        <v>0</v>
      </c>
      <c r="DW53" s="126">
        <v>1</v>
      </c>
      <c r="DX53" s="126">
        <v>1</v>
      </c>
      <c r="DY53" s="126">
        <v>0</v>
      </c>
      <c r="DZ53" s="126">
        <v>0</v>
      </c>
      <c r="EA53" s="126">
        <v>0</v>
      </c>
      <c r="EB53" s="126">
        <v>0</v>
      </c>
      <c r="EC53" s="126">
        <v>1</v>
      </c>
      <c r="EE53" s="46">
        <f t="shared" si="26"/>
        <v>8</v>
      </c>
      <c r="EF53" s="14">
        <f t="shared" si="27"/>
        <v>7</v>
      </c>
      <c r="EG53" s="14">
        <f t="shared" si="28"/>
        <v>1</v>
      </c>
      <c r="EH53" s="14">
        <f t="shared" si="29"/>
        <v>0</v>
      </c>
      <c r="EI53" s="14">
        <f t="shared" si="30"/>
        <v>0</v>
      </c>
      <c r="EM53" s="46">
        <f t="shared" si="31"/>
        <v>7</v>
      </c>
      <c r="EN53" s="14">
        <f t="shared" si="32"/>
        <v>6</v>
      </c>
      <c r="EO53" s="14">
        <f t="shared" si="33"/>
        <v>1</v>
      </c>
      <c r="EP53" s="14">
        <f t="shared" si="34"/>
        <v>0</v>
      </c>
      <c r="EQ53" s="14">
        <f t="shared" si="35"/>
        <v>0</v>
      </c>
    </row>
    <row r="54" spans="4:163" ht="17.25">
      <c r="K54" s="100">
        <f t="shared" si="0"/>
        <v>3</v>
      </c>
      <c r="L54" s="14">
        <f t="shared" si="1"/>
        <v>1</v>
      </c>
      <c r="M54" s="14">
        <f t="shared" si="24"/>
        <v>0</v>
      </c>
      <c r="N54" s="14">
        <f t="shared" si="2"/>
        <v>0</v>
      </c>
      <c r="O54" s="99">
        <f t="shared" si="3"/>
        <v>1</v>
      </c>
      <c r="P54" s="100">
        <f t="shared" si="4"/>
        <v>3</v>
      </c>
      <c r="Q54" s="14">
        <f t="shared" si="5"/>
        <v>1</v>
      </c>
      <c r="R54" s="14">
        <f t="shared" si="6"/>
        <v>0</v>
      </c>
      <c r="S54" s="14">
        <f t="shared" si="7"/>
        <v>0</v>
      </c>
      <c r="T54" s="99">
        <f t="shared" si="8"/>
        <v>1</v>
      </c>
      <c r="V54" s="49">
        <v>6</v>
      </c>
      <c r="W54" s="49">
        <v>4</v>
      </c>
      <c r="X54" s="34">
        <v>6</v>
      </c>
      <c r="Y54" s="34">
        <v>5</v>
      </c>
      <c r="Z54" s="34">
        <v>5</v>
      </c>
      <c r="AA54" s="34">
        <v>5</v>
      </c>
      <c r="AB54" s="34">
        <v>4</v>
      </c>
      <c r="AC54" s="14">
        <v>4</v>
      </c>
      <c r="AD54" s="56">
        <v>3</v>
      </c>
      <c r="AE54" s="56">
        <v>5</v>
      </c>
      <c r="AF54" s="56">
        <v>5</v>
      </c>
      <c r="AG54" s="14">
        <v>5</v>
      </c>
      <c r="AH54" s="14">
        <v>6</v>
      </c>
      <c r="AI54" s="14">
        <v>4</v>
      </c>
      <c r="AJ54" s="14">
        <v>4</v>
      </c>
      <c r="AK54" s="14">
        <v>4</v>
      </c>
      <c r="AL54" s="11">
        <v>5</v>
      </c>
      <c r="AM54" s="11">
        <v>5</v>
      </c>
      <c r="AN54" s="11">
        <v>5</v>
      </c>
      <c r="AO54" s="11">
        <v>5</v>
      </c>
      <c r="AP54" s="11">
        <v>4</v>
      </c>
      <c r="AS54" s="78">
        <v>5</v>
      </c>
      <c r="AT54" s="56">
        <v>4</v>
      </c>
      <c r="AU54" s="56">
        <v>6</v>
      </c>
      <c r="AV54" s="78">
        <v>5</v>
      </c>
      <c r="AW54" s="56">
        <v>6</v>
      </c>
      <c r="AX54" s="56">
        <v>6</v>
      </c>
      <c r="AY54" s="78">
        <v>6</v>
      </c>
      <c r="AZ54" s="56">
        <v>5</v>
      </c>
      <c r="BA54" s="56">
        <v>4</v>
      </c>
      <c r="BB54" s="56">
        <v>5</v>
      </c>
      <c r="BC54" s="56">
        <v>5</v>
      </c>
      <c r="BD54" s="56">
        <v>5</v>
      </c>
      <c r="BE54" s="56">
        <v>6</v>
      </c>
      <c r="BF54" s="56">
        <v>5</v>
      </c>
      <c r="BG54" s="56">
        <v>5</v>
      </c>
      <c r="BH54" s="56">
        <v>5</v>
      </c>
      <c r="BI54" s="14">
        <v>6</v>
      </c>
      <c r="BJ54" s="14">
        <v>6</v>
      </c>
      <c r="BK54" s="14">
        <v>5</v>
      </c>
      <c r="BL54" s="14">
        <v>5</v>
      </c>
      <c r="BM54" s="14">
        <v>5</v>
      </c>
      <c r="BN54" s="52"/>
      <c r="BP54" s="100">
        <f t="shared" si="36"/>
        <v>7</v>
      </c>
      <c r="BQ54" s="14">
        <f t="shared" si="9"/>
        <v>0</v>
      </c>
      <c r="BR54" s="9">
        <f t="shared" si="25"/>
        <v>0</v>
      </c>
      <c r="BS54" s="100">
        <f t="shared" si="10"/>
        <v>0</v>
      </c>
      <c r="BT54" s="100">
        <f t="shared" si="11"/>
        <v>0</v>
      </c>
      <c r="BU54" s="100">
        <f t="shared" si="37"/>
        <v>5</v>
      </c>
      <c r="BV54" s="14">
        <f t="shared" si="12"/>
        <v>0</v>
      </c>
      <c r="BW54" s="9">
        <f t="shared" si="13"/>
        <v>0</v>
      </c>
      <c r="BX54" s="100">
        <f t="shared" si="14"/>
        <v>0</v>
      </c>
      <c r="BY54" s="100">
        <f t="shared" si="15"/>
        <v>0</v>
      </c>
      <c r="CD54" s="49">
        <v>3</v>
      </c>
      <c r="CE54" s="134">
        <v>3</v>
      </c>
      <c r="CF54" s="34">
        <v>3</v>
      </c>
      <c r="CG54" s="134">
        <v>2</v>
      </c>
      <c r="CH54" s="34">
        <v>4</v>
      </c>
      <c r="CI54" s="134">
        <v>1</v>
      </c>
      <c r="CJ54" s="134">
        <v>2</v>
      </c>
      <c r="CK54" s="34">
        <v>3</v>
      </c>
      <c r="CL54" s="134">
        <v>1</v>
      </c>
      <c r="CM54" s="134">
        <v>2</v>
      </c>
      <c r="CN54" s="134">
        <v>3</v>
      </c>
      <c r="CO54" s="134">
        <v>0</v>
      </c>
      <c r="CP54" s="134">
        <v>1</v>
      </c>
      <c r="CQ54" s="134">
        <v>2</v>
      </c>
      <c r="CR54" s="134">
        <v>1</v>
      </c>
      <c r="CS54" s="134">
        <v>3</v>
      </c>
      <c r="CT54" s="134">
        <v>0</v>
      </c>
      <c r="CU54" s="134">
        <v>1</v>
      </c>
      <c r="CV54" s="134">
        <v>2</v>
      </c>
      <c r="CW54" s="134">
        <v>2</v>
      </c>
      <c r="CY54" s="14">
        <f t="shared" si="16"/>
        <v>1</v>
      </c>
      <c r="CZ54" s="14">
        <f t="shared" si="17"/>
        <v>1</v>
      </c>
      <c r="DA54" s="14">
        <f t="shared" si="18"/>
        <v>0</v>
      </c>
      <c r="DB54" s="14">
        <f t="shared" si="19"/>
        <v>0</v>
      </c>
      <c r="DC54" s="14">
        <f t="shared" si="20"/>
        <v>1</v>
      </c>
      <c r="DD54" s="14">
        <f t="shared" si="21"/>
        <v>1</v>
      </c>
      <c r="DE54" s="14">
        <f t="shared" si="22"/>
        <v>0</v>
      </c>
      <c r="DF54" s="14">
        <f t="shared" si="23"/>
        <v>0</v>
      </c>
      <c r="DI54" s="49">
        <v>0</v>
      </c>
      <c r="DJ54" s="49">
        <v>0</v>
      </c>
      <c r="DK54" s="34">
        <v>0</v>
      </c>
      <c r="DL54" s="34">
        <v>0</v>
      </c>
      <c r="DM54" s="34">
        <v>1</v>
      </c>
      <c r="DN54" s="34">
        <v>1</v>
      </c>
      <c r="DO54" s="34">
        <v>2</v>
      </c>
      <c r="DP54" s="84">
        <v>1</v>
      </c>
      <c r="DQ54" s="84">
        <v>1</v>
      </c>
      <c r="DR54" s="84">
        <v>0</v>
      </c>
      <c r="DS54" s="84">
        <v>0</v>
      </c>
      <c r="DT54" s="84">
        <v>0</v>
      </c>
      <c r="DU54" s="126">
        <v>0</v>
      </c>
      <c r="DV54" s="126">
        <v>1</v>
      </c>
      <c r="DW54" s="126">
        <v>1</v>
      </c>
      <c r="DX54" s="126">
        <v>1</v>
      </c>
      <c r="DY54" s="126">
        <v>1</v>
      </c>
      <c r="DZ54" s="126">
        <v>1</v>
      </c>
      <c r="EA54" s="126">
        <v>0</v>
      </c>
      <c r="EB54" s="126">
        <v>0</v>
      </c>
      <c r="EC54" s="126">
        <v>1</v>
      </c>
      <c r="EE54" s="46">
        <f t="shared" si="26"/>
        <v>11</v>
      </c>
      <c r="EF54" s="14">
        <f t="shared" si="27"/>
        <v>10</v>
      </c>
      <c r="EG54" s="14">
        <f t="shared" si="28"/>
        <v>1</v>
      </c>
      <c r="EH54" s="14">
        <f t="shared" si="29"/>
        <v>0</v>
      </c>
      <c r="EI54" s="14">
        <f t="shared" si="30"/>
        <v>0</v>
      </c>
      <c r="EM54" s="46">
        <f t="shared" si="31"/>
        <v>8</v>
      </c>
      <c r="EN54" s="14">
        <f t="shared" si="32"/>
        <v>7</v>
      </c>
      <c r="EO54" s="14">
        <f t="shared" si="33"/>
        <v>1</v>
      </c>
      <c r="EP54" s="14">
        <f t="shared" si="34"/>
        <v>0</v>
      </c>
      <c r="EQ54" s="14">
        <f t="shared" si="35"/>
        <v>0</v>
      </c>
    </row>
    <row r="55" spans="4:163" ht="17.25">
      <c r="K55" s="100">
        <f t="shared" si="0"/>
        <v>6</v>
      </c>
      <c r="L55" s="14">
        <f t="shared" si="1"/>
        <v>1</v>
      </c>
      <c r="M55" s="14">
        <f t="shared" si="24"/>
        <v>0</v>
      </c>
      <c r="N55" s="14">
        <f t="shared" si="2"/>
        <v>0</v>
      </c>
      <c r="O55" s="99">
        <f t="shared" si="3"/>
        <v>1</v>
      </c>
      <c r="P55" s="100">
        <f t="shared" si="4"/>
        <v>5</v>
      </c>
      <c r="Q55" s="14">
        <f t="shared" si="5"/>
        <v>1</v>
      </c>
      <c r="R55" s="14">
        <f t="shared" si="6"/>
        <v>0</v>
      </c>
      <c r="S55" s="14">
        <f t="shared" si="7"/>
        <v>0</v>
      </c>
      <c r="T55" s="99">
        <f t="shared" si="8"/>
        <v>1</v>
      </c>
      <c r="V55" s="49">
        <v>5</v>
      </c>
      <c r="W55" s="49">
        <v>4</v>
      </c>
      <c r="X55" s="49">
        <v>6</v>
      </c>
      <c r="Y55" s="34">
        <v>6</v>
      </c>
      <c r="Z55" s="34">
        <v>4</v>
      </c>
      <c r="AA55" s="34">
        <v>4</v>
      </c>
      <c r="AB55" s="34">
        <v>5</v>
      </c>
      <c r="AC55" s="34">
        <v>4</v>
      </c>
      <c r="AD55" s="56">
        <v>5</v>
      </c>
      <c r="AE55" s="56">
        <v>4</v>
      </c>
      <c r="AF55" s="56">
        <v>5</v>
      </c>
      <c r="AG55" s="14">
        <v>6</v>
      </c>
      <c r="AH55" s="14">
        <v>3</v>
      </c>
      <c r="AI55" s="14">
        <v>6</v>
      </c>
      <c r="AJ55" s="14">
        <v>6</v>
      </c>
      <c r="AK55" s="14">
        <v>4</v>
      </c>
      <c r="AL55" s="11">
        <v>6</v>
      </c>
      <c r="AM55" s="11">
        <v>4</v>
      </c>
      <c r="AN55" s="11">
        <v>5</v>
      </c>
      <c r="AO55" s="11">
        <v>5</v>
      </c>
      <c r="AP55" s="11">
        <v>4</v>
      </c>
      <c r="AS55" s="78">
        <v>5</v>
      </c>
      <c r="AT55" s="78">
        <v>4</v>
      </c>
      <c r="AU55" s="56">
        <v>6</v>
      </c>
      <c r="AV55" s="56">
        <v>6</v>
      </c>
      <c r="AW55" s="78">
        <v>4</v>
      </c>
      <c r="AX55" s="56">
        <v>5</v>
      </c>
      <c r="AY55" s="56">
        <v>6</v>
      </c>
      <c r="AZ55" s="56">
        <v>5</v>
      </c>
      <c r="BA55" s="56">
        <v>6</v>
      </c>
      <c r="BB55" s="56">
        <v>4</v>
      </c>
      <c r="BC55" s="56">
        <v>5</v>
      </c>
      <c r="BD55" s="56">
        <v>6</v>
      </c>
      <c r="BE55" s="56">
        <v>3</v>
      </c>
      <c r="BF55" s="56">
        <v>6</v>
      </c>
      <c r="BG55" s="56">
        <v>6</v>
      </c>
      <c r="BH55" s="56">
        <v>6</v>
      </c>
      <c r="BI55" s="14">
        <v>6</v>
      </c>
      <c r="BJ55" s="14">
        <v>4</v>
      </c>
      <c r="BK55" s="14">
        <v>5</v>
      </c>
      <c r="BL55" s="14">
        <v>5</v>
      </c>
      <c r="BM55" s="14">
        <v>4</v>
      </c>
      <c r="BN55" s="52"/>
      <c r="BP55" s="100">
        <f t="shared" si="36"/>
        <v>9</v>
      </c>
      <c r="BQ55" s="14">
        <f t="shared" si="9"/>
        <v>1</v>
      </c>
      <c r="BR55" s="9">
        <f t="shared" si="25"/>
        <v>1</v>
      </c>
      <c r="BS55" s="100">
        <f t="shared" si="10"/>
        <v>0</v>
      </c>
      <c r="BT55" s="100">
        <f t="shared" si="11"/>
        <v>0</v>
      </c>
      <c r="BU55" s="100">
        <f t="shared" si="37"/>
        <v>8</v>
      </c>
      <c r="BV55" s="14">
        <f t="shared" si="12"/>
        <v>1</v>
      </c>
      <c r="BW55" s="9">
        <f t="shared" si="13"/>
        <v>1</v>
      </c>
      <c r="BX55" s="100">
        <f t="shared" si="14"/>
        <v>0</v>
      </c>
      <c r="BY55" s="100">
        <f t="shared" si="15"/>
        <v>0</v>
      </c>
      <c r="CD55" s="49">
        <v>2</v>
      </c>
      <c r="CE55" s="134">
        <v>1</v>
      </c>
      <c r="CF55" s="34">
        <v>1</v>
      </c>
      <c r="CG55" s="134">
        <v>1</v>
      </c>
      <c r="CH55" s="134">
        <v>2</v>
      </c>
      <c r="CI55" s="34">
        <v>0</v>
      </c>
      <c r="CJ55" s="134">
        <v>1</v>
      </c>
      <c r="CK55" s="134">
        <v>1</v>
      </c>
      <c r="CL55" s="34">
        <v>2</v>
      </c>
      <c r="CM55" s="134">
        <v>0</v>
      </c>
      <c r="CN55" s="134">
        <v>3</v>
      </c>
      <c r="CO55" s="134">
        <v>4</v>
      </c>
      <c r="CP55" s="134">
        <v>2</v>
      </c>
      <c r="CQ55" s="134">
        <v>0</v>
      </c>
      <c r="CR55" s="134">
        <v>3</v>
      </c>
      <c r="CS55" s="134">
        <v>3</v>
      </c>
      <c r="CT55" s="134">
        <v>1</v>
      </c>
      <c r="CU55" s="134">
        <v>1</v>
      </c>
      <c r="CV55" s="134">
        <v>2</v>
      </c>
      <c r="CW55" s="134">
        <v>0</v>
      </c>
      <c r="CY55" s="14">
        <f t="shared" si="16"/>
        <v>1</v>
      </c>
      <c r="CZ55" s="14">
        <f t="shared" si="17"/>
        <v>1</v>
      </c>
      <c r="DA55" s="14">
        <f t="shared" si="18"/>
        <v>0</v>
      </c>
      <c r="DB55" s="14">
        <f t="shared" si="19"/>
        <v>0</v>
      </c>
      <c r="DC55" s="14">
        <f t="shared" si="20"/>
        <v>1</v>
      </c>
      <c r="DD55" s="14">
        <f t="shared" si="21"/>
        <v>1</v>
      </c>
      <c r="DE55" s="14">
        <f t="shared" si="22"/>
        <v>0</v>
      </c>
      <c r="DF55" s="14">
        <f t="shared" si="23"/>
        <v>0</v>
      </c>
      <c r="DI55" s="34">
        <v>0</v>
      </c>
      <c r="DJ55" s="49">
        <v>0</v>
      </c>
      <c r="DK55" s="49">
        <v>0</v>
      </c>
      <c r="DL55" s="34">
        <v>0</v>
      </c>
      <c r="DM55" s="34">
        <v>0</v>
      </c>
      <c r="DN55" s="34">
        <v>1</v>
      </c>
      <c r="DO55" s="34">
        <v>1</v>
      </c>
      <c r="DP55" s="34">
        <v>1</v>
      </c>
      <c r="DQ55" s="84">
        <v>1</v>
      </c>
      <c r="DR55" s="84">
        <v>0</v>
      </c>
      <c r="DS55" s="84">
        <v>0</v>
      </c>
      <c r="DT55" s="84">
        <v>0</v>
      </c>
      <c r="DU55" s="126">
        <v>0</v>
      </c>
      <c r="DV55" s="126">
        <v>0</v>
      </c>
      <c r="DW55" s="126">
        <v>0</v>
      </c>
      <c r="DX55" s="126">
        <v>2</v>
      </c>
      <c r="DY55" s="126">
        <v>0</v>
      </c>
      <c r="DZ55" s="126">
        <v>0</v>
      </c>
      <c r="EA55" s="126">
        <v>0</v>
      </c>
      <c r="EB55" s="126">
        <v>0</v>
      </c>
      <c r="EC55" s="126">
        <v>0</v>
      </c>
      <c r="EE55" s="46">
        <f t="shared" si="26"/>
        <v>5</v>
      </c>
      <c r="EF55" s="14">
        <f t="shared" si="27"/>
        <v>4</v>
      </c>
      <c r="EG55" s="14">
        <f t="shared" si="28"/>
        <v>1</v>
      </c>
      <c r="EH55" s="14">
        <f t="shared" si="29"/>
        <v>0</v>
      </c>
      <c r="EI55" s="14">
        <f t="shared" si="30"/>
        <v>0</v>
      </c>
      <c r="EM55" s="46">
        <f t="shared" si="31"/>
        <v>5</v>
      </c>
      <c r="EN55" s="14">
        <f t="shared" si="32"/>
        <v>4</v>
      </c>
      <c r="EO55" s="14">
        <f t="shared" si="33"/>
        <v>1</v>
      </c>
      <c r="EP55" s="14">
        <f t="shared" si="34"/>
        <v>0</v>
      </c>
      <c r="EQ55" s="14">
        <f t="shared" si="35"/>
        <v>0</v>
      </c>
    </row>
    <row r="56" spans="4:163" ht="17.25">
      <c r="K56" s="100">
        <f t="shared" si="0"/>
        <v>3</v>
      </c>
      <c r="L56" s="14">
        <f t="shared" si="1"/>
        <v>3</v>
      </c>
      <c r="M56" s="14">
        <f t="shared" si="24"/>
        <v>0</v>
      </c>
      <c r="N56" s="14">
        <f t="shared" si="2"/>
        <v>2</v>
      </c>
      <c r="O56" s="99">
        <f t="shared" si="3"/>
        <v>1</v>
      </c>
      <c r="P56" s="100">
        <f t="shared" si="4"/>
        <v>3</v>
      </c>
      <c r="Q56" s="14">
        <f t="shared" si="5"/>
        <v>3</v>
      </c>
      <c r="R56" s="14">
        <f t="shared" si="6"/>
        <v>0</v>
      </c>
      <c r="S56" s="14">
        <f t="shared" si="7"/>
        <v>2</v>
      </c>
      <c r="T56" s="99">
        <f t="shared" si="8"/>
        <v>1</v>
      </c>
      <c r="V56" s="49">
        <v>6</v>
      </c>
      <c r="W56" s="49">
        <v>2</v>
      </c>
      <c r="X56" s="49">
        <v>5</v>
      </c>
      <c r="Y56" s="49">
        <v>5</v>
      </c>
      <c r="Z56" s="34">
        <v>6</v>
      </c>
      <c r="AA56" s="34">
        <v>5</v>
      </c>
      <c r="AB56" s="34">
        <v>5</v>
      </c>
      <c r="AC56" s="34">
        <v>6</v>
      </c>
      <c r="AD56" s="34">
        <v>3</v>
      </c>
      <c r="AE56" s="56">
        <v>5</v>
      </c>
      <c r="AF56" s="56">
        <v>5</v>
      </c>
      <c r="AG56" s="14">
        <v>4</v>
      </c>
      <c r="AH56" s="14">
        <v>5</v>
      </c>
      <c r="AI56" s="14">
        <v>2</v>
      </c>
      <c r="AJ56" s="14">
        <v>5</v>
      </c>
      <c r="AK56" s="14">
        <v>5</v>
      </c>
      <c r="AL56" s="11">
        <v>4</v>
      </c>
      <c r="AM56" s="11">
        <v>5</v>
      </c>
      <c r="AN56" s="11">
        <v>5</v>
      </c>
      <c r="AO56" s="11">
        <v>5</v>
      </c>
      <c r="AP56" s="11">
        <v>4</v>
      </c>
      <c r="AS56" s="78">
        <v>6</v>
      </c>
      <c r="AT56" s="56">
        <v>2</v>
      </c>
      <c r="AU56" s="56">
        <v>5</v>
      </c>
      <c r="AV56" s="56">
        <v>5</v>
      </c>
      <c r="AW56" s="56">
        <v>6</v>
      </c>
      <c r="AX56" s="78">
        <v>5</v>
      </c>
      <c r="AY56" s="56">
        <v>5</v>
      </c>
      <c r="AZ56" s="56">
        <v>6</v>
      </c>
      <c r="BA56" s="56">
        <v>5</v>
      </c>
      <c r="BB56" s="56">
        <v>6</v>
      </c>
      <c r="BC56" s="56">
        <v>6</v>
      </c>
      <c r="BD56" s="56">
        <v>6</v>
      </c>
      <c r="BE56" s="56">
        <v>5</v>
      </c>
      <c r="BF56" s="56">
        <v>3</v>
      </c>
      <c r="BG56" s="56">
        <v>5</v>
      </c>
      <c r="BH56" s="56">
        <v>5</v>
      </c>
      <c r="BI56" s="14">
        <v>5</v>
      </c>
      <c r="BJ56" s="14">
        <v>5</v>
      </c>
      <c r="BK56" s="14">
        <v>6</v>
      </c>
      <c r="BL56" s="14">
        <v>5</v>
      </c>
      <c r="BM56" s="14">
        <v>4</v>
      </c>
      <c r="BN56" s="52"/>
      <c r="BP56" s="100">
        <f t="shared" si="36"/>
        <v>7</v>
      </c>
      <c r="BQ56" s="14">
        <f t="shared" si="9"/>
        <v>2</v>
      </c>
      <c r="BR56" s="9">
        <f t="shared" si="25"/>
        <v>1</v>
      </c>
      <c r="BS56" s="100">
        <f t="shared" si="10"/>
        <v>1</v>
      </c>
      <c r="BT56" s="100">
        <f t="shared" si="11"/>
        <v>0</v>
      </c>
      <c r="BU56" s="100">
        <f t="shared" si="37"/>
        <v>6</v>
      </c>
      <c r="BV56" s="14">
        <f t="shared" si="12"/>
        <v>2</v>
      </c>
      <c r="BW56" s="9">
        <f t="shared" si="13"/>
        <v>1</v>
      </c>
      <c r="BX56" s="100">
        <f t="shared" si="14"/>
        <v>1</v>
      </c>
      <c r="BY56" s="100">
        <f t="shared" si="15"/>
        <v>0</v>
      </c>
      <c r="CD56" s="49">
        <v>3</v>
      </c>
      <c r="CE56" s="134">
        <v>1</v>
      </c>
      <c r="CF56" s="34">
        <v>2</v>
      </c>
      <c r="CG56" s="134">
        <v>2</v>
      </c>
      <c r="CH56" s="134">
        <v>1</v>
      </c>
      <c r="CI56" s="134">
        <v>1</v>
      </c>
      <c r="CJ56" s="34">
        <v>2</v>
      </c>
      <c r="CK56" s="134">
        <v>2</v>
      </c>
      <c r="CL56" s="134">
        <v>0</v>
      </c>
      <c r="CM56" s="34">
        <v>1</v>
      </c>
      <c r="CN56" s="134">
        <v>1</v>
      </c>
      <c r="CO56" s="134">
        <v>0</v>
      </c>
      <c r="CP56" s="134">
        <v>1</v>
      </c>
      <c r="CQ56" s="134">
        <v>3</v>
      </c>
      <c r="CR56" s="134">
        <v>2</v>
      </c>
      <c r="CS56" s="134">
        <v>2</v>
      </c>
      <c r="CT56" s="134">
        <v>3</v>
      </c>
      <c r="CU56" s="134">
        <v>2</v>
      </c>
      <c r="CV56" s="134">
        <v>0</v>
      </c>
      <c r="CW56" s="134">
        <v>3</v>
      </c>
      <c r="CY56" s="14">
        <f t="shared" si="16"/>
        <v>0</v>
      </c>
      <c r="CZ56" s="14">
        <f t="shared" si="17"/>
        <v>0</v>
      </c>
      <c r="DA56" s="14">
        <f t="shared" si="18"/>
        <v>0</v>
      </c>
      <c r="DB56" s="14">
        <f t="shared" si="19"/>
        <v>0</v>
      </c>
      <c r="DC56" s="14">
        <f t="shared" si="20"/>
        <v>0</v>
      </c>
      <c r="DD56" s="14">
        <f t="shared" si="21"/>
        <v>0</v>
      </c>
      <c r="DE56" s="14">
        <f t="shared" si="22"/>
        <v>0</v>
      </c>
      <c r="DF56" s="14">
        <f t="shared" si="23"/>
        <v>0</v>
      </c>
      <c r="DI56" s="126">
        <v>0</v>
      </c>
      <c r="DJ56" s="34">
        <v>0</v>
      </c>
      <c r="DK56" s="49">
        <v>0</v>
      </c>
      <c r="DL56" s="49">
        <v>0</v>
      </c>
      <c r="DM56" s="34">
        <v>0</v>
      </c>
      <c r="DN56" s="34">
        <v>0</v>
      </c>
      <c r="DO56" s="34">
        <v>0</v>
      </c>
      <c r="DP56" s="34">
        <v>0</v>
      </c>
      <c r="DQ56" s="34">
        <v>2</v>
      </c>
      <c r="DR56" s="84">
        <v>1</v>
      </c>
      <c r="DS56" s="84">
        <v>0</v>
      </c>
      <c r="DT56" s="84">
        <v>1</v>
      </c>
      <c r="DU56" s="126">
        <v>0</v>
      </c>
      <c r="DV56" s="126">
        <v>0</v>
      </c>
      <c r="DW56" s="126">
        <v>0</v>
      </c>
      <c r="DX56" s="126">
        <v>0</v>
      </c>
      <c r="DY56" s="126">
        <v>1</v>
      </c>
      <c r="DZ56" s="126">
        <v>0</v>
      </c>
      <c r="EA56" s="126">
        <v>1</v>
      </c>
      <c r="EB56" s="126">
        <v>0</v>
      </c>
      <c r="EC56" s="126">
        <v>0</v>
      </c>
      <c r="EE56" s="46">
        <f t="shared" si="26"/>
        <v>5</v>
      </c>
      <c r="EF56" s="14">
        <f t="shared" si="27"/>
        <v>4</v>
      </c>
      <c r="EG56" s="14">
        <f t="shared" si="28"/>
        <v>1</v>
      </c>
      <c r="EH56" s="14">
        <f t="shared" si="29"/>
        <v>0</v>
      </c>
      <c r="EI56" s="14">
        <f t="shared" si="30"/>
        <v>0</v>
      </c>
      <c r="EM56" s="46">
        <f t="shared" si="31"/>
        <v>3</v>
      </c>
      <c r="EN56" s="14">
        <f t="shared" si="32"/>
        <v>2</v>
      </c>
      <c r="EO56" s="14">
        <f t="shared" si="33"/>
        <v>1</v>
      </c>
      <c r="EP56" s="14">
        <f t="shared" si="34"/>
        <v>0</v>
      </c>
      <c r="EQ56" s="14">
        <f t="shared" si="35"/>
        <v>0</v>
      </c>
    </row>
    <row r="57" spans="4:163" ht="17.25">
      <c r="K57" s="100">
        <f t="shared" si="0"/>
        <v>1</v>
      </c>
      <c r="L57" s="14">
        <f t="shared" si="1"/>
        <v>2</v>
      </c>
      <c r="M57" s="14">
        <f t="shared" si="24"/>
        <v>0</v>
      </c>
      <c r="N57" s="14">
        <f t="shared" si="2"/>
        <v>0</v>
      </c>
      <c r="O57" s="99">
        <f t="shared" si="3"/>
        <v>2</v>
      </c>
      <c r="P57" s="100">
        <f t="shared" si="4"/>
        <v>0</v>
      </c>
      <c r="Q57" s="14">
        <f t="shared" si="5"/>
        <v>2</v>
      </c>
      <c r="R57" s="14">
        <f t="shared" si="6"/>
        <v>0</v>
      </c>
      <c r="S57" s="14">
        <f t="shared" si="7"/>
        <v>0</v>
      </c>
      <c r="T57" s="99">
        <f t="shared" si="8"/>
        <v>2</v>
      </c>
      <c r="V57" s="49">
        <v>5</v>
      </c>
      <c r="W57" s="49">
        <v>4</v>
      </c>
      <c r="X57" s="49">
        <v>5</v>
      </c>
      <c r="Y57" s="49">
        <v>3</v>
      </c>
      <c r="Z57" s="49">
        <v>5</v>
      </c>
      <c r="AA57" s="34">
        <v>5</v>
      </c>
      <c r="AB57" s="34">
        <v>5</v>
      </c>
      <c r="AC57" s="34">
        <v>4</v>
      </c>
      <c r="AD57" s="34">
        <v>3</v>
      </c>
      <c r="AE57" s="34">
        <v>5</v>
      </c>
      <c r="AF57" s="56">
        <v>4</v>
      </c>
      <c r="AG57" s="14">
        <v>4</v>
      </c>
      <c r="AH57" s="14">
        <v>4</v>
      </c>
      <c r="AI57" s="14">
        <v>5</v>
      </c>
      <c r="AJ57" s="14">
        <v>4</v>
      </c>
      <c r="AK57" s="14">
        <v>4</v>
      </c>
      <c r="AL57" s="11">
        <v>6</v>
      </c>
      <c r="AM57" s="11">
        <v>4</v>
      </c>
      <c r="AN57" s="11">
        <v>4</v>
      </c>
      <c r="AO57" s="11">
        <v>4</v>
      </c>
      <c r="AP57" s="11">
        <v>5</v>
      </c>
      <c r="AS57" s="78">
        <v>6</v>
      </c>
      <c r="AT57" s="56">
        <v>4</v>
      </c>
      <c r="AU57" s="56">
        <v>5</v>
      </c>
      <c r="AV57" s="56">
        <v>4</v>
      </c>
      <c r="AW57" s="56">
        <v>6</v>
      </c>
      <c r="AX57" s="56">
        <v>6</v>
      </c>
      <c r="AY57" s="78">
        <v>5</v>
      </c>
      <c r="AZ57" s="56">
        <v>4</v>
      </c>
      <c r="BA57" s="56">
        <v>3</v>
      </c>
      <c r="BB57" s="78">
        <v>5</v>
      </c>
      <c r="BC57" s="56">
        <v>5</v>
      </c>
      <c r="BD57" s="56">
        <v>5</v>
      </c>
      <c r="BE57" s="56">
        <v>5</v>
      </c>
      <c r="BF57" s="56">
        <v>5</v>
      </c>
      <c r="BG57" s="56">
        <v>4</v>
      </c>
      <c r="BH57" s="56">
        <v>4</v>
      </c>
      <c r="BI57" s="14">
        <v>6</v>
      </c>
      <c r="BJ57" s="14">
        <v>4</v>
      </c>
      <c r="BK57" s="14">
        <v>5</v>
      </c>
      <c r="BL57" s="14">
        <v>4</v>
      </c>
      <c r="BM57" s="14">
        <v>5</v>
      </c>
      <c r="BN57" s="52"/>
      <c r="BP57" s="100">
        <f t="shared" si="36"/>
        <v>4</v>
      </c>
      <c r="BQ57" s="14">
        <f t="shared" si="9"/>
        <v>1</v>
      </c>
      <c r="BR57" s="9">
        <f t="shared" si="25"/>
        <v>1</v>
      </c>
      <c r="BS57" s="100">
        <f t="shared" si="10"/>
        <v>0</v>
      </c>
      <c r="BT57" s="100">
        <f t="shared" si="11"/>
        <v>0</v>
      </c>
      <c r="BU57" s="100">
        <f t="shared" si="37"/>
        <v>3</v>
      </c>
      <c r="BV57" s="14">
        <f t="shared" si="12"/>
        <v>1</v>
      </c>
      <c r="BW57" s="9">
        <f t="shared" si="13"/>
        <v>1</v>
      </c>
      <c r="BX57" s="100">
        <f t="shared" si="14"/>
        <v>0</v>
      </c>
      <c r="BY57" s="100">
        <f t="shared" si="15"/>
        <v>0</v>
      </c>
      <c r="CD57" s="49">
        <v>2</v>
      </c>
      <c r="CE57" s="134">
        <v>2</v>
      </c>
      <c r="CF57" s="34">
        <v>2</v>
      </c>
      <c r="CG57" s="134">
        <v>0</v>
      </c>
      <c r="CH57" s="134">
        <v>2</v>
      </c>
      <c r="CI57" s="134">
        <v>1</v>
      </c>
      <c r="CJ57" s="134">
        <v>2</v>
      </c>
      <c r="CK57" s="34">
        <v>1</v>
      </c>
      <c r="CL57" s="134">
        <v>1</v>
      </c>
      <c r="CM57" s="134">
        <v>3</v>
      </c>
      <c r="CN57" s="34">
        <v>1</v>
      </c>
      <c r="CO57" s="134">
        <v>2</v>
      </c>
      <c r="CP57" s="134">
        <v>2</v>
      </c>
      <c r="CQ57" s="134">
        <v>1</v>
      </c>
      <c r="CR57" s="134">
        <v>3</v>
      </c>
      <c r="CS57" s="134">
        <v>1</v>
      </c>
      <c r="CT57" s="134">
        <v>3</v>
      </c>
      <c r="CU57" s="134">
        <v>1</v>
      </c>
      <c r="CV57" s="134">
        <v>3</v>
      </c>
      <c r="CW57" s="134">
        <v>2</v>
      </c>
      <c r="CY57" s="14">
        <f t="shared" si="16"/>
        <v>0</v>
      </c>
      <c r="CZ57" s="14">
        <f t="shared" si="17"/>
        <v>0</v>
      </c>
      <c r="DA57" s="14">
        <f t="shared" si="18"/>
        <v>0</v>
      </c>
      <c r="DB57" s="14">
        <f t="shared" si="19"/>
        <v>0</v>
      </c>
      <c r="DC57" s="14">
        <f t="shared" si="20"/>
        <v>0</v>
      </c>
      <c r="DD57" s="14">
        <f t="shared" si="21"/>
        <v>0</v>
      </c>
      <c r="DE57" s="14">
        <f t="shared" si="22"/>
        <v>0</v>
      </c>
      <c r="DF57" s="14">
        <f t="shared" si="23"/>
        <v>0</v>
      </c>
      <c r="DI57" s="126">
        <v>1</v>
      </c>
      <c r="DJ57" s="126">
        <v>0</v>
      </c>
      <c r="DK57" s="34">
        <v>0</v>
      </c>
      <c r="DL57" s="49">
        <v>1</v>
      </c>
      <c r="DM57" s="49">
        <v>1</v>
      </c>
      <c r="DN57" s="34">
        <v>1</v>
      </c>
      <c r="DO57" s="34">
        <v>0</v>
      </c>
      <c r="DP57" s="34">
        <v>0</v>
      </c>
      <c r="DQ57" s="34">
        <v>0</v>
      </c>
      <c r="DR57" s="34">
        <v>0</v>
      </c>
      <c r="DS57" s="84">
        <v>1</v>
      </c>
      <c r="DT57" s="84">
        <v>1</v>
      </c>
      <c r="DU57" s="126">
        <v>1</v>
      </c>
      <c r="DV57" s="126">
        <v>0</v>
      </c>
      <c r="DW57" s="126">
        <v>0</v>
      </c>
      <c r="DX57" s="126">
        <v>0</v>
      </c>
      <c r="DY57" s="126">
        <v>0</v>
      </c>
      <c r="DZ57" s="126">
        <v>0</v>
      </c>
      <c r="EA57" s="126">
        <v>1</v>
      </c>
      <c r="EB57" s="126">
        <v>0</v>
      </c>
      <c r="EC57" s="126">
        <v>0</v>
      </c>
      <c r="EE57" s="46">
        <f t="shared" si="26"/>
        <v>8</v>
      </c>
      <c r="EF57" s="14">
        <f t="shared" si="27"/>
        <v>8</v>
      </c>
      <c r="EG57" s="14">
        <f t="shared" si="28"/>
        <v>0</v>
      </c>
      <c r="EH57" s="14">
        <f t="shared" si="29"/>
        <v>0</v>
      </c>
      <c r="EI57" s="14">
        <f t="shared" si="30"/>
        <v>0</v>
      </c>
      <c r="EM57" s="46">
        <f t="shared" si="31"/>
        <v>7</v>
      </c>
      <c r="EN57" s="14">
        <f t="shared" si="32"/>
        <v>7</v>
      </c>
      <c r="EO57" s="14">
        <f t="shared" si="33"/>
        <v>0</v>
      </c>
      <c r="EP57" s="14">
        <f t="shared" si="34"/>
        <v>0</v>
      </c>
      <c r="EQ57" s="14">
        <f t="shared" si="35"/>
        <v>0</v>
      </c>
    </row>
    <row r="58" spans="4:163" ht="17.25">
      <c r="K58" s="100">
        <f t="shared" si="0"/>
        <v>3</v>
      </c>
      <c r="L58" s="14">
        <f t="shared" si="1"/>
        <v>4</v>
      </c>
      <c r="M58" s="14">
        <f t="shared" si="24"/>
        <v>0</v>
      </c>
      <c r="N58" s="14">
        <f t="shared" si="2"/>
        <v>1</v>
      </c>
      <c r="O58" s="99">
        <f t="shared" si="3"/>
        <v>3</v>
      </c>
      <c r="P58" s="100">
        <f t="shared" si="4"/>
        <v>2</v>
      </c>
      <c r="Q58" s="14">
        <f t="shared" si="5"/>
        <v>3</v>
      </c>
      <c r="R58" s="14">
        <f t="shared" si="6"/>
        <v>0</v>
      </c>
      <c r="S58" s="14">
        <f t="shared" si="7"/>
        <v>1</v>
      </c>
      <c r="T58" s="99">
        <f t="shared" si="8"/>
        <v>2</v>
      </c>
      <c r="V58" s="49">
        <v>2</v>
      </c>
      <c r="W58" s="49">
        <v>5</v>
      </c>
      <c r="X58" s="49">
        <v>4</v>
      </c>
      <c r="Y58" s="49">
        <v>3</v>
      </c>
      <c r="Z58" s="49">
        <v>4</v>
      </c>
      <c r="AA58" s="49">
        <v>5</v>
      </c>
      <c r="AB58" s="34">
        <v>4</v>
      </c>
      <c r="AC58" s="34">
        <v>5</v>
      </c>
      <c r="AD58" s="34">
        <v>6</v>
      </c>
      <c r="AE58" s="34">
        <v>3</v>
      </c>
      <c r="AF58" s="34">
        <v>5</v>
      </c>
      <c r="AG58" s="14">
        <v>4</v>
      </c>
      <c r="AH58" s="14">
        <v>6</v>
      </c>
      <c r="AI58" s="14">
        <v>4</v>
      </c>
      <c r="AJ58" s="14">
        <v>4</v>
      </c>
      <c r="AK58" s="14">
        <v>4</v>
      </c>
      <c r="AL58" s="11">
        <v>5</v>
      </c>
      <c r="AM58" s="11">
        <v>6</v>
      </c>
      <c r="AN58" s="11">
        <v>4</v>
      </c>
      <c r="AO58" s="11">
        <v>5</v>
      </c>
      <c r="AP58" s="11">
        <v>3</v>
      </c>
      <c r="AS58" s="78">
        <v>4</v>
      </c>
      <c r="AT58" s="56">
        <v>6</v>
      </c>
      <c r="AU58" s="56">
        <v>5</v>
      </c>
      <c r="AV58" s="56">
        <v>4</v>
      </c>
      <c r="AW58" s="56">
        <v>4</v>
      </c>
      <c r="AX58" s="56">
        <v>5</v>
      </c>
      <c r="AY58" s="56">
        <v>4</v>
      </c>
      <c r="AZ58" s="78">
        <v>6</v>
      </c>
      <c r="BA58" s="56">
        <v>6</v>
      </c>
      <c r="BB58" s="56">
        <v>3</v>
      </c>
      <c r="BC58" s="78">
        <v>5</v>
      </c>
      <c r="BD58" s="56">
        <v>4</v>
      </c>
      <c r="BE58" s="56">
        <v>6</v>
      </c>
      <c r="BF58" s="56">
        <v>4</v>
      </c>
      <c r="BG58" s="56">
        <v>4</v>
      </c>
      <c r="BH58" s="56">
        <v>4</v>
      </c>
      <c r="BI58" s="14">
        <v>5</v>
      </c>
      <c r="BJ58" s="14">
        <v>6</v>
      </c>
      <c r="BK58" s="14">
        <v>4</v>
      </c>
      <c r="BL58" s="14">
        <v>5</v>
      </c>
      <c r="BM58" s="14">
        <v>4</v>
      </c>
      <c r="BN58" s="52"/>
      <c r="BP58" s="100">
        <f t="shared" si="36"/>
        <v>5</v>
      </c>
      <c r="BQ58" s="14">
        <f t="shared" si="9"/>
        <v>1</v>
      </c>
      <c r="BR58" s="9">
        <f t="shared" si="25"/>
        <v>1</v>
      </c>
      <c r="BS58" s="100">
        <f t="shared" si="10"/>
        <v>0</v>
      </c>
      <c r="BT58" s="100">
        <f t="shared" si="11"/>
        <v>0</v>
      </c>
      <c r="BU58" s="100">
        <f t="shared" si="37"/>
        <v>4</v>
      </c>
      <c r="BV58" s="14">
        <f t="shared" si="12"/>
        <v>1</v>
      </c>
      <c r="BW58" s="9">
        <f t="shared" si="13"/>
        <v>1</v>
      </c>
      <c r="BX58" s="100">
        <f t="shared" si="14"/>
        <v>0</v>
      </c>
      <c r="BY58" s="100">
        <f t="shared" si="15"/>
        <v>0</v>
      </c>
      <c r="CD58" s="49">
        <v>2</v>
      </c>
      <c r="CE58" s="134">
        <v>2</v>
      </c>
      <c r="CF58" s="34">
        <v>1</v>
      </c>
      <c r="CG58" s="134">
        <v>1</v>
      </c>
      <c r="CH58" s="134">
        <v>4</v>
      </c>
      <c r="CI58" s="134">
        <v>2</v>
      </c>
      <c r="CJ58" s="134">
        <v>4</v>
      </c>
      <c r="CK58" s="134">
        <v>2</v>
      </c>
      <c r="CL58" s="134">
        <v>3</v>
      </c>
      <c r="CM58" s="134">
        <v>2</v>
      </c>
      <c r="CN58" s="134">
        <v>3</v>
      </c>
      <c r="CO58" s="34">
        <v>3</v>
      </c>
      <c r="CP58" s="134">
        <v>1</v>
      </c>
      <c r="CQ58" s="134">
        <v>2</v>
      </c>
      <c r="CR58" s="134">
        <v>1</v>
      </c>
      <c r="CS58" s="134">
        <v>2</v>
      </c>
      <c r="CT58" s="134">
        <v>4</v>
      </c>
      <c r="CU58" s="134">
        <v>0</v>
      </c>
      <c r="CV58" s="134">
        <v>1</v>
      </c>
      <c r="CW58" s="134">
        <v>3</v>
      </c>
      <c r="CY58" s="14">
        <f t="shared" si="16"/>
        <v>3</v>
      </c>
      <c r="CZ58" s="14">
        <f t="shared" si="17"/>
        <v>3</v>
      </c>
      <c r="DA58" s="14">
        <f t="shared" si="18"/>
        <v>0</v>
      </c>
      <c r="DB58" s="14">
        <f t="shared" si="19"/>
        <v>0</v>
      </c>
      <c r="DC58" s="14">
        <f t="shared" si="20"/>
        <v>2</v>
      </c>
      <c r="DD58" s="14">
        <f t="shared" si="21"/>
        <v>2</v>
      </c>
      <c r="DE58" s="14">
        <f t="shared" si="22"/>
        <v>0</v>
      </c>
      <c r="DF58" s="14">
        <f t="shared" si="23"/>
        <v>0</v>
      </c>
      <c r="DI58" s="126">
        <v>2</v>
      </c>
      <c r="DJ58" s="126">
        <v>1</v>
      </c>
      <c r="DK58" s="126">
        <v>1</v>
      </c>
      <c r="DL58" s="34">
        <v>1</v>
      </c>
      <c r="DM58" s="49">
        <v>1</v>
      </c>
      <c r="DN58" s="49">
        <v>0</v>
      </c>
      <c r="DO58" s="34">
        <v>0</v>
      </c>
      <c r="DP58" s="34">
        <v>1</v>
      </c>
      <c r="DQ58" s="34">
        <v>0</v>
      </c>
      <c r="DR58" s="34">
        <v>0</v>
      </c>
      <c r="DS58" s="34">
        <v>0</v>
      </c>
      <c r="DT58" s="84">
        <v>0</v>
      </c>
      <c r="DU58" s="126">
        <v>0</v>
      </c>
      <c r="DV58" s="126">
        <v>0</v>
      </c>
      <c r="DW58" s="126">
        <v>0</v>
      </c>
      <c r="DX58" s="126">
        <v>0</v>
      </c>
      <c r="DY58" s="126">
        <v>0</v>
      </c>
      <c r="DZ58" s="126">
        <v>0</v>
      </c>
      <c r="EA58" s="126">
        <v>0</v>
      </c>
      <c r="EB58" s="126">
        <v>0</v>
      </c>
      <c r="EC58" s="126">
        <v>1</v>
      </c>
      <c r="EE58" s="46">
        <f t="shared" si="26"/>
        <v>7</v>
      </c>
      <c r="EF58" s="14">
        <f t="shared" si="27"/>
        <v>6</v>
      </c>
      <c r="EG58" s="14">
        <f t="shared" si="28"/>
        <v>1</v>
      </c>
      <c r="EH58" s="14">
        <f t="shared" si="29"/>
        <v>0</v>
      </c>
      <c r="EI58" s="14">
        <f t="shared" si="30"/>
        <v>0</v>
      </c>
      <c r="EM58" s="46">
        <f t="shared" si="31"/>
        <v>6</v>
      </c>
      <c r="EN58" s="14">
        <f t="shared" si="32"/>
        <v>5</v>
      </c>
      <c r="EO58" s="14">
        <f t="shared" si="33"/>
        <v>1</v>
      </c>
      <c r="EP58" s="14">
        <f t="shared" si="34"/>
        <v>0</v>
      </c>
      <c r="EQ58" s="14">
        <f t="shared" si="35"/>
        <v>0</v>
      </c>
    </row>
    <row r="59" spans="4:163" ht="17.25">
      <c r="K59" s="100">
        <f t="shared" si="0"/>
        <v>5</v>
      </c>
      <c r="L59" s="14">
        <f t="shared" si="1"/>
        <v>4</v>
      </c>
      <c r="M59" s="14">
        <f t="shared" si="24"/>
        <v>0</v>
      </c>
      <c r="N59" s="14">
        <f t="shared" si="2"/>
        <v>0</v>
      </c>
      <c r="O59" s="99">
        <f t="shared" si="3"/>
        <v>4</v>
      </c>
      <c r="P59" s="100">
        <f t="shared" si="4"/>
        <v>2</v>
      </c>
      <c r="Q59" s="14">
        <f t="shared" si="5"/>
        <v>4</v>
      </c>
      <c r="R59" s="14">
        <f t="shared" si="6"/>
        <v>0</v>
      </c>
      <c r="S59" s="14">
        <f t="shared" si="7"/>
        <v>0</v>
      </c>
      <c r="T59" s="99">
        <f t="shared" si="8"/>
        <v>4</v>
      </c>
      <c r="V59" s="49">
        <v>4</v>
      </c>
      <c r="W59" s="49">
        <v>3</v>
      </c>
      <c r="X59" s="49">
        <v>6</v>
      </c>
      <c r="Y59" s="49">
        <v>3</v>
      </c>
      <c r="Z59" s="49">
        <v>5</v>
      </c>
      <c r="AA59" s="49">
        <v>3</v>
      </c>
      <c r="AB59" s="49">
        <v>3</v>
      </c>
      <c r="AC59" s="34">
        <v>6</v>
      </c>
      <c r="AD59" s="34">
        <v>5</v>
      </c>
      <c r="AE59" s="34">
        <v>5</v>
      </c>
      <c r="AF59" s="34">
        <v>4</v>
      </c>
      <c r="AG59" s="34">
        <v>5</v>
      </c>
      <c r="AH59" s="14">
        <v>4</v>
      </c>
      <c r="AI59" s="14">
        <v>4</v>
      </c>
      <c r="AJ59" s="14">
        <v>5</v>
      </c>
      <c r="AK59" s="14">
        <v>5</v>
      </c>
      <c r="AL59" s="11">
        <v>5</v>
      </c>
      <c r="AM59" s="11">
        <v>6</v>
      </c>
      <c r="AN59" s="11">
        <v>6</v>
      </c>
      <c r="AO59" s="11">
        <v>6</v>
      </c>
      <c r="AP59" s="11">
        <v>5</v>
      </c>
      <c r="AS59" s="78">
        <v>4</v>
      </c>
      <c r="AT59" s="56">
        <v>4</v>
      </c>
      <c r="AU59" s="56">
        <v>6</v>
      </c>
      <c r="AV59" s="56">
        <v>3</v>
      </c>
      <c r="AW59" s="56">
        <v>6</v>
      </c>
      <c r="AX59" s="56">
        <v>4</v>
      </c>
      <c r="AY59" s="56">
        <v>4</v>
      </c>
      <c r="AZ59" s="56">
        <v>6</v>
      </c>
      <c r="BA59" s="78">
        <v>6</v>
      </c>
      <c r="BB59" s="56">
        <v>5</v>
      </c>
      <c r="BC59" s="56">
        <v>4</v>
      </c>
      <c r="BD59" s="85">
        <v>5</v>
      </c>
      <c r="BE59" s="56">
        <v>5</v>
      </c>
      <c r="BF59" s="56">
        <v>4</v>
      </c>
      <c r="BG59" s="56">
        <v>5</v>
      </c>
      <c r="BH59" s="56">
        <v>6</v>
      </c>
      <c r="BI59" s="14">
        <v>6</v>
      </c>
      <c r="BJ59" s="14">
        <v>6</v>
      </c>
      <c r="BK59" s="14">
        <v>6</v>
      </c>
      <c r="BL59" s="14">
        <v>6</v>
      </c>
      <c r="BM59" s="14">
        <v>5</v>
      </c>
      <c r="BN59" s="52"/>
      <c r="BP59" s="100">
        <f t="shared" si="36"/>
        <v>9</v>
      </c>
      <c r="BQ59" s="14">
        <f t="shared" si="9"/>
        <v>1</v>
      </c>
      <c r="BR59" s="9">
        <f t="shared" si="25"/>
        <v>1</v>
      </c>
      <c r="BS59" s="100">
        <f t="shared" si="10"/>
        <v>0</v>
      </c>
      <c r="BT59" s="100">
        <f t="shared" si="11"/>
        <v>0</v>
      </c>
      <c r="BU59" s="100">
        <f t="shared" si="37"/>
        <v>5</v>
      </c>
      <c r="BV59" s="14">
        <f t="shared" si="12"/>
        <v>1</v>
      </c>
      <c r="BW59" s="9">
        <f t="shared" si="13"/>
        <v>1</v>
      </c>
      <c r="BX59" s="100">
        <f t="shared" si="14"/>
        <v>0</v>
      </c>
      <c r="BY59" s="100">
        <f t="shared" si="15"/>
        <v>0</v>
      </c>
      <c r="CD59" s="49">
        <v>2</v>
      </c>
      <c r="CE59" s="134">
        <v>0</v>
      </c>
      <c r="CF59" s="34">
        <v>1</v>
      </c>
      <c r="CG59" s="134">
        <v>3</v>
      </c>
      <c r="CH59" s="134">
        <v>3</v>
      </c>
      <c r="CI59" s="134">
        <v>3</v>
      </c>
      <c r="CJ59" s="134">
        <v>2</v>
      </c>
      <c r="CK59" s="134">
        <v>3</v>
      </c>
      <c r="CL59" s="134">
        <v>1</v>
      </c>
      <c r="CM59" s="134">
        <v>3</v>
      </c>
      <c r="CN59" s="134">
        <v>2</v>
      </c>
      <c r="CO59" s="134">
        <v>3</v>
      </c>
      <c r="CP59" s="34">
        <v>3</v>
      </c>
      <c r="CQ59" s="134">
        <v>2</v>
      </c>
      <c r="CR59" s="134">
        <v>2</v>
      </c>
      <c r="CS59" s="134">
        <v>3</v>
      </c>
      <c r="CT59" s="134">
        <v>2</v>
      </c>
      <c r="CU59" s="134">
        <v>1</v>
      </c>
      <c r="CV59" s="134">
        <v>2</v>
      </c>
      <c r="CW59" s="134">
        <v>1</v>
      </c>
      <c r="CY59" s="14">
        <f t="shared" si="16"/>
        <v>0</v>
      </c>
      <c r="CZ59" s="14">
        <f t="shared" si="17"/>
        <v>0</v>
      </c>
      <c r="DA59" s="14">
        <f t="shared" si="18"/>
        <v>0</v>
      </c>
      <c r="DB59" s="14">
        <f t="shared" si="19"/>
        <v>0</v>
      </c>
      <c r="DC59" s="14">
        <f t="shared" si="20"/>
        <v>0</v>
      </c>
      <c r="DD59" s="14">
        <f t="shared" si="21"/>
        <v>0</v>
      </c>
      <c r="DE59" s="14">
        <f t="shared" si="22"/>
        <v>0</v>
      </c>
      <c r="DF59" s="14">
        <f t="shared" si="23"/>
        <v>0</v>
      </c>
      <c r="DI59" s="126">
        <v>0</v>
      </c>
      <c r="DJ59" s="126">
        <v>1</v>
      </c>
      <c r="DK59" s="126">
        <v>0</v>
      </c>
      <c r="DL59" s="126">
        <v>0</v>
      </c>
      <c r="DM59" s="34">
        <v>1</v>
      </c>
      <c r="DN59" s="49">
        <v>1</v>
      </c>
      <c r="DO59" s="49">
        <v>1</v>
      </c>
      <c r="DP59" s="34">
        <v>0</v>
      </c>
      <c r="DQ59" s="34">
        <v>1</v>
      </c>
      <c r="DR59" s="34">
        <v>0</v>
      </c>
      <c r="DS59" s="34">
        <v>0</v>
      </c>
      <c r="DT59" s="34">
        <v>0</v>
      </c>
      <c r="DU59" s="126">
        <v>1</v>
      </c>
      <c r="DV59" s="126">
        <v>0</v>
      </c>
      <c r="DW59" s="126">
        <v>0</v>
      </c>
      <c r="DX59" s="126">
        <v>1</v>
      </c>
      <c r="DY59" s="126">
        <v>1</v>
      </c>
      <c r="DZ59" s="126">
        <v>0</v>
      </c>
      <c r="EA59" s="126">
        <v>0</v>
      </c>
      <c r="EB59" s="126">
        <v>0</v>
      </c>
      <c r="EC59" s="126">
        <v>0</v>
      </c>
      <c r="EE59" s="46">
        <f t="shared" si="26"/>
        <v>8</v>
      </c>
      <c r="EF59" s="14">
        <f t="shared" si="27"/>
        <v>8</v>
      </c>
      <c r="EG59" s="14">
        <f t="shared" si="28"/>
        <v>0</v>
      </c>
      <c r="EH59" s="14">
        <f t="shared" si="29"/>
        <v>0</v>
      </c>
      <c r="EI59" s="14">
        <f t="shared" si="30"/>
        <v>0</v>
      </c>
      <c r="EM59" s="46">
        <f t="shared" si="31"/>
        <v>7</v>
      </c>
      <c r="EN59" s="14">
        <f t="shared" si="32"/>
        <v>7</v>
      </c>
      <c r="EO59" s="14">
        <f t="shared" si="33"/>
        <v>0</v>
      </c>
      <c r="EP59" s="14">
        <f t="shared" si="34"/>
        <v>0</v>
      </c>
      <c r="EQ59" s="14">
        <f t="shared" si="35"/>
        <v>0</v>
      </c>
    </row>
    <row r="60" spans="4:163" ht="17.25">
      <c r="K60" s="100">
        <f t="shared" si="0"/>
        <v>3</v>
      </c>
      <c r="L60" s="14">
        <f t="shared" si="1"/>
        <v>4</v>
      </c>
      <c r="M60" s="14">
        <f t="shared" si="24"/>
        <v>0</v>
      </c>
      <c r="N60" s="14">
        <f t="shared" si="2"/>
        <v>0</v>
      </c>
      <c r="O60" s="99">
        <f t="shared" si="3"/>
        <v>4</v>
      </c>
      <c r="P60" s="100">
        <f t="shared" si="4"/>
        <v>2</v>
      </c>
      <c r="Q60" s="14">
        <f t="shared" si="5"/>
        <v>4</v>
      </c>
      <c r="R60" s="14">
        <f t="shared" si="6"/>
        <v>0</v>
      </c>
      <c r="S60" s="14">
        <f t="shared" si="7"/>
        <v>0</v>
      </c>
      <c r="T60" s="99">
        <f t="shared" si="8"/>
        <v>4</v>
      </c>
      <c r="V60" s="49">
        <v>3</v>
      </c>
      <c r="W60" s="49">
        <v>3</v>
      </c>
      <c r="X60" s="49">
        <v>3</v>
      </c>
      <c r="Y60" s="49">
        <v>4</v>
      </c>
      <c r="Z60" s="49">
        <v>3</v>
      </c>
      <c r="AA60" s="49">
        <v>5</v>
      </c>
      <c r="AB60" s="49">
        <v>5</v>
      </c>
      <c r="AC60" s="49">
        <v>4</v>
      </c>
      <c r="AD60" s="34">
        <v>6</v>
      </c>
      <c r="AE60" s="34">
        <v>5</v>
      </c>
      <c r="AF60" s="34">
        <v>4</v>
      </c>
      <c r="AG60" s="34">
        <v>5</v>
      </c>
      <c r="AH60" s="14">
        <v>4</v>
      </c>
      <c r="AI60" s="14">
        <v>4</v>
      </c>
      <c r="AJ60" s="14">
        <v>5</v>
      </c>
      <c r="AK60" s="14">
        <v>6</v>
      </c>
      <c r="AL60" s="11">
        <v>5</v>
      </c>
      <c r="AM60" s="11">
        <v>4</v>
      </c>
      <c r="AN60" s="11">
        <v>6</v>
      </c>
      <c r="AO60" s="11">
        <v>5</v>
      </c>
      <c r="AP60" s="11">
        <v>5</v>
      </c>
      <c r="AS60" s="78">
        <v>3</v>
      </c>
      <c r="AT60" s="56">
        <v>3</v>
      </c>
      <c r="AU60" s="56">
        <v>4</v>
      </c>
      <c r="AV60" s="56">
        <v>5</v>
      </c>
      <c r="AW60" s="56">
        <v>5</v>
      </c>
      <c r="AX60" s="56">
        <v>5</v>
      </c>
      <c r="AY60" s="56">
        <v>5</v>
      </c>
      <c r="AZ60" s="56">
        <v>4</v>
      </c>
      <c r="BA60" s="56">
        <v>6</v>
      </c>
      <c r="BB60" s="78">
        <v>5</v>
      </c>
      <c r="BC60" s="56">
        <v>5</v>
      </c>
      <c r="BD60" s="12">
        <v>6</v>
      </c>
      <c r="BE60" s="78">
        <v>4</v>
      </c>
      <c r="BF60" s="56">
        <v>5</v>
      </c>
      <c r="BG60" s="56">
        <v>5</v>
      </c>
      <c r="BH60" s="56">
        <v>6</v>
      </c>
      <c r="BI60" s="14">
        <v>5</v>
      </c>
      <c r="BJ60" s="14">
        <v>4</v>
      </c>
      <c r="BK60" s="14">
        <v>6</v>
      </c>
      <c r="BL60" s="14">
        <v>6</v>
      </c>
      <c r="BM60" s="14">
        <v>5</v>
      </c>
      <c r="BN60" s="52"/>
      <c r="BP60" s="100">
        <f t="shared" si="36"/>
        <v>5</v>
      </c>
      <c r="BQ60" s="14">
        <f t="shared" si="9"/>
        <v>2</v>
      </c>
      <c r="BR60" s="9">
        <f t="shared" si="25"/>
        <v>2</v>
      </c>
      <c r="BS60" s="100">
        <f t="shared" si="10"/>
        <v>0</v>
      </c>
      <c r="BT60" s="100">
        <f t="shared" si="11"/>
        <v>0</v>
      </c>
      <c r="BU60" s="100">
        <f t="shared" si="37"/>
        <v>3</v>
      </c>
      <c r="BV60" s="14">
        <f t="shared" si="12"/>
        <v>2</v>
      </c>
      <c r="BW60" s="9">
        <f t="shared" si="13"/>
        <v>2</v>
      </c>
      <c r="BX60" s="100">
        <f t="shared" si="14"/>
        <v>0</v>
      </c>
      <c r="BY60" s="100">
        <f t="shared" si="15"/>
        <v>0</v>
      </c>
      <c r="CD60" s="49">
        <v>1</v>
      </c>
      <c r="CE60" s="134">
        <v>0</v>
      </c>
      <c r="CF60" s="34">
        <v>0</v>
      </c>
      <c r="CG60" s="134">
        <v>1</v>
      </c>
      <c r="CH60" s="134">
        <v>1</v>
      </c>
      <c r="CI60" s="134">
        <v>2</v>
      </c>
      <c r="CJ60" s="134">
        <v>0</v>
      </c>
      <c r="CK60" s="134">
        <v>1</v>
      </c>
      <c r="CL60" s="134">
        <v>0</v>
      </c>
      <c r="CM60" s="134">
        <v>1</v>
      </c>
      <c r="CN60" s="134">
        <v>1</v>
      </c>
      <c r="CO60" s="134">
        <v>1</v>
      </c>
      <c r="CP60" s="134">
        <v>2</v>
      </c>
      <c r="CQ60" s="34">
        <v>1</v>
      </c>
      <c r="CR60" s="34">
        <v>3</v>
      </c>
      <c r="CS60" s="134">
        <v>3</v>
      </c>
      <c r="CT60" s="134">
        <v>3</v>
      </c>
      <c r="CU60" s="134">
        <v>2</v>
      </c>
      <c r="CV60" s="134">
        <v>1</v>
      </c>
      <c r="CW60" s="134">
        <v>2</v>
      </c>
      <c r="CY60" s="14">
        <f t="shared" si="16"/>
        <v>0</v>
      </c>
      <c r="CZ60" s="14">
        <f t="shared" si="17"/>
        <v>0</v>
      </c>
      <c r="DA60" s="14">
        <f t="shared" si="18"/>
        <v>0</v>
      </c>
      <c r="DB60" s="14">
        <f t="shared" si="19"/>
        <v>0</v>
      </c>
      <c r="DC60" s="14">
        <f>SUM(DD60:DF60)</f>
        <v>0</v>
      </c>
      <c r="DD60" s="14">
        <f t="shared" si="21"/>
        <v>0</v>
      </c>
      <c r="DE60" s="14">
        <f t="shared" si="22"/>
        <v>0</v>
      </c>
      <c r="DF60" s="14">
        <f t="shared" si="23"/>
        <v>0</v>
      </c>
      <c r="DI60" s="126">
        <v>0</v>
      </c>
      <c r="DJ60" s="126">
        <v>0</v>
      </c>
      <c r="DK60" s="126">
        <v>1</v>
      </c>
      <c r="DL60" s="126">
        <v>1</v>
      </c>
      <c r="DM60" s="126">
        <v>2</v>
      </c>
      <c r="DN60" s="34">
        <v>0</v>
      </c>
      <c r="DO60" s="49">
        <v>0</v>
      </c>
      <c r="DP60" s="49">
        <v>0</v>
      </c>
      <c r="DQ60" s="34">
        <v>0</v>
      </c>
      <c r="DR60" s="34">
        <v>0</v>
      </c>
      <c r="DS60" s="34">
        <v>1</v>
      </c>
      <c r="DT60" s="34">
        <v>1</v>
      </c>
      <c r="DU60" s="126">
        <v>0</v>
      </c>
      <c r="DV60" s="126">
        <v>1</v>
      </c>
      <c r="DW60" s="126">
        <v>0</v>
      </c>
      <c r="DX60" s="126">
        <v>0</v>
      </c>
      <c r="DY60" s="126">
        <v>0</v>
      </c>
      <c r="DZ60" s="126">
        <v>0</v>
      </c>
      <c r="EA60" s="126">
        <v>0</v>
      </c>
      <c r="EB60" s="126">
        <v>1</v>
      </c>
      <c r="EC60" s="126">
        <v>0</v>
      </c>
      <c r="EE60" s="46">
        <f t="shared" si="26"/>
        <v>7</v>
      </c>
      <c r="EF60" s="14">
        <f t="shared" si="27"/>
        <v>6</v>
      </c>
      <c r="EG60" s="14">
        <f t="shared" si="28"/>
        <v>1</v>
      </c>
      <c r="EH60" s="14">
        <f t="shared" si="29"/>
        <v>0</v>
      </c>
      <c r="EI60" s="14">
        <f t="shared" si="30"/>
        <v>0</v>
      </c>
      <c r="EM60" s="46">
        <f t="shared" si="31"/>
        <v>6</v>
      </c>
      <c r="EN60" s="14">
        <f t="shared" si="32"/>
        <v>5</v>
      </c>
      <c r="EO60" s="14">
        <f t="shared" si="33"/>
        <v>1</v>
      </c>
      <c r="EP60" s="14">
        <f t="shared" si="34"/>
        <v>0</v>
      </c>
      <c r="EQ60" s="14">
        <f t="shared" si="35"/>
        <v>0</v>
      </c>
    </row>
    <row r="61" spans="4:163" ht="17.25">
      <c r="K61" s="100">
        <f t="shared" si="0"/>
        <v>3</v>
      </c>
      <c r="L61" s="14">
        <f t="shared" si="1"/>
        <v>6</v>
      </c>
      <c r="M61" s="14">
        <f t="shared" si="24"/>
        <v>0</v>
      </c>
      <c r="N61" s="14">
        <f t="shared" si="2"/>
        <v>2</v>
      </c>
      <c r="O61" s="99">
        <f t="shared" si="3"/>
        <v>4</v>
      </c>
      <c r="P61" s="100">
        <f t="shared" si="4"/>
        <v>3</v>
      </c>
      <c r="Q61" s="14">
        <f t="shared" si="5"/>
        <v>6</v>
      </c>
      <c r="R61" s="14">
        <f t="shared" si="6"/>
        <v>0</v>
      </c>
      <c r="S61" s="14">
        <f t="shared" si="7"/>
        <v>2</v>
      </c>
      <c r="T61" s="99">
        <f t="shared" si="8"/>
        <v>4</v>
      </c>
      <c r="V61" s="49">
        <v>4</v>
      </c>
      <c r="W61" s="49">
        <v>3</v>
      </c>
      <c r="X61" s="49">
        <v>3</v>
      </c>
      <c r="Y61" s="49">
        <v>5</v>
      </c>
      <c r="Z61" s="49">
        <v>6</v>
      </c>
      <c r="AA61" s="49">
        <v>4</v>
      </c>
      <c r="AB61" s="34">
        <v>3</v>
      </c>
      <c r="AC61" s="49">
        <v>5</v>
      </c>
      <c r="AD61" s="49">
        <v>5</v>
      </c>
      <c r="AE61" s="34">
        <v>5</v>
      </c>
      <c r="AF61" s="34">
        <v>3</v>
      </c>
      <c r="AG61" s="34">
        <v>2</v>
      </c>
      <c r="AH61" s="14">
        <v>6</v>
      </c>
      <c r="AI61" s="14">
        <v>4</v>
      </c>
      <c r="AJ61" s="14">
        <v>6</v>
      </c>
      <c r="AK61" s="14">
        <v>2</v>
      </c>
      <c r="AL61" s="11">
        <v>4</v>
      </c>
      <c r="AM61" s="11">
        <v>5</v>
      </c>
      <c r="AN61" s="11">
        <v>5</v>
      </c>
      <c r="AO61" s="11">
        <v>4</v>
      </c>
      <c r="AP61" s="11">
        <v>5</v>
      </c>
      <c r="AS61" s="78">
        <v>5</v>
      </c>
      <c r="AT61" s="56">
        <v>3</v>
      </c>
      <c r="AU61" s="56">
        <v>3</v>
      </c>
      <c r="AV61" s="56">
        <v>5</v>
      </c>
      <c r="AW61" s="56">
        <v>6</v>
      </c>
      <c r="AX61" s="56">
        <v>5</v>
      </c>
      <c r="AY61" s="56">
        <v>4</v>
      </c>
      <c r="AZ61" s="56">
        <v>5</v>
      </c>
      <c r="BA61" s="56">
        <v>5</v>
      </c>
      <c r="BB61" s="78">
        <v>6</v>
      </c>
      <c r="BC61" s="78">
        <v>3</v>
      </c>
      <c r="BD61" s="12">
        <v>3</v>
      </c>
      <c r="BE61" s="56">
        <v>6</v>
      </c>
      <c r="BF61" s="78">
        <v>5</v>
      </c>
      <c r="BG61" s="56">
        <v>6</v>
      </c>
      <c r="BH61" s="56">
        <v>3</v>
      </c>
      <c r="BI61" s="14">
        <v>4</v>
      </c>
      <c r="BJ61" s="14">
        <v>5</v>
      </c>
      <c r="BK61" s="14">
        <v>5</v>
      </c>
      <c r="BL61" s="14">
        <v>4</v>
      </c>
      <c r="BM61" s="14">
        <v>5</v>
      </c>
      <c r="BN61" s="52"/>
      <c r="BP61" s="100">
        <f t="shared" si="36"/>
        <v>4</v>
      </c>
      <c r="BQ61" s="14">
        <f t="shared" si="9"/>
        <v>5</v>
      </c>
      <c r="BR61" s="9">
        <f t="shared" si="25"/>
        <v>5</v>
      </c>
      <c r="BS61" s="100">
        <f t="shared" si="10"/>
        <v>0</v>
      </c>
      <c r="BT61" s="100">
        <f t="shared" si="11"/>
        <v>0</v>
      </c>
      <c r="BU61" s="100">
        <f t="shared" si="37"/>
        <v>4</v>
      </c>
      <c r="BV61" s="14">
        <f t="shared" si="12"/>
        <v>5</v>
      </c>
      <c r="BW61" s="9">
        <f t="shared" si="13"/>
        <v>5</v>
      </c>
      <c r="BX61" s="100">
        <f t="shared" si="14"/>
        <v>0</v>
      </c>
      <c r="BY61" s="100">
        <f t="shared" si="15"/>
        <v>0</v>
      </c>
      <c r="CD61" s="49">
        <v>1</v>
      </c>
      <c r="CE61" s="134">
        <v>3</v>
      </c>
      <c r="CF61" s="34">
        <v>3</v>
      </c>
      <c r="CG61" s="134">
        <v>3</v>
      </c>
      <c r="CH61" s="134">
        <v>5</v>
      </c>
      <c r="CI61" s="134">
        <v>1</v>
      </c>
      <c r="CJ61" s="134">
        <v>1</v>
      </c>
      <c r="CK61" s="134">
        <v>3</v>
      </c>
      <c r="CL61" s="134">
        <v>1</v>
      </c>
      <c r="CM61" s="134">
        <v>5</v>
      </c>
      <c r="CN61" s="134">
        <v>1</v>
      </c>
      <c r="CO61" s="134">
        <v>3</v>
      </c>
      <c r="CP61" s="134">
        <v>1</v>
      </c>
      <c r="CQ61" s="134">
        <v>4</v>
      </c>
      <c r="CR61" s="134">
        <v>1</v>
      </c>
      <c r="CS61" s="34">
        <v>1</v>
      </c>
      <c r="CT61" s="134">
        <v>3</v>
      </c>
      <c r="CU61" s="134">
        <v>1</v>
      </c>
      <c r="CV61" s="134">
        <v>4</v>
      </c>
      <c r="CW61" s="134">
        <v>2</v>
      </c>
      <c r="CY61" s="14">
        <f t="shared" si="16"/>
        <v>4</v>
      </c>
      <c r="CZ61" s="14">
        <f t="shared" si="17"/>
        <v>2</v>
      </c>
      <c r="DA61" s="14">
        <f t="shared" si="18"/>
        <v>2</v>
      </c>
      <c r="DB61" s="14">
        <f t="shared" si="19"/>
        <v>0</v>
      </c>
      <c r="DC61" s="14">
        <f t="shared" si="20"/>
        <v>3</v>
      </c>
      <c r="DD61" s="14">
        <f t="shared" si="21"/>
        <v>1</v>
      </c>
      <c r="DE61" s="14">
        <f t="shared" si="22"/>
        <v>2</v>
      </c>
      <c r="DF61" s="14">
        <f t="shared" si="23"/>
        <v>0</v>
      </c>
      <c r="DI61" s="126">
        <v>1</v>
      </c>
      <c r="DJ61" s="126">
        <v>0</v>
      </c>
      <c r="DK61" s="126">
        <v>0</v>
      </c>
      <c r="DL61" s="126">
        <v>0</v>
      </c>
      <c r="DM61" s="126">
        <v>0</v>
      </c>
      <c r="DN61" s="126">
        <v>1</v>
      </c>
      <c r="DO61" s="34">
        <v>1</v>
      </c>
      <c r="DP61" s="49">
        <v>0</v>
      </c>
      <c r="DQ61" s="49">
        <v>0</v>
      </c>
      <c r="DR61" s="34">
        <v>1</v>
      </c>
      <c r="DS61" s="34">
        <v>0</v>
      </c>
      <c r="DT61" s="34">
        <v>1</v>
      </c>
      <c r="DU61" s="126">
        <v>0</v>
      </c>
      <c r="DV61" s="126">
        <v>1</v>
      </c>
      <c r="DW61" s="126">
        <v>0</v>
      </c>
      <c r="DX61" s="126">
        <v>1</v>
      </c>
      <c r="DY61" s="126">
        <v>0</v>
      </c>
      <c r="DZ61" s="126">
        <v>0</v>
      </c>
      <c r="EA61" s="126">
        <v>0</v>
      </c>
      <c r="EB61" s="126">
        <v>0</v>
      </c>
      <c r="EC61" s="126">
        <v>0</v>
      </c>
      <c r="EE61" s="46">
        <f t="shared" si="26"/>
        <v>7</v>
      </c>
      <c r="EF61" s="14">
        <f t="shared" si="27"/>
        <v>7</v>
      </c>
      <c r="EG61" s="14">
        <f t="shared" si="28"/>
        <v>0</v>
      </c>
      <c r="EH61" s="14">
        <f t="shared" si="29"/>
        <v>0</v>
      </c>
      <c r="EI61" s="14">
        <f t="shared" si="30"/>
        <v>0</v>
      </c>
      <c r="EM61" s="46">
        <f t="shared" si="31"/>
        <v>7</v>
      </c>
      <c r="EN61" s="14">
        <f t="shared" si="32"/>
        <v>7</v>
      </c>
      <c r="EO61" s="14">
        <f t="shared" si="33"/>
        <v>0</v>
      </c>
      <c r="EP61" s="14">
        <f t="shared" si="34"/>
        <v>0</v>
      </c>
      <c r="EQ61" s="14">
        <f t="shared" si="35"/>
        <v>0</v>
      </c>
    </row>
    <row r="62" spans="4:163" ht="17.25">
      <c r="K62" s="100">
        <f t="shared" si="0"/>
        <v>2</v>
      </c>
      <c r="L62" s="14">
        <f t="shared" si="1"/>
        <v>5</v>
      </c>
      <c r="M62" s="14">
        <f t="shared" si="24"/>
        <v>1</v>
      </c>
      <c r="N62" s="14">
        <f t="shared" si="2"/>
        <v>0</v>
      </c>
      <c r="O62" s="99">
        <f t="shared" si="3"/>
        <v>4</v>
      </c>
      <c r="P62" s="100">
        <f t="shared" si="4"/>
        <v>1</v>
      </c>
      <c r="Q62" s="14">
        <f t="shared" si="5"/>
        <v>4</v>
      </c>
      <c r="R62" s="14">
        <f t="shared" si="6"/>
        <v>1</v>
      </c>
      <c r="S62" s="14">
        <f t="shared" si="7"/>
        <v>0</v>
      </c>
      <c r="T62" s="99">
        <f t="shared" si="8"/>
        <v>3</v>
      </c>
      <c r="V62" s="49">
        <v>5</v>
      </c>
      <c r="W62" s="49">
        <v>6</v>
      </c>
      <c r="X62" s="49">
        <v>4</v>
      </c>
      <c r="Y62" s="49">
        <v>5</v>
      </c>
      <c r="Z62" s="49">
        <v>1</v>
      </c>
      <c r="AA62" s="49">
        <v>4</v>
      </c>
      <c r="AB62" s="14">
        <v>4</v>
      </c>
      <c r="AC62" s="34">
        <v>3</v>
      </c>
      <c r="AD62" s="49">
        <v>3</v>
      </c>
      <c r="AE62" s="49">
        <v>3</v>
      </c>
      <c r="AF62" s="34">
        <v>5</v>
      </c>
      <c r="AG62" s="34">
        <v>5</v>
      </c>
      <c r="AH62" s="14">
        <v>5</v>
      </c>
      <c r="AI62" s="14">
        <v>5</v>
      </c>
      <c r="AJ62" s="14">
        <v>5</v>
      </c>
      <c r="AK62" s="14">
        <v>4</v>
      </c>
      <c r="AL62" s="11">
        <v>5</v>
      </c>
      <c r="AM62" s="11">
        <v>3</v>
      </c>
      <c r="AN62" s="11">
        <v>5</v>
      </c>
      <c r="AO62" s="11">
        <v>4</v>
      </c>
      <c r="AP62" s="11">
        <v>6</v>
      </c>
      <c r="AS62" s="78">
        <v>5</v>
      </c>
      <c r="AT62" s="56">
        <v>6</v>
      </c>
      <c r="AU62" s="56">
        <v>5</v>
      </c>
      <c r="AV62" s="56">
        <v>6</v>
      </c>
      <c r="AW62" s="56">
        <v>3</v>
      </c>
      <c r="AX62" s="56">
        <v>4</v>
      </c>
      <c r="AY62" s="56">
        <v>4</v>
      </c>
      <c r="AZ62" s="56">
        <v>4</v>
      </c>
      <c r="BA62" s="56">
        <v>3</v>
      </c>
      <c r="BB62" s="56">
        <v>4</v>
      </c>
      <c r="BC62" s="78">
        <v>5</v>
      </c>
      <c r="BD62" s="85">
        <v>5</v>
      </c>
      <c r="BE62" s="56">
        <v>5</v>
      </c>
      <c r="BF62" s="56">
        <v>5</v>
      </c>
      <c r="BG62" s="78">
        <v>5</v>
      </c>
      <c r="BH62" s="56">
        <v>4</v>
      </c>
      <c r="BI62" s="14">
        <v>5</v>
      </c>
      <c r="BJ62" s="14">
        <v>4</v>
      </c>
      <c r="BK62" s="14">
        <v>6</v>
      </c>
      <c r="BL62" s="14">
        <v>5</v>
      </c>
      <c r="BM62" s="14">
        <v>6</v>
      </c>
      <c r="BN62" s="52"/>
      <c r="BP62" s="100">
        <f t="shared" si="36"/>
        <v>4</v>
      </c>
      <c r="BQ62" s="14">
        <f t="shared" si="9"/>
        <v>2</v>
      </c>
      <c r="BR62" s="9">
        <f t="shared" si="25"/>
        <v>2</v>
      </c>
      <c r="BS62" s="100">
        <f t="shared" si="10"/>
        <v>0</v>
      </c>
      <c r="BT62" s="100">
        <f t="shared" si="11"/>
        <v>0</v>
      </c>
      <c r="BU62" s="100">
        <f t="shared" si="37"/>
        <v>2</v>
      </c>
      <c r="BV62" s="14">
        <f t="shared" si="12"/>
        <v>2</v>
      </c>
      <c r="BW62" s="9">
        <f t="shared" si="13"/>
        <v>2</v>
      </c>
      <c r="BX62" s="100">
        <f t="shared" si="14"/>
        <v>0</v>
      </c>
      <c r="BY62" s="100">
        <f t="shared" si="15"/>
        <v>0</v>
      </c>
      <c r="CD62" s="49">
        <v>3</v>
      </c>
      <c r="CE62" s="134">
        <v>3</v>
      </c>
      <c r="CF62" s="34">
        <v>1</v>
      </c>
      <c r="CG62" s="134">
        <v>1</v>
      </c>
      <c r="CH62" s="134">
        <v>4</v>
      </c>
      <c r="CI62" s="134">
        <v>3</v>
      </c>
      <c r="CJ62" s="134">
        <v>1</v>
      </c>
      <c r="CK62" s="134">
        <v>2</v>
      </c>
      <c r="CL62" s="134">
        <v>1</v>
      </c>
      <c r="CM62" s="134">
        <v>1</v>
      </c>
      <c r="CN62" s="134">
        <v>1</v>
      </c>
      <c r="CO62" s="134">
        <v>2</v>
      </c>
      <c r="CP62" s="134">
        <v>2</v>
      </c>
      <c r="CQ62" s="134">
        <v>2</v>
      </c>
      <c r="CR62" s="134">
        <v>2</v>
      </c>
      <c r="CS62" s="134">
        <v>4</v>
      </c>
      <c r="CT62" s="34">
        <v>1</v>
      </c>
      <c r="CU62" s="134">
        <v>3</v>
      </c>
      <c r="CV62" s="134">
        <v>2</v>
      </c>
      <c r="CW62" s="134">
        <v>1</v>
      </c>
      <c r="CY62" s="14">
        <f t="shared" si="16"/>
        <v>2</v>
      </c>
      <c r="CZ62" s="14">
        <f t="shared" si="17"/>
        <v>2</v>
      </c>
      <c r="DA62" s="14">
        <f t="shared" si="18"/>
        <v>0</v>
      </c>
      <c r="DB62" s="14">
        <f t="shared" si="19"/>
        <v>0</v>
      </c>
      <c r="DC62" s="14">
        <f t="shared" si="20"/>
        <v>1</v>
      </c>
      <c r="DD62" s="14">
        <f t="shared" si="21"/>
        <v>1</v>
      </c>
      <c r="DE62" s="14">
        <f t="shared" si="22"/>
        <v>0</v>
      </c>
      <c r="DF62" s="14">
        <f t="shared" si="23"/>
        <v>0</v>
      </c>
      <c r="DI62" s="126">
        <v>0</v>
      </c>
      <c r="DJ62" s="126">
        <v>0</v>
      </c>
      <c r="DK62" s="126">
        <v>1</v>
      </c>
      <c r="DL62" s="126">
        <v>1</v>
      </c>
      <c r="DM62" s="126">
        <v>2</v>
      </c>
      <c r="DN62" s="126">
        <v>0</v>
      </c>
      <c r="DO62" s="126">
        <v>0</v>
      </c>
      <c r="DP62" s="34">
        <v>1</v>
      </c>
      <c r="DQ62" s="49">
        <v>0</v>
      </c>
      <c r="DR62" s="49">
        <v>1</v>
      </c>
      <c r="DS62" s="34">
        <v>0</v>
      </c>
      <c r="DT62" s="34">
        <v>0</v>
      </c>
      <c r="DU62" s="126">
        <v>0</v>
      </c>
      <c r="DV62" s="126">
        <v>0</v>
      </c>
      <c r="DW62" s="126">
        <v>0</v>
      </c>
      <c r="DX62" s="126">
        <v>0</v>
      </c>
      <c r="DY62" s="126">
        <v>0</v>
      </c>
      <c r="DZ62" s="126">
        <v>1</v>
      </c>
      <c r="EA62" s="126">
        <v>1</v>
      </c>
      <c r="EB62" s="126">
        <v>1</v>
      </c>
      <c r="EC62" s="126">
        <v>0</v>
      </c>
      <c r="EE62" s="46">
        <f t="shared" si="26"/>
        <v>8</v>
      </c>
      <c r="EF62" s="14">
        <f t="shared" si="27"/>
        <v>7</v>
      </c>
      <c r="EG62" s="14">
        <f t="shared" si="28"/>
        <v>1</v>
      </c>
      <c r="EH62" s="14">
        <f t="shared" si="29"/>
        <v>0</v>
      </c>
      <c r="EI62" s="14">
        <f t="shared" si="30"/>
        <v>0</v>
      </c>
      <c r="EM62" s="46">
        <f t="shared" si="31"/>
        <v>5</v>
      </c>
      <c r="EN62" s="14">
        <f t="shared" si="32"/>
        <v>4</v>
      </c>
      <c r="EO62" s="14">
        <f t="shared" si="33"/>
        <v>1</v>
      </c>
      <c r="EP62" s="14">
        <f t="shared" si="34"/>
        <v>0</v>
      </c>
      <c r="EQ62" s="14">
        <f t="shared" si="35"/>
        <v>0</v>
      </c>
    </row>
    <row r="63" spans="4:163" ht="17.25">
      <c r="K63" s="100">
        <f t="shared" si="0"/>
        <v>2</v>
      </c>
      <c r="L63" s="14">
        <f t="shared" si="1"/>
        <v>7</v>
      </c>
      <c r="M63" s="14">
        <f t="shared" si="24"/>
        <v>0</v>
      </c>
      <c r="N63" s="14">
        <f t="shared" si="2"/>
        <v>2</v>
      </c>
      <c r="O63" s="99">
        <f t="shared" si="3"/>
        <v>5</v>
      </c>
      <c r="P63" s="100">
        <f t="shared" si="4"/>
        <v>2</v>
      </c>
      <c r="Q63" s="14">
        <f t="shared" si="5"/>
        <v>6</v>
      </c>
      <c r="R63" s="14">
        <f t="shared" si="6"/>
        <v>0</v>
      </c>
      <c r="S63" s="14">
        <f t="shared" si="7"/>
        <v>2</v>
      </c>
      <c r="T63" s="99">
        <f t="shared" si="8"/>
        <v>4</v>
      </c>
      <c r="V63" s="49">
        <v>6</v>
      </c>
      <c r="W63" s="49">
        <v>2</v>
      </c>
      <c r="X63" s="49">
        <v>2</v>
      </c>
      <c r="Y63" s="49">
        <v>3</v>
      </c>
      <c r="Z63" s="49">
        <v>3</v>
      </c>
      <c r="AA63" s="49">
        <v>3</v>
      </c>
      <c r="AB63" s="14">
        <v>5</v>
      </c>
      <c r="AC63" s="14">
        <v>4</v>
      </c>
      <c r="AD63" s="49">
        <v>3</v>
      </c>
      <c r="AE63" s="49">
        <v>4</v>
      </c>
      <c r="AF63" s="49">
        <v>5</v>
      </c>
      <c r="AG63" s="34">
        <v>5</v>
      </c>
      <c r="AH63" s="14">
        <v>5</v>
      </c>
      <c r="AI63" s="14">
        <v>5</v>
      </c>
      <c r="AJ63" s="14">
        <v>6</v>
      </c>
      <c r="AK63" s="14">
        <v>5</v>
      </c>
      <c r="AL63" s="11">
        <v>5</v>
      </c>
      <c r="AM63" s="11">
        <v>3</v>
      </c>
      <c r="AN63" s="11">
        <v>5</v>
      </c>
      <c r="AO63" s="11">
        <v>5</v>
      </c>
      <c r="AP63" s="11">
        <v>5</v>
      </c>
      <c r="AS63" s="78">
        <v>6</v>
      </c>
      <c r="AT63" s="56">
        <v>4</v>
      </c>
      <c r="AU63" s="56">
        <v>4</v>
      </c>
      <c r="AV63" s="56">
        <v>3</v>
      </c>
      <c r="AW63" s="56">
        <v>3</v>
      </c>
      <c r="AX63" s="56">
        <v>4</v>
      </c>
      <c r="AY63" s="56">
        <v>6</v>
      </c>
      <c r="AZ63" s="56">
        <v>4</v>
      </c>
      <c r="BA63" s="56">
        <v>5</v>
      </c>
      <c r="BB63" s="56">
        <v>4</v>
      </c>
      <c r="BC63" s="56">
        <v>5</v>
      </c>
      <c r="BD63" s="85">
        <v>6</v>
      </c>
      <c r="BE63" s="78">
        <v>6</v>
      </c>
      <c r="BF63" s="56">
        <v>5</v>
      </c>
      <c r="BG63" s="56">
        <v>6</v>
      </c>
      <c r="BH63" s="78">
        <v>5</v>
      </c>
      <c r="BI63" s="14">
        <v>6</v>
      </c>
      <c r="BJ63" s="14">
        <v>4</v>
      </c>
      <c r="BK63" s="14">
        <v>5</v>
      </c>
      <c r="BL63" s="14">
        <v>5</v>
      </c>
      <c r="BM63" s="14">
        <v>5</v>
      </c>
      <c r="BN63" s="51"/>
      <c r="BP63" s="100">
        <f t="shared" si="36"/>
        <v>6</v>
      </c>
      <c r="BQ63" s="14">
        <f t="shared" si="9"/>
        <v>2</v>
      </c>
      <c r="BR63" s="9">
        <f t="shared" si="25"/>
        <v>2</v>
      </c>
      <c r="BS63" s="100">
        <f t="shared" si="10"/>
        <v>0</v>
      </c>
      <c r="BT63" s="100">
        <f t="shared" si="11"/>
        <v>0</v>
      </c>
      <c r="BU63" s="100">
        <f t="shared" si="37"/>
        <v>5</v>
      </c>
      <c r="BV63" s="14">
        <f t="shared" si="12"/>
        <v>2</v>
      </c>
      <c r="BW63" s="9">
        <f t="shared" si="13"/>
        <v>2</v>
      </c>
      <c r="BX63" s="100">
        <f t="shared" si="14"/>
        <v>0</v>
      </c>
      <c r="BY63" s="100">
        <f t="shared" si="15"/>
        <v>0</v>
      </c>
      <c r="CD63" s="49">
        <v>0</v>
      </c>
      <c r="CE63" s="56">
        <v>1</v>
      </c>
      <c r="CF63" s="134">
        <v>1</v>
      </c>
      <c r="CG63" s="134">
        <v>3</v>
      </c>
      <c r="CH63" s="134">
        <v>0</v>
      </c>
      <c r="CI63" s="134">
        <v>3</v>
      </c>
      <c r="CJ63" s="134">
        <v>2</v>
      </c>
      <c r="CK63" s="134">
        <v>2</v>
      </c>
      <c r="CL63" s="134">
        <v>2</v>
      </c>
      <c r="CM63" s="134">
        <v>1</v>
      </c>
      <c r="CN63" s="134">
        <v>1</v>
      </c>
      <c r="CO63" s="134">
        <v>2</v>
      </c>
      <c r="CP63" s="134">
        <v>2</v>
      </c>
      <c r="CQ63" s="134">
        <v>1</v>
      </c>
      <c r="CR63" s="134">
        <v>2</v>
      </c>
      <c r="CS63" s="134">
        <v>1</v>
      </c>
      <c r="CT63" s="134">
        <v>1</v>
      </c>
      <c r="CU63" s="34">
        <v>2</v>
      </c>
      <c r="CV63" s="134">
        <v>2</v>
      </c>
      <c r="CW63" s="134">
        <v>4</v>
      </c>
      <c r="CY63" s="14">
        <f t="shared" si="16"/>
        <v>1</v>
      </c>
      <c r="CZ63" s="14">
        <f t="shared" si="17"/>
        <v>1</v>
      </c>
      <c r="DA63" s="14">
        <f t="shared" si="18"/>
        <v>0</v>
      </c>
      <c r="DB63" s="14">
        <f t="shared" si="19"/>
        <v>0</v>
      </c>
      <c r="DC63" s="14">
        <f t="shared" si="20"/>
        <v>0</v>
      </c>
      <c r="DD63" s="14">
        <f t="shared" si="21"/>
        <v>0</v>
      </c>
      <c r="DE63" s="14">
        <f t="shared" si="22"/>
        <v>0</v>
      </c>
      <c r="DF63" s="14">
        <f t="shared" si="23"/>
        <v>0</v>
      </c>
      <c r="DI63" s="126">
        <v>0</v>
      </c>
      <c r="DJ63" s="126">
        <v>2</v>
      </c>
      <c r="DK63" s="126">
        <v>2</v>
      </c>
      <c r="DL63" s="126">
        <v>0</v>
      </c>
      <c r="DM63" s="126">
        <v>0</v>
      </c>
      <c r="DN63" s="126">
        <v>1</v>
      </c>
      <c r="DO63" s="126">
        <v>1</v>
      </c>
      <c r="DP63" s="126">
        <v>0</v>
      </c>
      <c r="DQ63" s="34">
        <v>2</v>
      </c>
      <c r="DR63" s="49">
        <v>0</v>
      </c>
      <c r="DS63" s="49">
        <v>0</v>
      </c>
      <c r="DT63" s="34">
        <v>1</v>
      </c>
      <c r="DU63" s="126">
        <v>1</v>
      </c>
      <c r="DV63" s="126">
        <v>0</v>
      </c>
      <c r="DW63" s="126">
        <v>0</v>
      </c>
      <c r="DX63" s="126">
        <v>0</v>
      </c>
      <c r="DY63" s="126">
        <v>1</v>
      </c>
      <c r="DZ63" s="126">
        <v>1</v>
      </c>
      <c r="EA63" s="126">
        <v>0</v>
      </c>
      <c r="EB63" s="126">
        <v>0</v>
      </c>
      <c r="EC63" s="126">
        <v>0</v>
      </c>
      <c r="EE63" s="46">
        <f t="shared" si="26"/>
        <v>9</v>
      </c>
      <c r="EF63" s="14">
        <f t="shared" si="27"/>
        <v>6</v>
      </c>
      <c r="EG63" s="14">
        <f t="shared" si="28"/>
        <v>3</v>
      </c>
      <c r="EH63" s="14">
        <f t="shared" si="29"/>
        <v>0</v>
      </c>
      <c r="EI63" s="14">
        <f t="shared" si="30"/>
        <v>0</v>
      </c>
      <c r="EM63" s="46">
        <f t="shared" si="31"/>
        <v>7</v>
      </c>
      <c r="EN63" s="14">
        <f t="shared" si="32"/>
        <v>4</v>
      </c>
      <c r="EO63" s="14">
        <f t="shared" si="33"/>
        <v>3</v>
      </c>
      <c r="EP63" s="14">
        <f t="shared" si="34"/>
        <v>0</v>
      </c>
      <c r="EQ63" s="14">
        <f t="shared" si="35"/>
        <v>0</v>
      </c>
    </row>
    <row r="64" spans="4:163" ht="17.25">
      <c r="K64" s="100">
        <f t="shared" si="0"/>
        <v>3</v>
      </c>
      <c r="L64" s="14">
        <f t="shared" si="1"/>
        <v>4</v>
      </c>
      <c r="M64" s="14">
        <f t="shared" si="24"/>
        <v>0</v>
      </c>
      <c r="N64" s="14">
        <f t="shared" si="2"/>
        <v>2</v>
      </c>
      <c r="O64" s="99">
        <f t="shared" si="3"/>
        <v>2</v>
      </c>
      <c r="P64" s="100">
        <f t="shared" si="4"/>
        <v>3</v>
      </c>
      <c r="Q64" s="14">
        <f t="shared" si="5"/>
        <v>3</v>
      </c>
      <c r="R64" s="14">
        <f t="shared" si="6"/>
        <v>0</v>
      </c>
      <c r="S64" s="14">
        <f t="shared" si="7"/>
        <v>2</v>
      </c>
      <c r="T64" s="99">
        <f t="shared" si="8"/>
        <v>1</v>
      </c>
      <c r="V64" s="49">
        <v>4</v>
      </c>
      <c r="W64" s="49">
        <v>6</v>
      </c>
      <c r="X64" s="49">
        <v>3</v>
      </c>
      <c r="Y64" s="49">
        <v>5</v>
      </c>
      <c r="Z64" s="49">
        <v>5</v>
      </c>
      <c r="AA64" s="49">
        <v>4</v>
      </c>
      <c r="AB64" s="14">
        <v>2</v>
      </c>
      <c r="AC64" s="14">
        <v>6</v>
      </c>
      <c r="AD64" s="49">
        <v>5</v>
      </c>
      <c r="AE64" s="49">
        <v>4</v>
      </c>
      <c r="AF64" s="49">
        <v>4</v>
      </c>
      <c r="AG64" s="49">
        <v>5</v>
      </c>
      <c r="AH64" s="14">
        <v>6</v>
      </c>
      <c r="AI64" s="14">
        <v>4</v>
      </c>
      <c r="AJ64" s="14">
        <v>5</v>
      </c>
      <c r="AK64" s="14">
        <v>2</v>
      </c>
      <c r="AL64" s="11">
        <v>4</v>
      </c>
      <c r="AM64" s="11">
        <v>5</v>
      </c>
      <c r="AN64" s="11">
        <v>4</v>
      </c>
      <c r="AO64" s="11">
        <v>3</v>
      </c>
      <c r="AP64" s="11">
        <v>5</v>
      </c>
      <c r="AS64" s="78">
        <v>5</v>
      </c>
      <c r="AT64" s="56">
        <v>6</v>
      </c>
      <c r="AU64" s="56">
        <v>4</v>
      </c>
      <c r="AV64" s="56">
        <v>5</v>
      </c>
      <c r="AW64" s="56">
        <v>5</v>
      </c>
      <c r="AX64" s="56">
        <v>4</v>
      </c>
      <c r="AY64" s="56">
        <v>3</v>
      </c>
      <c r="AZ64" s="56">
        <v>6</v>
      </c>
      <c r="BA64" s="56">
        <v>5</v>
      </c>
      <c r="BB64" s="56">
        <v>6</v>
      </c>
      <c r="BC64" s="56">
        <v>5</v>
      </c>
      <c r="BD64" s="12">
        <v>5</v>
      </c>
      <c r="BE64" s="78">
        <v>6</v>
      </c>
      <c r="BF64" s="78">
        <v>5</v>
      </c>
      <c r="BG64" s="56">
        <v>6</v>
      </c>
      <c r="BH64" s="56">
        <v>3</v>
      </c>
      <c r="BI64" s="34">
        <v>4</v>
      </c>
      <c r="BJ64" s="14">
        <v>5</v>
      </c>
      <c r="BK64" s="14">
        <v>4</v>
      </c>
      <c r="BL64" s="14">
        <v>5</v>
      </c>
      <c r="BM64" s="14">
        <v>5</v>
      </c>
      <c r="BN64" s="52"/>
      <c r="BP64" s="100">
        <f t="shared" si="36"/>
        <v>5</v>
      </c>
      <c r="BQ64" s="14">
        <f t="shared" si="9"/>
        <v>2</v>
      </c>
      <c r="BR64" s="9">
        <f t="shared" si="25"/>
        <v>2</v>
      </c>
      <c r="BS64" s="100">
        <f t="shared" si="10"/>
        <v>0</v>
      </c>
      <c r="BT64" s="100">
        <f t="shared" si="11"/>
        <v>0</v>
      </c>
      <c r="BU64" s="100">
        <f t="shared" si="37"/>
        <v>5</v>
      </c>
      <c r="BV64" s="14">
        <f t="shared" si="12"/>
        <v>2</v>
      </c>
      <c r="BW64" s="9">
        <f t="shared" si="13"/>
        <v>2</v>
      </c>
      <c r="BX64" s="100">
        <f t="shared" si="14"/>
        <v>0</v>
      </c>
      <c r="BY64" s="100">
        <f t="shared" si="15"/>
        <v>0</v>
      </c>
      <c r="CD64" s="134">
        <v>2</v>
      </c>
      <c r="CE64" s="134">
        <v>1</v>
      </c>
      <c r="CF64" s="134">
        <v>3</v>
      </c>
      <c r="CG64" s="134">
        <v>3</v>
      </c>
      <c r="CH64" s="134">
        <v>1</v>
      </c>
      <c r="CI64" s="134">
        <v>3</v>
      </c>
      <c r="CJ64" s="134">
        <v>0</v>
      </c>
      <c r="CK64" s="134">
        <v>1</v>
      </c>
      <c r="CL64" s="134">
        <v>2</v>
      </c>
      <c r="CM64" s="134">
        <v>2</v>
      </c>
      <c r="CN64" s="134">
        <v>2</v>
      </c>
      <c r="CO64" s="134">
        <v>2</v>
      </c>
      <c r="CP64" s="134">
        <v>2</v>
      </c>
      <c r="CQ64" s="134">
        <v>2</v>
      </c>
      <c r="CR64" s="134">
        <v>2</v>
      </c>
      <c r="CS64" s="134">
        <v>3</v>
      </c>
      <c r="CT64" s="134">
        <v>1</v>
      </c>
      <c r="CU64" s="134">
        <v>2</v>
      </c>
      <c r="CV64" s="34">
        <v>1</v>
      </c>
      <c r="CW64" s="134">
        <v>2</v>
      </c>
      <c r="CY64" s="14">
        <f t="shared" si="16"/>
        <v>0</v>
      </c>
      <c r="CZ64" s="14">
        <f t="shared" si="17"/>
        <v>0</v>
      </c>
      <c r="DA64" s="14">
        <f t="shared" si="18"/>
        <v>0</v>
      </c>
      <c r="DB64" s="14">
        <f t="shared" si="19"/>
        <v>0</v>
      </c>
      <c r="DC64" s="14">
        <f t="shared" si="20"/>
        <v>0</v>
      </c>
      <c r="DD64" s="14">
        <f t="shared" si="21"/>
        <v>0</v>
      </c>
      <c r="DE64" s="14">
        <f t="shared" si="22"/>
        <v>0</v>
      </c>
      <c r="DF64" s="14">
        <f t="shared" si="23"/>
        <v>0</v>
      </c>
      <c r="DI64" s="126">
        <v>1</v>
      </c>
      <c r="DJ64" s="126">
        <v>0</v>
      </c>
      <c r="DK64" s="126">
        <v>1</v>
      </c>
      <c r="DL64" s="126">
        <v>0</v>
      </c>
      <c r="DM64" s="126">
        <v>0</v>
      </c>
      <c r="DN64" s="126">
        <v>0</v>
      </c>
      <c r="DO64" s="126">
        <v>1</v>
      </c>
      <c r="DP64" s="126">
        <v>0</v>
      </c>
      <c r="DQ64" s="126">
        <v>0</v>
      </c>
      <c r="DR64" s="34">
        <v>2</v>
      </c>
      <c r="DS64" s="49">
        <v>1</v>
      </c>
      <c r="DT64" s="49">
        <v>0</v>
      </c>
      <c r="DU64" s="126">
        <v>0</v>
      </c>
      <c r="DV64" s="126">
        <v>1</v>
      </c>
      <c r="DW64" s="126">
        <v>1</v>
      </c>
      <c r="DX64" s="126">
        <v>1</v>
      </c>
      <c r="DY64" s="126">
        <v>0</v>
      </c>
      <c r="DZ64" s="126">
        <v>0</v>
      </c>
      <c r="EA64" s="126">
        <v>0</v>
      </c>
      <c r="EB64" s="126">
        <v>2</v>
      </c>
      <c r="EC64" s="126">
        <v>0</v>
      </c>
      <c r="EE64" s="46">
        <f t="shared" si="26"/>
        <v>9</v>
      </c>
      <c r="EF64" s="14">
        <f t="shared" si="27"/>
        <v>7</v>
      </c>
      <c r="EG64" s="14">
        <f t="shared" si="28"/>
        <v>2</v>
      </c>
      <c r="EH64" s="14">
        <f t="shared" si="29"/>
        <v>0</v>
      </c>
      <c r="EI64" s="14">
        <f t="shared" si="30"/>
        <v>0</v>
      </c>
      <c r="EM64" s="46">
        <f t="shared" si="31"/>
        <v>8</v>
      </c>
      <c r="EN64" s="14">
        <f t="shared" si="32"/>
        <v>7</v>
      </c>
      <c r="EO64" s="14">
        <f t="shared" si="33"/>
        <v>1</v>
      </c>
      <c r="EP64" s="14">
        <f t="shared" si="34"/>
        <v>0</v>
      </c>
      <c r="EQ64" s="14">
        <f t="shared" si="35"/>
        <v>0</v>
      </c>
    </row>
    <row r="65" spans="11:147">
      <c r="K65" s="100">
        <f t="shared" si="0"/>
        <v>1</v>
      </c>
      <c r="L65" s="14">
        <f t="shared" si="1"/>
        <v>7</v>
      </c>
      <c r="M65" s="14">
        <f t="shared" si="24"/>
        <v>1</v>
      </c>
      <c r="N65" s="14">
        <f t="shared" si="2"/>
        <v>2</v>
      </c>
      <c r="O65" s="99">
        <f t="shared" si="3"/>
        <v>4</v>
      </c>
      <c r="P65" s="100">
        <f t="shared" si="4"/>
        <v>1</v>
      </c>
      <c r="Q65" s="14">
        <f t="shared" si="5"/>
        <v>3</v>
      </c>
      <c r="R65" s="14">
        <f t="shared" si="6"/>
        <v>0</v>
      </c>
      <c r="S65" s="14">
        <f t="shared" si="7"/>
        <v>1</v>
      </c>
      <c r="T65" s="99">
        <f t="shared" si="8"/>
        <v>2</v>
      </c>
      <c r="V65" s="48">
        <v>5</v>
      </c>
      <c r="W65" s="48">
        <v>5</v>
      </c>
      <c r="X65" s="11">
        <v>5</v>
      </c>
      <c r="Y65" s="11">
        <v>2</v>
      </c>
      <c r="Z65" s="11">
        <v>4</v>
      </c>
      <c r="AA65" s="11">
        <v>4</v>
      </c>
      <c r="AB65" s="11">
        <v>4</v>
      </c>
      <c r="AC65" s="11">
        <v>3</v>
      </c>
      <c r="AD65" s="11">
        <v>6</v>
      </c>
      <c r="AE65" s="11">
        <v>4</v>
      </c>
      <c r="AF65" s="11">
        <v>5</v>
      </c>
      <c r="AG65" s="11">
        <v>3</v>
      </c>
      <c r="AH65" s="11">
        <v>5</v>
      </c>
      <c r="AI65" s="11">
        <v>5</v>
      </c>
      <c r="AJ65" s="11">
        <v>4</v>
      </c>
      <c r="AK65" s="11">
        <v>4</v>
      </c>
      <c r="AL65" s="11">
        <v>5</v>
      </c>
      <c r="AM65" s="11">
        <v>3</v>
      </c>
      <c r="AN65" s="11">
        <v>3</v>
      </c>
      <c r="AO65" s="11">
        <v>1</v>
      </c>
      <c r="AP65" s="11">
        <v>2</v>
      </c>
      <c r="AS65" s="34">
        <v>5</v>
      </c>
      <c r="AT65" s="11">
        <v>5</v>
      </c>
      <c r="AU65" s="11">
        <v>6</v>
      </c>
      <c r="AV65" s="11">
        <v>3</v>
      </c>
      <c r="AW65" s="11">
        <v>5</v>
      </c>
      <c r="AX65" s="11">
        <v>5</v>
      </c>
      <c r="AY65" s="11">
        <v>5</v>
      </c>
      <c r="AZ65" s="11">
        <v>6</v>
      </c>
      <c r="BA65" s="11">
        <v>6</v>
      </c>
      <c r="BB65" s="11">
        <v>4</v>
      </c>
      <c r="BC65" s="14">
        <v>6</v>
      </c>
      <c r="BD65" s="11">
        <v>4</v>
      </c>
      <c r="BE65" s="49">
        <v>6</v>
      </c>
      <c r="BF65" s="49">
        <v>5</v>
      </c>
      <c r="BG65" s="49">
        <v>5</v>
      </c>
      <c r="BH65" s="14">
        <v>5</v>
      </c>
      <c r="BI65" s="14">
        <v>5</v>
      </c>
      <c r="BJ65" s="34">
        <v>3</v>
      </c>
      <c r="BK65" s="14">
        <v>3</v>
      </c>
      <c r="BL65" s="14">
        <v>1</v>
      </c>
      <c r="BM65" s="14">
        <v>2</v>
      </c>
      <c r="BN65" s="40"/>
      <c r="BP65" s="100">
        <f t="shared" si="36"/>
        <v>5</v>
      </c>
      <c r="BQ65" s="14">
        <f t="shared" si="9"/>
        <v>5</v>
      </c>
      <c r="BR65" s="9">
        <f t="shared" si="25"/>
        <v>3</v>
      </c>
      <c r="BS65" s="100">
        <f t="shared" si="10"/>
        <v>1</v>
      </c>
      <c r="BT65" s="100">
        <f t="shared" si="11"/>
        <v>1</v>
      </c>
      <c r="BU65" s="100">
        <f t="shared" si="37"/>
        <v>5</v>
      </c>
      <c r="BV65" s="14">
        <f t="shared" si="12"/>
        <v>1</v>
      </c>
      <c r="BW65" s="9">
        <f t="shared" si="13"/>
        <v>1</v>
      </c>
      <c r="BX65" s="100">
        <f t="shared" si="14"/>
        <v>0</v>
      </c>
      <c r="BY65" s="100">
        <f t="shared" si="15"/>
        <v>0</v>
      </c>
      <c r="CD65" s="134">
        <v>2</v>
      </c>
      <c r="CE65" s="134">
        <v>3</v>
      </c>
      <c r="CF65" s="134">
        <v>0</v>
      </c>
      <c r="CG65" s="134">
        <v>2</v>
      </c>
      <c r="CH65" s="134">
        <v>1</v>
      </c>
      <c r="CI65" s="134">
        <v>1</v>
      </c>
      <c r="CJ65" s="134">
        <v>2</v>
      </c>
      <c r="CK65" s="134">
        <v>1</v>
      </c>
      <c r="CL65" s="134">
        <v>1</v>
      </c>
      <c r="CM65" s="134">
        <v>2</v>
      </c>
      <c r="CN65" s="134">
        <v>4</v>
      </c>
      <c r="CO65" s="134">
        <v>1</v>
      </c>
      <c r="CP65" s="134">
        <v>2</v>
      </c>
      <c r="CQ65" s="134">
        <v>2</v>
      </c>
      <c r="CR65" s="134">
        <v>2</v>
      </c>
      <c r="CS65" s="134">
        <v>3</v>
      </c>
      <c r="CT65" s="134">
        <v>1</v>
      </c>
      <c r="CU65" s="134">
        <v>3</v>
      </c>
      <c r="CV65" s="134">
        <v>1</v>
      </c>
      <c r="CW65" s="34">
        <v>2</v>
      </c>
      <c r="CY65" s="14">
        <f t="shared" si="16"/>
        <v>1</v>
      </c>
      <c r="CZ65" s="14">
        <f t="shared" si="17"/>
        <v>1</v>
      </c>
      <c r="DA65" s="14">
        <f t="shared" si="18"/>
        <v>0</v>
      </c>
      <c r="DB65" s="14">
        <f t="shared" si="19"/>
        <v>0</v>
      </c>
      <c r="DC65" s="14">
        <f t="shared" si="20"/>
        <v>1</v>
      </c>
      <c r="DD65" s="14">
        <f t="shared" si="21"/>
        <v>1</v>
      </c>
      <c r="DE65" s="14">
        <f t="shared" si="22"/>
        <v>0</v>
      </c>
      <c r="DF65" s="14">
        <f t="shared" si="23"/>
        <v>0</v>
      </c>
      <c r="DI65" s="126">
        <v>0</v>
      </c>
      <c r="DJ65" s="126">
        <v>0</v>
      </c>
      <c r="DK65" s="126">
        <v>1</v>
      </c>
      <c r="DL65" s="126">
        <v>1</v>
      </c>
      <c r="DM65" s="126">
        <v>1</v>
      </c>
      <c r="DN65" s="126">
        <v>1</v>
      </c>
      <c r="DO65" s="126">
        <v>1</v>
      </c>
      <c r="DP65" s="126">
        <v>3</v>
      </c>
      <c r="DQ65" s="126">
        <v>0</v>
      </c>
      <c r="DR65" s="126">
        <v>0</v>
      </c>
      <c r="DS65" s="34">
        <v>1</v>
      </c>
      <c r="DT65" s="49">
        <v>1</v>
      </c>
      <c r="DU65" s="126">
        <v>1</v>
      </c>
      <c r="DV65" s="126">
        <v>0</v>
      </c>
      <c r="DW65" s="126">
        <v>1</v>
      </c>
      <c r="DX65" s="126">
        <v>1</v>
      </c>
      <c r="DY65" s="126">
        <v>0</v>
      </c>
      <c r="DZ65" s="126">
        <v>0</v>
      </c>
      <c r="EA65" s="126">
        <v>0</v>
      </c>
      <c r="EB65" s="126">
        <v>0</v>
      </c>
      <c r="EC65" s="126">
        <v>0</v>
      </c>
      <c r="EE65" s="46">
        <f t="shared" si="26"/>
        <v>11</v>
      </c>
      <c r="EF65" s="14">
        <f t="shared" si="27"/>
        <v>10</v>
      </c>
      <c r="EG65" s="14">
        <f t="shared" si="28"/>
        <v>0</v>
      </c>
      <c r="EH65" s="14">
        <f t="shared" si="29"/>
        <v>1</v>
      </c>
      <c r="EI65" s="14">
        <f t="shared" si="30"/>
        <v>0</v>
      </c>
      <c r="EM65" s="46">
        <f t="shared" si="31"/>
        <v>11</v>
      </c>
      <c r="EN65" s="14">
        <f t="shared" si="32"/>
        <v>10</v>
      </c>
      <c r="EO65" s="14">
        <f t="shared" si="33"/>
        <v>0</v>
      </c>
      <c r="EP65" s="14">
        <f t="shared" si="34"/>
        <v>1</v>
      </c>
      <c r="EQ65" s="14">
        <f t="shared" si="35"/>
        <v>0</v>
      </c>
    </row>
    <row r="66" spans="11:147" ht="17.25">
      <c r="K66" s="100">
        <f t="shared" si="0"/>
        <v>2</v>
      </c>
      <c r="L66" s="14">
        <f t="shared" si="1"/>
        <v>6</v>
      </c>
      <c r="M66" s="14">
        <f t="shared" si="24"/>
        <v>0</v>
      </c>
      <c r="N66" s="14">
        <f t="shared" si="2"/>
        <v>3</v>
      </c>
      <c r="O66" s="99">
        <f t="shared" si="3"/>
        <v>3</v>
      </c>
      <c r="P66" s="100">
        <f t="shared" si="4"/>
        <v>2</v>
      </c>
      <c r="Q66" s="14">
        <f t="shared" si="5"/>
        <v>5</v>
      </c>
      <c r="R66" s="14">
        <f t="shared" si="6"/>
        <v>0</v>
      </c>
      <c r="S66" s="14">
        <f t="shared" si="7"/>
        <v>3</v>
      </c>
      <c r="T66" s="99">
        <f t="shared" si="8"/>
        <v>2</v>
      </c>
      <c r="V66" s="48">
        <v>6</v>
      </c>
      <c r="W66" s="11">
        <v>6</v>
      </c>
      <c r="X66" s="11">
        <v>3</v>
      </c>
      <c r="Y66" s="11">
        <v>5</v>
      </c>
      <c r="Z66" s="11">
        <v>4</v>
      </c>
      <c r="AA66" s="11">
        <v>5</v>
      </c>
      <c r="AB66" s="11">
        <v>2</v>
      </c>
      <c r="AC66" s="11">
        <v>2</v>
      </c>
      <c r="AD66" s="11">
        <v>5</v>
      </c>
      <c r="AE66" s="11">
        <v>4</v>
      </c>
      <c r="AF66" s="11">
        <v>2</v>
      </c>
      <c r="AG66" s="11">
        <v>5</v>
      </c>
      <c r="AH66" s="11">
        <v>5</v>
      </c>
      <c r="AI66" s="11">
        <v>3</v>
      </c>
      <c r="AJ66" s="11">
        <v>5</v>
      </c>
      <c r="AK66" s="11">
        <v>5</v>
      </c>
      <c r="AL66" s="11">
        <v>4</v>
      </c>
      <c r="AM66" s="11">
        <v>3</v>
      </c>
      <c r="AN66" s="11">
        <v>5</v>
      </c>
      <c r="AO66" s="11">
        <v>4</v>
      </c>
      <c r="AP66" s="11">
        <v>5</v>
      </c>
      <c r="AS66" s="34">
        <v>6</v>
      </c>
      <c r="AT66" s="14">
        <v>6</v>
      </c>
      <c r="AU66" s="56">
        <v>3</v>
      </c>
      <c r="AV66" s="11">
        <v>5</v>
      </c>
      <c r="AW66" s="11">
        <v>5</v>
      </c>
      <c r="AX66" s="11">
        <v>5</v>
      </c>
      <c r="AY66" s="11">
        <v>3</v>
      </c>
      <c r="AZ66" s="11">
        <v>2</v>
      </c>
      <c r="BA66" s="11">
        <v>5</v>
      </c>
      <c r="BB66" s="11">
        <v>4</v>
      </c>
      <c r="BC66" s="11">
        <v>6</v>
      </c>
      <c r="BD66" s="11">
        <v>5</v>
      </c>
      <c r="BE66" s="11">
        <v>5</v>
      </c>
      <c r="BF66" s="11">
        <v>3</v>
      </c>
      <c r="BG66" s="11">
        <v>5</v>
      </c>
      <c r="BH66" s="11">
        <v>5</v>
      </c>
      <c r="BI66" s="14">
        <v>4</v>
      </c>
      <c r="BJ66" s="14">
        <v>5</v>
      </c>
      <c r="BK66" s="34">
        <v>6</v>
      </c>
      <c r="BL66" s="14">
        <v>6</v>
      </c>
      <c r="BM66" s="14">
        <v>6</v>
      </c>
      <c r="BP66" s="100">
        <f t="shared" si="36"/>
        <v>6</v>
      </c>
      <c r="BQ66" s="14">
        <f t="shared" si="9"/>
        <v>4</v>
      </c>
      <c r="BR66" s="9">
        <f t="shared" si="25"/>
        <v>3</v>
      </c>
      <c r="BS66" s="100">
        <f t="shared" si="10"/>
        <v>1</v>
      </c>
      <c r="BT66" s="100">
        <f t="shared" si="11"/>
        <v>0</v>
      </c>
      <c r="BU66" s="100">
        <f t="shared" si="37"/>
        <v>3</v>
      </c>
      <c r="BV66" s="14">
        <f t="shared" si="12"/>
        <v>4</v>
      </c>
      <c r="BW66" s="9">
        <f t="shared" si="13"/>
        <v>3</v>
      </c>
      <c r="BX66" s="100">
        <f t="shared" si="14"/>
        <v>1</v>
      </c>
      <c r="BY66" s="100">
        <f t="shared" si="15"/>
        <v>0</v>
      </c>
      <c r="CD66" s="134">
        <v>1</v>
      </c>
      <c r="CE66" s="134">
        <v>1</v>
      </c>
      <c r="CF66" s="134">
        <v>1</v>
      </c>
      <c r="CG66" s="134">
        <v>2</v>
      </c>
      <c r="CH66" s="134">
        <v>0</v>
      </c>
      <c r="CI66" s="134">
        <v>2</v>
      </c>
      <c r="CJ66" s="134">
        <v>1</v>
      </c>
      <c r="CK66" s="134">
        <v>1</v>
      </c>
      <c r="CL66" s="134">
        <v>2</v>
      </c>
      <c r="CM66" s="134">
        <v>3</v>
      </c>
      <c r="CN66" s="134">
        <v>1</v>
      </c>
      <c r="CO66" s="134">
        <v>3</v>
      </c>
      <c r="CP66" s="134">
        <v>2</v>
      </c>
      <c r="CQ66" s="134">
        <v>0</v>
      </c>
      <c r="CR66" s="134">
        <v>1</v>
      </c>
      <c r="CS66" s="134">
        <v>2</v>
      </c>
      <c r="CT66" s="134">
        <v>0</v>
      </c>
      <c r="CU66" s="134">
        <v>1</v>
      </c>
      <c r="CV66" s="134">
        <v>3</v>
      </c>
      <c r="CW66" s="134">
        <v>1</v>
      </c>
      <c r="CY66" s="14">
        <f t="shared" si="16"/>
        <v>0</v>
      </c>
      <c r="CZ66" s="14">
        <f t="shared" si="17"/>
        <v>0</v>
      </c>
      <c r="DA66" s="14">
        <f t="shared" si="18"/>
        <v>0</v>
      </c>
      <c r="DB66" s="14">
        <f t="shared" si="19"/>
        <v>0</v>
      </c>
      <c r="DC66" s="14">
        <f t="shared" si="20"/>
        <v>0</v>
      </c>
      <c r="DD66" s="14">
        <f t="shared" si="21"/>
        <v>0</v>
      </c>
      <c r="DE66" s="14">
        <f t="shared" si="22"/>
        <v>0</v>
      </c>
      <c r="DF66" s="14">
        <f t="shared" si="23"/>
        <v>0</v>
      </c>
      <c r="DI66" s="126">
        <v>0</v>
      </c>
      <c r="DJ66" s="126">
        <v>0</v>
      </c>
      <c r="DK66" s="126">
        <v>0</v>
      </c>
      <c r="DL66" s="126">
        <v>0</v>
      </c>
      <c r="DM66" s="126">
        <v>1</v>
      </c>
      <c r="DN66" s="126">
        <v>0</v>
      </c>
      <c r="DO66" s="126">
        <v>1</v>
      </c>
      <c r="DP66" s="126">
        <v>0</v>
      </c>
      <c r="DQ66" s="126">
        <v>0</v>
      </c>
      <c r="DR66" s="126">
        <v>0</v>
      </c>
      <c r="DS66" s="126">
        <v>1</v>
      </c>
      <c r="DT66" s="34">
        <v>0</v>
      </c>
      <c r="DU66" s="126">
        <v>0</v>
      </c>
      <c r="DV66" s="126">
        <v>0</v>
      </c>
      <c r="DW66" s="126">
        <v>0</v>
      </c>
      <c r="DX66" s="126">
        <v>0</v>
      </c>
      <c r="DY66" s="126">
        <v>0</v>
      </c>
      <c r="DZ66" s="126">
        <v>2</v>
      </c>
      <c r="EA66" s="126">
        <v>1</v>
      </c>
      <c r="EB66" s="126">
        <v>2</v>
      </c>
      <c r="EC66" s="126">
        <v>1</v>
      </c>
      <c r="EE66" s="46">
        <f t="shared" si="26"/>
        <v>7</v>
      </c>
      <c r="EF66" s="14">
        <f t="shared" si="27"/>
        <v>5</v>
      </c>
      <c r="EG66" s="14">
        <f t="shared" si="28"/>
        <v>2</v>
      </c>
      <c r="EH66" s="14">
        <f t="shared" si="29"/>
        <v>0</v>
      </c>
      <c r="EI66" s="14">
        <f t="shared" si="30"/>
        <v>0</v>
      </c>
      <c r="EM66" s="46">
        <f t="shared" si="31"/>
        <v>3</v>
      </c>
      <c r="EN66" s="14">
        <f t="shared" si="32"/>
        <v>3</v>
      </c>
      <c r="EO66" s="14">
        <f t="shared" si="33"/>
        <v>0</v>
      </c>
      <c r="EP66" s="14">
        <f t="shared" si="34"/>
        <v>0</v>
      </c>
      <c r="EQ66" s="14">
        <f t="shared" si="35"/>
        <v>0</v>
      </c>
    </row>
    <row r="67" spans="11:147">
      <c r="K67" s="100">
        <f t="shared" si="0"/>
        <v>4</v>
      </c>
      <c r="L67" s="14">
        <f t="shared" si="1"/>
        <v>4</v>
      </c>
      <c r="M67" s="14">
        <f t="shared" si="24"/>
        <v>0</v>
      </c>
      <c r="N67" s="14">
        <f t="shared" si="2"/>
        <v>2</v>
      </c>
      <c r="O67" s="99">
        <f t="shared" si="3"/>
        <v>2</v>
      </c>
      <c r="P67" s="100">
        <f t="shared" si="4"/>
        <v>4</v>
      </c>
      <c r="Q67" s="14">
        <f t="shared" si="5"/>
        <v>4</v>
      </c>
      <c r="R67" s="14">
        <f t="shared" si="6"/>
        <v>0</v>
      </c>
      <c r="S67" s="14">
        <f t="shared" si="7"/>
        <v>2</v>
      </c>
      <c r="T67" s="99">
        <f t="shared" si="8"/>
        <v>2</v>
      </c>
      <c r="V67" s="11">
        <v>4</v>
      </c>
      <c r="W67" s="11">
        <v>4</v>
      </c>
      <c r="X67" s="11">
        <v>6</v>
      </c>
      <c r="Y67" s="11">
        <v>2</v>
      </c>
      <c r="Z67" s="11">
        <v>3</v>
      </c>
      <c r="AA67" s="14">
        <v>5</v>
      </c>
      <c r="AB67" s="11">
        <v>6</v>
      </c>
      <c r="AC67" s="11">
        <v>2</v>
      </c>
      <c r="AD67" s="11">
        <v>5</v>
      </c>
      <c r="AE67" s="11">
        <v>5</v>
      </c>
      <c r="AF67" s="11">
        <v>6</v>
      </c>
      <c r="AG67" s="11">
        <v>3</v>
      </c>
      <c r="AH67" s="11">
        <v>4</v>
      </c>
      <c r="AI67" s="11">
        <v>5</v>
      </c>
      <c r="AJ67" s="11">
        <v>6</v>
      </c>
      <c r="AK67" s="11">
        <v>5</v>
      </c>
      <c r="AL67" s="11">
        <v>5</v>
      </c>
      <c r="AM67" s="11">
        <v>4</v>
      </c>
      <c r="AN67" s="11">
        <v>5</v>
      </c>
      <c r="AO67" s="11">
        <v>5</v>
      </c>
      <c r="AP67" s="11">
        <v>5</v>
      </c>
      <c r="AS67" s="11">
        <v>5</v>
      </c>
      <c r="AT67" s="11">
        <v>5</v>
      </c>
      <c r="AU67" s="11">
        <v>6</v>
      </c>
      <c r="AV67" s="11">
        <v>3</v>
      </c>
      <c r="AW67" s="11">
        <v>3</v>
      </c>
      <c r="AX67" s="14">
        <v>6</v>
      </c>
      <c r="AY67" s="11">
        <v>6</v>
      </c>
      <c r="AZ67" s="11">
        <v>4</v>
      </c>
      <c r="BA67" s="11">
        <v>5</v>
      </c>
      <c r="BB67" s="11">
        <v>5</v>
      </c>
      <c r="BC67" s="11">
        <v>6</v>
      </c>
      <c r="BD67" s="11">
        <v>4</v>
      </c>
      <c r="BE67" s="11">
        <v>4</v>
      </c>
      <c r="BF67" s="11">
        <v>5</v>
      </c>
      <c r="BG67" s="11">
        <v>6</v>
      </c>
      <c r="BH67" s="11">
        <v>6</v>
      </c>
      <c r="BI67" s="34">
        <v>5</v>
      </c>
      <c r="BJ67" s="14">
        <v>5</v>
      </c>
      <c r="BK67" s="14">
        <v>5</v>
      </c>
      <c r="BL67" s="34">
        <v>6</v>
      </c>
      <c r="BM67" s="14">
        <v>6</v>
      </c>
      <c r="BP67" s="100">
        <f t="shared" si="36"/>
        <v>8</v>
      </c>
      <c r="BQ67" s="14">
        <f t="shared" si="9"/>
        <v>2</v>
      </c>
      <c r="BR67" s="9">
        <f t="shared" si="25"/>
        <v>2</v>
      </c>
      <c r="BS67" s="100">
        <f t="shared" si="10"/>
        <v>0</v>
      </c>
      <c r="BT67" s="100">
        <f t="shared" si="11"/>
        <v>0</v>
      </c>
      <c r="BU67" s="100">
        <f t="shared" si="37"/>
        <v>6</v>
      </c>
      <c r="BV67" s="14">
        <f t="shared" si="12"/>
        <v>2</v>
      </c>
      <c r="BW67" s="9">
        <f t="shared" si="13"/>
        <v>2</v>
      </c>
      <c r="BX67" s="100">
        <f t="shared" si="14"/>
        <v>0</v>
      </c>
      <c r="BY67" s="100">
        <f t="shared" si="15"/>
        <v>0</v>
      </c>
      <c r="CC67" s="41"/>
      <c r="CD67" s="42">
        <v>2</v>
      </c>
      <c r="CE67" s="134">
        <v>2</v>
      </c>
      <c r="CF67" s="42">
        <v>1</v>
      </c>
      <c r="CG67" s="42">
        <v>1</v>
      </c>
      <c r="CH67" s="42">
        <v>3</v>
      </c>
      <c r="CI67" s="42">
        <v>2</v>
      </c>
      <c r="CJ67" s="42">
        <v>2</v>
      </c>
      <c r="CK67" s="134">
        <v>3</v>
      </c>
      <c r="CL67" s="134">
        <v>0</v>
      </c>
      <c r="CM67" s="134">
        <v>1</v>
      </c>
      <c r="CN67" s="134">
        <v>1</v>
      </c>
      <c r="CO67" s="134">
        <v>3</v>
      </c>
      <c r="CP67" s="134">
        <v>1</v>
      </c>
      <c r="CQ67" s="134">
        <v>1</v>
      </c>
      <c r="CR67" s="134">
        <v>2</v>
      </c>
      <c r="CS67" s="134">
        <v>4</v>
      </c>
      <c r="CT67" s="134">
        <v>1</v>
      </c>
      <c r="CU67" s="134">
        <v>1</v>
      </c>
      <c r="CV67" s="134">
        <v>1</v>
      </c>
      <c r="CW67" s="134">
        <v>3</v>
      </c>
      <c r="CY67" s="102">
        <f>SUM(CZ67:DB67)</f>
        <v>1</v>
      </c>
      <c r="CZ67" s="102">
        <f>COUNTIF(CD67:CW67,4)</f>
        <v>1</v>
      </c>
      <c r="DA67" s="102">
        <f>COUNTIF(CD67:CW67,5)</f>
        <v>0</v>
      </c>
      <c r="DB67" s="102">
        <f>COUNTIF(CD67:CW67,6)</f>
        <v>0</v>
      </c>
      <c r="DC67" s="102">
        <f t="shared" ref="DC67:DC75" si="38">SUM(DD67:DF67)</f>
        <v>0</v>
      </c>
      <c r="DD67" s="102">
        <f>COUNTIF(CD67:CR67,4)</f>
        <v>0</v>
      </c>
      <c r="DE67" s="102">
        <f>COUNTIF(CD67:CR67,5)</f>
        <v>0</v>
      </c>
      <c r="DF67" s="102">
        <f>COUNTIF(CD67:CR67,6)</f>
        <v>0</v>
      </c>
      <c r="DI67" s="126">
        <v>1</v>
      </c>
      <c r="DJ67" s="126">
        <v>1</v>
      </c>
      <c r="DK67" s="126">
        <v>0</v>
      </c>
      <c r="DL67" s="126">
        <v>1</v>
      </c>
      <c r="DM67" s="126">
        <v>0</v>
      </c>
      <c r="DN67" s="126">
        <v>1</v>
      </c>
      <c r="DO67" s="126">
        <v>0</v>
      </c>
      <c r="DP67" s="126">
        <v>2</v>
      </c>
      <c r="DQ67" s="126">
        <v>0</v>
      </c>
      <c r="DR67" s="126">
        <v>0</v>
      </c>
      <c r="DS67" s="126">
        <v>0</v>
      </c>
      <c r="DT67" s="126">
        <v>1</v>
      </c>
      <c r="DU67" s="126">
        <v>0</v>
      </c>
      <c r="DV67" s="126">
        <v>0</v>
      </c>
      <c r="DW67" s="126">
        <v>0</v>
      </c>
      <c r="DX67" s="126">
        <v>1</v>
      </c>
      <c r="DY67" s="126">
        <v>0</v>
      </c>
      <c r="DZ67" s="126">
        <v>1</v>
      </c>
      <c r="EA67" s="126">
        <v>0</v>
      </c>
      <c r="EB67" s="126">
        <v>1</v>
      </c>
      <c r="EC67" s="126">
        <v>1</v>
      </c>
      <c r="EE67" s="46">
        <f t="shared" si="26"/>
        <v>10</v>
      </c>
      <c r="EF67" s="14">
        <f t="shared" si="27"/>
        <v>9</v>
      </c>
      <c r="EG67" s="14">
        <f t="shared" si="28"/>
        <v>1</v>
      </c>
      <c r="EH67" s="14">
        <f t="shared" si="29"/>
        <v>0</v>
      </c>
      <c r="EI67" s="14">
        <f t="shared" si="30"/>
        <v>0</v>
      </c>
      <c r="EM67" s="46">
        <f t="shared" si="31"/>
        <v>7</v>
      </c>
      <c r="EN67" s="14">
        <f t="shared" si="32"/>
        <v>6</v>
      </c>
      <c r="EO67" s="14">
        <f t="shared" si="33"/>
        <v>1</v>
      </c>
      <c r="EP67" s="14">
        <f t="shared" si="34"/>
        <v>0</v>
      </c>
      <c r="EQ67" s="14">
        <f t="shared" si="35"/>
        <v>0</v>
      </c>
    </row>
    <row r="68" spans="11:147">
      <c r="K68" s="100">
        <f t="shared" si="0"/>
        <v>5</v>
      </c>
      <c r="L68" s="14">
        <f t="shared" si="1"/>
        <v>5</v>
      </c>
      <c r="M68" s="14">
        <f t="shared" si="24"/>
        <v>0</v>
      </c>
      <c r="N68" s="14">
        <f t="shared" si="2"/>
        <v>0</v>
      </c>
      <c r="O68" s="99">
        <f t="shared" si="3"/>
        <v>5</v>
      </c>
      <c r="P68" s="100">
        <f t="shared" si="4"/>
        <v>5</v>
      </c>
      <c r="Q68" s="14">
        <f t="shared" si="5"/>
        <v>4</v>
      </c>
      <c r="R68" s="14">
        <f t="shared" si="6"/>
        <v>0</v>
      </c>
      <c r="S68" s="14">
        <f t="shared" si="7"/>
        <v>0</v>
      </c>
      <c r="T68" s="99">
        <f t="shared" si="8"/>
        <v>4</v>
      </c>
      <c r="V68" s="11">
        <v>6</v>
      </c>
      <c r="W68" s="14">
        <v>6</v>
      </c>
      <c r="X68" s="11">
        <v>4</v>
      </c>
      <c r="Y68" s="11">
        <v>3</v>
      </c>
      <c r="Z68" s="11">
        <v>6</v>
      </c>
      <c r="AA68" s="11">
        <v>4</v>
      </c>
      <c r="AB68" s="11">
        <v>6</v>
      </c>
      <c r="AC68" s="11">
        <v>5</v>
      </c>
      <c r="AD68" s="11">
        <v>5</v>
      </c>
      <c r="AE68" s="11">
        <v>3</v>
      </c>
      <c r="AF68" s="11">
        <v>3</v>
      </c>
      <c r="AG68" s="11">
        <v>5</v>
      </c>
      <c r="AH68" s="11">
        <v>3</v>
      </c>
      <c r="AI68" s="48">
        <v>4</v>
      </c>
      <c r="AJ68" s="11">
        <v>4</v>
      </c>
      <c r="AK68" s="11">
        <v>6</v>
      </c>
      <c r="AL68" s="11">
        <v>5</v>
      </c>
      <c r="AM68" s="11">
        <v>5</v>
      </c>
      <c r="AN68" s="11">
        <v>4</v>
      </c>
      <c r="AO68" s="11">
        <v>3</v>
      </c>
      <c r="AP68" s="11">
        <v>4</v>
      </c>
      <c r="AS68" s="11">
        <v>6</v>
      </c>
      <c r="AT68" s="14">
        <v>6</v>
      </c>
      <c r="AU68" s="11">
        <v>6</v>
      </c>
      <c r="AV68" s="11">
        <v>3</v>
      </c>
      <c r="AW68" s="11">
        <v>6</v>
      </c>
      <c r="AX68" s="11">
        <v>4</v>
      </c>
      <c r="AY68" s="11">
        <v>6</v>
      </c>
      <c r="AZ68" s="11">
        <v>5</v>
      </c>
      <c r="BA68" s="11">
        <v>6</v>
      </c>
      <c r="BB68" s="11">
        <v>4</v>
      </c>
      <c r="BC68" s="11">
        <v>3</v>
      </c>
      <c r="BD68" s="11">
        <v>5</v>
      </c>
      <c r="BE68" s="11">
        <v>3</v>
      </c>
      <c r="BF68" s="11">
        <v>5</v>
      </c>
      <c r="BG68" s="11">
        <v>5</v>
      </c>
      <c r="BH68" s="11">
        <v>6</v>
      </c>
      <c r="BI68" s="34">
        <v>6</v>
      </c>
      <c r="BJ68" s="34">
        <v>5</v>
      </c>
      <c r="BK68" s="14">
        <v>4</v>
      </c>
      <c r="BL68" s="14">
        <v>3</v>
      </c>
      <c r="BM68" s="34">
        <v>5</v>
      </c>
      <c r="BP68" s="100">
        <f t="shared" si="36"/>
        <v>8</v>
      </c>
      <c r="BQ68" s="14">
        <f t="shared" si="9"/>
        <v>4</v>
      </c>
      <c r="BR68" s="9">
        <f t="shared" si="25"/>
        <v>4</v>
      </c>
      <c r="BS68" s="100">
        <f t="shared" si="10"/>
        <v>0</v>
      </c>
      <c r="BT68" s="100">
        <f t="shared" si="11"/>
        <v>0</v>
      </c>
      <c r="BU68" s="100">
        <f t="shared" si="37"/>
        <v>7</v>
      </c>
      <c r="BV68" s="14">
        <f t="shared" si="12"/>
        <v>3</v>
      </c>
      <c r="BW68" s="9">
        <f t="shared" si="13"/>
        <v>3</v>
      </c>
      <c r="BX68" s="100">
        <f t="shared" si="14"/>
        <v>0</v>
      </c>
      <c r="BY68" s="100">
        <f t="shared" si="15"/>
        <v>0</v>
      </c>
      <c r="CD68" s="42">
        <v>3</v>
      </c>
      <c r="CE68" s="42">
        <v>2</v>
      </c>
      <c r="CF68" s="42">
        <v>2</v>
      </c>
      <c r="CG68" s="42">
        <v>2</v>
      </c>
      <c r="CH68" s="42">
        <v>0</v>
      </c>
      <c r="CI68" s="42">
        <v>3</v>
      </c>
      <c r="CJ68" s="42">
        <v>1</v>
      </c>
      <c r="CK68" s="42">
        <v>1</v>
      </c>
      <c r="CL68" s="42">
        <v>1</v>
      </c>
      <c r="CM68" s="42">
        <v>1</v>
      </c>
      <c r="CN68" s="42">
        <v>2</v>
      </c>
      <c r="CO68" s="42">
        <v>1</v>
      </c>
      <c r="CP68" s="42">
        <v>0</v>
      </c>
      <c r="CQ68" s="42">
        <v>1</v>
      </c>
      <c r="CR68" s="42">
        <v>3</v>
      </c>
      <c r="CS68" s="42">
        <v>3</v>
      </c>
      <c r="CT68" s="42">
        <v>3</v>
      </c>
      <c r="CU68" s="42">
        <v>4</v>
      </c>
      <c r="CV68" s="42">
        <v>3</v>
      </c>
      <c r="CW68" s="42">
        <v>0</v>
      </c>
      <c r="CY68" s="103">
        <f>SUM(CZ68:DB68)</f>
        <v>1</v>
      </c>
      <c r="CZ68" s="103">
        <f>COUNTIF(CD68:CW68,4)</f>
        <v>1</v>
      </c>
      <c r="DA68" s="103">
        <f>COUNTIF(CD68:CW68,5)</f>
        <v>0</v>
      </c>
      <c r="DB68" s="103">
        <f>COUNTIF(CD68:CW68,6)</f>
        <v>0</v>
      </c>
      <c r="DC68" s="103">
        <f t="shared" si="38"/>
        <v>0</v>
      </c>
      <c r="DD68" s="103">
        <f t="shared" ref="DD68:DD73" si="39">COUNTIF(CD68:CR68,4)</f>
        <v>0</v>
      </c>
      <c r="DE68" s="103">
        <f>COUNTIF(CD68:CR68,5)</f>
        <v>0</v>
      </c>
      <c r="DF68" s="103">
        <f>COUNTIF(CD68:CR68,6)</f>
        <v>0</v>
      </c>
      <c r="DI68" s="126">
        <v>0</v>
      </c>
      <c r="DJ68" s="126">
        <v>0</v>
      </c>
      <c r="DK68" s="126">
        <v>0</v>
      </c>
      <c r="DL68" s="126">
        <v>0</v>
      </c>
      <c r="DM68" s="126">
        <v>0</v>
      </c>
      <c r="DN68" s="126">
        <v>0</v>
      </c>
      <c r="DO68" s="126">
        <v>0</v>
      </c>
      <c r="DP68" s="126">
        <v>0</v>
      </c>
      <c r="DQ68" s="126">
        <v>1</v>
      </c>
      <c r="DR68" s="126">
        <v>1</v>
      </c>
      <c r="DS68" s="126">
        <v>0</v>
      </c>
      <c r="DT68" s="126">
        <v>0</v>
      </c>
      <c r="DU68" s="126">
        <v>0</v>
      </c>
      <c r="DV68" s="126">
        <v>1</v>
      </c>
      <c r="DW68" s="126">
        <v>1</v>
      </c>
      <c r="DX68" s="126">
        <v>0</v>
      </c>
      <c r="DY68" s="126">
        <v>1</v>
      </c>
      <c r="DZ68" s="126">
        <v>0</v>
      </c>
      <c r="EA68" s="126">
        <v>0</v>
      </c>
      <c r="EB68" s="126">
        <v>0</v>
      </c>
      <c r="EC68" s="126">
        <v>1</v>
      </c>
      <c r="EE68" s="46">
        <f t="shared" si="26"/>
        <v>6</v>
      </c>
      <c r="EF68" s="14">
        <f t="shared" si="27"/>
        <v>6</v>
      </c>
      <c r="EG68" s="14">
        <f t="shared" si="28"/>
        <v>0</v>
      </c>
      <c r="EH68" s="14">
        <f t="shared" si="29"/>
        <v>0</v>
      </c>
      <c r="EI68" s="14">
        <f t="shared" si="30"/>
        <v>0</v>
      </c>
      <c r="EM68" s="46">
        <f t="shared" si="31"/>
        <v>4</v>
      </c>
      <c r="EN68" s="14">
        <f t="shared" si="32"/>
        <v>4</v>
      </c>
      <c r="EO68" s="14">
        <f t="shared" si="33"/>
        <v>0</v>
      </c>
      <c r="EP68" s="14">
        <f t="shared" si="34"/>
        <v>0</v>
      </c>
      <c r="EQ68" s="14">
        <f t="shared" si="35"/>
        <v>0</v>
      </c>
    </row>
    <row r="69" spans="11:147">
      <c r="K69" s="100">
        <f t="shared" ref="K69:K74" si="40">COUNTIF(V69:AP69,6)</f>
        <v>2</v>
      </c>
      <c r="L69" s="14">
        <f t="shared" si="1"/>
        <v>2</v>
      </c>
      <c r="M69" s="14">
        <f t="shared" si="24"/>
        <v>0</v>
      </c>
      <c r="N69" s="14">
        <f t="shared" si="2"/>
        <v>1</v>
      </c>
      <c r="O69" s="99">
        <f t="shared" si="3"/>
        <v>1</v>
      </c>
      <c r="P69" s="100">
        <f t="shared" si="4"/>
        <v>1</v>
      </c>
      <c r="Q69" s="14">
        <f t="shared" si="5"/>
        <v>2</v>
      </c>
      <c r="R69" s="14">
        <f t="shared" si="6"/>
        <v>0</v>
      </c>
      <c r="S69" s="14">
        <f t="shared" si="7"/>
        <v>1</v>
      </c>
      <c r="T69" s="99">
        <f t="shared" si="8"/>
        <v>1</v>
      </c>
      <c r="V69" s="114">
        <v>4</v>
      </c>
      <c r="W69" s="114">
        <v>2</v>
      </c>
      <c r="X69" s="114">
        <v>3</v>
      </c>
      <c r="Y69" s="114">
        <v>4</v>
      </c>
      <c r="Z69" s="114">
        <v>4</v>
      </c>
      <c r="AA69" s="114">
        <v>6</v>
      </c>
      <c r="AB69" s="114">
        <v>4</v>
      </c>
      <c r="AC69" s="114">
        <v>4</v>
      </c>
      <c r="AD69" s="114">
        <v>4</v>
      </c>
      <c r="AE69" s="114">
        <v>4</v>
      </c>
      <c r="AF69" s="114">
        <v>5</v>
      </c>
      <c r="AG69" s="114">
        <v>5</v>
      </c>
      <c r="AH69" s="114">
        <v>5</v>
      </c>
      <c r="AI69" s="114">
        <v>4</v>
      </c>
      <c r="AJ69" s="114">
        <v>5</v>
      </c>
      <c r="AK69" s="114">
        <v>5</v>
      </c>
      <c r="AL69" s="114">
        <v>4</v>
      </c>
      <c r="AM69" s="114">
        <v>6</v>
      </c>
      <c r="AN69" s="114">
        <v>4</v>
      </c>
      <c r="AO69" s="114">
        <v>5</v>
      </c>
      <c r="AP69" s="114">
        <v>5</v>
      </c>
      <c r="AS69" s="114">
        <v>5</v>
      </c>
      <c r="AT69" s="114">
        <v>3</v>
      </c>
      <c r="AU69" s="114">
        <v>5</v>
      </c>
      <c r="AV69" s="114">
        <v>4</v>
      </c>
      <c r="AW69" s="114">
        <v>5</v>
      </c>
      <c r="AX69" s="114">
        <v>6</v>
      </c>
      <c r="AY69" s="114">
        <v>4</v>
      </c>
      <c r="AZ69" s="114">
        <v>4</v>
      </c>
      <c r="BA69" s="114">
        <v>4</v>
      </c>
      <c r="BB69" s="114">
        <v>4</v>
      </c>
      <c r="BC69" s="114">
        <v>5</v>
      </c>
      <c r="BD69" s="114">
        <v>6</v>
      </c>
      <c r="BE69" s="114">
        <v>5</v>
      </c>
      <c r="BF69" s="114">
        <v>5</v>
      </c>
      <c r="BG69" s="114">
        <v>5</v>
      </c>
      <c r="BH69" s="114">
        <v>5</v>
      </c>
      <c r="BI69" s="114">
        <v>4</v>
      </c>
      <c r="BJ69" s="114">
        <v>6</v>
      </c>
      <c r="BK69" s="114">
        <v>6</v>
      </c>
      <c r="BL69" s="114">
        <v>5</v>
      </c>
      <c r="BM69" s="114">
        <v>6</v>
      </c>
      <c r="BP69" s="100">
        <f t="shared" si="36"/>
        <v>5</v>
      </c>
      <c r="BQ69" s="14">
        <f t="shared" si="9"/>
        <v>1</v>
      </c>
      <c r="BR69" s="9">
        <f t="shared" si="25"/>
        <v>1</v>
      </c>
      <c r="BS69" s="100">
        <f t="shared" si="10"/>
        <v>0</v>
      </c>
      <c r="BT69" s="100">
        <f t="shared" si="11"/>
        <v>0</v>
      </c>
      <c r="BU69" s="100">
        <f t="shared" si="37"/>
        <v>2</v>
      </c>
      <c r="BV69" s="14">
        <f t="shared" si="12"/>
        <v>1</v>
      </c>
      <c r="BW69" s="9">
        <f t="shared" si="13"/>
        <v>1</v>
      </c>
      <c r="BX69" s="100">
        <f t="shared" si="14"/>
        <v>0</v>
      </c>
      <c r="BY69" s="100">
        <f t="shared" si="15"/>
        <v>0</v>
      </c>
      <c r="CD69" s="42">
        <v>1</v>
      </c>
      <c r="CE69" s="42">
        <v>0</v>
      </c>
      <c r="CF69" s="42">
        <v>2</v>
      </c>
      <c r="CG69" s="42">
        <v>0</v>
      </c>
      <c r="CH69" s="42">
        <v>2</v>
      </c>
      <c r="CI69" s="42">
        <v>2</v>
      </c>
      <c r="CJ69" s="42">
        <v>3</v>
      </c>
      <c r="CK69" s="42">
        <v>3</v>
      </c>
      <c r="CL69" s="42">
        <v>1</v>
      </c>
      <c r="CM69" s="42">
        <v>1</v>
      </c>
      <c r="CN69" s="42">
        <v>4</v>
      </c>
      <c r="CO69" s="42">
        <v>2</v>
      </c>
      <c r="CP69" s="42">
        <v>0</v>
      </c>
      <c r="CQ69" s="42">
        <v>2</v>
      </c>
      <c r="CR69" s="42">
        <v>4</v>
      </c>
      <c r="CS69" s="42">
        <v>3</v>
      </c>
      <c r="CT69" s="42">
        <v>2</v>
      </c>
      <c r="CU69" s="42">
        <v>2</v>
      </c>
      <c r="CV69" s="42">
        <v>1</v>
      </c>
      <c r="CW69" s="42">
        <v>2</v>
      </c>
      <c r="CY69" s="114">
        <f t="shared" ref="CY69:CY74" si="41">SUM(CZ69:DB69)</f>
        <v>2</v>
      </c>
      <c r="CZ69" s="114">
        <f t="shared" ref="CZ69:CZ74" si="42">COUNTIF(CD69:CW69,4)</f>
        <v>2</v>
      </c>
      <c r="DA69" s="114">
        <f t="shared" ref="DA69:DA74" si="43">COUNTIF(CD69:CW69,5)</f>
        <v>0</v>
      </c>
      <c r="DB69" s="114">
        <f t="shared" ref="DB69:DB74" si="44">COUNTIF(CD69:CW69,6)</f>
        <v>0</v>
      </c>
      <c r="DC69" s="114">
        <f t="shared" si="38"/>
        <v>2</v>
      </c>
      <c r="DD69" s="114">
        <f t="shared" si="39"/>
        <v>2</v>
      </c>
      <c r="DE69" s="114">
        <f t="shared" ref="DE69:DE74" si="45">COUNTIF(CD69:CR69,5)</f>
        <v>0</v>
      </c>
      <c r="DF69" s="114">
        <f t="shared" ref="DF69:DF74" si="46">COUNTIF(CD69:CR69,6)</f>
        <v>0</v>
      </c>
      <c r="DI69" s="126">
        <v>1</v>
      </c>
      <c r="DJ69" s="126">
        <v>1</v>
      </c>
      <c r="DK69" s="126">
        <v>2</v>
      </c>
      <c r="DL69" s="126">
        <v>0</v>
      </c>
      <c r="DM69" s="126">
        <v>1</v>
      </c>
      <c r="DN69" s="126">
        <v>0</v>
      </c>
      <c r="DO69" s="126">
        <v>0</v>
      </c>
      <c r="DP69" s="126">
        <v>0</v>
      </c>
      <c r="DQ69" s="126">
        <v>0</v>
      </c>
      <c r="DR69" s="126">
        <v>0</v>
      </c>
      <c r="DS69" s="126">
        <v>0</v>
      </c>
      <c r="DT69" s="126">
        <v>1</v>
      </c>
      <c r="DU69" s="126">
        <v>0</v>
      </c>
      <c r="DV69" s="126">
        <v>1</v>
      </c>
      <c r="DW69" s="126">
        <v>0</v>
      </c>
      <c r="DX69" s="126">
        <v>0</v>
      </c>
      <c r="DY69" s="126">
        <v>0</v>
      </c>
      <c r="DZ69" s="126">
        <v>0</v>
      </c>
      <c r="EA69" s="126">
        <v>2</v>
      </c>
      <c r="EB69" s="126">
        <v>0</v>
      </c>
      <c r="EC69" s="126">
        <v>1</v>
      </c>
      <c r="EE69" s="46">
        <f t="shared" si="26"/>
        <v>8</v>
      </c>
      <c r="EF69" s="14">
        <f t="shared" si="27"/>
        <v>6</v>
      </c>
      <c r="EG69" s="14">
        <f t="shared" si="28"/>
        <v>2</v>
      </c>
      <c r="EH69" s="14">
        <f t="shared" si="29"/>
        <v>0</v>
      </c>
      <c r="EI69" s="14">
        <f t="shared" si="30"/>
        <v>0</v>
      </c>
      <c r="EM69" s="46">
        <f t="shared" si="31"/>
        <v>6</v>
      </c>
      <c r="EN69" s="14">
        <f t="shared" si="32"/>
        <v>5</v>
      </c>
      <c r="EO69" s="14">
        <f t="shared" si="33"/>
        <v>1</v>
      </c>
      <c r="EP69" s="14">
        <f t="shared" si="34"/>
        <v>0</v>
      </c>
      <c r="EQ69" s="14">
        <f t="shared" si="35"/>
        <v>0</v>
      </c>
    </row>
    <row r="70" spans="11:147">
      <c r="K70" s="100">
        <f t="shared" si="40"/>
        <v>3</v>
      </c>
      <c r="L70" s="102">
        <f>SUM(M70:O70)</f>
        <v>3</v>
      </c>
      <c r="M70" s="102">
        <f t="shared" ref="M70:M78" si="47">COUNTIF(V70:AP70,1)</f>
        <v>0</v>
      </c>
      <c r="N70" s="102">
        <f t="shared" ref="N70:N78" si="48">COUNTIF(V70:AP70,2)</f>
        <v>1</v>
      </c>
      <c r="O70" s="99">
        <f t="shared" ref="O70:O78" si="49">COUNTIF(V70:AP70,3)</f>
        <v>2</v>
      </c>
      <c r="P70" s="100">
        <f t="shared" ref="P70:P78" si="50">COUNTIF(V70:AK70,6)</f>
        <v>2</v>
      </c>
      <c r="Q70" s="102">
        <f t="shared" ref="Q70:Q78" si="51">SUM(R70:T70)</f>
        <v>2</v>
      </c>
      <c r="R70" s="102">
        <f t="shared" ref="R70:R78" si="52">COUNTIF(V70:AK70,1)</f>
        <v>0</v>
      </c>
      <c r="S70" s="102">
        <f t="shared" ref="S70:S78" si="53">COUNTIF(V70:AK70,2)</f>
        <v>1</v>
      </c>
      <c r="T70" s="99">
        <f t="shared" ref="T70:T78" si="54">COUNTIF(V70:AK70,3)</f>
        <v>1</v>
      </c>
      <c r="V70" s="42">
        <v>5</v>
      </c>
      <c r="W70" s="42">
        <v>6</v>
      </c>
      <c r="X70" s="114">
        <v>3</v>
      </c>
      <c r="Y70" s="114">
        <v>4</v>
      </c>
      <c r="Z70" s="114">
        <v>4</v>
      </c>
      <c r="AA70" s="114">
        <v>5</v>
      </c>
      <c r="AB70" s="114">
        <v>6</v>
      </c>
      <c r="AC70" s="114">
        <v>5</v>
      </c>
      <c r="AD70" s="114">
        <v>4</v>
      </c>
      <c r="AE70" s="114">
        <v>4</v>
      </c>
      <c r="AF70" s="114">
        <v>4</v>
      </c>
      <c r="AG70" s="114">
        <v>5</v>
      </c>
      <c r="AH70" s="114">
        <v>2</v>
      </c>
      <c r="AI70" s="114">
        <v>4</v>
      </c>
      <c r="AJ70" s="114">
        <v>4</v>
      </c>
      <c r="AK70" s="114">
        <v>5</v>
      </c>
      <c r="AL70" s="114">
        <v>3</v>
      </c>
      <c r="AM70" s="114">
        <v>4</v>
      </c>
      <c r="AN70" s="114">
        <v>4</v>
      </c>
      <c r="AO70" s="114">
        <v>4</v>
      </c>
      <c r="AP70" s="114">
        <v>6</v>
      </c>
      <c r="AS70" s="42">
        <v>5</v>
      </c>
      <c r="AT70" s="42">
        <v>6</v>
      </c>
      <c r="AU70" s="114">
        <v>4</v>
      </c>
      <c r="AV70" s="114">
        <v>5</v>
      </c>
      <c r="AW70" s="114">
        <v>4</v>
      </c>
      <c r="AX70" s="114">
        <v>5</v>
      </c>
      <c r="AY70" s="114">
        <v>6</v>
      </c>
      <c r="AZ70" s="114">
        <v>5</v>
      </c>
      <c r="BA70" s="114">
        <v>4</v>
      </c>
      <c r="BB70" s="114">
        <v>4</v>
      </c>
      <c r="BC70" s="114">
        <v>5</v>
      </c>
      <c r="BD70" s="114">
        <v>6</v>
      </c>
      <c r="BE70" s="114">
        <v>5</v>
      </c>
      <c r="BF70" s="114">
        <v>4</v>
      </c>
      <c r="BG70" s="114">
        <v>5</v>
      </c>
      <c r="BH70" s="114">
        <v>5</v>
      </c>
      <c r="BI70" s="114">
        <v>4</v>
      </c>
      <c r="BJ70" s="114">
        <v>5</v>
      </c>
      <c r="BK70" s="114">
        <v>4</v>
      </c>
      <c r="BL70" s="114">
        <v>6</v>
      </c>
      <c r="BM70" s="114">
        <v>6</v>
      </c>
      <c r="BN70" s="40"/>
      <c r="BP70" s="100">
        <f t="shared" ref="BP70:BP78" si="55">COUNTIF(AS70:BM70,6)</f>
        <v>5</v>
      </c>
      <c r="BQ70" s="102">
        <f t="shared" ref="BQ70:BQ78" si="56">SUM(BR70:BT70)</f>
        <v>0</v>
      </c>
      <c r="BR70" s="9">
        <f t="shared" ref="BR70:BR78" si="57">COUNTIF(AS70:BM70,3)</f>
        <v>0</v>
      </c>
      <c r="BS70" s="100">
        <f t="shared" ref="BS70:BS75" si="58">COUNTIF(AS70:BM70,2)</f>
        <v>0</v>
      </c>
      <c r="BT70" s="100">
        <f t="shared" ref="BT70:BT78" si="59">COUNTIF(AS70:BM70,1)</f>
        <v>0</v>
      </c>
      <c r="BU70" s="100">
        <f t="shared" ref="BU70:BU75" si="60">COUNTIF(AS70:BH70,6)</f>
        <v>3</v>
      </c>
      <c r="BV70" s="102">
        <f t="shared" ref="BV70:BV75" si="61">SUM(BW70:BY70)</f>
        <v>0</v>
      </c>
      <c r="BW70" s="9">
        <f t="shared" ref="BW70:BW78" si="62">COUNTIF(AS70:BH70,3)</f>
        <v>0</v>
      </c>
      <c r="BX70" s="100">
        <f t="shared" ref="BX70:BX75" si="63">COUNTIF(AS70:BH70,2)</f>
        <v>0</v>
      </c>
      <c r="BY70" s="100">
        <f t="shared" ref="BY70:BY78" si="64">COUNTIF(AS70:BH70,1)</f>
        <v>0</v>
      </c>
      <c r="CD70" s="42">
        <v>3</v>
      </c>
      <c r="CE70" s="42">
        <v>3</v>
      </c>
      <c r="CF70" s="42">
        <v>2</v>
      </c>
      <c r="CG70" s="42">
        <v>3</v>
      </c>
      <c r="CH70" s="42">
        <v>3</v>
      </c>
      <c r="CI70" s="42">
        <v>1</v>
      </c>
      <c r="CJ70" s="42">
        <v>2</v>
      </c>
      <c r="CK70" s="42">
        <v>3</v>
      </c>
      <c r="CL70" s="42">
        <v>3</v>
      </c>
      <c r="CM70" s="42">
        <v>4</v>
      </c>
      <c r="CN70" s="42">
        <v>2</v>
      </c>
      <c r="CO70" s="42">
        <v>2</v>
      </c>
      <c r="CP70" s="42">
        <v>1</v>
      </c>
      <c r="CQ70" s="42">
        <v>2</v>
      </c>
      <c r="CR70" s="42">
        <v>3</v>
      </c>
      <c r="CS70" s="42">
        <v>2</v>
      </c>
      <c r="CT70" s="42">
        <v>0</v>
      </c>
      <c r="CU70" s="42">
        <v>3</v>
      </c>
      <c r="CV70" s="42">
        <v>1</v>
      </c>
      <c r="CW70" s="42">
        <v>2</v>
      </c>
      <c r="CY70" s="116">
        <f t="shared" si="41"/>
        <v>1</v>
      </c>
      <c r="CZ70" s="116">
        <f t="shared" si="42"/>
        <v>1</v>
      </c>
      <c r="DA70" s="116">
        <f t="shared" si="43"/>
        <v>0</v>
      </c>
      <c r="DB70" s="116">
        <f t="shared" si="44"/>
        <v>0</v>
      </c>
      <c r="DC70" s="116">
        <f t="shared" si="38"/>
        <v>1</v>
      </c>
      <c r="DD70" s="116">
        <f t="shared" si="39"/>
        <v>1</v>
      </c>
      <c r="DE70" s="116">
        <f t="shared" si="45"/>
        <v>0</v>
      </c>
      <c r="DF70" s="116">
        <f t="shared" si="46"/>
        <v>0</v>
      </c>
      <c r="DI70" s="42">
        <v>0</v>
      </c>
      <c r="DJ70" s="42">
        <v>0</v>
      </c>
      <c r="DK70" s="126">
        <v>1</v>
      </c>
      <c r="DL70" s="126">
        <v>1</v>
      </c>
      <c r="DM70" s="126">
        <v>0</v>
      </c>
      <c r="DN70" s="126">
        <v>0</v>
      </c>
      <c r="DO70" s="126">
        <v>0</v>
      </c>
      <c r="DP70" s="126">
        <v>0</v>
      </c>
      <c r="DQ70" s="126">
        <v>0</v>
      </c>
      <c r="DR70" s="126">
        <v>0</v>
      </c>
      <c r="DS70" s="126">
        <v>1</v>
      </c>
      <c r="DT70" s="126">
        <v>1</v>
      </c>
      <c r="DU70" s="126">
        <v>3</v>
      </c>
      <c r="DV70" s="126">
        <v>0</v>
      </c>
      <c r="DW70" s="126">
        <v>1</v>
      </c>
      <c r="DX70" s="126">
        <v>0</v>
      </c>
      <c r="DY70" s="126">
        <v>0</v>
      </c>
      <c r="DZ70" s="126">
        <v>1</v>
      </c>
      <c r="EA70" s="126">
        <v>0</v>
      </c>
      <c r="EB70" s="126">
        <v>2</v>
      </c>
      <c r="EC70" s="126">
        <v>0</v>
      </c>
      <c r="EE70" s="46">
        <f t="shared" ref="EE70:EE75" si="65">SUM(EF70:EI70)</f>
        <v>8</v>
      </c>
      <c r="EF70" s="102">
        <f>COUNTIF(DI70:EC70,1)</f>
        <v>6</v>
      </c>
      <c r="EG70" s="102">
        <f t="shared" ref="EG70:EG75" si="66">COUNTIF(DI70:EC70,2)</f>
        <v>1</v>
      </c>
      <c r="EH70" s="102">
        <f t="shared" ref="EH70:EH78" si="67">COUNTIF(DI70:EC70,3)</f>
        <v>1</v>
      </c>
      <c r="EI70" s="102">
        <f t="shared" ref="EI70:EI78" si="68">COUNTIF(DI70:EC70,4)</f>
        <v>0</v>
      </c>
      <c r="EM70" s="46">
        <f t="shared" ref="EM70:EM78" si="69">SUM(EN70:EQ70)</f>
        <v>6</v>
      </c>
      <c r="EN70" s="102">
        <f>COUNTIF(DI70:DX70,1)</f>
        <v>5</v>
      </c>
      <c r="EO70" s="102">
        <f t="shared" ref="EO70:EO78" si="70">COUNTIF(DI70:DX70,2)</f>
        <v>0</v>
      </c>
      <c r="EP70" s="102">
        <f t="shared" ref="EP70:EP78" si="71">COUNTIF(DI70:DX70,3)</f>
        <v>1</v>
      </c>
      <c r="EQ70" s="102">
        <f t="shared" ref="EQ70:EQ78" si="72">COUNTIF(DI70:DX70,4)</f>
        <v>0</v>
      </c>
    </row>
    <row r="71" spans="11:147">
      <c r="K71" s="100">
        <f t="shared" si="40"/>
        <v>4</v>
      </c>
      <c r="L71" s="103">
        <f>SUM(M71:O71)</f>
        <v>6</v>
      </c>
      <c r="M71" s="103">
        <f t="shared" si="47"/>
        <v>0</v>
      </c>
      <c r="N71" s="103">
        <f t="shared" si="48"/>
        <v>3</v>
      </c>
      <c r="O71" s="99">
        <f t="shared" si="49"/>
        <v>3</v>
      </c>
      <c r="P71" s="100">
        <f t="shared" si="50"/>
        <v>1</v>
      </c>
      <c r="Q71" s="103">
        <f t="shared" si="51"/>
        <v>5</v>
      </c>
      <c r="R71" s="103">
        <f t="shared" si="52"/>
        <v>0</v>
      </c>
      <c r="S71" s="103">
        <f t="shared" si="53"/>
        <v>3</v>
      </c>
      <c r="T71" s="99">
        <f t="shared" si="54"/>
        <v>2</v>
      </c>
      <c r="V71" s="114">
        <v>5</v>
      </c>
      <c r="W71" s="42">
        <v>6</v>
      </c>
      <c r="X71" s="42">
        <v>5</v>
      </c>
      <c r="Y71" s="42">
        <v>4</v>
      </c>
      <c r="Z71" s="42">
        <v>3</v>
      </c>
      <c r="AA71" s="42">
        <v>4</v>
      </c>
      <c r="AB71" s="42">
        <v>5</v>
      </c>
      <c r="AC71" s="42">
        <v>4</v>
      </c>
      <c r="AD71" s="42">
        <v>2</v>
      </c>
      <c r="AE71" s="42">
        <v>4</v>
      </c>
      <c r="AF71" s="42">
        <v>5</v>
      </c>
      <c r="AG71" s="42">
        <v>3</v>
      </c>
      <c r="AH71" s="42">
        <v>5</v>
      </c>
      <c r="AI71" s="42">
        <v>2</v>
      </c>
      <c r="AJ71" s="42">
        <v>4</v>
      </c>
      <c r="AK71" s="42">
        <v>2</v>
      </c>
      <c r="AL71" s="42">
        <v>6</v>
      </c>
      <c r="AM71" s="42">
        <v>4</v>
      </c>
      <c r="AN71" s="42">
        <v>3</v>
      </c>
      <c r="AO71" s="42">
        <v>6</v>
      </c>
      <c r="AP71" s="42">
        <v>6</v>
      </c>
      <c r="AS71" s="114">
        <v>5</v>
      </c>
      <c r="AT71" s="42">
        <v>6</v>
      </c>
      <c r="AU71" s="42">
        <v>5</v>
      </c>
      <c r="AV71" s="42">
        <v>5</v>
      </c>
      <c r="AW71" s="42">
        <v>4</v>
      </c>
      <c r="AX71" s="42">
        <v>4</v>
      </c>
      <c r="AY71" s="42">
        <v>5</v>
      </c>
      <c r="AZ71" s="42">
        <v>4</v>
      </c>
      <c r="BA71" s="42">
        <v>2</v>
      </c>
      <c r="BB71" s="42">
        <v>4</v>
      </c>
      <c r="BC71" s="42">
        <v>5</v>
      </c>
      <c r="BD71" s="42">
        <v>4</v>
      </c>
      <c r="BE71" s="42">
        <v>5</v>
      </c>
      <c r="BF71" s="42">
        <v>4</v>
      </c>
      <c r="BG71" s="42">
        <v>4</v>
      </c>
      <c r="BH71" s="42">
        <v>4</v>
      </c>
      <c r="BI71" s="42">
        <v>6</v>
      </c>
      <c r="BJ71" s="42">
        <v>4</v>
      </c>
      <c r="BK71" s="42">
        <v>5</v>
      </c>
      <c r="BL71" s="42">
        <v>6</v>
      </c>
      <c r="BM71" s="42">
        <v>6</v>
      </c>
      <c r="BN71" s="40"/>
      <c r="BP71" s="100">
        <f t="shared" si="55"/>
        <v>4</v>
      </c>
      <c r="BQ71" s="103">
        <f t="shared" si="56"/>
        <v>1</v>
      </c>
      <c r="BR71" s="9">
        <f t="shared" si="57"/>
        <v>0</v>
      </c>
      <c r="BS71" s="100">
        <f t="shared" si="58"/>
        <v>1</v>
      </c>
      <c r="BT71" s="100">
        <f t="shared" si="59"/>
        <v>0</v>
      </c>
      <c r="BU71" s="100">
        <f t="shared" si="60"/>
        <v>1</v>
      </c>
      <c r="BV71" s="103">
        <f t="shared" si="61"/>
        <v>1</v>
      </c>
      <c r="BW71" s="9">
        <f t="shared" si="62"/>
        <v>0</v>
      </c>
      <c r="BX71" s="100">
        <f t="shared" si="63"/>
        <v>1</v>
      </c>
      <c r="BY71" s="100">
        <f t="shared" si="64"/>
        <v>0</v>
      </c>
      <c r="CD71" s="42">
        <v>2</v>
      </c>
      <c r="CE71" s="42">
        <v>3</v>
      </c>
      <c r="CF71" s="42">
        <v>1</v>
      </c>
      <c r="CG71" s="42">
        <v>3</v>
      </c>
      <c r="CH71" s="42">
        <v>2</v>
      </c>
      <c r="CI71" s="42">
        <v>1</v>
      </c>
      <c r="CJ71" s="42">
        <v>0</v>
      </c>
      <c r="CK71" s="42">
        <v>3</v>
      </c>
      <c r="CL71" s="42">
        <v>2</v>
      </c>
      <c r="CM71" s="42">
        <v>0</v>
      </c>
      <c r="CN71" s="42">
        <v>2</v>
      </c>
      <c r="CO71" s="42">
        <v>1</v>
      </c>
      <c r="CP71" s="42">
        <v>1</v>
      </c>
      <c r="CQ71" s="42">
        <v>2</v>
      </c>
      <c r="CR71" s="42">
        <v>2</v>
      </c>
      <c r="CS71" s="42">
        <v>2</v>
      </c>
      <c r="CT71" s="42">
        <v>1</v>
      </c>
      <c r="CU71" s="42">
        <v>2</v>
      </c>
      <c r="CV71" s="42">
        <v>3</v>
      </c>
      <c r="CW71" s="42">
        <v>1</v>
      </c>
      <c r="CY71" s="124">
        <f t="shared" si="41"/>
        <v>0</v>
      </c>
      <c r="CZ71" s="124">
        <f t="shared" si="42"/>
        <v>0</v>
      </c>
      <c r="DA71" s="124">
        <f t="shared" si="43"/>
        <v>0</v>
      </c>
      <c r="DB71" s="124">
        <f t="shared" si="44"/>
        <v>0</v>
      </c>
      <c r="DC71" s="124">
        <f t="shared" si="38"/>
        <v>0</v>
      </c>
      <c r="DD71" s="124">
        <f t="shared" si="39"/>
        <v>0</v>
      </c>
      <c r="DE71" s="124">
        <f t="shared" si="45"/>
        <v>0</v>
      </c>
      <c r="DF71" s="124">
        <f t="shared" si="46"/>
        <v>0</v>
      </c>
      <c r="DI71" s="126">
        <v>0</v>
      </c>
      <c r="DJ71" s="42">
        <v>0</v>
      </c>
      <c r="DK71" s="42">
        <v>0</v>
      </c>
      <c r="DL71" s="42">
        <v>1</v>
      </c>
      <c r="DM71" s="42">
        <v>1</v>
      </c>
      <c r="DN71" s="42">
        <v>0</v>
      </c>
      <c r="DO71" s="42">
        <v>0</v>
      </c>
      <c r="DP71" s="42">
        <v>0</v>
      </c>
      <c r="DQ71" s="42">
        <v>0</v>
      </c>
      <c r="DR71" s="42">
        <v>0</v>
      </c>
      <c r="DS71" s="42">
        <v>0</v>
      </c>
      <c r="DT71" s="42">
        <v>1</v>
      </c>
      <c r="DU71" s="42">
        <v>0</v>
      </c>
      <c r="DV71" s="42">
        <v>2</v>
      </c>
      <c r="DW71" s="42">
        <v>0</v>
      </c>
      <c r="DX71" s="42">
        <v>2</v>
      </c>
      <c r="DY71" s="42">
        <v>0</v>
      </c>
      <c r="DZ71" s="42">
        <v>0</v>
      </c>
      <c r="EA71" s="42">
        <v>2</v>
      </c>
      <c r="EB71" s="42">
        <v>0</v>
      </c>
      <c r="EC71" s="42">
        <v>0</v>
      </c>
      <c r="EE71" s="46">
        <f t="shared" si="65"/>
        <v>6</v>
      </c>
      <c r="EF71" s="103">
        <f t="shared" ref="EF71:EF76" si="73">COUNTIF(DI71:EC71,1)</f>
        <v>3</v>
      </c>
      <c r="EG71" s="103">
        <f t="shared" si="66"/>
        <v>3</v>
      </c>
      <c r="EH71" s="103">
        <f t="shared" si="67"/>
        <v>0</v>
      </c>
      <c r="EI71" s="103">
        <f t="shared" si="68"/>
        <v>0</v>
      </c>
      <c r="EM71" s="46">
        <f t="shared" si="69"/>
        <v>5</v>
      </c>
      <c r="EN71" s="103">
        <f t="shared" ref="EN71:EN76" si="74">COUNTIF(DI71:DX71,1)</f>
        <v>3</v>
      </c>
      <c r="EO71" s="103">
        <f t="shared" si="70"/>
        <v>2</v>
      </c>
      <c r="EP71" s="103">
        <f t="shared" si="71"/>
        <v>0</v>
      </c>
      <c r="EQ71" s="103">
        <f t="shared" si="72"/>
        <v>0</v>
      </c>
    </row>
    <row r="72" spans="11:147">
      <c r="K72" s="100">
        <f t="shared" si="40"/>
        <v>3</v>
      </c>
      <c r="L72" s="114">
        <f t="shared" ref="L72:L77" si="75">SUM(M72:O72)</f>
        <v>4</v>
      </c>
      <c r="M72" s="114">
        <f t="shared" si="47"/>
        <v>0</v>
      </c>
      <c r="N72" s="114">
        <f t="shared" si="48"/>
        <v>1</v>
      </c>
      <c r="O72" s="99">
        <f t="shared" si="49"/>
        <v>3</v>
      </c>
      <c r="P72" s="100">
        <f t="shared" si="50"/>
        <v>2</v>
      </c>
      <c r="Q72" s="114">
        <f t="shared" si="51"/>
        <v>4</v>
      </c>
      <c r="R72" s="114">
        <f t="shared" si="52"/>
        <v>0</v>
      </c>
      <c r="S72" s="114">
        <f t="shared" si="53"/>
        <v>1</v>
      </c>
      <c r="T72" s="99">
        <f t="shared" si="54"/>
        <v>3</v>
      </c>
      <c r="V72" s="42">
        <v>5</v>
      </c>
      <c r="W72" s="34">
        <v>5</v>
      </c>
      <c r="X72" s="42">
        <v>3</v>
      </c>
      <c r="Y72" s="42">
        <v>2</v>
      </c>
      <c r="Z72" s="42">
        <v>4</v>
      </c>
      <c r="AA72" s="42">
        <v>4</v>
      </c>
      <c r="AB72" s="42">
        <v>5</v>
      </c>
      <c r="AC72" s="42">
        <v>5</v>
      </c>
      <c r="AD72" s="42">
        <v>6</v>
      </c>
      <c r="AE72" s="42">
        <v>4</v>
      </c>
      <c r="AF72" s="42">
        <v>5</v>
      </c>
      <c r="AG72" s="42">
        <v>3</v>
      </c>
      <c r="AH72" s="42">
        <v>4</v>
      </c>
      <c r="AI72" s="42">
        <v>3</v>
      </c>
      <c r="AJ72" s="42">
        <v>4</v>
      </c>
      <c r="AK72" s="42">
        <v>6</v>
      </c>
      <c r="AL72" s="42">
        <v>4</v>
      </c>
      <c r="AM72" s="42">
        <v>5</v>
      </c>
      <c r="AN72" s="42">
        <v>5</v>
      </c>
      <c r="AO72" s="42">
        <v>5</v>
      </c>
      <c r="AP72" s="42">
        <v>6</v>
      </c>
      <c r="AS72" s="42">
        <v>5</v>
      </c>
      <c r="AT72" s="42">
        <v>5</v>
      </c>
      <c r="AU72" s="42">
        <v>4</v>
      </c>
      <c r="AV72" s="42">
        <v>3</v>
      </c>
      <c r="AW72" s="42">
        <v>4</v>
      </c>
      <c r="AX72" s="42">
        <v>5</v>
      </c>
      <c r="AY72" s="42">
        <v>5</v>
      </c>
      <c r="AZ72" s="42">
        <v>5</v>
      </c>
      <c r="BA72" s="42">
        <v>6</v>
      </c>
      <c r="BB72" s="42">
        <v>4</v>
      </c>
      <c r="BC72" s="42">
        <v>5</v>
      </c>
      <c r="BD72" s="42">
        <v>3</v>
      </c>
      <c r="BE72" s="42">
        <v>5</v>
      </c>
      <c r="BF72" s="42">
        <v>4</v>
      </c>
      <c r="BG72" s="42">
        <v>5</v>
      </c>
      <c r="BH72" s="42">
        <v>6</v>
      </c>
      <c r="BI72" s="42">
        <v>5</v>
      </c>
      <c r="BJ72" s="42">
        <v>5</v>
      </c>
      <c r="BK72" s="42">
        <v>5</v>
      </c>
      <c r="BL72" s="42">
        <v>5</v>
      </c>
      <c r="BM72" s="42">
        <v>6</v>
      </c>
      <c r="BN72" s="40"/>
      <c r="BP72" s="100">
        <f t="shared" si="55"/>
        <v>3</v>
      </c>
      <c r="BQ72" s="114">
        <f t="shared" si="56"/>
        <v>2</v>
      </c>
      <c r="BR72" s="9">
        <f t="shared" si="57"/>
        <v>2</v>
      </c>
      <c r="BS72" s="100">
        <f t="shared" si="58"/>
        <v>0</v>
      </c>
      <c r="BT72" s="100">
        <f t="shared" si="59"/>
        <v>0</v>
      </c>
      <c r="BU72" s="100">
        <f t="shared" si="60"/>
        <v>2</v>
      </c>
      <c r="BV72" s="114">
        <f t="shared" si="61"/>
        <v>2</v>
      </c>
      <c r="BW72" s="9">
        <f t="shared" si="62"/>
        <v>2</v>
      </c>
      <c r="BX72" s="100">
        <f t="shared" si="63"/>
        <v>0</v>
      </c>
      <c r="BY72" s="100">
        <f t="shared" si="64"/>
        <v>0</v>
      </c>
      <c r="CD72" s="42">
        <v>2</v>
      </c>
      <c r="CE72" s="42">
        <v>3</v>
      </c>
      <c r="CF72" s="42">
        <v>2</v>
      </c>
      <c r="CG72" s="42">
        <v>2</v>
      </c>
      <c r="CH72" s="42">
        <v>3</v>
      </c>
      <c r="CI72" s="42">
        <v>1</v>
      </c>
      <c r="CJ72" s="42">
        <v>3</v>
      </c>
      <c r="CK72" s="42">
        <v>2</v>
      </c>
      <c r="CL72" s="42">
        <v>2</v>
      </c>
      <c r="CM72" s="42">
        <v>1</v>
      </c>
      <c r="CN72" s="42">
        <v>3</v>
      </c>
      <c r="CO72" s="42">
        <v>4</v>
      </c>
      <c r="CP72" s="42">
        <v>3</v>
      </c>
      <c r="CQ72" s="42">
        <v>3</v>
      </c>
      <c r="CR72" s="42">
        <v>1</v>
      </c>
      <c r="CS72" s="42">
        <v>2</v>
      </c>
      <c r="CT72" s="42">
        <v>3</v>
      </c>
      <c r="CU72" s="42">
        <v>4</v>
      </c>
      <c r="CV72" s="42">
        <v>2</v>
      </c>
      <c r="CW72" s="134">
        <v>3</v>
      </c>
      <c r="CY72" s="126">
        <f t="shared" si="41"/>
        <v>2</v>
      </c>
      <c r="CZ72" s="126">
        <f t="shared" si="42"/>
        <v>2</v>
      </c>
      <c r="DA72" s="126">
        <f t="shared" si="43"/>
        <v>0</v>
      </c>
      <c r="DB72" s="126">
        <f t="shared" si="44"/>
        <v>0</v>
      </c>
      <c r="DC72" s="126">
        <f t="shared" si="38"/>
        <v>1</v>
      </c>
      <c r="DD72" s="126">
        <f t="shared" si="39"/>
        <v>1</v>
      </c>
      <c r="DE72" s="126">
        <f t="shared" si="45"/>
        <v>0</v>
      </c>
      <c r="DF72" s="126">
        <f t="shared" si="46"/>
        <v>0</v>
      </c>
      <c r="DI72" s="42">
        <v>0</v>
      </c>
      <c r="DJ72" s="49">
        <v>0</v>
      </c>
      <c r="DK72" s="42">
        <v>1</v>
      </c>
      <c r="DL72" s="42">
        <v>1</v>
      </c>
      <c r="DM72" s="42">
        <v>3</v>
      </c>
      <c r="DN72" s="42">
        <v>1</v>
      </c>
      <c r="DO72" s="42">
        <v>0</v>
      </c>
      <c r="DP72" s="42">
        <v>0</v>
      </c>
      <c r="DQ72" s="42">
        <v>0</v>
      </c>
      <c r="DR72" s="42">
        <v>0</v>
      </c>
      <c r="DS72" s="42">
        <v>0</v>
      </c>
      <c r="DT72" s="42">
        <v>0</v>
      </c>
      <c r="DU72" s="42">
        <v>1</v>
      </c>
      <c r="DV72" s="42">
        <v>1</v>
      </c>
      <c r="DW72" s="42">
        <v>1</v>
      </c>
      <c r="DX72" s="42">
        <v>0</v>
      </c>
      <c r="DY72" s="42">
        <v>1</v>
      </c>
      <c r="DZ72" s="42">
        <v>0</v>
      </c>
      <c r="EA72" s="42">
        <v>0</v>
      </c>
      <c r="EB72" s="42">
        <v>0</v>
      </c>
      <c r="EC72" s="42">
        <v>0</v>
      </c>
      <c r="EE72" s="46">
        <f t="shared" si="65"/>
        <v>8</v>
      </c>
      <c r="EF72" s="114">
        <f t="shared" si="73"/>
        <v>7</v>
      </c>
      <c r="EG72" s="114">
        <f t="shared" si="66"/>
        <v>0</v>
      </c>
      <c r="EH72" s="114">
        <f t="shared" si="67"/>
        <v>1</v>
      </c>
      <c r="EI72" s="114">
        <f t="shared" si="68"/>
        <v>0</v>
      </c>
      <c r="EM72" s="46">
        <f t="shared" si="69"/>
        <v>7</v>
      </c>
      <c r="EN72" s="114">
        <f t="shared" si="74"/>
        <v>6</v>
      </c>
      <c r="EO72" s="114">
        <f t="shared" si="70"/>
        <v>0</v>
      </c>
      <c r="EP72" s="114">
        <f t="shared" si="71"/>
        <v>1</v>
      </c>
      <c r="EQ72" s="114">
        <f t="shared" si="72"/>
        <v>0</v>
      </c>
    </row>
    <row r="73" spans="11:147">
      <c r="K73" s="100">
        <f t="shared" si="40"/>
        <v>3</v>
      </c>
      <c r="L73" s="116">
        <f t="shared" si="75"/>
        <v>6</v>
      </c>
      <c r="M73" s="116">
        <f t="shared" si="47"/>
        <v>2</v>
      </c>
      <c r="N73" s="116">
        <f t="shared" si="48"/>
        <v>0</v>
      </c>
      <c r="O73" s="99">
        <f t="shared" si="49"/>
        <v>4</v>
      </c>
      <c r="P73" s="100">
        <f t="shared" si="50"/>
        <v>2</v>
      </c>
      <c r="Q73" s="116">
        <f t="shared" si="51"/>
        <v>4</v>
      </c>
      <c r="R73" s="116">
        <f t="shared" si="52"/>
        <v>1</v>
      </c>
      <c r="S73" s="116">
        <f t="shared" si="53"/>
        <v>0</v>
      </c>
      <c r="T73" s="99">
        <f t="shared" si="54"/>
        <v>3</v>
      </c>
      <c r="V73" s="42">
        <v>4</v>
      </c>
      <c r="W73" s="42">
        <v>6</v>
      </c>
      <c r="X73" s="42">
        <v>5</v>
      </c>
      <c r="Y73" s="42">
        <v>3</v>
      </c>
      <c r="Z73" s="42">
        <v>5</v>
      </c>
      <c r="AA73" s="42">
        <v>1</v>
      </c>
      <c r="AB73" s="42">
        <v>5</v>
      </c>
      <c r="AC73" s="42">
        <v>4</v>
      </c>
      <c r="AD73" s="42">
        <v>5</v>
      </c>
      <c r="AE73" s="42">
        <v>4</v>
      </c>
      <c r="AF73" s="42">
        <v>6</v>
      </c>
      <c r="AG73" s="42">
        <v>3</v>
      </c>
      <c r="AH73" s="42">
        <v>3</v>
      </c>
      <c r="AI73" s="42">
        <v>4</v>
      </c>
      <c r="AJ73" s="42">
        <v>4</v>
      </c>
      <c r="AK73" s="42">
        <v>4</v>
      </c>
      <c r="AL73" s="42">
        <v>6</v>
      </c>
      <c r="AM73" s="42">
        <v>3</v>
      </c>
      <c r="AN73" s="42">
        <v>1</v>
      </c>
      <c r="AO73" s="42">
        <v>5</v>
      </c>
      <c r="AP73" s="42">
        <v>5</v>
      </c>
      <c r="AS73" s="42">
        <v>4</v>
      </c>
      <c r="AT73" s="42">
        <v>6</v>
      </c>
      <c r="AU73" s="42">
        <v>6</v>
      </c>
      <c r="AV73" s="42">
        <v>3</v>
      </c>
      <c r="AW73" s="42">
        <v>5</v>
      </c>
      <c r="AX73" s="42">
        <v>2</v>
      </c>
      <c r="AY73" s="42">
        <v>5</v>
      </c>
      <c r="AZ73" s="42">
        <v>5</v>
      </c>
      <c r="BA73" s="42">
        <v>6</v>
      </c>
      <c r="BB73" s="42">
        <v>4</v>
      </c>
      <c r="BC73" s="42">
        <v>6</v>
      </c>
      <c r="BD73" s="42">
        <v>4</v>
      </c>
      <c r="BE73" s="42">
        <v>4</v>
      </c>
      <c r="BF73" s="42">
        <v>4</v>
      </c>
      <c r="BG73" s="42">
        <v>4</v>
      </c>
      <c r="BH73" s="42">
        <v>5</v>
      </c>
      <c r="BI73" s="42">
        <v>6</v>
      </c>
      <c r="BJ73" s="42">
        <v>4</v>
      </c>
      <c r="BK73" s="42">
        <v>2</v>
      </c>
      <c r="BL73" s="42">
        <v>5</v>
      </c>
      <c r="BM73" s="42">
        <v>5</v>
      </c>
      <c r="BN73" s="40"/>
      <c r="BP73" s="100">
        <f t="shared" si="55"/>
        <v>5</v>
      </c>
      <c r="BQ73" s="116">
        <f t="shared" si="56"/>
        <v>3</v>
      </c>
      <c r="BR73" s="9">
        <f t="shared" si="57"/>
        <v>1</v>
      </c>
      <c r="BS73" s="100">
        <f t="shared" si="58"/>
        <v>2</v>
      </c>
      <c r="BT73" s="100">
        <f t="shared" si="59"/>
        <v>0</v>
      </c>
      <c r="BU73" s="100">
        <f t="shared" si="60"/>
        <v>4</v>
      </c>
      <c r="BV73" s="116">
        <f t="shared" si="61"/>
        <v>2</v>
      </c>
      <c r="BW73" s="9">
        <f t="shared" si="62"/>
        <v>1</v>
      </c>
      <c r="BX73" s="100">
        <f t="shared" si="63"/>
        <v>1</v>
      </c>
      <c r="BY73" s="100">
        <f t="shared" si="64"/>
        <v>0</v>
      </c>
      <c r="CD73" s="42">
        <v>2</v>
      </c>
      <c r="CE73" s="42">
        <v>1</v>
      </c>
      <c r="CF73" s="42">
        <v>3</v>
      </c>
      <c r="CG73" s="42">
        <v>1</v>
      </c>
      <c r="CH73" s="42">
        <v>1</v>
      </c>
      <c r="CI73" s="42">
        <v>3</v>
      </c>
      <c r="CJ73" s="42">
        <v>1</v>
      </c>
      <c r="CK73" s="42">
        <v>2</v>
      </c>
      <c r="CL73" s="42">
        <v>2</v>
      </c>
      <c r="CM73" s="42">
        <v>4</v>
      </c>
      <c r="CN73" s="42">
        <v>3</v>
      </c>
      <c r="CO73" s="42">
        <v>2</v>
      </c>
      <c r="CP73" s="42">
        <v>0</v>
      </c>
      <c r="CQ73" s="42">
        <v>2</v>
      </c>
      <c r="CR73" s="42">
        <v>2</v>
      </c>
      <c r="CS73" s="42">
        <v>1</v>
      </c>
      <c r="CT73" s="42">
        <v>2</v>
      </c>
      <c r="CU73" s="42">
        <v>1</v>
      </c>
      <c r="CV73" s="42">
        <v>3</v>
      </c>
      <c r="CW73" s="42">
        <v>4</v>
      </c>
      <c r="CY73" s="133">
        <f t="shared" si="41"/>
        <v>2</v>
      </c>
      <c r="CZ73" s="133">
        <f t="shared" si="42"/>
        <v>2</v>
      </c>
      <c r="DA73" s="133">
        <f t="shared" si="43"/>
        <v>0</v>
      </c>
      <c r="DB73" s="133">
        <f t="shared" si="44"/>
        <v>0</v>
      </c>
      <c r="DC73" s="133">
        <f t="shared" si="38"/>
        <v>1</v>
      </c>
      <c r="DD73" s="133">
        <f t="shared" si="39"/>
        <v>1</v>
      </c>
      <c r="DE73" s="133">
        <f t="shared" si="45"/>
        <v>0</v>
      </c>
      <c r="DF73" s="133">
        <f t="shared" si="46"/>
        <v>0</v>
      </c>
      <c r="DI73" s="42">
        <v>0</v>
      </c>
      <c r="DJ73" s="42">
        <v>0</v>
      </c>
      <c r="DK73" s="42">
        <v>1</v>
      </c>
      <c r="DL73" s="42">
        <v>0</v>
      </c>
      <c r="DM73" s="42">
        <v>0</v>
      </c>
      <c r="DN73" s="42">
        <v>1</v>
      </c>
      <c r="DO73" s="42">
        <v>0</v>
      </c>
      <c r="DP73" s="42">
        <v>1</v>
      </c>
      <c r="DQ73" s="42">
        <v>1</v>
      </c>
      <c r="DR73" s="42">
        <v>0</v>
      </c>
      <c r="DS73" s="42">
        <v>0</v>
      </c>
      <c r="DT73" s="42">
        <v>1</v>
      </c>
      <c r="DU73" s="42">
        <v>1</v>
      </c>
      <c r="DV73" s="42">
        <v>0</v>
      </c>
      <c r="DW73" s="42">
        <v>0</v>
      </c>
      <c r="DX73" s="42">
        <v>1</v>
      </c>
      <c r="DY73" s="42">
        <v>0</v>
      </c>
      <c r="DZ73" s="42">
        <v>1</v>
      </c>
      <c r="EA73" s="42">
        <v>1</v>
      </c>
      <c r="EB73" s="42">
        <v>0</v>
      </c>
      <c r="EC73" s="42">
        <v>0</v>
      </c>
      <c r="EE73" s="46">
        <f t="shared" si="65"/>
        <v>9</v>
      </c>
      <c r="EF73" s="116">
        <f t="shared" si="73"/>
        <v>9</v>
      </c>
      <c r="EG73" s="116">
        <f t="shared" si="66"/>
        <v>0</v>
      </c>
      <c r="EH73" s="116">
        <f t="shared" si="67"/>
        <v>0</v>
      </c>
      <c r="EI73" s="116">
        <f t="shared" si="68"/>
        <v>0</v>
      </c>
      <c r="EM73" s="46">
        <f t="shared" si="69"/>
        <v>7</v>
      </c>
      <c r="EN73" s="116">
        <f t="shared" si="74"/>
        <v>7</v>
      </c>
      <c r="EO73" s="116">
        <f t="shared" si="70"/>
        <v>0</v>
      </c>
      <c r="EP73" s="116">
        <f t="shared" si="71"/>
        <v>0</v>
      </c>
      <c r="EQ73" s="116">
        <f t="shared" si="72"/>
        <v>0</v>
      </c>
    </row>
    <row r="74" spans="11:147">
      <c r="K74" s="100">
        <f t="shared" si="40"/>
        <v>1</v>
      </c>
      <c r="L74" s="124">
        <f t="shared" si="75"/>
        <v>7</v>
      </c>
      <c r="M74" s="124">
        <f t="shared" si="47"/>
        <v>0</v>
      </c>
      <c r="N74" s="124">
        <f t="shared" si="48"/>
        <v>3</v>
      </c>
      <c r="O74" s="99">
        <f t="shared" si="49"/>
        <v>4</v>
      </c>
      <c r="P74" s="100">
        <f t="shared" si="50"/>
        <v>1</v>
      </c>
      <c r="Q74" s="124">
        <f t="shared" si="51"/>
        <v>4</v>
      </c>
      <c r="R74" s="124">
        <f t="shared" si="52"/>
        <v>0</v>
      </c>
      <c r="S74" s="124">
        <f t="shared" si="53"/>
        <v>1</v>
      </c>
      <c r="T74" s="99">
        <f t="shared" si="54"/>
        <v>3</v>
      </c>
      <c r="V74" s="42">
        <v>4</v>
      </c>
      <c r="W74" s="42">
        <v>4</v>
      </c>
      <c r="X74" s="42">
        <v>4</v>
      </c>
      <c r="Y74" s="42">
        <v>6</v>
      </c>
      <c r="Z74" s="42">
        <v>4</v>
      </c>
      <c r="AA74" s="42">
        <v>4</v>
      </c>
      <c r="AB74" s="42">
        <v>5</v>
      </c>
      <c r="AC74" s="42">
        <v>5</v>
      </c>
      <c r="AD74" s="42">
        <v>3</v>
      </c>
      <c r="AE74" s="42">
        <v>5</v>
      </c>
      <c r="AF74" s="42">
        <v>4</v>
      </c>
      <c r="AG74" s="42">
        <v>3</v>
      </c>
      <c r="AH74" s="42">
        <v>2</v>
      </c>
      <c r="AI74" s="42">
        <v>3</v>
      </c>
      <c r="AJ74" s="42">
        <v>5</v>
      </c>
      <c r="AK74" s="42">
        <v>4</v>
      </c>
      <c r="AL74" s="42">
        <v>3</v>
      </c>
      <c r="AM74" s="42">
        <v>5</v>
      </c>
      <c r="AN74" s="42">
        <v>2</v>
      </c>
      <c r="AO74" s="42">
        <v>2</v>
      </c>
      <c r="AP74" s="42">
        <v>4</v>
      </c>
      <c r="AS74" s="42">
        <v>5</v>
      </c>
      <c r="AT74" s="42">
        <v>4</v>
      </c>
      <c r="AU74" s="42">
        <v>5</v>
      </c>
      <c r="AV74" s="42">
        <v>6</v>
      </c>
      <c r="AW74" s="42">
        <v>5</v>
      </c>
      <c r="AX74" s="42">
        <v>4</v>
      </c>
      <c r="AY74" s="42">
        <v>5</v>
      </c>
      <c r="AZ74" s="42">
        <v>5</v>
      </c>
      <c r="BA74" s="42">
        <v>3</v>
      </c>
      <c r="BB74" s="42">
        <v>5</v>
      </c>
      <c r="BC74" s="42">
        <v>5</v>
      </c>
      <c r="BD74" s="42">
        <v>4</v>
      </c>
      <c r="BE74" s="42">
        <v>3</v>
      </c>
      <c r="BF74" s="42">
        <v>3</v>
      </c>
      <c r="BG74" s="42">
        <v>5</v>
      </c>
      <c r="BH74" s="42">
        <v>4</v>
      </c>
      <c r="BI74" s="42">
        <v>4</v>
      </c>
      <c r="BJ74" s="42">
        <v>6</v>
      </c>
      <c r="BK74" s="42">
        <v>3</v>
      </c>
      <c r="BL74" s="42">
        <v>3</v>
      </c>
      <c r="BM74" s="42">
        <v>4</v>
      </c>
      <c r="BP74" s="100">
        <f t="shared" si="55"/>
        <v>2</v>
      </c>
      <c r="BQ74" s="124">
        <f t="shared" si="56"/>
        <v>5</v>
      </c>
      <c r="BR74" s="9">
        <f t="shared" si="57"/>
        <v>5</v>
      </c>
      <c r="BS74" s="100">
        <f t="shared" si="58"/>
        <v>0</v>
      </c>
      <c r="BT74" s="100">
        <f t="shared" si="59"/>
        <v>0</v>
      </c>
      <c r="BU74" s="100">
        <f t="shared" si="60"/>
        <v>1</v>
      </c>
      <c r="BV74" s="124">
        <f t="shared" si="61"/>
        <v>3</v>
      </c>
      <c r="BW74" s="9">
        <f t="shared" si="62"/>
        <v>3</v>
      </c>
      <c r="BX74" s="100">
        <f t="shared" si="63"/>
        <v>0</v>
      </c>
      <c r="BY74" s="100">
        <f t="shared" si="64"/>
        <v>0</v>
      </c>
      <c r="CD74" s="42">
        <v>1</v>
      </c>
      <c r="CE74" s="42">
        <v>0</v>
      </c>
      <c r="CF74" s="42">
        <v>2</v>
      </c>
      <c r="CG74" s="42">
        <v>0</v>
      </c>
      <c r="CH74" s="42">
        <v>2</v>
      </c>
      <c r="CI74" s="42">
        <v>3</v>
      </c>
      <c r="CJ74" s="42">
        <v>1</v>
      </c>
      <c r="CK74" s="42">
        <v>1</v>
      </c>
      <c r="CL74" s="42">
        <v>1</v>
      </c>
      <c r="CM74" s="42">
        <v>1</v>
      </c>
      <c r="CN74" s="42">
        <v>0</v>
      </c>
      <c r="CO74" s="42">
        <v>0</v>
      </c>
      <c r="CP74" s="42">
        <v>5</v>
      </c>
      <c r="CQ74" s="42">
        <v>3</v>
      </c>
      <c r="CR74" s="42">
        <v>1</v>
      </c>
      <c r="CS74" s="42">
        <v>2</v>
      </c>
      <c r="CT74" s="42">
        <v>1</v>
      </c>
      <c r="CU74" s="42">
        <v>1</v>
      </c>
      <c r="CV74" s="42">
        <v>4</v>
      </c>
      <c r="CW74" s="42">
        <v>2</v>
      </c>
      <c r="CY74" s="134">
        <f t="shared" si="41"/>
        <v>2</v>
      </c>
      <c r="CZ74" s="134">
        <f t="shared" si="42"/>
        <v>1</v>
      </c>
      <c r="DA74" s="134">
        <f t="shared" si="43"/>
        <v>1</v>
      </c>
      <c r="DB74" s="134">
        <f t="shared" si="44"/>
        <v>0</v>
      </c>
      <c r="DC74" s="134">
        <f t="shared" si="38"/>
        <v>1</v>
      </c>
      <c r="DD74" s="134">
        <f t="shared" ref="DD74:DD79" si="76">COUNTIF(CD74:CR74,4)</f>
        <v>0</v>
      </c>
      <c r="DE74" s="134">
        <f t="shared" si="45"/>
        <v>1</v>
      </c>
      <c r="DF74" s="134">
        <f t="shared" si="46"/>
        <v>0</v>
      </c>
      <c r="DI74" s="42">
        <v>1</v>
      </c>
      <c r="DJ74" s="42">
        <v>0</v>
      </c>
      <c r="DK74" s="42">
        <v>1</v>
      </c>
      <c r="DL74" s="42">
        <v>0</v>
      </c>
      <c r="DM74" s="42">
        <v>1</v>
      </c>
      <c r="DN74" s="42">
        <v>0</v>
      </c>
      <c r="DO74" s="42">
        <v>0</v>
      </c>
      <c r="DP74" s="42">
        <v>0</v>
      </c>
      <c r="DQ74" s="42">
        <v>0</v>
      </c>
      <c r="DR74" s="42">
        <v>0</v>
      </c>
      <c r="DS74" s="42">
        <v>1</v>
      </c>
      <c r="DT74" s="42">
        <v>1</v>
      </c>
      <c r="DU74" s="42">
        <v>1</v>
      </c>
      <c r="DV74" s="42">
        <v>0</v>
      </c>
      <c r="DW74" s="42">
        <v>0</v>
      </c>
      <c r="DX74" s="42">
        <v>0</v>
      </c>
      <c r="DY74" s="42">
        <v>1</v>
      </c>
      <c r="DZ74" s="42">
        <v>1</v>
      </c>
      <c r="EA74" s="42">
        <v>1</v>
      </c>
      <c r="EB74" s="42">
        <v>1</v>
      </c>
      <c r="EC74" s="42">
        <v>0</v>
      </c>
      <c r="EE74" s="46">
        <f t="shared" si="65"/>
        <v>10</v>
      </c>
      <c r="EF74" s="124">
        <f t="shared" si="73"/>
        <v>10</v>
      </c>
      <c r="EG74" s="124">
        <f t="shared" si="66"/>
        <v>0</v>
      </c>
      <c r="EH74" s="124">
        <f t="shared" si="67"/>
        <v>0</v>
      </c>
      <c r="EI74" s="124">
        <f t="shared" si="68"/>
        <v>0</v>
      </c>
      <c r="EJ74" s="122"/>
      <c r="EK74" s="122"/>
      <c r="EL74" s="122"/>
      <c r="EM74" s="46">
        <f t="shared" si="69"/>
        <v>6</v>
      </c>
      <c r="EN74" s="124">
        <f t="shared" si="74"/>
        <v>6</v>
      </c>
      <c r="EO74" s="124">
        <f t="shared" si="70"/>
        <v>0</v>
      </c>
      <c r="EP74" s="124">
        <f t="shared" si="71"/>
        <v>0</v>
      </c>
      <c r="EQ74" s="124">
        <f t="shared" si="72"/>
        <v>0</v>
      </c>
    </row>
    <row r="75" spans="11:147">
      <c r="K75" s="100">
        <f t="shared" ref="K75:K80" si="77">COUNTIF(V75:AP75,6)</f>
        <v>4</v>
      </c>
      <c r="L75" s="126">
        <f t="shared" si="75"/>
        <v>3</v>
      </c>
      <c r="M75" s="126">
        <f t="shared" si="47"/>
        <v>0</v>
      </c>
      <c r="N75" s="126">
        <f t="shared" si="48"/>
        <v>0</v>
      </c>
      <c r="O75" s="99">
        <f t="shared" si="49"/>
        <v>3</v>
      </c>
      <c r="P75" s="100">
        <f t="shared" si="50"/>
        <v>4</v>
      </c>
      <c r="Q75" s="126">
        <f t="shared" si="51"/>
        <v>2</v>
      </c>
      <c r="R75" s="126">
        <f t="shared" si="52"/>
        <v>0</v>
      </c>
      <c r="S75" s="126">
        <f t="shared" si="53"/>
        <v>0</v>
      </c>
      <c r="T75" s="99">
        <f t="shared" si="54"/>
        <v>2</v>
      </c>
      <c r="V75" s="126">
        <v>4</v>
      </c>
      <c r="W75" s="42">
        <v>5</v>
      </c>
      <c r="X75" s="42">
        <v>3</v>
      </c>
      <c r="Y75" s="42">
        <v>5</v>
      </c>
      <c r="Z75" s="42">
        <v>6</v>
      </c>
      <c r="AA75" s="42">
        <v>4</v>
      </c>
      <c r="AB75" s="42">
        <v>6</v>
      </c>
      <c r="AC75" s="42">
        <v>3</v>
      </c>
      <c r="AD75" s="42">
        <v>6</v>
      </c>
      <c r="AE75" s="42">
        <v>4</v>
      </c>
      <c r="AF75" s="42">
        <v>6</v>
      </c>
      <c r="AG75" s="42">
        <v>5</v>
      </c>
      <c r="AH75" s="42">
        <v>4</v>
      </c>
      <c r="AI75" s="42">
        <v>5</v>
      </c>
      <c r="AJ75" s="42">
        <v>4</v>
      </c>
      <c r="AK75" s="42">
        <v>4</v>
      </c>
      <c r="AL75" s="42">
        <v>4</v>
      </c>
      <c r="AM75" s="42">
        <v>4</v>
      </c>
      <c r="AN75" s="42">
        <v>5</v>
      </c>
      <c r="AO75" s="42">
        <v>4</v>
      </c>
      <c r="AP75" s="126">
        <v>3</v>
      </c>
      <c r="AS75" s="42">
        <v>4</v>
      </c>
      <c r="AT75" s="42">
        <v>5</v>
      </c>
      <c r="AU75" s="42">
        <v>4</v>
      </c>
      <c r="AV75" s="42">
        <v>5</v>
      </c>
      <c r="AW75" s="42">
        <v>6</v>
      </c>
      <c r="AX75" s="42">
        <v>5</v>
      </c>
      <c r="AY75" s="42">
        <v>6</v>
      </c>
      <c r="AZ75" s="42">
        <v>4</v>
      </c>
      <c r="BA75" s="42">
        <v>6</v>
      </c>
      <c r="BB75" s="42">
        <v>5</v>
      </c>
      <c r="BC75" s="42">
        <v>6</v>
      </c>
      <c r="BD75" s="42">
        <v>5</v>
      </c>
      <c r="BE75" s="42">
        <v>4</v>
      </c>
      <c r="BF75" s="42">
        <v>5</v>
      </c>
      <c r="BG75" s="42">
        <v>4</v>
      </c>
      <c r="BH75" s="42">
        <v>5</v>
      </c>
      <c r="BI75" s="42">
        <v>5</v>
      </c>
      <c r="BJ75" s="42">
        <v>5</v>
      </c>
      <c r="BK75" s="42">
        <v>5</v>
      </c>
      <c r="BL75" s="42">
        <v>5</v>
      </c>
      <c r="BM75" s="42">
        <v>3</v>
      </c>
      <c r="BP75" s="100">
        <f t="shared" si="55"/>
        <v>4</v>
      </c>
      <c r="BQ75" s="126">
        <f t="shared" si="56"/>
        <v>1</v>
      </c>
      <c r="BR75" s="9">
        <f t="shared" si="57"/>
        <v>1</v>
      </c>
      <c r="BS75" s="100">
        <f t="shared" si="58"/>
        <v>0</v>
      </c>
      <c r="BT75" s="100">
        <f t="shared" si="59"/>
        <v>0</v>
      </c>
      <c r="BU75" s="100">
        <f t="shared" si="60"/>
        <v>4</v>
      </c>
      <c r="BV75" s="126">
        <f t="shared" si="61"/>
        <v>0</v>
      </c>
      <c r="BW75" s="9">
        <f t="shared" si="62"/>
        <v>0</v>
      </c>
      <c r="BX75" s="100">
        <f t="shared" si="63"/>
        <v>0</v>
      </c>
      <c r="BY75" s="100">
        <f t="shared" si="64"/>
        <v>0</v>
      </c>
      <c r="CD75" s="42">
        <v>2</v>
      </c>
      <c r="CE75" s="42">
        <v>1</v>
      </c>
      <c r="CF75" s="42">
        <v>1</v>
      </c>
      <c r="CG75" s="42">
        <v>2</v>
      </c>
      <c r="CH75" s="42">
        <v>3</v>
      </c>
      <c r="CI75" s="42">
        <v>1</v>
      </c>
      <c r="CJ75" s="42">
        <v>3</v>
      </c>
      <c r="CK75" s="42">
        <v>3</v>
      </c>
      <c r="CL75" s="42">
        <v>0</v>
      </c>
      <c r="CM75" s="42">
        <v>3</v>
      </c>
      <c r="CN75" s="42">
        <v>0</v>
      </c>
      <c r="CO75" s="42">
        <v>1</v>
      </c>
      <c r="CP75" s="42">
        <v>3</v>
      </c>
      <c r="CQ75" s="42">
        <v>2</v>
      </c>
      <c r="CR75" s="42">
        <v>1</v>
      </c>
      <c r="CS75" s="42">
        <v>3</v>
      </c>
      <c r="CT75" s="42">
        <v>1</v>
      </c>
      <c r="CU75" s="42">
        <v>1</v>
      </c>
      <c r="CV75" s="42">
        <v>2</v>
      </c>
      <c r="CW75" s="42">
        <v>2</v>
      </c>
      <c r="CY75" s="137">
        <f t="shared" ref="CY75:CY80" si="78">SUM(CZ75:DB75)</f>
        <v>0</v>
      </c>
      <c r="CZ75" s="137">
        <f t="shared" ref="CZ75:CZ80" si="79">COUNTIF(CD75:CW75,4)</f>
        <v>0</v>
      </c>
      <c r="DA75" s="137">
        <f t="shared" ref="DA75:DA80" si="80">COUNTIF(CD75:CW75,5)</f>
        <v>0</v>
      </c>
      <c r="DB75" s="137">
        <f t="shared" ref="DB75:DB80" si="81">COUNTIF(CD75:CW75,6)</f>
        <v>0</v>
      </c>
      <c r="DC75" s="137">
        <f t="shared" si="38"/>
        <v>0</v>
      </c>
      <c r="DD75" s="137">
        <f t="shared" si="76"/>
        <v>0</v>
      </c>
      <c r="DE75" s="137">
        <f t="shared" ref="DE75:DE80" si="82">COUNTIF(CD75:CR75,5)</f>
        <v>0</v>
      </c>
      <c r="DF75" s="137">
        <f t="shared" ref="DF75:DF80" si="83">COUNTIF(CD75:CR75,6)</f>
        <v>0</v>
      </c>
      <c r="DI75" s="126">
        <v>0</v>
      </c>
      <c r="DJ75" s="42">
        <v>0</v>
      </c>
      <c r="DK75" s="42">
        <v>1</v>
      </c>
      <c r="DL75" s="42">
        <v>0</v>
      </c>
      <c r="DM75" s="42">
        <v>0</v>
      </c>
      <c r="DN75" s="42">
        <v>1</v>
      </c>
      <c r="DO75" s="42">
        <v>0</v>
      </c>
      <c r="DP75" s="42">
        <v>1</v>
      </c>
      <c r="DQ75" s="42">
        <v>0</v>
      </c>
      <c r="DR75" s="42">
        <v>1</v>
      </c>
      <c r="DS75" s="42">
        <v>0</v>
      </c>
      <c r="DT75" s="42">
        <v>0</v>
      </c>
      <c r="DU75" s="42">
        <v>0</v>
      </c>
      <c r="DV75" s="42">
        <v>0</v>
      </c>
      <c r="DW75" s="42">
        <v>0</v>
      </c>
      <c r="DX75" s="42">
        <v>1</v>
      </c>
      <c r="DY75" s="42">
        <v>1</v>
      </c>
      <c r="DZ75" s="42">
        <v>1</v>
      </c>
      <c r="EA75" s="42">
        <v>0</v>
      </c>
      <c r="EB75" s="42">
        <v>1</v>
      </c>
      <c r="EC75" s="42">
        <v>0</v>
      </c>
      <c r="EE75" s="46">
        <f t="shared" si="65"/>
        <v>8</v>
      </c>
      <c r="EF75" s="126">
        <f t="shared" si="73"/>
        <v>8</v>
      </c>
      <c r="EG75" s="126">
        <f t="shared" si="66"/>
        <v>0</v>
      </c>
      <c r="EH75" s="126">
        <f t="shared" si="67"/>
        <v>0</v>
      </c>
      <c r="EI75" s="126">
        <f t="shared" si="68"/>
        <v>0</v>
      </c>
      <c r="EM75" s="46">
        <f t="shared" si="69"/>
        <v>5</v>
      </c>
      <c r="EN75" s="126">
        <f t="shared" si="74"/>
        <v>5</v>
      </c>
      <c r="EO75" s="126">
        <f t="shared" si="70"/>
        <v>0</v>
      </c>
      <c r="EP75" s="126">
        <f t="shared" si="71"/>
        <v>0</v>
      </c>
      <c r="EQ75" s="126">
        <f t="shared" si="72"/>
        <v>0</v>
      </c>
    </row>
    <row r="76" spans="11:147">
      <c r="K76" s="100">
        <f t="shared" si="77"/>
        <v>4</v>
      </c>
      <c r="L76" s="133">
        <f t="shared" si="75"/>
        <v>4</v>
      </c>
      <c r="M76" s="133">
        <f t="shared" si="47"/>
        <v>0</v>
      </c>
      <c r="N76" s="133">
        <f t="shared" si="48"/>
        <v>0</v>
      </c>
      <c r="O76" s="99">
        <f t="shared" si="49"/>
        <v>4</v>
      </c>
      <c r="P76" s="100">
        <f t="shared" si="50"/>
        <v>3</v>
      </c>
      <c r="Q76" s="133">
        <f t="shared" si="51"/>
        <v>3</v>
      </c>
      <c r="R76" s="133">
        <f t="shared" si="52"/>
        <v>0</v>
      </c>
      <c r="S76" s="133">
        <f t="shared" si="53"/>
        <v>0</v>
      </c>
      <c r="T76" s="99">
        <f t="shared" si="54"/>
        <v>3</v>
      </c>
      <c r="V76" s="42">
        <v>6</v>
      </c>
      <c r="W76" s="42">
        <v>3</v>
      </c>
      <c r="X76" s="42">
        <v>5</v>
      </c>
      <c r="Y76" s="42">
        <v>4</v>
      </c>
      <c r="Z76" s="42">
        <v>5</v>
      </c>
      <c r="AA76" s="42">
        <v>5</v>
      </c>
      <c r="AB76" s="42">
        <v>4</v>
      </c>
      <c r="AC76" s="42">
        <v>4</v>
      </c>
      <c r="AD76" s="42">
        <v>6</v>
      </c>
      <c r="AE76" s="42">
        <v>5</v>
      </c>
      <c r="AF76" s="42">
        <v>5</v>
      </c>
      <c r="AG76" s="42">
        <v>5</v>
      </c>
      <c r="AH76" s="42">
        <v>6</v>
      </c>
      <c r="AI76" s="42">
        <v>3</v>
      </c>
      <c r="AJ76" s="42">
        <v>3</v>
      </c>
      <c r="AK76" s="42">
        <v>5</v>
      </c>
      <c r="AL76" s="42">
        <v>6</v>
      </c>
      <c r="AM76" s="42">
        <v>5</v>
      </c>
      <c r="AN76" s="42">
        <v>3</v>
      </c>
      <c r="AO76" s="42">
        <v>4</v>
      </c>
      <c r="AP76" s="42">
        <v>4</v>
      </c>
      <c r="AS76" s="42">
        <v>6</v>
      </c>
      <c r="AT76" s="42">
        <v>3</v>
      </c>
      <c r="AU76" s="42">
        <v>6</v>
      </c>
      <c r="AV76" s="42">
        <v>4</v>
      </c>
      <c r="AW76" s="42">
        <v>5</v>
      </c>
      <c r="AX76" s="42">
        <v>6</v>
      </c>
      <c r="AY76" s="42">
        <v>5</v>
      </c>
      <c r="AZ76" s="42">
        <v>5</v>
      </c>
      <c r="BA76" s="42">
        <v>6</v>
      </c>
      <c r="BB76" s="42">
        <v>5</v>
      </c>
      <c r="BC76" s="42">
        <v>5</v>
      </c>
      <c r="BD76" s="42">
        <v>5</v>
      </c>
      <c r="BE76" s="42">
        <v>6</v>
      </c>
      <c r="BF76" s="42">
        <v>5</v>
      </c>
      <c r="BG76" s="42">
        <v>4</v>
      </c>
      <c r="BH76" s="42">
        <v>5</v>
      </c>
      <c r="BI76" s="42">
        <v>5</v>
      </c>
      <c r="BJ76" s="42">
        <v>5</v>
      </c>
      <c r="BK76" s="42">
        <v>4</v>
      </c>
      <c r="BL76" s="42">
        <v>5</v>
      </c>
      <c r="BM76" s="42">
        <v>4</v>
      </c>
      <c r="BP76" s="100">
        <f t="shared" si="55"/>
        <v>5</v>
      </c>
      <c r="BQ76" s="133">
        <f t="shared" si="56"/>
        <v>1</v>
      </c>
      <c r="BR76" s="9">
        <f t="shared" si="57"/>
        <v>1</v>
      </c>
      <c r="BS76" s="100">
        <f t="shared" ref="BS76:BS81" si="84">COUNTIF(AS76:BM76,2)</f>
        <v>0</v>
      </c>
      <c r="BT76" s="100">
        <f t="shared" si="59"/>
        <v>0</v>
      </c>
      <c r="BU76" s="100">
        <f t="shared" ref="BU76:BU81" si="85">COUNTIF(AS76:BH76,6)</f>
        <v>5</v>
      </c>
      <c r="BV76" s="133">
        <f t="shared" ref="BV76:BV81" si="86">SUM(BW76:BY76)</f>
        <v>1</v>
      </c>
      <c r="BW76" s="9">
        <f t="shared" si="62"/>
        <v>1</v>
      </c>
      <c r="BX76" s="100">
        <f t="shared" ref="BX76:BX81" si="87">COUNTIF(AS76:BH76,2)</f>
        <v>0</v>
      </c>
      <c r="BY76" s="100">
        <f t="shared" si="64"/>
        <v>0</v>
      </c>
      <c r="CD76" s="42">
        <v>3</v>
      </c>
      <c r="CE76" s="42">
        <v>4</v>
      </c>
      <c r="CF76" s="42">
        <v>2</v>
      </c>
      <c r="CG76" s="42">
        <v>2</v>
      </c>
      <c r="CH76" s="42">
        <v>2</v>
      </c>
      <c r="CI76" s="42">
        <v>2</v>
      </c>
      <c r="CJ76" s="42">
        <v>1</v>
      </c>
      <c r="CK76" s="42">
        <v>4</v>
      </c>
      <c r="CL76" s="42">
        <v>5</v>
      </c>
      <c r="CM76" s="42">
        <v>2</v>
      </c>
      <c r="CN76" s="42">
        <v>3</v>
      </c>
      <c r="CO76" s="42">
        <v>1</v>
      </c>
      <c r="CP76" s="42">
        <v>2</v>
      </c>
      <c r="CQ76" s="42">
        <v>2</v>
      </c>
      <c r="CR76" s="42">
        <v>3</v>
      </c>
      <c r="CS76" s="42">
        <v>2</v>
      </c>
      <c r="CT76" s="42">
        <v>1</v>
      </c>
      <c r="CU76" s="42">
        <v>0</v>
      </c>
      <c r="CV76" s="42">
        <v>2</v>
      </c>
      <c r="CW76" s="42">
        <v>2</v>
      </c>
      <c r="CY76" s="140">
        <f t="shared" si="78"/>
        <v>3</v>
      </c>
      <c r="CZ76" s="140">
        <f t="shared" si="79"/>
        <v>2</v>
      </c>
      <c r="DA76" s="140">
        <f t="shared" si="80"/>
        <v>1</v>
      </c>
      <c r="DB76" s="140">
        <f t="shared" si="81"/>
        <v>0</v>
      </c>
      <c r="DC76" s="140">
        <f t="shared" ref="DC76" si="88">SUM(DD76:DF76)</f>
        <v>3</v>
      </c>
      <c r="DD76" s="140">
        <f t="shared" si="76"/>
        <v>2</v>
      </c>
      <c r="DE76" s="140">
        <f t="shared" si="82"/>
        <v>1</v>
      </c>
      <c r="DF76" s="140">
        <f t="shared" si="83"/>
        <v>0</v>
      </c>
      <c r="DI76" s="42">
        <v>0</v>
      </c>
      <c r="DJ76" s="42">
        <v>0</v>
      </c>
      <c r="DK76" s="42">
        <v>1</v>
      </c>
      <c r="DL76" s="42">
        <v>0</v>
      </c>
      <c r="DM76" s="42">
        <v>0</v>
      </c>
      <c r="DN76" s="42">
        <v>1</v>
      </c>
      <c r="DO76" s="42">
        <v>1</v>
      </c>
      <c r="DP76" s="42">
        <v>1</v>
      </c>
      <c r="DQ76" s="42">
        <v>0</v>
      </c>
      <c r="DR76" s="42">
        <v>0</v>
      </c>
      <c r="DS76" s="42">
        <v>0</v>
      </c>
      <c r="DT76" s="42">
        <v>0</v>
      </c>
      <c r="DU76" s="42">
        <v>0</v>
      </c>
      <c r="DV76" s="42">
        <v>2</v>
      </c>
      <c r="DW76" s="42">
        <v>1</v>
      </c>
      <c r="DX76" s="42">
        <v>0</v>
      </c>
      <c r="DY76" s="42">
        <v>2</v>
      </c>
      <c r="DZ76" s="42">
        <v>0</v>
      </c>
      <c r="EA76" s="42">
        <v>1</v>
      </c>
      <c r="EB76" s="42">
        <v>1</v>
      </c>
      <c r="EC76" s="42">
        <v>0</v>
      </c>
      <c r="EE76" s="46">
        <f>SUM(EF76:EI76)</f>
        <v>9</v>
      </c>
      <c r="EF76" s="133">
        <f t="shared" si="73"/>
        <v>7</v>
      </c>
      <c r="EG76" s="133">
        <f>COUNTIF(DI76:EC76,2)</f>
        <v>2</v>
      </c>
      <c r="EH76" s="133">
        <f t="shared" si="67"/>
        <v>0</v>
      </c>
      <c r="EI76" s="133">
        <f t="shared" si="68"/>
        <v>0</v>
      </c>
      <c r="EJ76" s="122"/>
      <c r="EK76" s="122"/>
      <c r="EL76" s="122"/>
      <c r="EM76" s="46">
        <f t="shared" si="69"/>
        <v>6</v>
      </c>
      <c r="EN76" s="133">
        <f t="shared" si="74"/>
        <v>5</v>
      </c>
      <c r="EO76" s="133">
        <f t="shared" si="70"/>
        <v>1</v>
      </c>
      <c r="EP76" s="133">
        <f t="shared" si="71"/>
        <v>0</v>
      </c>
      <c r="EQ76" s="133">
        <f t="shared" si="72"/>
        <v>0</v>
      </c>
    </row>
    <row r="77" spans="11:147">
      <c r="K77" s="100">
        <f t="shared" si="77"/>
        <v>2</v>
      </c>
      <c r="L77" s="134">
        <f t="shared" si="75"/>
        <v>8</v>
      </c>
      <c r="M77" s="134">
        <f t="shared" si="47"/>
        <v>1</v>
      </c>
      <c r="N77" s="134">
        <f t="shared" si="48"/>
        <v>3</v>
      </c>
      <c r="O77" s="99">
        <f t="shared" si="49"/>
        <v>4</v>
      </c>
      <c r="P77" s="100">
        <f t="shared" si="50"/>
        <v>2</v>
      </c>
      <c r="Q77" s="134">
        <f t="shared" si="51"/>
        <v>6</v>
      </c>
      <c r="R77" s="134">
        <f t="shared" si="52"/>
        <v>1</v>
      </c>
      <c r="S77" s="134">
        <f t="shared" si="53"/>
        <v>2</v>
      </c>
      <c r="T77" s="99">
        <f t="shared" si="54"/>
        <v>3</v>
      </c>
      <c r="V77" s="42">
        <v>1</v>
      </c>
      <c r="W77" s="42">
        <v>2</v>
      </c>
      <c r="X77" s="42">
        <v>4</v>
      </c>
      <c r="Y77" s="42">
        <v>6</v>
      </c>
      <c r="Z77" s="42">
        <v>3</v>
      </c>
      <c r="AA77" s="42">
        <v>2</v>
      </c>
      <c r="AB77" s="42">
        <v>5</v>
      </c>
      <c r="AC77" s="42">
        <v>4</v>
      </c>
      <c r="AD77" s="42">
        <v>6</v>
      </c>
      <c r="AE77" s="42">
        <v>4</v>
      </c>
      <c r="AF77" s="42">
        <v>3</v>
      </c>
      <c r="AG77" s="42">
        <v>4</v>
      </c>
      <c r="AH77" s="42">
        <v>4</v>
      </c>
      <c r="AI77" s="42">
        <v>5</v>
      </c>
      <c r="AJ77" s="42">
        <v>4</v>
      </c>
      <c r="AK77" s="42">
        <v>3</v>
      </c>
      <c r="AL77" s="42">
        <v>4</v>
      </c>
      <c r="AM77" s="42">
        <v>3</v>
      </c>
      <c r="AN77" s="42">
        <v>4</v>
      </c>
      <c r="AO77" s="42">
        <v>2</v>
      </c>
      <c r="AP77" s="42">
        <v>4</v>
      </c>
      <c r="AS77" s="42">
        <v>1</v>
      </c>
      <c r="AT77" s="42">
        <v>3</v>
      </c>
      <c r="AU77" s="42">
        <v>4</v>
      </c>
      <c r="AV77" s="42">
        <v>6</v>
      </c>
      <c r="AW77" s="42">
        <v>4</v>
      </c>
      <c r="AX77" s="42">
        <v>3</v>
      </c>
      <c r="AY77" s="42">
        <v>5</v>
      </c>
      <c r="AZ77" s="42">
        <v>5</v>
      </c>
      <c r="BA77" s="42">
        <v>6</v>
      </c>
      <c r="BB77" s="42">
        <v>5</v>
      </c>
      <c r="BC77" s="42">
        <v>4</v>
      </c>
      <c r="BD77" s="42">
        <v>5</v>
      </c>
      <c r="BE77" s="42">
        <v>4</v>
      </c>
      <c r="BF77" s="42">
        <v>5</v>
      </c>
      <c r="BG77" s="42">
        <v>4</v>
      </c>
      <c r="BH77" s="42">
        <v>5</v>
      </c>
      <c r="BI77" s="42">
        <v>5</v>
      </c>
      <c r="BJ77" s="42">
        <v>4</v>
      </c>
      <c r="BK77" s="42">
        <v>4</v>
      </c>
      <c r="BL77" s="42">
        <v>3</v>
      </c>
      <c r="BM77" s="42">
        <v>5</v>
      </c>
      <c r="BP77" s="100">
        <f t="shared" si="55"/>
        <v>2</v>
      </c>
      <c r="BQ77" s="134">
        <f t="shared" si="56"/>
        <v>4</v>
      </c>
      <c r="BR77" s="9">
        <f t="shared" si="57"/>
        <v>3</v>
      </c>
      <c r="BS77" s="100">
        <f t="shared" si="84"/>
        <v>0</v>
      </c>
      <c r="BT77" s="100">
        <f t="shared" si="59"/>
        <v>1</v>
      </c>
      <c r="BU77" s="100">
        <f t="shared" si="85"/>
        <v>2</v>
      </c>
      <c r="BV77" s="134">
        <f t="shared" si="86"/>
        <v>3</v>
      </c>
      <c r="BW77" s="9">
        <f t="shared" si="62"/>
        <v>2</v>
      </c>
      <c r="BX77" s="100">
        <f t="shared" si="87"/>
        <v>0</v>
      </c>
      <c r="BY77" s="100">
        <f t="shared" si="64"/>
        <v>1</v>
      </c>
      <c r="CD77" s="42">
        <v>3</v>
      </c>
      <c r="CE77" s="42">
        <v>1</v>
      </c>
      <c r="CF77" s="42">
        <v>3</v>
      </c>
      <c r="CG77" s="42">
        <v>4</v>
      </c>
      <c r="CH77" s="42">
        <v>0</v>
      </c>
      <c r="CI77" s="42">
        <v>1</v>
      </c>
      <c r="CJ77" s="42">
        <v>4</v>
      </c>
      <c r="CK77" s="42">
        <v>2</v>
      </c>
      <c r="CL77" s="42">
        <v>2</v>
      </c>
      <c r="CM77" s="42">
        <v>1</v>
      </c>
      <c r="CN77" s="42">
        <v>2</v>
      </c>
      <c r="CO77" s="42">
        <v>2</v>
      </c>
      <c r="CP77" s="42">
        <v>4</v>
      </c>
      <c r="CQ77" s="42">
        <v>3</v>
      </c>
      <c r="CR77" s="42">
        <v>3</v>
      </c>
      <c r="CS77" s="42">
        <v>2</v>
      </c>
      <c r="CT77" s="42">
        <v>2</v>
      </c>
      <c r="CU77" s="42">
        <v>0</v>
      </c>
      <c r="CV77" s="42">
        <v>2</v>
      </c>
      <c r="CW77" s="42">
        <v>3</v>
      </c>
      <c r="CY77" s="141">
        <f t="shared" si="78"/>
        <v>3</v>
      </c>
      <c r="CZ77" s="141">
        <f t="shared" si="79"/>
        <v>3</v>
      </c>
      <c r="DA77" s="141">
        <f t="shared" si="80"/>
        <v>0</v>
      </c>
      <c r="DB77" s="141">
        <f t="shared" si="81"/>
        <v>0</v>
      </c>
      <c r="DC77" s="141">
        <f t="shared" ref="DC77" si="89">SUM(DD77:DF77)</f>
        <v>3</v>
      </c>
      <c r="DD77" s="141">
        <f t="shared" si="76"/>
        <v>3</v>
      </c>
      <c r="DE77" s="141">
        <f t="shared" si="82"/>
        <v>0</v>
      </c>
      <c r="DF77" s="141">
        <f t="shared" si="83"/>
        <v>0</v>
      </c>
      <c r="DI77" s="42">
        <v>0</v>
      </c>
      <c r="DJ77" s="42">
        <v>1</v>
      </c>
      <c r="DK77" s="42">
        <v>0</v>
      </c>
      <c r="DL77" s="42">
        <v>0</v>
      </c>
      <c r="DM77" s="42">
        <v>1</v>
      </c>
      <c r="DN77" s="42">
        <v>1</v>
      </c>
      <c r="DO77" s="42">
        <v>0</v>
      </c>
      <c r="DP77" s="42">
        <v>1</v>
      </c>
      <c r="DQ77" s="42">
        <v>0</v>
      </c>
      <c r="DR77" s="42">
        <v>1</v>
      </c>
      <c r="DS77" s="42">
        <v>1</v>
      </c>
      <c r="DT77" s="42">
        <v>1</v>
      </c>
      <c r="DU77" s="42">
        <v>0</v>
      </c>
      <c r="DV77" s="42">
        <v>0</v>
      </c>
      <c r="DW77" s="42">
        <v>0</v>
      </c>
      <c r="DX77" s="42">
        <v>2</v>
      </c>
      <c r="DY77" s="42">
        <v>1</v>
      </c>
      <c r="DZ77" s="42">
        <v>1</v>
      </c>
      <c r="EA77" s="42">
        <v>0</v>
      </c>
      <c r="EB77" s="42">
        <v>1</v>
      </c>
      <c r="EC77" s="42">
        <v>1</v>
      </c>
      <c r="EE77" s="46">
        <f>SUM(EF77:EI77)</f>
        <v>12</v>
      </c>
      <c r="EF77" s="134">
        <f>COUNTIF(DI77:EC77,1)</f>
        <v>11</v>
      </c>
      <c r="EG77" s="134">
        <f>COUNTIF(DI77:EC77,2)</f>
        <v>1</v>
      </c>
      <c r="EH77" s="134">
        <f t="shared" si="67"/>
        <v>0</v>
      </c>
      <c r="EI77" s="134">
        <f t="shared" si="68"/>
        <v>0</v>
      </c>
      <c r="EJ77" s="122"/>
      <c r="EK77" s="122"/>
      <c r="EL77" s="122"/>
      <c r="EM77" s="46">
        <f t="shared" si="69"/>
        <v>8</v>
      </c>
      <c r="EN77" s="134">
        <f>COUNTIF(DI77:DX77,1)</f>
        <v>7</v>
      </c>
      <c r="EO77" s="134">
        <f t="shared" si="70"/>
        <v>1</v>
      </c>
      <c r="EP77" s="134">
        <f t="shared" si="71"/>
        <v>0</v>
      </c>
      <c r="EQ77" s="134">
        <f t="shared" si="72"/>
        <v>0</v>
      </c>
    </row>
    <row r="78" spans="11:147" ht="17.25">
      <c r="K78" s="100">
        <f t="shared" si="77"/>
        <v>2</v>
      </c>
      <c r="L78" s="137">
        <f t="shared" ref="L78:L83" si="90">SUM(M78:O78)</f>
        <v>5</v>
      </c>
      <c r="M78" s="137">
        <f t="shared" si="47"/>
        <v>1</v>
      </c>
      <c r="N78" s="137">
        <f t="shared" si="48"/>
        <v>1</v>
      </c>
      <c r="O78" s="99">
        <f t="shared" si="49"/>
        <v>3</v>
      </c>
      <c r="P78" s="100">
        <f t="shared" si="50"/>
        <v>1</v>
      </c>
      <c r="Q78" s="137">
        <f t="shared" si="51"/>
        <v>4</v>
      </c>
      <c r="R78" s="137">
        <f t="shared" si="52"/>
        <v>0</v>
      </c>
      <c r="S78" s="137">
        <f t="shared" si="53"/>
        <v>1</v>
      </c>
      <c r="T78" s="99">
        <f t="shared" si="54"/>
        <v>3</v>
      </c>
      <c r="V78" s="42">
        <v>5</v>
      </c>
      <c r="W78" s="42">
        <v>2</v>
      </c>
      <c r="X78" s="42">
        <v>4</v>
      </c>
      <c r="Y78" s="42">
        <v>3</v>
      </c>
      <c r="Z78" s="42">
        <v>4</v>
      </c>
      <c r="AA78" s="42">
        <v>4</v>
      </c>
      <c r="AB78" s="42">
        <v>5</v>
      </c>
      <c r="AC78" s="42">
        <v>5</v>
      </c>
      <c r="AD78" s="42">
        <v>3</v>
      </c>
      <c r="AE78" s="42">
        <v>4</v>
      </c>
      <c r="AF78" s="42">
        <v>3</v>
      </c>
      <c r="AG78" s="42">
        <v>4</v>
      </c>
      <c r="AH78" s="42">
        <v>4</v>
      </c>
      <c r="AI78" s="42">
        <v>5</v>
      </c>
      <c r="AJ78" s="42">
        <v>6</v>
      </c>
      <c r="AK78" s="42">
        <v>4</v>
      </c>
      <c r="AL78" s="42">
        <v>1</v>
      </c>
      <c r="AM78" s="42">
        <v>5</v>
      </c>
      <c r="AN78" s="42">
        <v>6</v>
      </c>
      <c r="AO78" s="42">
        <v>4</v>
      </c>
      <c r="AP78" s="42">
        <v>4</v>
      </c>
      <c r="AS78" s="125">
        <v>5</v>
      </c>
      <c r="AT78" s="125">
        <v>3</v>
      </c>
      <c r="AU78" s="125">
        <v>6</v>
      </c>
      <c r="AV78" s="125">
        <v>3</v>
      </c>
      <c r="AW78" s="125">
        <v>4</v>
      </c>
      <c r="AX78" s="125">
        <v>4</v>
      </c>
      <c r="AY78" s="125">
        <v>5</v>
      </c>
      <c r="AZ78" s="125">
        <v>5</v>
      </c>
      <c r="BA78" s="125">
        <v>3</v>
      </c>
      <c r="BB78" s="125">
        <v>4</v>
      </c>
      <c r="BC78" s="125">
        <v>4</v>
      </c>
      <c r="BD78" s="125">
        <v>4</v>
      </c>
      <c r="BE78" s="125">
        <v>4</v>
      </c>
      <c r="BF78" s="125">
        <v>5</v>
      </c>
      <c r="BG78" s="125">
        <v>6</v>
      </c>
      <c r="BH78" s="125">
        <v>5</v>
      </c>
      <c r="BI78" s="125">
        <v>3</v>
      </c>
      <c r="BJ78" s="125">
        <v>5</v>
      </c>
      <c r="BK78" s="125">
        <v>5</v>
      </c>
      <c r="BL78" s="125">
        <v>4</v>
      </c>
      <c r="BM78" s="125">
        <v>5</v>
      </c>
      <c r="BP78" s="100">
        <f t="shared" si="55"/>
        <v>2</v>
      </c>
      <c r="BQ78" s="137">
        <f t="shared" si="56"/>
        <v>4</v>
      </c>
      <c r="BR78" s="9">
        <f t="shared" si="57"/>
        <v>4</v>
      </c>
      <c r="BS78" s="100">
        <f t="shared" si="84"/>
        <v>0</v>
      </c>
      <c r="BT78" s="100">
        <f t="shared" si="59"/>
        <v>0</v>
      </c>
      <c r="BU78" s="100">
        <f t="shared" si="85"/>
        <v>2</v>
      </c>
      <c r="BV78" s="137">
        <f t="shared" si="86"/>
        <v>3</v>
      </c>
      <c r="BW78" s="9">
        <f t="shared" si="62"/>
        <v>3</v>
      </c>
      <c r="BX78" s="100">
        <f t="shared" si="87"/>
        <v>0</v>
      </c>
      <c r="BY78" s="100">
        <f t="shared" si="64"/>
        <v>0</v>
      </c>
      <c r="CD78" s="42">
        <v>1</v>
      </c>
      <c r="CE78" s="42">
        <v>2</v>
      </c>
      <c r="CF78" s="42">
        <v>0</v>
      </c>
      <c r="CG78" s="42">
        <v>1</v>
      </c>
      <c r="CH78" s="42">
        <v>3</v>
      </c>
      <c r="CI78" s="42">
        <v>4</v>
      </c>
      <c r="CJ78" s="42">
        <v>2</v>
      </c>
      <c r="CK78" s="42">
        <v>4</v>
      </c>
      <c r="CL78" s="42">
        <v>2</v>
      </c>
      <c r="CM78" s="42">
        <v>2</v>
      </c>
      <c r="CN78" s="42">
        <v>2</v>
      </c>
      <c r="CO78" s="42">
        <v>4</v>
      </c>
      <c r="CP78" s="42">
        <v>3</v>
      </c>
      <c r="CQ78" s="42">
        <v>4</v>
      </c>
      <c r="CR78" s="42">
        <v>2</v>
      </c>
      <c r="CS78" s="42">
        <v>3</v>
      </c>
      <c r="CT78" s="42">
        <v>5</v>
      </c>
      <c r="CU78" s="42">
        <v>3</v>
      </c>
      <c r="CV78" s="42">
        <v>4</v>
      </c>
      <c r="CW78" s="42">
        <v>3</v>
      </c>
      <c r="CY78" s="142">
        <f t="shared" si="78"/>
        <v>6</v>
      </c>
      <c r="CZ78" s="142">
        <f t="shared" si="79"/>
        <v>5</v>
      </c>
      <c r="DA78" s="142">
        <f t="shared" si="80"/>
        <v>1</v>
      </c>
      <c r="DB78" s="142">
        <f t="shared" si="81"/>
        <v>0</v>
      </c>
      <c r="DC78" s="142">
        <f t="shared" ref="DC78" si="91">SUM(DD78:DF78)</f>
        <v>4</v>
      </c>
      <c r="DD78" s="142">
        <f t="shared" si="76"/>
        <v>4</v>
      </c>
      <c r="DE78" s="142">
        <f t="shared" si="82"/>
        <v>0</v>
      </c>
      <c r="DF78" s="142">
        <f t="shared" si="83"/>
        <v>0</v>
      </c>
      <c r="DI78" s="42">
        <v>0</v>
      </c>
      <c r="DJ78" s="42">
        <v>1</v>
      </c>
      <c r="DK78" s="42">
        <v>2</v>
      </c>
      <c r="DL78" s="42">
        <v>0</v>
      </c>
      <c r="DM78" s="42">
        <v>0</v>
      </c>
      <c r="DN78" s="42">
        <v>0</v>
      </c>
      <c r="DO78" s="42">
        <v>0</v>
      </c>
      <c r="DP78" s="42">
        <v>0</v>
      </c>
      <c r="DQ78" s="42">
        <v>0</v>
      </c>
      <c r="DR78" s="42">
        <v>0</v>
      </c>
      <c r="DS78" s="42">
        <v>1</v>
      </c>
      <c r="DT78" s="42">
        <v>0</v>
      </c>
      <c r="DU78" s="42">
        <v>0</v>
      </c>
      <c r="DV78" s="42">
        <v>0</v>
      </c>
      <c r="DW78" s="42">
        <v>0</v>
      </c>
      <c r="DX78" s="42">
        <v>1</v>
      </c>
      <c r="DY78" s="42">
        <v>2</v>
      </c>
      <c r="DZ78" s="42">
        <v>0</v>
      </c>
      <c r="EA78" s="42">
        <v>0</v>
      </c>
      <c r="EB78" s="42">
        <v>0</v>
      </c>
      <c r="EC78" s="42">
        <v>1</v>
      </c>
      <c r="EE78" s="46">
        <f>SUM(EF78:EI78)</f>
        <v>6</v>
      </c>
      <c r="EF78" s="137">
        <f>COUNTIF(DI78:EC78,1)</f>
        <v>4</v>
      </c>
      <c r="EG78" s="137">
        <f>COUNTIF(DI78:EC78,2)</f>
        <v>2</v>
      </c>
      <c r="EH78" s="137">
        <f t="shared" si="67"/>
        <v>0</v>
      </c>
      <c r="EI78" s="137">
        <f t="shared" si="68"/>
        <v>0</v>
      </c>
      <c r="EJ78" s="122"/>
      <c r="EK78" s="122"/>
      <c r="EL78" s="122"/>
      <c r="EM78" s="46">
        <f t="shared" si="69"/>
        <v>4</v>
      </c>
      <c r="EN78" s="137">
        <f>COUNTIF(DI78:DX78,1)</f>
        <v>3</v>
      </c>
      <c r="EO78" s="137">
        <f t="shared" si="70"/>
        <v>1</v>
      </c>
      <c r="EP78" s="137">
        <f t="shared" si="71"/>
        <v>0</v>
      </c>
      <c r="EQ78" s="137">
        <f t="shared" si="72"/>
        <v>0</v>
      </c>
    </row>
    <row r="79" spans="11:147">
      <c r="K79" s="100">
        <f t="shared" si="77"/>
        <v>1</v>
      </c>
      <c r="L79" s="140">
        <f t="shared" si="90"/>
        <v>3</v>
      </c>
      <c r="M79" s="140">
        <f t="shared" ref="M79" si="92">COUNTIF(V79:AP79,1)</f>
        <v>1</v>
      </c>
      <c r="N79" s="140">
        <f t="shared" ref="N79" si="93">COUNTIF(V79:AP79,2)</f>
        <v>0</v>
      </c>
      <c r="O79" s="99">
        <f t="shared" ref="O79" si="94">COUNTIF(V79:AP79,3)</f>
        <v>2</v>
      </c>
      <c r="P79" s="100">
        <f t="shared" ref="P79:P84" si="95">COUNTIF(V79:AK79,6)</f>
        <v>0</v>
      </c>
      <c r="Q79" s="140">
        <f t="shared" ref="Q79" si="96">SUM(R79:T79)</f>
        <v>1</v>
      </c>
      <c r="R79" s="140">
        <f t="shared" ref="R79" si="97">COUNTIF(V79:AK79,1)</f>
        <v>1</v>
      </c>
      <c r="S79" s="140">
        <f t="shared" ref="S79" si="98">COUNTIF(V79:AK79,2)</f>
        <v>0</v>
      </c>
      <c r="T79" s="99">
        <f t="shared" ref="T79" si="99">COUNTIF(V79:AK79,3)</f>
        <v>0</v>
      </c>
      <c r="V79" s="42">
        <v>5</v>
      </c>
      <c r="W79" s="42">
        <v>4</v>
      </c>
      <c r="X79" s="42">
        <v>1</v>
      </c>
      <c r="Y79" s="42">
        <v>5</v>
      </c>
      <c r="Z79" s="42">
        <v>5</v>
      </c>
      <c r="AA79" s="42">
        <v>4</v>
      </c>
      <c r="AB79" s="42">
        <v>5</v>
      </c>
      <c r="AC79" s="42">
        <v>4</v>
      </c>
      <c r="AD79" s="42">
        <v>4</v>
      </c>
      <c r="AE79" s="42">
        <v>5</v>
      </c>
      <c r="AF79" s="42">
        <v>5</v>
      </c>
      <c r="AG79" s="42">
        <v>4</v>
      </c>
      <c r="AH79" s="42">
        <v>5</v>
      </c>
      <c r="AI79" s="42">
        <v>5</v>
      </c>
      <c r="AJ79" s="42">
        <v>4</v>
      </c>
      <c r="AK79" s="42">
        <v>4</v>
      </c>
      <c r="AL79" s="42">
        <v>3</v>
      </c>
      <c r="AM79" s="42">
        <v>4</v>
      </c>
      <c r="AN79" s="42">
        <v>3</v>
      </c>
      <c r="AO79" s="42">
        <v>4</v>
      </c>
      <c r="AP79" s="42">
        <v>6</v>
      </c>
      <c r="AS79" s="42">
        <v>5</v>
      </c>
      <c r="AT79" s="42">
        <v>4</v>
      </c>
      <c r="AU79" s="42">
        <v>1</v>
      </c>
      <c r="AV79" s="42">
        <v>5</v>
      </c>
      <c r="AW79" s="42">
        <v>5</v>
      </c>
      <c r="AX79" s="42">
        <v>5</v>
      </c>
      <c r="AY79" s="42">
        <v>5</v>
      </c>
      <c r="AZ79" s="42">
        <v>4</v>
      </c>
      <c r="BA79" s="42">
        <v>4</v>
      </c>
      <c r="BB79" s="42">
        <v>6</v>
      </c>
      <c r="BC79" s="42">
        <v>5</v>
      </c>
      <c r="BD79" s="42">
        <v>4</v>
      </c>
      <c r="BE79" s="42">
        <v>6</v>
      </c>
      <c r="BF79" s="42">
        <v>5</v>
      </c>
      <c r="BG79" s="42">
        <v>4</v>
      </c>
      <c r="BH79" s="42">
        <v>4</v>
      </c>
      <c r="BI79" s="42">
        <v>4</v>
      </c>
      <c r="BJ79" s="42">
        <v>4</v>
      </c>
      <c r="BK79" s="42">
        <v>3</v>
      </c>
      <c r="BL79" s="42">
        <v>5</v>
      </c>
      <c r="BM79" s="42">
        <v>6</v>
      </c>
      <c r="BP79" s="100">
        <f t="shared" ref="BP79" si="100">COUNTIF(AS79:BM79,6)</f>
        <v>3</v>
      </c>
      <c r="BQ79" s="140">
        <f t="shared" ref="BQ79" si="101">SUM(BR79:BT79)</f>
        <v>2</v>
      </c>
      <c r="BR79" s="9">
        <f t="shared" ref="BR79" si="102">COUNTIF(AS79:BM79,3)</f>
        <v>1</v>
      </c>
      <c r="BS79" s="100">
        <f t="shared" si="84"/>
        <v>0</v>
      </c>
      <c r="BT79" s="100">
        <f t="shared" ref="BT79" si="103">COUNTIF(AS79:BM79,1)</f>
        <v>1</v>
      </c>
      <c r="BU79" s="100">
        <f t="shared" si="85"/>
        <v>2</v>
      </c>
      <c r="BV79" s="140">
        <f t="shared" si="86"/>
        <v>1</v>
      </c>
      <c r="BW79" s="9">
        <f t="shared" ref="BW79" si="104">COUNTIF(AS79:BH79,3)</f>
        <v>0</v>
      </c>
      <c r="BX79" s="100">
        <f t="shared" si="87"/>
        <v>0</v>
      </c>
      <c r="BY79" s="100">
        <f t="shared" ref="BY79" si="105">COUNTIF(AS79:BH79,1)</f>
        <v>1</v>
      </c>
      <c r="CD79" s="42">
        <v>2</v>
      </c>
      <c r="CE79" s="42">
        <v>2</v>
      </c>
      <c r="CF79" s="42">
        <v>2</v>
      </c>
      <c r="CG79" s="42">
        <v>2</v>
      </c>
      <c r="CH79" s="42">
        <v>1</v>
      </c>
      <c r="CI79" s="42">
        <v>1</v>
      </c>
      <c r="CJ79" s="42">
        <v>3</v>
      </c>
      <c r="CK79" s="42">
        <v>1</v>
      </c>
      <c r="CL79" s="42">
        <v>3</v>
      </c>
      <c r="CM79" s="42">
        <v>2</v>
      </c>
      <c r="CN79" s="42">
        <v>2</v>
      </c>
      <c r="CO79" s="42">
        <v>2</v>
      </c>
      <c r="CP79" s="42">
        <v>2</v>
      </c>
      <c r="CQ79" s="42">
        <v>3</v>
      </c>
      <c r="CR79" s="42">
        <v>3</v>
      </c>
      <c r="CS79" s="42">
        <v>2</v>
      </c>
      <c r="CT79" s="42">
        <v>2</v>
      </c>
      <c r="CU79" s="42">
        <v>3</v>
      </c>
      <c r="CV79" s="42">
        <v>4</v>
      </c>
      <c r="CW79" s="42">
        <v>2</v>
      </c>
      <c r="CY79" s="149">
        <f t="shared" si="78"/>
        <v>1</v>
      </c>
      <c r="CZ79" s="149">
        <f t="shared" si="79"/>
        <v>1</v>
      </c>
      <c r="DA79" s="149">
        <f t="shared" si="80"/>
        <v>0</v>
      </c>
      <c r="DB79" s="149">
        <f t="shared" si="81"/>
        <v>0</v>
      </c>
      <c r="DC79" s="149">
        <f t="shared" ref="DC79" si="106">SUM(DD79:DF79)</f>
        <v>0</v>
      </c>
      <c r="DD79" s="149">
        <f t="shared" si="76"/>
        <v>0</v>
      </c>
      <c r="DE79" s="149">
        <f t="shared" si="82"/>
        <v>0</v>
      </c>
      <c r="DF79" s="149">
        <f t="shared" si="83"/>
        <v>0</v>
      </c>
      <c r="DI79" s="42">
        <v>0</v>
      </c>
      <c r="DJ79" s="42">
        <v>0</v>
      </c>
      <c r="DK79" s="42">
        <v>0</v>
      </c>
      <c r="DL79" s="42">
        <v>0</v>
      </c>
      <c r="DM79" s="42">
        <v>0</v>
      </c>
      <c r="DN79" s="42">
        <v>1</v>
      </c>
      <c r="DO79" s="42">
        <v>0</v>
      </c>
      <c r="DP79" s="42">
        <v>0</v>
      </c>
      <c r="DQ79" s="42">
        <v>0</v>
      </c>
      <c r="DR79" s="42">
        <v>1</v>
      </c>
      <c r="DS79" s="42">
        <v>0</v>
      </c>
      <c r="DT79" s="42">
        <v>0</v>
      </c>
      <c r="DU79" s="42">
        <v>1</v>
      </c>
      <c r="DV79" s="42">
        <v>0</v>
      </c>
      <c r="DW79" s="42">
        <v>0</v>
      </c>
      <c r="DX79" s="42">
        <v>0</v>
      </c>
      <c r="DY79" s="42">
        <v>1</v>
      </c>
      <c r="DZ79" s="42">
        <v>0</v>
      </c>
      <c r="EA79" s="42">
        <v>0</v>
      </c>
      <c r="EB79" s="42">
        <v>1</v>
      </c>
      <c r="EC79" s="42">
        <v>0</v>
      </c>
      <c r="EE79" s="46">
        <f t="shared" ref="EE79" si="107">SUM(EF79:EI79)</f>
        <v>5</v>
      </c>
      <c r="EF79" s="140">
        <f t="shared" ref="EF79" si="108">COUNTIF(DI79:EC79,1)</f>
        <v>5</v>
      </c>
      <c r="EG79" s="140">
        <f t="shared" ref="EG79" si="109">COUNTIF(DI79:EC79,2)</f>
        <v>0</v>
      </c>
      <c r="EH79" s="140">
        <f t="shared" ref="EH79" si="110">COUNTIF(DI79:EC79,3)</f>
        <v>0</v>
      </c>
      <c r="EI79" s="140">
        <f t="shared" ref="EI79" si="111">COUNTIF(DI79:EC79,4)</f>
        <v>0</v>
      </c>
      <c r="EJ79" s="122"/>
      <c r="EK79" s="122"/>
      <c r="EL79" s="122"/>
      <c r="EM79" s="46">
        <f t="shared" ref="EM79" si="112">SUM(EN79:EQ79)</f>
        <v>3</v>
      </c>
      <c r="EN79" s="140">
        <f t="shared" ref="EN79" si="113">COUNTIF(DI79:DX79,1)</f>
        <v>3</v>
      </c>
      <c r="EO79" s="140">
        <f t="shared" ref="EO79" si="114">COUNTIF(DI79:DX79,2)</f>
        <v>0</v>
      </c>
      <c r="EP79" s="140">
        <f t="shared" ref="EP79" si="115">COUNTIF(DI79:DX79,3)</f>
        <v>0</v>
      </c>
      <c r="EQ79" s="140">
        <f t="shared" ref="EQ79" si="116">COUNTIF(DI79:DX79,4)</f>
        <v>0</v>
      </c>
    </row>
    <row r="80" spans="11:147">
      <c r="K80" s="100">
        <f t="shared" si="77"/>
        <v>0</v>
      </c>
      <c r="L80" s="141">
        <f t="shared" si="90"/>
        <v>6</v>
      </c>
      <c r="M80" s="141">
        <f t="shared" ref="M80" si="117">COUNTIF(V80:AP80,1)</f>
        <v>0</v>
      </c>
      <c r="N80" s="141">
        <f t="shared" ref="N80" si="118">COUNTIF(V80:AP80,2)</f>
        <v>1</v>
      </c>
      <c r="O80" s="99">
        <f t="shared" ref="O80" si="119">COUNTIF(V80:AP80,3)</f>
        <v>5</v>
      </c>
      <c r="P80" s="100">
        <f t="shared" si="95"/>
        <v>0</v>
      </c>
      <c r="Q80" s="141">
        <f t="shared" ref="Q80" si="120">SUM(R80:T80)</f>
        <v>4</v>
      </c>
      <c r="R80" s="141">
        <f t="shared" ref="R80" si="121">COUNTIF(V80:AK80,1)</f>
        <v>0</v>
      </c>
      <c r="S80" s="141">
        <f t="shared" ref="S80" si="122">COUNTIF(V80:AK80,2)</f>
        <v>1</v>
      </c>
      <c r="T80" s="99">
        <f t="shared" ref="T80" si="123">COUNTIF(V80:AK80,3)</f>
        <v>3</v>
      </c>
      <c r="V80" s="42">
        <v>3</v>
      </c>
      <c r="W80" s="42">
        <v>3</v>
      </c>
      <c r="X80" s="42">
        <v>5</v>
      </c>
      <c r="Y80" s="42">
        <v>0</v>
      </c>
      <c r="Z80" s="42">
        <v>4</v>
      </c>
      <c r="AA80" s="42">
        <v>2</v>
      </c>
      <c r="AB80" s="42">
        <v>5</v>
      </c>
      <c r="AC80" s="42">
        <v>4</v>
      </c>
      <c r="AD80" s="42">
        <v>5</v>
      </c>
      <c r="AE80" s="42">
        <v>3</v>
      </c>
      <c r="AF80" s="42">
        <v>4</v>
      </c>
      <c r="AG80" s="42">
        <v>4</v>
      </c>
      <c r="AH80" s="42">
        <v>4</v>
      </c>
      <c r="AI80" s="42">
        <v>5</v>
      </c>
      <c r="AJ80" s="42">
        <v>4</v>
      </c>
      <c r="AK80" s="42">
        <v>5</v>
      </c>
      <c r="AL80" s="42">
        <v>3</v>
      </c>
      <c r="AM80" s="42">
        <v>5</v>
      </c>
      <c r="AN80" s="42">
        <v>3</v>
      </c>
      <c r="AO80" s="42">
        <v>5</v>
      </c>
      <c r="AP80" s="42">
        <v>4</v>
      </c>
      <c r="AS80" s="42">
        <v>3</v>
      </c>
      <c r="AT80" s="42">
        <v>6</v>
      </c>
      <c r="AU80" s="42">
        <v>6</v>
      </c>
      <c r="AV80" s="42">
        <v>1</v>
      </c>
      <c r="AW80" s="42">
        <v>4</v>
      </c>
      <c r="AX80" s="42">
        <v>3</v>
      </c>
      <c r="AY80" s="42">
        <v>5</v>
      </c>
      <c r="AZ80" s="42">
        <v>5</v>
      </c>
      <c r="BA80" s="42">
        <v>5</v>
      </c>
      <c r="BB80" s="42">
        <v>5</v>
      </c>
      <c r="BC80" s="42">
        <v>4</v>
      </c>
      <c r="BD80" s="42">
        <v>5</v>
      </c>
      <c r="BE80" s="42">
        <v>5</v>
      </c>
      <c r="BF80" s="42">
        <v>5</v>
      </c>
      <c r="BG80" s="42">
        <v>5</v>
      </c>
      <c r="BH80" s="42">
        <v>5</v>
      </c>
      <c r="BI80" s="42">
        <v>3</v>
      </c>
      <c r="BJ80" s="42">
        <v>6</v>
      </c>
      <c r="BK80" s="42">
        <v>5</v>
      </c>
      <c r="BL80" s="42">
        <v>6</v>
      </c>
      <c r="BM80" s="42">
        <v>5</v>
      </c>
      <c r="BP80" s="100">
        <f t="shared" ref="BP80" si="124">COUNTIF(AS80:BM80,6)</f>
        <v>4</v>
      </c>
      <c r="BQ80" s="141">
        <f t="shared" ref="BQ80" si="125">SUM(BR80:BT80)</f>
        <v>4</v>
      </c>
      <c r="BR80" s="9">
        <f t="shared" ref="BR80" si="126">COUNTIF(AS80:BM80,3)</f>
        <v>3</v>
      </c>
      <c r="BS80" s="100">
        <f t="shared" si="84"/>
        <v>0</v>
      </c>
      <c r="BT80" s="100">
        <f t="shared" ref="BT80" si="127">COUNTIF(AS80:BM80,1)</f>
        <v>1</v>
      </c>
      <c r="BU80" s="100">
        <f t="shared" si="85"/>
        <v>2</v>
      </c>
      <c r="BV80" s="141">
        <f t="shared" si="86"/>
        <v>3</v>
      </c>
      <c r="BW80" s="9">
        <f t="shared" ref="BW80" si="128">COUNTIF(AS80:BH80,3)</f>
        <v>2</v>
      </c>
      <c r="BX80" s="100">
        <f t="shared" si="87"/>
        <v>0</v>
      </c>
      <c r="BY80" s="100">
        <f t="shared" ref="BY80" si="129">COUNTIF(AS80:BH80,1)</f>
        <v>1</v>
      </c>
      <c r="CD80" s="42">
        <v>1</v>
      </c>
      <c r="CE80" s="42">
        <v>2</v>
      </c>
      <c r="CF80" s="42">
        <v>1</v>
      </c>
      <c r="CG80" s="42">
        <v>2</v>
      </c>
      <c r="CH80" s="42">
        <v>1</v>
      </c>
      <c r="CI80" s="42">
        <v>4</v>
      </c>
      <c r="CJ80" s="42">
        <v>1</v>
      </c>
      <c r="CK80" s="42">
        <v>1</v>
      </c>
      <c r="CL80" s="42">
        <v>0</v>
      </c>
      <c r="CM80" s="42">
        <v>2</v>
      </c>
      <c r="CN80" s="42">
        <v>2</v>
      </c>
      <c r="CO80" s="42">
        <v>3</v>
      </c>
      <c r="CP80" s="42">
        <v>1</v>
      </c>
      <c r="CQ80" s="42">
        <v>2</v>
      </c>
      <c r="CR80" s="42">
        <v>3</v>
      </c>
      <c r="CS80" s="42">
        <v>1</v>
      </c>
      <c r="CT80" s="42">
        <v>2</v>
      </c>
      <c r="CU80" s="42">
        <v>2</v>
      </c>
      <c r="CV80" s="42">
        <v>2</v>
      </c>
      <c r="CW80" s="42">
        <v>1</v>
      </c>
      <c r="CY80" s="151">
        <f t="shared" si="78"/>
        <v>1</v>
      </c>
      <c r="CZ80" s="151">
        <f t="shared" si="79"/>
        <v>1</v>
      </c>
      <c r="DA80" s="151">
        <f t="shared" si="80"/>
        <v>0</v>
      </c>
      <c r="DB80" s="151">
        <f t="shared" si="81"/>
        <v>0</v>
      </c>
      <c r="DC80" s="151">
        <f t="shared" ref="DC80" si="130">SUM(DD80:DF80)</f>
        <v>1</v>
      </c>
      <c r="DD80" s="151">
        <f t="shared" ref="DD80" si="131">COUNTIF(CD80:CR80,4)</f>
        <v>1</v>
      </c>
      <c r="DE80" s="151">
        <f t="shared" si="82"/>
        <v>0</v>
      </c>
      <c r="DF80" s="151">
        <f t="shared" si="83"/>
        <v>0</v>
      </c>
      <c r="DI80" s="42">
        <v>0</v>
      </c>
      <c r="DJ80" s="42">
        <v>3</v>
      </c>
      <c r="DK80" s="42">
        <v>1</v>
      </c>
      <c r="DL80" s="42">
        <v>1</v>
      </c>
      <c r="DM80" s="42">
        <v>0</v>
      </c>
      <c r="DN80" s="42">
        <v>1</v>
      </c>
      <c r="DO80" s="42">
        <v>0</v>
      </c>
      <c r="DP80" s="42">
        <v>1</v>
      </c>
      <c r="DQ80" s="42">
        <v>0</v>
      </c>
      <c r="DR80" s="42">
        <v>2</v>
      </c>
      <c r="DS80" s="42">
        <v>0</v>
      </c>
      <c r="DT80" s="42">
        <v>1</v>
      </c>
      <c r="DU80" s="42">
        <v>1</v>
      </c>
      <c r="DV80" s="42">
        <v>0</v>
      </c>
      <c r="DW80" s="42">
        <v>1</v>
      </c>
      <c r="DX80" s="42">
        <v>0</v>
      </c>
      <c r="DY80" s="42">
        <v>0</v>
      </c>
      <c r="DZ80" s="42">
        <v>1</v>
      </c>
      <c r="EA80" s="42">
        <v>2</v>
      </c>
      <c r="EB80" s="42">
        <v>1</v>
      </c>
      <c r="EC80" s="42">
        <v>1</v>
      </c>
      <c r="EE80" s="46">
        <f t="shared" ref="EE80:EE85" si="132">SUM(EF80:EI80)</f>
        <v>13</v>
      </c>
      <c r="EF80" s="141">
        <f t="shared" ref="EF80:EF85" si="133">COUNTIF(DI80:EC80,1)</f>
        <v>10</v>
      </c>
      <c r="EG80" s="141">
        <f t="shared" ref="EG80" si="134">COUNTIF(DI80:EC80,2)</f>
        <v>2</v>
      </c>
      <c r="EH80" s="141">
        <f t="shared" ref="EH80" si="135">COUNTIF(DI80:EC80,3)</f>
        <v>1</v>
      </c>
      <c r="EI80" s="141">
        <f t="shared" ref="EI80" si="136">COUNTIF(DI80:EC80,4)</f>
        <v>0</v>
      </c>
      <c r="EJ80" s="122"/>
      <c r="EK80" s="122"/>
      <c r="EL80" s="122"/>
      <c r="EM80" s="46">
        <f t="shared" ref="EM80" si="137">SUM(EN80:EQ80)</f>
        <v>9</v>
      </c>
      <c r="EN80" s="141">
        <f t="shared" ref="EN80:EN85" si="138">COUNTIF(DI80:DX80,1)</f>
        <v>7</v>
      </c>
      <c r="EO80" s="141">
        <f t="shared" ref="EO80" si="139">COUNTIF(DI80:DX80,2)</f>
        <v>1</v>
      </c>
      <c r="EP80" s="141">
        <f t="shared" ref="EP80" si="140">COUNTIF(DI80:DX80,3)</f>
        <v>1</v>
      </c>
      <c r="EQ80" s="141">
        <f t="shared" ref="EQ80" si="141">COUNTIF(DI80:DX80,4)</f>
        <v>0</v>
      </c>
    </row>
    <row r="81" spans="11:147">
      <c r="K81" s="100">
        <f t="shared" ref="K81" si="142">COUNTIF(V81:AP81,6)</f>
        <v>3</v>
      </c>
      <c r="L81" s="142">
        <f t="shared" si="90"/>
        <v>3</v>
      </c>
      <c r="M81" s="142">
        <f t="shared" ref="M81" si="143">COUNTIF(V81:AP81,1)</f>
        <v>1</v>
      </c>
      <c r="N81" s="142">
        <f t="shared" ref="N81" si="144">COUNTIF(V81:AP81,2)</f>
        <v>1</v>
      </c>
      <c r="O81" s="99">
        <f t="shared" ref="O81" si="145">COUNTIF(V81:AP81,3)</f>
        <v>1</v>
      </c>
      <c r="P81" s="100">
        <f t="shared" si="95"/>
        <v>2</v>
      </c>
      <c r="Q81" s="142">
        <f t="shared" ref="Q81" si="146">SUM(R81:T81)</f>
        <v>2</v>
      </c>
      <c r="R81" s="142">
        <f t="shared" ref="R81" si="147">COUNTIF(V81:AK81,1)</f>
        <v>1</v>
      </c>
      <c r="S81" s="142">
        <f t="shared" ref="S81" si="148">COUNTIF(V81:AK81,2)</f>
        <v>1</v>
      </c>
      <c r="T81" s="99">
        <f t="shared" ref="T81" si="149">COUNTIF(V81:AK81,3)</f>
        <v>0</v>
      </c>
      <c r="V81" s="42">
        <v>4</v>
      </c>
      <c r="W81" s="42">
        <v>5</v>
      </c>
      <c r="X81" s="42">
        <v>4</v>
      </c>
      <c r="Y81" s="42">
        <v>6</v>
      </c>
      <c r="Z81" s="42">
        <v>1</v>
      </c>
      <c r="AA81" s="42">
        <v>4</v>
      </c>
      <c r="AB81" s="42">
        <v>5</v>
      </c>
      <c r="AC81" s="42">
        <v>5</v>
      </c>
      <c r="AD81" s="42">
        <v>4</v>
      </c>
      <c r="AE81" s="42">
        <v>6</v>
      </c>
      <c r="AF81" s="42">
        <v>5</v>
      </c>
      <c r="AG81" s="42">
        <v>4</v>
      </c>
      <c r="AH81" s="42">
        <v>5</v>
      </c>
      <c r="AI81" s="42">
        <v>2</v>
      </c>
      <c r="AJ81" s="42">
        <v>5</v>
      </c>
      <c r="AK81" s="42">
        <v>4</v>
      </c>
      <c r="AL81" s="42">
        <v>6</v>
      </c>
      <c r="AM81" s="42">
        <v>4</v>
      </c>
      <c r="AN81" s="42">
        <v>5</v>
      </c>
      <c r="AO81" s="42">
        <v>3</v>
      </c>
      <c r="AP81" s="42">
        <v>4</v>
      </c>
      <c r="AS81" s="42">
        <v>5</v>
      </c>
      <c r="AT81" s="42">
        <v>5</v>
      </c>
      <c r="AU81" s="42">
        <v>5</v>
      </c>
      <c r="AV81" s="42">
        <v>6</v>
      </c>
      <c r="AW81" s="42">
        <v>1</v>
      </c>
      <c r="AX81" s="42">
        <v>4</v>
      </c>
      <c r="AY81" s="42">
        <v>5</v>
      </c>
      <c r="AZ81" s="42">
        <v>5</v>
      </c>
      <c r="BA81" s="42">
        <v>4</v>
      </c>
      <c r="BB81" s="42">
        <v>6</v>
      </c>
      <c r="BC81" s="42">
        <v>6</v>
      </c>
      <c r="BD81" s="42">
        <v>4</v>
      </c>
      <c r="BE81" s="42">
        <v>6</v>
      </c>
      <c r="BF81" s="42">
        <v>4</v>
      </c>
      <c r="BG81" s="42">
        <v>6</v>
      </c>
      <c r="BH81" s="42">
        <v>5</v>
      </c>
      <c r="BI81" s="42">
        <v>6</v>
      </c>
      <c r="BJ81" s="42">
        <v>5</v>
      </c>
      <c r="BK81" s="42">
        <v>5</v>
      </c>
      <c r="BL81" s="42">
        <v>4</v>
      </c>
      <c r="BM81" s="42">
        <v>5</v>
      </c>
      <c r="BP81" s="100">
        <f t="shared" ref="BP81" si="150">COUNTIF(AS81:BM81,6)</f>
        <v>6</v>
      </c>
      <c r="BQ81" s="142">
        <f t="shared" ref="BQ81" si="151">SUM(BR81:BT81)</f>
        <v>1</v>
      </c>
      <c r="BR81" s="9">
        <f t="shared" ref="BR81:BR86" si="152">COUNTIF(AS81:BM81,3)</f>
        <v>0</v>
      </c>
      <c r="BS81" s="100">
        <f t="shared" si="84"/>
        <v>0</v>
      </c>
      <c r="BT81" s="100">
        <f t="shared" ref="BT81" si="153">COUNTIF(AS81:BM81,1)</f>
        <v>1</v>
      </c>
      <c r="BU81" s="100">
        <f t="shared" si="85"/>
        <v>5</v>
      </c>
      <c r="BV81" s="142">
        <f t="shared" si="86"/>
        <v>1</v>
      </c>
      <c r="BW81" s="9">
        <f t="shared" ref="BW81" si="154">COUNTIF(AS81:BH81,3)</f>
        <v>0</v>
      </c>
      <c r="BX81" s="100">
        <f t="shared" si="87"/>
        <v>0</v>
      </c>
      <c r="BY81" s="100">
        <f t="shared" ref="BY81" si="155">COUNTIF(AS81:BH81,1)</f>
        <v>1</v>
      </c>
      <c r="CD81" s="42">
        <v>3</v>
      </c>
      <c r="CE81" s="42">
        <v>1</v>
      </c>
      <c r="CF81" s="42">
        <v>3</v>
      </c>
      <c r="CG81" s="42">
        <v>0</v>
      </c>
      <c r="CH81" s="42">
        <v>2</v>
      </c>
      <c r="CI81" s="42">
        <v>2</v>
      </c>
      <c r="CJ81" s="42">
        <v>1</v>
      </c>
      <c r="CK81" s="188">
        <v>3</v>
      </c>
      <c r="CL81" s="188">
        <v>1</v>
      </c>
      <c r="CM81" s="188">
        <v>2</v>
      </c>
      <c r="CN81" s="188">
        <v>0</v>
      </c>
      <c r="CO81" s="188">
        <v>1</v>
      </c>
      <c r="CP81" s="188">
        <v>2</v>
      </c>
      <c r="CQ81" s="188">
        <v>3</v>
      </c>
      <c r="CR81" s="188">
        <v>1</v>
      </c>
      <c r="CS81" s="188">
        <v>3</v>
      </c>
      <c r="CT81" s="188">
        <v>1</v>
      </c>
      <c r="CU81" s="188">
        <v>1</v>
      </c>
      <c r="CV81" s="188">
        <v>1</v>
      </c>
      <c r="CW81" s="188">
        <v>0</v>
      </c>
      <c r="CY81" s="188">
        <f>SUM(CZ81:DB81)</f>
        <v>0</v>
      </c>
      <c r="CZ81" s="188">
        <f t="shared" ref="CZ81" si="156">COUNTIF(CD81:CW81,4)</f>
        <v>0</v>
      </c>
      <c r="DA81" s="188">
        <f t="shared" ref="DA81" si="157">COUNTIF(CD81:CW81,5)</f>
        <v>0</v>
      </c>
      <c r="DB81" s="188">
        <f t="shared" ref="DB81" si="158">COUNTIF(CD81:CW81,6)</f>
        <v>0</v>
      </c>
      <c r="DC81" s="188">
        <f t="shared" ref="DC81" si="159">SUM(DD81:DF81)</f>
        <v>0</v>
      </c>
      <c r="DD81" s="188">
        <f t="shared" ref="DD81" si="160">COUNTIF(CD81:CR81,4)</f>
        <v>0</v>
      </c>
      <c r="DE81" s="188">
        <f t="shared" ref="DE81" si="161">COUNTIF(CD81:CR81,5)</f>
        <v>0</v>
      </c>
      <c r="DF81" s="188">
        <f t="shared" ref="DF81" si="162">COUNTIF(CD81:CR81,6)</f>
        <v>0</v>
      </c>
      <c r="DI81" s="42">
        <v>1</v>
      </c>
      <c r="DJ81" s="42">
        <v>0</v>
      </c>
      <c r="DK81" s="42">
        <v>1</v>
      </c>
      <c r="DL81" s="42">
        <v>0</v>
      </c>
      <c r="DM81" s="42">
        <v>0</v>
      </c>
      <c r="DN81" s="42">
        <v>0</v>
      </c>
      <c r="DO81" s="42">
        <v>0</v>
      </c>
      <c r="DP81" s="42">
        <v>0</v>
      </c>
      <c r="DQ81" s="42">
        <v>0</v>
      </c>
      <c r="DR81" s="42">
        <v>0</v>
      </c>
      <c r="DS81" s="42">
        <v>1</v>
      </c>
      <c r="DT81" s="42">
        <v>0</v>
      </c>
      <c r="DU81" s="42">
        <v>1</v>
      </c>
      <c r="DV81" s="42">
        <v>2</v>
      </c>
      <c r="DW81" s="42">
        <v>1</v>
      </c>
      <c r="DX81" s="42">
        <v>1</v>
      </c>
      <c r="DY81" s="42">
        <v>0</v>
      </c>
      <c r="DZ81" s="42">
        <v>1</v>
      </c>
      <c r="EA81" s="42">
        <v>0</v>
      </c>
      <c r="EB81" s="42">
        <v>1</v>
      </c>
      <c r="EC81" s="42">
        <v>1</v>
      </c>
      <c r="EE81" s="46">
        <f t="shared" si="132"/>
        <v>10</v>
      </c>
      <c r="EF81" s="142">
        <f t="shared" si="133"/>
        <v>9</v>
      </c>
      <c r="EG81" s="142">
        <f t="shared" ref="EG81" si="163">COUNTIF(DI81:EC81,2)</f>
        <v>1</v>
      </c>
      <c r="EH81" s="142">
        <f t="shared" ref="EH81" si="164">COUNTIF(DI81:EC81,3)</f>
        <v>0</v>
      </c>
      <c r="EI81" s="142">
        <f t="shared" ref="EI81" si="165">COUNTIF(DI81:EC81,4)</f>
        <v>0</v>
      </c>
      <c r="EJ81" s="122"/>
      <c r="EK81" s="122"/>
      <c r="EL81" s="122"/>
      <c r="EM81" s="46">
        <f t="shared" ref="EM81" si="166">SUM(EN81:EQ81)</f>
        <v>7</v>
      </c>
      <c r="EN81" s="142">
        <f t="shared" si="138"/>
        <v>6</v>
      </c>
      <c r="EO81" s="142">
        <f t="shared" ref="EO81" si="167">COUNTIF(DI81:DX81,2)</f>
        <v>1</v>
      </c>
      <c r="EP81" s="142">
        <f t="shared" ref="EP81" si="168">COUNTIF(DI81:DX81,3)</f>
        <v>0</v>
      </c>
      <c r="EQ81" s="142">
        <f t="shared" ref="EQ81" si="169">COUNTIF(DI81:DX81,4)</f>
        <v>0</v>
      </c>
    </row>
    <row r="82" spans="11:147" ht="17.25">
      <c r="K82" s="100">
        <f t="shared" ref="K82" si="170">COUNTIF(V82:AP82,6)</f>
        <v>3</v>
      </c>
      <c r="L82" s="149">
        <f t="shared" si="90"/>
        <v>8</v>
      </c>
      <c r="M82" s="149">
        <f t="shared" ref="M82" si="171">COUNTIF(V82:AP82,1)</f>
        <v>0</v>
      </c>
      <c r="N82" s="149">
        <f t="shared" ref="N82" si="172">COUNTIF(V82:AP82,2)</f>
        <v>1</v>
      </c>
      <c r="O82" s="99">
        <f t="shared" ref="O82" si="173">COUNTIF(V82:AP82,3)</f>
        <v>7</v>
      </c>
      <c r="P82" s="100">
        <f t="shared" si="95"/>
        <v>3</v>
      </c>
      <c r="Q82" s="149">
        <f t="shared" ref="Q82" si="174">SUM(R82:T82)</f>
        <v>6</v>
      </c>
      <c r="R82" s="149">
        <f t="shared" ref="R82" si="175">COUNTIF(V82:AK82,1)</f>
        <v>0</v>
      </c>
      <c r="S82" s="149">
        <f t="shared" ref="S82" si="176">COUNTIF(V82:AK82,2)</f>
        <v>1</v>
      </c>
      <c r="T82" s="99">
        <f t="shared" ref="T82" si="177">COUNTIF(V82:AK82,3)</f>
        <v>5</v>
      </c>
      <c r="V82" s="42">
        <v>3</v>
      </c>
      <c r="W82" s="42">
        <v>3</v>
      </c>
      <c r="X82" s="42">
        <v>6</v>
      </c>
      <c r="Y82" s="42">
        <v>5</v>
      </c>
      <c r="Z82" s="42">
        <v>4</v>
      </c>
      <c r="AA82" s="42">
        <v>3</v>
      </c>
      <c r="AB82" s="42">
        <v>3</v>
      </c>
      <c r="AC82" s="42">
        <v>6</v>
      </c>
      <c r="AD82" s="42">
        <v>3</v>
      </c>
      <c r="AE82" s="42">
        <v>5</v>
      </c>
      <c r="AF82" s="42">
        <v>5</v>
      </c>
      <c r="AG82" s="42">
        <v>5</v>
      </c>
      <c r="AH82" s="42">
        <v>6</v>
      </c>
      <c r="AI82" s="42">
        <v>5</v>
      </c>
      <c r="AJ82" s="42">
        <v>2</v>
      </c>
      <c r="AK82" s="42">
        <v>5</v>
      </c>
      <c r="AL82" s="42">
        <v>3</v>
      </c>
      <c r="AM82" s="42">
        <v>4</v>
      </c>
      <c r="AN82" s="42">
        <v>3</v>
      </c>
      <c r="AO82" s="42">
        <v>5</v>
      </c>
      <c r="AP82" s="42">
        <v>5</v>
      </c>
      <c r="AS82" s="42">
        <v>5</v>
      </c>
      <c r="AT82" s="42">
        <v>4</v>
      </c>
      <c r="AU82" s="42">
        <v>6</v>
      </c>
      <c r="AV82" s="42">
        <v>5</v>
      </c>
      <c r="AW82" s="42">
        <v>4</v>
      </c>
      <c r="AX82" s="42">
        <v>3</v>
      </c>
      <c r="AY82" s="42">
        <v>3</v>
      </c>
      <c r="AZ82" s="42">
        <v>6</v>
      </c>
      <c r="BA82" s="42">
        <v>3</v>
      </c>
      <c r="BB82" s="42">
        <v>6</v>
      </c>
      <c r="BC82" s="42">
        <v>5</v>
      </c>
      <c r="BD82" s="42">
        <v>5</v>
      </c>
      <c r="BE82" s="42">
        <v>6</v>
      </c>
      <c r="BF82" s="42">
        <v>5</v>
      </c>
      <c r="BG82" s="42">
        <v>3</v>
      </c>
      <c r="BH82" s="42">
        <v>5</v>
      </c>
      <c r="BI82" s="42">
        <v>4</v>
      </c>
      <c r="BJ82" s="42">
        <v>5</v>
      </c>
      <c r="BK82" s="42">
        <v>4</v>
      </c>
      <c r="BL82" s="42">
        <v>5</v>
      </c>
      <c r="BM82" s="42">
        <v>5</v>
      </c>
      <c r="BP82" s="100">
        <f t="shared" ref="BP82" si="178">COUNTIF(AS82:BM82,6)</f>
        <v>4</v>
      </c>
      <c r="BQ82" s="149">
        <f t="shared" ref="BQ82" si="179">SUM(BR82:BT82)</f>
        <v>4</v>
      </c>
      <c r="BR82" s="9">
        <f t="shared" si="152"/>
        <v>4</v>
      </c>
      <c r="BS82" s="100">
        <f t="shared" ref="BS82" si="180">COUNTIF(AS82:BM82,2)</f>
        <v>0</v>
      </c>
      <c r="BT82" s="100">
        <f t="shared" ref="BT82" si="181">COUNTIF(AS82:BM82,1)</f>
        <v>0</v>
      </c>
      <c r="BU82" s="100">
        <f t="shared" ref="BU82" si="182">COUNTIF(AS82:BH82,6)</f>
        <v>4</v>
      </c>
      <c r="BV82" s="149">
        <f t="shared" ref="BV82" si="183">SUM(BW82:BY82)</f>
        <v>4</v>
      </c>
      <c r="BW82" s="9">
        <f t="shared" ref="BW82" si="184">COUNTIF(AS82:BH82,3)</f>
        <v>4</v>
      </c>
      <c r="BX82" s="100">
        <f t="shared" ref="BX82" si="185">COUNTIF(AS82:BH82,2)</f>
        <v>0</v>
      </c>
      <c r="BY82" s="100">
        <f t="shared" ref="BY82" si="186">COUNTIF(AS82:BH82,1)</f>
        <v>0</v>
      </c>
      <c r="CD82" s="56">
        <v>3</v>
      </c>
      <c r="CE82" s="56">
        <v>1</v>
      </c>
      <c r="CF82" s="56">
        <v>2</v>
      </c>
      <c r="CG82" s="56">
        <v>2</v>
      </c>
      <c r="CH82" s="56">
        <v>1</v>
      </c>
      <c r="CI82" s="78">
        <v>0</v>
      </c>
      <c r="CJ82" s="56">
        <v>3</v>
      </c>
      <c r="CK82" s="56">
        <v>0</v>
      </c>
      <c r="CL82" s="78">
        <v>0</v>
      </c>
      <c r="CM82" s="56">
        <v>3</v>
      </c>
      <c r="CN82" s="56">
        <v>4</v>
      </c>
      <c r="CO82" s="78">
        <v>2</v>
      </c>
      <c r="CP82" s="56">
        <v>2</v>
      </c>
      <c r="CQ82" s="56">
        <v>1</v>
      </c>
      <c r="CR82" s="56">
        <v>1</v>
      </c>
      <c r="CS82" s="56">
        <v>1</v>
      </c>
      <c r="CT82" s="56">
        <v>2</v>
      </c>
      <c r="CU82" s="56">
        <v>2</v>
      </c>
      <c r="CV82" s="56">
        <v>1</v>
      </c>
      <c r="CW82" s="56">
        <v>2</v>
      </c>
      <c r="CY82" s="192">
        <f>SUM(CZ82:DB82)</f>
        <v>1</v>
      </c>
      <c r="CZ82" s="192">
        <f t="shared" ref="CZ82" si="187">COUNTIF(CD82:CW82,4)</f>
        <v>1</v>
      </c>
      <c r="DA82" s="192">
        <f t="shared" ref="DA82" si="188">COUNTIF(CD82:CW82,5)</f>
        <v>0</v>
      </c>
      <c r="DB82" s="192">
        <f t="shared" ref="DB82" si="189">COUNTIF(CD82:CW82,6)</f>
        <v>0</v>
      </c>
      <c r="DC82" s="192">
        <f t="shared" ref="DC82" si="190">SUM(DD82:DF82)</f>
        <v>1</v>
      </c>
      <c r="DD82" s="192">
        <f t="shared" ref="DD82" si="191">COUNTIF(CD82:CR82,4)</f>
        <v>1</v>
      </c>
      <c r="DE82" s="192">
        <f t="shared" ref="DE82" si="192">COUNTIF(CD82:CR82,5)</f>
        <v>0</v>
      </c>
      <c r="DF82" s="192">
        <f t="shared" ref="DF82" si="193">COUNTIF(CD82:CR82,6)</f>
        <v>0</v>
      </c>
      <c r="DI82" s="42">
        <v>2</v>
      </c>
      <c r="DJ82" s="42">
        <v>1</v>
      </c>
      <c r="DK82" s="42">
        <v>0</v>
      </c>
      <c r="DL82" s="42">
        <v>0</v>
      </c>
      <c r="DM82" s="42">
        <v>0</v>
      </c>
      <c r="DN82" s="42">
        <v>0</v>
      </c>
      <c r="DO82" s="42">
        <v>0</v>
      </c>
      <c r="DP82" s="42">
        <v>0</v>
      </c>
      <c r="DQ82" s="42">
        <v>0</v>
      </c>
      <c r="DR82" s="42">
        <v>1</v>
      </c>
      <c r="DS82" s="42">
        <v>0</v>
      </c>
      <c r="DT82" s="42">
        <v>0</v>
      </c>
      <c r="DU82" s="42">
        <v>0</v>
      </c>
      <c r="DV82" s="42">
        <v>0</v>
      </c>
      <c r="DW82" s="42">
        <v>1</v>
      </c>
      <c r="DX82" s="42">
        <v>0</v>
      </c>
      <c r="DY82" s="42">
        <v>1</v>
      </c>
      <c r="DZ82" s="42">
        <v>1</v>
      </c>
      <c r="EA82" s="42">
        <v>1</v>
      </c>
      <c r="EB82" s="42">
        <v>0</v>
      </c>
      <c r="EC82" s="42">
        <v>0</v>
      </c>
      <c r="EE82" s="46">
        <f t="shared" si="132"/>
        <v>7</v>
      </c>
      <c r="EF82" s="149">
        <f t="shared" si="133"/>
        <v>6</v>
      </c>
      <c r="EG82" s="149">
        <f t="shared" ref="EG82" si="194">COUNTIF(DI82:EC82,2)</f>
        <v>1</v>
      </c>
      <c r="EH82" s="149">
        <f t="shared" ref="EH82" si="195">COUNTIF(DI82:EC82,3)</f>
        <v>0</v>
      </c>
      <c r="EI82" s="149">
        <f t="shared" ref="EI82" si="196">COUNTIF(DI82:EC82,4)</f>
        <v>0</v>
      </c>
      <c r="EJ82" s="122"/>
      <c r="EK82" s="122"/>
      <c r="EL82" s="122"/>
      <c r="EM82" s="46">
        <f t="shared" ref="EM82" si="197">SUM(EN82:EQ82)</f>
        <v>4</v>
      </c>
      <c r="EN82" s="149">
        <f t="shared" si="138"/>
        <v>3</v>
      </c>
      <c r="EO82" s="149">
        <f t="shared" ref="EO82" si="198">COUNTIF(DI82:DX82,2)</f>
        <v>1</v>
      </c>
      <c r="EP82" s="149">
        <f t="shared" ref="EP82" si="199">COUNTIF(DI82:DX82,3)</f>
        <v>0</v>
      </c>
      <c r="EQ82" s="149">
        <f t="shared" ref="EQ82" si="200">COUNTIF(DI82:DX82,4)</f>
        <v>0</v>
      </c>
    </row>
    <row r="83" spans="11:147">
      <c r="K83" s="100">
        <f t="shared" ref="K83" si="201">COUNTIF(V83:AP83,6)</f>
        <v>4</v>
      </c>
      <c r="L83" s="151">
        <f t="shared" si="90"/>
        <v>4</v>
      </c>
      <c r="M83" s="151">
        <f t="shared" ref="M83" si="202">COUNTIF(V83:AP83,1)</f>
        <v>1</v>
      </c>
      <c r="N83" s="151">
        <f t="shared" ref="N83" si="203">COUNTIF(V83:AP83,2)</f>
        <v>0</v>
      </c>
      <c r="O83" s="99">
        <f t="shared" ref="O83" si="204">COUNTIF(V83:AP83,3)</f>
        <v>3</v>
      </c>
      <c r="P83" s="100">
        <f t="shared" si="95"/>
        <v>3</v>
      </c>
      <c r="Q83" s="151">
        <f t="shared" ref="Q83" si="205">SUM(R83:T83)</f>
        <v>3</v>
      </c>
      <c r="R83" s="151">
        <f t="shared" ref="R83" si="206">COUNTIF(V83:AK83,1)</f>
        <v>1</v>
      </c>
      <c r="S83" s="151">
        <f t="shared" ref="S83" si="207">COUNTIF(V83:AK83,2)</f>
        <v>0</v>
      </c>
      <c r="T83" s="99">
        <f t="shared" ref="T83" si="208">COUNTIF(V83:AK83,3)</f>
        <v>2</v>
      </c>
      <c r="V83" s="151">
        <v>5</v>
      </c>
      <c r="W83" s="151">
        <v>5</v>
      </c>
      <c r="X83" s="151">
        <v>4</v>
      </c>
      <c r="Y83" s="151">
        <v>5</v>
      </c>
      <c r="Z83" s="151">
        <v>5</v>
      </c>
      <c r="AA83" s="151">
        <v>5</v>
      </c>
      <c r="AB83" s="151">
        <v>3</v>
      </c>
      <c r="AC83" s="151">
        <v>1</v>
      </c>
      <c r="AD83" s="151">
        <v>6</v>
      </c>
      <c r="AE83" s="151">
        <v>6</v>
      </c>
      <c r="AF83" s="151">
        <v>4</v>
      </c>
      <c r="AG83" s="151">
        <v>6</v>
      </c>
      <c r="AH83" s="151">
        <v>5</v>
      </c>
      <c r="AI83" s="151">
        <v>3</v>
      </c>
      <c r="AJ83" s="151">
        <v>4</v>
      </c>
      <c r="AK83" s="151">
        <v>4</v>
      </c>
      <c r="AL83" s="151">
        <v>6</v>
      </c>
      <c r="AM83" s="151">
        <v>3</v>
      </c>
      <c r="AN83" s="151">
        <v>5</v>
      </c>
      <c r="AO83" s="151">
        <v>4</v>
      </c>
      <c r="AP83" s="151">
        <v>4</v>
      </c>
      <c r="AS83" s="151">
        <v>5</v>
      </c>
      <c r="AT83" s="151">
        <v>5</v>
      </c>
      <c r="AU83" s="151">
        <v>5</v>
      </c>
      <c r="AV83" s="151">
        <v>6</v>
      </c>
      <c r="AW83" s="151">
        <v>6</v>
      </c>
      <c r="AX83" s="151">
        <v>5</v>
      </c>
      <c r="AY83" s="151">
        <v>3</v>
      </c>
      <c r="AZ83" s="151">
        <v>2</v>
      </c>
      <c r="BA83" s="151">
        <v>6</v>
      </c>
      <c r="BB83" s="151">
        <v>6</v>
      </c>
      <c r="BC83" s="151">
        <v>4</v>
      </c>
      <c r="BD83" s="151">
        <v>6</v>
      </c>
      <c r="BE83" s="151">
        <v>6</v>
      </c>
      <c r="BF83" s="151">
        <v>3</v>
      </c>
      <c r="BG83" s="151">
        <v>4</v>
      </c>
      <c r="BH83" s="151">
        <v>5</v>
      </c>
      <c r="BI83" s="151">
        <v>6</v>
      </c>
      <c r="BJ83" s="151">
        <v>4</v>
      </c>
      <c r="BK83" s="151">
        <v>5</v>
      </c>
      <c r="BL83" s="151">
        <v>4</v>
      </c>
      <c r="BM83" s="151">
        <v>4</v>
      </c>
      <c r="BP83" s="100">
        <f t="shared" ref="BP83" si="209">COUNTIF(AS83:BM83,6)</f>
        <v>7</v>
      </c>
      <c r="BQ83" s="151">
        <f t="shared" ref="BQ83" si="210">SUM(BR83:BT83)</f>
        <v>3</v>
      </c>
      <c r="BR83" s="9">
        <f t="shared" si="152"/>
        <v>2</v>
      </c>
      <c r="BS83" s="100">
        <f t="shared" ref="BS83" si="211">COUNTIF(AS83:BM83,2)</f>
        <v>1</v>
      </c>
      <c r="BT83" s="100">
        <f t="shared" ref="BT83" si="212">COUNTIF(AS83:BM83,1)</f>
        <v>0</v>
      </c>
      <c r="BU83" s="100">
        <f t="shared" ref="BU83" si="213">COUNTIF(AS83:BH83,6)</f>
        <v>6</v>
      </c>
      <c r="BV83" s="151">
        <f t="shared" ref="BV83" si="214">SUM(BW83:BY83)</f>
        <v>3</v>
      </c>
      <c r="BW83" s="9">
        <f t="shared" ref="BW83" si="215">COUNTIF(AS83:BH83,3)</f>
        <v>2</v>
      </c>
      <c r="BX83" s="100">
        <f t="shared" ref="BX83" si="216">COUNTIF(AS83:BH83,2)</f>
        <v>1</v>
      </c>
      <c r="BY83" s="100">
        <f t="shared" ref="BY83" si="217">COUNTIF(AS83:BH83,1)</f>
        <v>0</v>
      </c>
      <c r="CD83" s="84">
        <v>1</v>
      </c>
      <c r="CE83" s="198">
        <v>1</v>
      </c>
      <c r="CF83" s="198">
        <v>3</v>
      </c>
      <c r="CG83" s="198">
        <v>3</v>
      </c>
      <c r="CH83" s="198">
        <v>3</v>
      </c>
      <c r="CI83" s="198">
        <v>0</v>
      </c>
      <c r="CJ83" s="198">
        <v>4</v>
      </c>
      <c r="CK83" s="198">
        <v>2</v>
      </c>
      <c r="CL83" s="198">
        <v>2</v>
      </c>
      <c r="CM83" s="198">
        <v>0</v>
      </c>
      <c r="CN83" s="198">
        <v>3</v>
      </c>
      <c r="CO83" s="198">
        <v>2</v>
      </c>
      <c r="CP83" s="198">
        <v>2</v>
      </c>
      <c r="CQ83" s="198">
        <v>1</v>
      </c>
      <c r="CR83" s="198">
        <v>3</v>
      </c>
      <c r="CS83" s="198">
        <v>5</v>
      </c>
      <c r="CT83" s="198">
        <v>3</v>
      </c>
      <c r="CU83" s="198">
        <v>2</v>
      </c>
      <c r="CV83" s="198">
        <v>1</v>
      </c>
      <c r="CW83" s="198">
        <v>1</v>
      </c>
      <c r="CY83" s="201">
        <f>SUM(CZ83:DB83)</f>
        <v>2</v>
      </c>
      <c r="CZ83" s="201">
        <f t="shared" ref="CZ83" si="218">COUNTIF(CD83:CW83,4)</f>
        <v>1</v>
      </c>
      <c r="DA83" s="201">
        <f t="shared" ref="DA83" si="219">COUNTIF(CD83:CW83,5)</f>
        <v>1</v>
      </c>
      <c r="DB83" s="201">
        <f t="shared" ref="DB83" si="220">COUNTIF(CD83:CW83,6)</f>
        <v>0</v>
      </c>
      <c r="DC83" s="201">
        <f t="shared" ref="DC83" si="221">SUM(DD83:DF83)</f>
        <v>1</v>
      </c>
      <c r="DD83" s="201">
        <f t="shared" ref="DD83" si="222">COUNTIF(CD83:CR83,4)</f>
        <v>1</v>
      </c>
      <c r="DE83" s="201">
        <f t="shared" ref="DE83" si="223">COUNTIF(CD83:CR83,5)</f>
        <v>0</v>
      </c>
      <c r="DF83" s="201">
        <f t="shared" ref="DF83" si="224">COUNTIF(CD83:CR83,6)</f>
        <v>0</v>
      </c>
      <c r="DI83" s="151">
        <v>0</v>
      </c>
      <c r="DJ83" s="151">
        <v>0</v>
      </c>
      <c r="DK83" s="151">
        <v>1</v>
      </c>
      <c r="DL83" s="151">
        <v>1</v>
      </c>
      <c r="DM83" s="151">
        <v>1</v>
      </c>
      <c r="DN83" s="151">
        <v>0</v>
      </c>
      <c r="DO83" s="151">
        <v>0</v>
      </c>
      <c r="DP83" s="151">
        <v>1</v>
      </c>
      <c r="DQ83" s="151">
        <v>0</v>
      </c>
      <c r="DR83" s="151">
        <v>0</v>
      </c>
      <c r="DS83" s="151">
        <v>0</v>
      </c>
      <c r="DT83" s="151">
        <v>0</v>
      </c>
      <c r="DU83" s="151">
        <v>1</v>
      </c>
      <c r="DV83" s="151">
        <v>0</v>
      </c>
      <c r="DW83" s="151">
        <v>0</v>
      </c>
      <c r="DX83" s="151">
        <v>1</v>
      </c>
      <c r="DY83" s="151">
        <v>0</v>
      </c>
      <c r="DZ83" s="151">
        <v>1</v>
      </c>
      <c r="EA83" s="151">
        <v>0</v>
      </c>
      <c r="EB83" s="151">
        <v>0</v>
      </c>
      <c r="EC83" s="151">
        <v>0</v>
      </c>
      <c r="EE83" s="46">
        <f t="shared" si="132"/>
        <v>7</v>
      </c>
      <c r="EF83" s="151">
        <f t="shared" si="133"/>
        <v>7</v>
      </c>
      <c r="EG83" s="151">
        <f t="shared" ref="EG83" si="225">COUNTIF(DI83:EC83,2)</f>
        <v>0</v>
      </c>
      <c r="EH83" s="151">
        <f t="shared" ref="EH83" si="226">COUNTIF(DI83:EC83,3)</f>
        <v>0</v>
      </c>
      <c r="EI83" s="151">
        <f t="shared" ref="EI83" si="227">COUNTIF(DI83:EC83,4)</f>
        <v>0</v>
      </c>
      <c r="EJ83" s="122"/>
      <c r="EK83" s="122"/>
      <c r="EL83" s="122"/>
      <c r="EM83" s="46">
        <f t="shared" ref="EM83" si="228">SUM(EN83:EQ83)</f>
        <v>6</v>
      </c>
      <c r="EN83" s="151">
        <f t="shared" si="138"/>
        <v>6</v>
      </c>
      <c r="EO83" s="151">
        <f t="shared" ref="EO83" si="229">COUNTIF(DI83:DX83,2)</f>
        <v>0</v>
      </c>
      <c r="EP83" s="151">
        <f t="shared" ref="EP83" si="230">COUNTIF(DI83:DX83,3)</f>
        <v>0</v>
      </c>
      <c r="EQ83" s="151">
        <f t="shared" ref="EQ83" si="231">COUNTIF(DI83:DX83,4)</f>
        <v>0</v>
      </c>
    </row>
    <row r="84" spans="11:147">
      <c r="K84" s="100">
        <f t="shared" ref="K84" si="232">COUNTIF(V84:AP84,6)</f>
        <v>4</v>
      </c>
      <c r="L84" s="188">
        <f t="shared" ref="L84" si="233">SUM(M84:O84)</f>
        <v>3</v>
      </c>
      <c r="M84" s="188">
        <f t="shared" ref="M84" si="234">COUNTIF(V84:AP84,1)</f>
        <v>1</v>
      </c>
      <c r="N84" s="188">
        <f t="shared" ref="N84" si="235">COUNTIF(V84:AP84,2)</f>
        <v>1</v>
      </c>
      <c r="O84" s="99">
        <f t="shared" ref="O84" si="236">COUNTIF(V84:AP84,3)</f>
        <v>1</v>
      </c>
      <c r="P84" s="100">
        <f t="shared" si="95"/>
        <v>3</v>
      </c>
      <c r="Q84" s="188">
        <f t="shared" ref="Q84" si="237">SUM(R84:T84)</f>
        <v>2</v>
      </c>
      <c r="R84" s="188">
        <f t="shared" ref="R84" si="238">COUNTIF(V84:AK84,1)</f>
        <v>1</v>
      </c>
      <c r="S84" s="188">
        <f t="shared" ref="S84" si="239">COUNTIF(V84:AK84,2)</f>
        <v>1</v>
      </c>
      <c r="T84" s="99">
        <f t="shared" ref="T84" si="240">COUNTIF(V84:AK84,3)</f>
        <v>0</v>
      </c>
      <c r="V84" s="42">
        <v>5</v>
      </c>
      <c r="W84" s="42">
        <v>4</v>
      </c>
      <c r="X84" s="42">
        <v>5</v>
      </c>
      <c r="Y84" s="42">
        <v>6</v>
      </c>
      <c r="Z84" s="42">
        <v>5</v>
      </c>
      <c r="AA84" s="42">
        <v>5</v>
      </c>
      <c r="AB84" s="42">
        <v>2</v>
      </c>
      <c r="AC84" s="188">
        <v>1</v>
      </c>
      <c r="AD84" s="188">
        <v>4</v>
      </c>
      <c r="AE84" s="188">
        <v>6</v>
      </c>
      <c r="AF84" s="188">
        <v>4</v>
      </c>
      <c r="AG84" s="188">
        <v>5</v>
      </c>
      <c r="AH84" s="188">
        <v>4</v>
      </c>
      <c r="AI84" s="188">
        <v>6</v>
      </c>
      <c r="AJ84" s="188">
        <v>5</v>
      </c>
      <c r="AK84" s="188">
        <v>4</v>
      </c>
      <c r="AL84" s="188">
        <v>6</v>
      </c>
      <c r="AM84" s="188">
        <v>3</v>
      </c>
      <c r="AN84" s="188">
        <v>5</v>
      </c>
      <c r="AO84" s="188">
        <v>4</v>
      </c>
      <c r="AP84" s="188">
        <v>5</v>
      </c>
      <c r="AQ84" s="122"/>
      <c r="AR84" s="122"/>
      <c r="AS84" s="42">
        <v>5</v>
      </c>
      <c r="AT84" s="42">
        <v>5</v>
      </c>
      <c r="AU84" s="42">
        <v>5</v>
      </c>
      <c r="AV84" s="42">
        <v>6</v>
      </c>
      <c r="AW84" s="42">
        <v>5</v>
      </c>
      <c r="AX84" s="42">
        <v>5</v>
      </c>
      <c r="AY84" s="42">
        <v>2</v>
      </c>
      <c r="AZ84" s="188">
        <v>2</v>
      </c>
      <c r="BA84" s="188">
        <v>4</v>
      </c>
      <c r="BB84" s="188">
        <v>6</v>
      </c>
      <c r="BC84" s="188">
        <v>4</v>
      </c>
      <c r="BD84" s="188">
        <v>6</v>
      </c>
      <c r="BE84" s="188">
        <v>5</v>
      </c>
      <c r="BF84" s="188">
        <v>6</v>
      </c>
      <c r="BG84" s="188">
        <v>6</v>
      </c>
      <c r="BH84" s="188">
        <v>4</v>
      </c>
      <c r="BI84" s="188">
        <v>6</v>
      </c>
      <c r="BJ84" s="188">
        <v>4</v>
      </c>
      <c r="BK84" s="188">
        <v>5</v>
      </c>
      <c r="BL84" s="188">
        <v>4</v>
      </c>
      <c r="BM84" s="188">
        <v>5</v>
      </c>
      <c r="BP84" s="100">
        <f t="shared" ref="BP84" si="241">COUNTIF(AS84:BM84,6)</f>
        <v>6</v>
      </c>
      <c r="BQ84" s="188">
        <f t="shared" ref="BQ84" si="242">SUM(BR84:BT84)</f>
        <v>2</v>
      </c>
      <c r="BR84" s="9">
        <f t="shared" si="152"/>
        <v>0</v>
      </c>
      <c r="BS84" s="100">
        <f t="shared" ref="BS84" si="243">COUNTIF(AS84:BM84,2)</f>
        <v>2</v>
      </c>
      <c r="BT84" s="100">
        <f t="shared" ref="BT84" si="244">COUNTIF(AS84:BM84,1)</f>
        <v>0</v>
      </c>
      <c r="BU84" s="100">
        <f t="shared" ref="BU84" si="245">COUNTIF(AS84:BH84,6)</f>
        <v>5</v>
      </c>
      <c r="BV84" s="188">
        <f t="shared" ref="BV84" si="246">SUM(BW84:BY84)</f>
        <v>2</v>
      </c>
      <c r="BW84" s="9">
        <f t="shared" ref="BW84" si="247">COUNTIF(AS84:BH84,3)</f>
        <v>0</v>
      </c>
      <c r="BX84" s="100">
        <f t="shared" ref="BX84" si="248">COUNTIF(AS84:BH84,2)</f>
        <v>2</v>
      </c>
      <c r="BY84" s="100">
        <f t="shared" ref="BY84" si="249">COUNTIF(AS84:BH84,1)</f>
        <v>0</v>
      </c>
      <c r="DI84" s="42">
        <v>0</v>
      </c>
      <c r="DJ84" s="42">
        <v>1</v>
      </c>
      <c r="DK84" s="42">
        <v>0</v>
      </c>
      <c r="DL84" s="42">
        <v>0</v>
      </c>
      <c r="DM84" s="42">
        <v>0</v>
      </c>
      <c r="DN84" s="42">
        <v>0</v>
      </c>
      <c r="DO84" s="42">
        <v>0</v>
      </c>
      <c r="DP84" s="188">
        <v>1</v>
      </c>
      <c r="DQ84" s="188">
        <v>0</v>
      </c>
      <c r="DR84" s="188">
        <v>0</v>
      </c>
      <c r="DS84" s="188">
        <v>0</v>
      </c>
      <c r="DT84" s="188">
        <v>1</v>
      </c>
      <c r="DU84" s="188">
        <v>1</v>
      </c>
      <c r="DV84" s="188">
        <v>0</v>
      </c>
      <c r="DW84" s="188">
        <v>1</v>
      </c>
      <c r="DX84" s="188">
        <v>0</v>
      </c>
      <c r="DY84" s="188">
        <v>0</v>
      </c>
      <c r="DZ84" s="188">
        <v>1</v>
      </c>
      <c r="EA84" s="188">
        <v>0</v>
      </c>
      <c r="EB84" s="188">
        <v>0</v>
      </c>
      <c r="EC84" s="188">
        <v>0</v>
      </c>
      <c r="EE84" s="46">
        <f t="shared" si="132"/>
        <v>6</v>
      </c>
      <c r="EF84" s="188">
        <f t="shared" si="133"/>
        <v>6</v>
      </c>
      <c r="EG84" s="188">
        <f t="shared" ref="EG84" si="250">COUNTIF(DI84:EC84,2)</f>
        <v>0</v>
      </c>
      <c r="EH84" s="188">
        <f t="shared" ref="EH84" si="251">COUNTIF(DI84:EC84,3)</f>
        <v>0</v>
      </c>
      <c r="EI84" s="188">
        <f t="shared" ref="EI84" si="252">COUNTIF(DI84:EC84,4)</f>
        <v>0</v>
      </c>
      <c r="EJ84" s="122"/>
      <c r="EK84" s="122"/>
      <c r="EL84" s="122"/>
      <c r="EM84" s="46">
        <f t="shared" ref="EM84" si="253">SUM(EN84:EQ84)</f>
        <v>5</v>
      </c>
      <c r="EN84" s="188">
        <f t="shared" si="138"/>
        <v>5</v>
      </c>
      <c r="EO84" s="188">
        <f t="shared" ref="EO84" si="254">COUNTIF(DI84:DX84,2)</f>
        <v>0</v>
      </c>
      <c r="EP84" s="188">
        <f t="shared" ref="EP84" si="255">COUNTIF(DI84:DX84,3)</f>
        <v>0</v>
      </c>
      <c r="EQ84" s="188">
        <f t="shared" ref="EQ84" si="256">COUNTIF(DI84:DX84,4)</f>
        <v>0</v>
      </c>
    </row>
    <row r="85" spans="11:147" ht="17.25">
      <c r="K85" s="100">
        <f t="shared" ref="K85" si="257">COUNTIF(V85:AP85,6)</f>
        <v>2</v>
      </c>
      <c r="L85" s="192">
        <f t="shared" ref="L85" si="258">SUM(M85:O85)</f>
        <v>4</v>
      </c>
      <c r="M85" s="192">
        <f t="shared" ref="M85" si="259">COUNTIF(V85:AP85,1)</f>
        <v>0</v>
      </c>
      <c r="N85" s="192">
        <f t="shared" ref="N85" si="260">COUNTIF(V85:AP85,2)</f>
        <v>0</v>
      </c>
      <c r="O85" s="99">
        <f t="shared" ref="O85" si="261">COUNTIF(V85:AP85,3)</f>
        <v>4</v>
      </c>
      <c r="P85" s="100">
        <f t="shared" ref="P85" si="262">COUNTIF(V85:AK85,6)</f>
        <v>2</v>
      </c>
      <c r="Q85" s="192">
        <f t="shared" ref="Q85" si="263">SUM(R85:T85)</f>
        <v>2</v>
      </c>
      <c r="R85" s="192">
        <f t="shared" ref="R85" si="264">COUNTIF(V85:AK85,1)</f>
        <v>0</v>
      </c>
      <c r="S85" s="192">
        <f t="shared" ref="S85" si="265">COUNTIF(V85:AK85,2)</f>
        <v>0</v>
      </c>
      <c r="T85" s="99">
        <f t="shared" ref="T85" si="266">COUNTIF(V85:AK85,3)</f>
        <v>2</v>
      </c>
      <c r="V85" s="56">
        <v>3</v>
      </c>
      <c r="W85" s="56">
        <v>4</v>
      </c>
      <c r="X85" s="56">
        <v>5</v>
      </c>
      <c r="Y85" s="56">
        <v>5</v>
      </c>
      <c r="Z85" s="56">
        <v>4</v>
      </c>
      <c r="AA85" s="78">
        <v>5</v>
      </c>
      <c r="AB85" s="78">
        <v>4</v>
      </c>
      <c r="AC85" s="56">
        <v>4</v>
      </c>
      <c r="AD85" s="56">
        <v>3</v>
      </c>
      <c r="AE85" s="78">
        <v>4</v>
      </c>
      <c r="AF85" s="56">
        <v>6</v>
      </c>
      <c r="AG85" s="78">
        <v>5</v>
      </c>
      <c r="AH85" s="56">
        <v>5</v>
      </c>
      <c r="AI85" s="56">
        <v>5</v>
      </c>
      <c r="AJ85" s="56">
        <v>6</v>
      </c>
      <c r="AK85" s="56">
        <v>4</v>
      </c>
      <c r="AL85" s="56">
        <v>3</v>
      </c>
      <c r="AM85" s="56">
        <v>3</v>
      </c>
      <c r="AN85" s="56">
        <v>5</v>
      </c>
      <c r="AO85" s="56">
        <v>4</v>
      </c>
      <c r="AP85" s="56">
        <v>5</v>
      </c>
      <c r="AQ85" s="122"/>
      <c r="AR85" s="122"/>
      <c r="AS85" s="125">
        <v>4</v>
      </c>
      <c r="AT85" s="125">
        <v>5</v>
      </c>
      <c r="AU85" s="125">
        <v>5</v>
      </c>
      <c r="AV85" s="56">
        <v>5</v>
      </c>
      <c r="AW85" s="56">
        <v>5</v>
      </c>
      <c r="AX85" s="56">
        <v>5</v>
      </c>
      <c r="AY85" s="56">
        <v>5</v>
      </c>
      <c r="AZ85" s="56">
        <v>4</v>
      </c>
      <c r="BA85" s="56">
        <v>4</v>
      </c>
      <c r="BB85" s="56">
        <v>5</v>
      </c>
      <c r="BC85" s="56">
        <v>6</v>
      </c>
      <c r="BD85" s="56">
        <v>5</v>
      </c>
      <c r="BE85" s="56">
        <v>5</v>
      </c>
      <c r="BF85" s="56">
        <v>5</v>
      </c>
      <c r="BG85" s="56">
        <v>6</v>
      </c>
      <c r="BH85" s="56">
        <v>4</v>
      </c>
      <c r="BI85" s="56">
        <v>3</v>
      </c>
      <c r="BJ85" s="56">
        <v>4</v>
      </c>
      <c r="BK85" s="56">
        <v>5</v>
      </c>
      <c r="BL85" s="56">
        <v>5</v>
      </c>
      <c r="BM85" s="56">
        <v>5</v>
      </c>
      <c r="BN85" s="195"/>
      <c r="BO85" s="195"/>
      <c r="BP85" s="100">
        <f t="shared" ref="BP85" si="267">COUNTIF(AS85:BM85,6)</f>
        <v>2</v>
      </c>
      <c r="BQ85" s="192">
        <f t="shared" ref="BQ85" si="268">SUM(BR85:BT85)</f>
        <v>1</v>
      </c>
      <c r="BR85" s="9">
        <f t="shared" si="152"/>
        <v>1</v>
      </c>
      <c r="BS85" s="100">
        <f t="shared" ref="BS85" si="269">COUNTIF(AS85:BM85,2)</f>
        <v>0</v>
      </c>
      <c r="BT85" s="100">
        <f t="shared" ref="BT85" si="270">COUNTIF(AS85:BM85,1)</f>
        <v>0</v>
      </c>
      <c r="BU85" s="100">
        <f t="shared" ref="BU85" si="271">COUNTIF(AS85:BH85,6)</f>
        <v>2</v>
      </c>
      <c r="BV85" s="192">
        <f t="shared" ref="BV85" si="272">SUM(BW85:BY85)</f>
        <v>0</v>
      </c>
      <c r="BW85" s="9">
        <f t="shared" ref="BW85" si="273">COUNTIF(AS85:BH85,3)</f>
        <v>0</v>
      </c>
      <c r="BX85" s="100">
        <f t="shared" ref="BX85" si="274">COUNTIF(AS85:BH85,2)</f>
        <v>0</v>
      </c>
      <c r="BY85" s="100">
        <f t="shared" ref="BY85" si="275">COUNTIF(AS85:BH85,1)</f>
        <v>0</v>
      </c>
      <c r="DI85" s="56">
        <v>1</v>
      </c>
      <c r="DJ85" s="56">
        <v>1</v>
      </c>
      <c r="DK85" s="56">
        <v>0</v>
      </c>
      <c r="DL85" s="56">
        <v>0</v>
      </c>
      <c r="DM85" s="56">
        <v>1</v>
      </c>
      <c r="DN85" s="78">
        <v>0</v>
      </c>
      <c r="DO85" s="78">
        <v>1</v>
      </c>
      <c r="DP85" s="78">
        <v>0</v>
      </c>
      <c r="DQ85" s="78">
        <v>1</v>
      </c>
      <c r="DR85" s="56">
        <v>1</v>
      </c>
      <c r="DS85" s="78">
        <v>0</v>
      </c>
      <c r="DT85" s="56">
        <v>0</v>
      </c>
      <c r="DU85" s="56">
        <v>0</v>
      </c>
      <c r="DV85" s="56">
        <v>0</v>
      </c>
      <c r="DW85" s="56">
        <v>0</v>
      </c>
      <c r="DX85" s="56">
        <v>0</v>
      </c>
      <c r="DY85" s="56">
        <v>0</v>
      </c>
      <c r="DZ85" s="56">
        <v>1</v>
      </c>
      <c r="EA85" s="56">
        <v>0</v>
      </c>
      <c r="EB85" s="56">
        <v>1</v>
      </c>
      <c r="EC85" s="56">
        <v>0</v>
      </c>
      <c r="EE85" s="46">
        <f t="shared" si="132"/>
        <v>8</v>
      </c>
      <c r="EF85" s="192">
        <f t="shared" si="133"/>
        <v>8</v>
      </c>
      <c r="EG85" s="192">
        <f t="shared" ref="EG85" si="276">COUNTIF(DI85:EC85,2)</f>
        <v>0</v>
      </c>
      <c r="EH85" s="192">
        <f t="shared" ref="EH85" si="277">COUNTIF(DI85:EC85,3)</f>
        <v>0</v>
      </c>
      <c r="EI85" s="192">
        <f t="shared" ref="EI85" si="278">COUNTIF(DI85:EC85,4)</f>
        <v>0</v>
      </c>
      <c r="EJ85" s="122"/>
      <c r="EK85" s="122"/>
      <c r="EL85" s="122"/>
      <c r="EM85" s="46">
        <f t="shared" ref="EM85" si="279">SUM(EN85:EQ85)</f>
        <v>6</v>
      </c>
      <c r="EN85" s="192">
        <f t="shared" si="138"/>
        <v>6</v>
      </c>
      <c r="EO85" s="192">
        <f t="shared" ref="EO85" si="280">COUNTIF(DI85:DX85,2)</f>
        <v>0</v>
      </c>
      <c r="EP85" s="192">
        <f t="shared" ref="EP85" si="281">COUNTIF(DI85:DX85,3)</f>
        <v>0</v>
      </c>
      <c r="EQ85" s="192">
        <f t="shared" ref="EQ85" si="282">COUNTIF(DI85:DX85,4)</f>
        <v>0</v>
      </c>
    </row>
    <row r="86" spans="11:147" ht="17.25">
      <c r="K86" s="100">
        <f t="shared" ref="K86" si="283">COUNTIF(V86:AP86,6)</f>
        <v>2</v>
      </c>
      <c r="L86" s="201">
        <f t="shared" ref="L86" si="284">SUM(M86:O86)</f>
        <v>7</v>
      </c>
      <c r="M86" s="201">
        <f t="shared" ref="M86" si="285">COUNTIF(V86:AP86,1)</f>
        <v>0</v>
      </c>
      <c r="N86" s="201">
        <f t="shared" ref="N86" si="286">COUNTIF(V86:AP86,2)</f>
        <v>0</v>
      </c>
      <c r="O86" s="99">
        <f t="shared" ref="O86" si="287">COUNTIF(V86:AP86,3)</f>
        <v>7</v>
      </c>
      <c r="P86" s="100">
        <f t="shared" ref="P86" si="288">COUNTIF(V86:AK86,6)</f>
        <v>2</v>
      </c>
      <c r="Q86" s="201">
        <f t="shared" ref="Q86" si="289">SUM(R86:T86)</f>
        <v>5</v>
      </c>
      <c r="R86" s="201">
        <f t="shared" ref="R86" si="290">COUNTIF(V86:AK86,1)</f>
        <v>0</v>
      </c>
      <c r="S86" s="201">
        <f t="shared" ref="S86" si="291">COUNTIF(V86:AK86,2)</f>
        <v>0</v>
      </c>
      <c r="T86" s="99">
        <f t="shared" ref="T86" si="292">COUNTIF(V86:AK86,3)</f>
        <v>5</v>
      </c>
      <c r="V86" s="198">
        <v>6</v>
      </c>
      <c r="W86" s="84">
        <v>3</v>
      </c>
      <c r="X86" s="84">
        <v>5</v>
      </c>
      <c r="Y86" s="84">
        <v>3</v>
      </c>
      <c r="Z86" s="84">
        <v>3</v>
      </c>
      <c r="AA86" s="84">
        <v>3</v>
      </c>
      <c r="AB86" s="84">
        <v>5</v>
      </c>
      <c r="AC86" s="84">
        <v>5</v>
      </c>
      <c r="AD86" s="84">
        <v>3</v>
      </c>
      <c r="AE86" s="84">
        <v>0</v>
      </c>
      <c r="AF86" s="84">
        <v>4</v>
      </c>
      <c r="AG86" s="84">
        <v>5</v>
      </c>
      <c r="AH86" s="84">
        <v>5</v>
      </c>
      <c r="AI86" s="84">
        <v>5</v>
      </c>
      <c r="AJ86" s="84">
        <v>5</v>
      </c>
      <c r="AK86" s="84">
        <v>6</v>
      </c>
      <c r="AL86" s="84">
        <v>4</v>
      </c>
      <c r="AM86" s="84">
        <v>5</v>
      </c>
      <c r="AN86" s="84">
        <v>3</v>
      </c>
      <c r="AO86" s="84">
        <v>4</v>
      </c>
      <c r="AP86" s="198">
        <v>3</v>
      </c>
      <c r="AQ86" s="122"/>
      <c r="AR86" s="122"/>
      <c r="AS86" s="198">
        <v>6</v>
      </c>
      <c r="AT86" s="34">
        <v>4</v>
      </c>
      <c r="AU86" s="34">
        <v>5</v>
      </c>
      <c r="AV86" s="34">
        <v>4</v>
      </c>
      <c r="AW86" s="34">
        <v>4</v>
      </c>
      <c r="AX86" s="34">
        <v>4</v>
      </c>
      <c r="AY86" s="34">
        <v>5</v>
      </c>
      <c r="AZ86" s="34">
        <v>5</v>
      </c>
      <c r="BA86" s="34">
        <v>3</v>
      </c>
      <c r="BB86" s="34">
        <v>0</v>
      </c>
      <c r="BC86" s="34">
        <v>4</v>
      </c>
      <c r="BD86" s="34">
        <v>5</v>
      </c>
      <c r="BE86" s="34">
        <v>5</v>
      </c>
      <c r="BF86" s="34">
        <v>5</v>
      </c>
      <c r="BG86" s="34">
        <v>6</v>
      </c>
      <c r="BH86" s="34">
        <v>6</v>
      </c>
      <c r="BI86" s="34">
        <v>5</v>
      </c>
      <c r="BJ86" s="34">
        <v>5</v>
      </c>
      <c r="BK86" s="34">
        <v>4</v>
      </c>
      <c r="BL86" s="34">
        <v>5</v>
      </c>
      <c r="BM86" s="34">
        <v>4</v>
      </c>
      <c r="BN86" s="52"/>
      <c r="BO86" s="52"/>
      <c r="BP86" s="100">
        <f t="shared" ref="BP86" si="293">COUNTIF(AS86:BM86,6)</f>
        <v>3</v>
      </c>
      <c r="BQ86" s="201">
        <f t="shared" ref="BQ86" si="294">SUM(BR86:BT86)</f>
        <v>1</v>
      </c>
      <c r="BR86" s="9">
        <f t="shared" si="152"/>
        <v>1</v>
      </c>
      <c r="BS86" s="100">
        <f t="shared" ref="BS86" si="295">COUNTIF(AS86:BM86,2)</f>
        <v>0</v>
      </c>
      <c r="BT86" s="100">
        <f t="shared" ref="BT86" si="296">COUNTIF(AS86:BM86,1)</f>
        <v>0</v>
      </c>
      <c r="BU86" s="100">
        <f t="shared" ref="BU86" si="297">COUNTIF(AS86:BH86,6)</f>
        <v>3</v>
      </c>
      <c r="BV86" s="201">
        <f t="shared" ref="BV86" si="298">SUM(BW86:BY86)</f>
        <v>1</v>
      </c>
      <c r="BW86" s="9">
        <f t="shared" ref="BW86" si="299">COUNTIF(AS86:BH86,3)</f>
        <v>1</v>
      </c>
      <c r="BX86" s="100">
        <f t="shared" ref="BX86" si="300">COUNTIF(AS86:BH86,2)</f>
        <v>0</v>
      </c>
      <c r="BY86" s="100">
        <f t="shared" ref="BY86" si="301">COUNTIF(AS86:BH86,1)</f>
        <v>0</v>
      </c>
      <c r="DI86" s="198">
        <v>0</v>
      </c>
      <c r="DJ86" s="198">
        <v>1</v>
      </c>
      <c r="DK86" s="84">
        <v>0</v>
      </c>
      <c r="DL86" s="84">
        <v>1</v>
      </c>
      <c r="DM86" s="84">
        <v>1</v>
      </c>
      <c r="DN86" s="84">
        <v>1</v>
      </c>
      <c r="DO86" s="84">
        <v>0</v>
      </c>
      <c r="DP86" s="84">
        <v>0</v>
      </c>
      <c r="DQ86" s="84">
        <v>0</v>
      </c>
      <c r="DR86" s="84">
        <v>0</v>
      </c>
      <c r="DS86" s="84">
        <v>0</v>
      </c>
      <c r="DT86" s="84">
        <v>0</v>
      </c>
      <c r="DU86" s="84">
        <v>0</v>
      </c>
      <c r="DV86" s="84">
        <v>0</v>
      </c>
      <c r="DW86" s="84">
        <v>1</v>
      </c>
      <c r="DX86" s="84">
        <v>0</v>
      </c>
      <c r="DY86" s="84">
        <v>1</v>
      </c>
      <c r="DZ86" s="84">
        <v>0</v>
      </c>
      <c r="EA86" s="84">
        <v>1</v>
      </c>
      <c r="EB86" s="84">
        <v>1</v>
      </c>
      <c r="EC86" s="84">
        <v>1</v>
      </c>
      <c r="EE86" s="46">
        <f t="shared" ref="EE86" si="302">SUM(EF86:EI86)</f>
        <v>9</v>
      </c>
      <c r="EF86" s="201">
        <f t="shared" ref="EF86" si="303">COUNTIF(DI86:EC86,1)</f>
        <v>9</v>
      </c>
      <c r="EG86" s="201">
        <f t="shared" ref="EG86" si="304">COUNTIF(DI86:EC86,2)</f>
        <v>0</v>
      </c>
      <c r="EH86" s="201">
        <f t="shared" ref="EH86" si="305">COUNTIF(DI86:EC86,3)</f>
        <v>0</v>
      </c>
      <c r="EI86" s="201">
        <f t="shared" ref="EI86" si="306">COUNTIF(DI86:EC86,4)</f>
        <v>0</v>
      </c>
      <c r="EJ86" s="122"/>
      <c r="EK86" s="122"/>
      <c r="EL86" s="122"/>
      <c r="EM86" s="46">
        <f t="shared" ref="EM86" si="307">SUM(EN86:EQ86)</f>
        <v>5</v>
      </c>
      <c r="EN86" s="201">
        <f t="shared" ref="EN86" si="308">COUNTIF(DI86:DX86,1)</f>
        <v>5</v>
      </c>
      <c r="EO86" s="201">
        <f t="shared" ref="EO86" si="309">COUNTIF(DI86:DX86,2)</f>
        <v>0</v>
      </c>
      <c r="EP86" s="201">
        <f t="shared" ref="EP86" si="310">COUNTIF(DI86:DX86,3)</f>
        <v>0</v>
      </c>
      <c r="EQ86" s="201">
        <f t="shared" ref="EQ86" si="311">COUNTIF(DI86:DX86,4)</f>
        <v>0</v>
      </c>
    </row>
    <row r="87" spans="11:147" ht="17.25">
      <c r="K87" s="11"/>
      <c r="L87" s="11"/>
      <c r="M87" s="11"/>
      <c r="N87" s="11"/>
      <c r="O87" s="11"/>
      <c r="P87" s="11"/>
      <c r="Q87" s="11"/>
      <c r="R87" s="70"/>
      <c r="S87" s="70"/>
      <c r="T87" s="70"/>
      <c r="AQ87" s="122"/>
      <c r="AR87" s="122"/>
      <c r="BN87" s="52"/>
      <c r="BO87" s="52"/>
      <c r="BP87" s="52"/>
      <c r="BQ87" s="52"/>
      <c r="BR87" s="51"/>
      <c r="BS87" s="52"/>
      <c r="BT87" s="51"/>
      <c r="BU87" s="51"/>
      <c r="BV87" s="51"/>
      <c r="DI87" s="204"/>
    </row>
    <row r="88" spans="11:147" ht="17.25">
      <c r="K88" s="11"/>
      <c r="L88" s="11"/>
      <c r="M88" s="11"/>
      <c r="N88" s="11"/>
      <c r="O88" s="11"/>
      <c r="P88" s="11"/>
      <c r="Q88" s="11"/>
      <c r="R88" s="70"/>
      <c r="S88" s="70"/>
      <c r="T88" s="70"/>
      <c r="BN88" s="52"/>
      <c r="BO88" s="52"/>
      <c r="BP88" s="52"/>
      <c r="BQ88" s="52"/>
      <c r="BR88" s="52"/>
      <c r="BS88" s="51"/>
      <c r="BT88" s="52"/>
      <c r="BU88" s="51"/>
      <c r="BV88" s="52"/>
    </row>
    <row r="89" spans="11:147">
      <c r="K89" s="11"/>
      <c r="L89" s="11"/>
      <c r="M89" s="11"/>
      <c r="N89" s="11"/>
      <c r="O89" s="11"/>
      <c r="P89" s="11"/>
      <c r="Q89" s="11"/>
      <c r="R89" s="70"/>
      <c r="S89" s="70"/>
      <c r="T89" s="70"/>
    </row>
    <row r="90" spans="11:147">
      <c r="K90" s="11"/>
      <c r="L90" s="11"/>
      <c r="M90" s="11"/>
      <c r="N90" s="11"/>
      <c r="O90" s="11"/>
      <c r="P90" s="11"/>
      <c r="Q90" s="11"/>
      <c r="R90" s="70"/>
      <c r="S90" s="70"/>
      <c r="T90" s="70"/>
    </row>
    <row r="91" spans="11:147">
      <c r="K91" s="11"/>
      <c r="L91" s="11"/>
      <c r="M91" s="11"/>
      <c r="N91" s="11"/>
      <c r="O91" s="11"/>
      <c r="P91" s="11"/>
      <c r="Q91" s="11"/>
      <c r="R91" s="70"/>
      <c r="S91" s="70"/>
      <c r="T91" s="70"/>
    </row>
    <row r="92" spans="11:147">
      <c r="K92" s="11"/>
      <c r="L92" s="11"/>
      <c r="M92" s="11"/>
      <c r="N92" s="11"/>
      <c r="O92" s="11"/>
      <c r="P92" s="11"/>
      <c r="Q92" s="11"/>
      <c r="R92" s="70"/>
      <c r="S92" s="70"/>
      <c r="T92" s="70"/>
    </row>
    <row r="93" spans="11:147">
      <c r="K93" s="11"/>
      <c r="L93" s="11"/>
      <c r="M93" s="11"/>
      <c r="N93" s="11"/>
      <c r="O93" s="11"/>
      <c r="P93" s="11"/>
      <c r="Q93" s="11"/>
      <c r="R93" s="70"/>
      <c r="S93" s="70"/>
      <c r="T93" s="70"/>
    </row>
    <row r="94" spans="11:147">
      <c r="K94" s="11"/>
      <c r="L94" s="11"/>
      <c r="M94" s="11"/>
      <c r="N94" s="11"/>
      <c r="O94" s="11"/>
      <c r="P94" s="11"/>
      <c r="Q94" s="11"/>
      <c r="R94" s="70"/>
      <c r="S94" s="70"/>
      <c r="T94" s="70"/>
    </row>
    <row r="95" spans="11:147">
      <c r="K95" s="11"/>
      <c r="L95" s="11"/>
      <c r="M95" s="11"/>
      <c r="N95" s="11"/>
      <c r="O95" s="11"/>
      <c r="P95" s="11"/>
      <c r="Q95" s="11"/>
      <c r="R95" s="70"/>
      <c r="S95" s="70"/>
      <c r="T95" s="70"/>
    </row>
    <row r="96" spans="11:147">
      <c r="K96" s="11"/>
      <c r="L96" s="11"/>
      <c r="M96" s="11"/>
      <c r="N96" s="11"/>
      <c r="O96" s="11"/>
      <c r="P96" s="11"/>
      <c r="Q96" s="11"/>
      <c r="R96" s="70"/>
      <c r="S96" s="70"/>
      <c r="T96" s="70"/>
    </row>
    <row r="97" spans="11:20">
      <c r="K97" s="11"/>
      <c r="L97" s="11"/>
      <c r="M97" s="11"/>
      <c r="N97" s="11"/>
      <c r="O97" s="11"/>
      <c r="P97" s="11"/>
      <c r="Q97" s="11"/>
      <c r="R97" s="70"/>
      <c r="S97" s="70"/>
      <c r="T97" s="70"/>
    </row>
    <row r="98" spans="11:20">
      <c r="K98" s="11"/>
      <c r="L98" s="11"/>
      <c r="M98" s="11"/>
      <c r="N98" s="11"/>
      <c r="O98" s="11"/>
      <c r="P98" s="11"/>
      <c r="Q98" s="11"/>
      <c r="R98" s="70"/>
      <c r="S98" s="70"/>
      <c r="T98" s="70"/>
    </row>
    <row r="99" spans="11:20">
      <c r="K99" s="11"/>
      <c r="L99" s="11"/>
      <c r="M99" s="11"/>
      <c r="N99" s="11"/>
      <c r="O99" s="11"/>
      <c r="P99" s="11"/>
      <c r="Q99" s="11"/>
      <c r="R99" s="70"/>
      <c r="S99" s="70"/>
      <c r="T99" s="70"/>
    </row>
    <row r="100" spans="11:20">
      <c r="K100" s="11"/>
      <c r="L100" s="11"/>
      <c r="M100" s="11"/>
      <c r="N100" s="11"/>
      <c r="O100" s="11"/>
      <c r="P100" s="11"/>
      <c r="Q100" s="11"/>
      <c r="R100" s="70"/>
      <c r="S100" s="70"/>
      <c r="T100" s="70"/>
    </row>
    <row r="101" spans="11:20">
      <c r="K101" s="11"/>
      <c r="L101" s="11"/>
      <c r="M101" s="11"/>
      <c r="N101" s="11"/>
      <c r="O101" s="11"/>
      <c r="P101" s="11"/>
      <c r="Q101" s="11"/>
      <c r="R101" s="70"/>
      <c r="S101" s="70"/>
      <c r="T101" s="70"/>
    </row>
    <row r="102" spans="11:20">
      <c r="K102" s="11"/>
      <c r="L102" s="11"/>
      <c r="M102" s="11"/>
      <c r="N102" s="11"/>
      <c r="O102" s="11"/>
      <c r="P102" s="11"/>
      <c r="Q102" s="11"/>
      <c r="R102" s="70"/>
      <c r="S102" s="70"/>
      <c r="T102" s="70"/>
    </row>
    <row r="103" spans="11:20">
      <c r="K103" s="11"/>
      <c r="L103" s="11"/>
      <c r="M103" s="11"/>
      <c r="N103" s="11"/>
      <c r="O103" s="11"/>
      <c r="P103" s="11"/>
      <c r="Q103" s="11"/>
      <c r="R103" s="70"/>
      <c r="S103" s="70"/>
      <c r="T103" s="70"/>
    </row>
    <row r="104" spans="11:20">
      <c r="K104" s="11"/>
      <c r="L104" s="11"/>
      <c r="M104" s="11"/>
      <c r="N104" s="11"/>
      <c r="O104" s="11"/>
      <c r="P104" s="11"/>
      <c r="Q104" s="11"/>
      <c r="R104" s="70"/>
      <c r="S104" s="70"/>
      <c r="T104" s="70"/>
    </row>
    <row r="105" spans="11:20">
      <c r="K105" s="11"/>
      <c r="L105" s="11"/>
      <c r="M105" s="11"/>
      <c r="N105" s="11"/>
      <c r="O105" s="11"/>
      <c r="P105" s="11"/>
      <c r="Q105" s="11"/>
      <c r="R105" s="70"/>
      <c r="S105" s="70"/>
      <c r="T105" s="70"/>
    </row>
    <row r="106" spans="11:20">
      <c r="K106" s="11"/>
      <c r="L106" s="11"/>
      <c r="M106" s="11"/>
      <c r="N106" s="11"/>
      <c r="O106" s="11"/>
      <c r="P106" s="11"/>
      <c r="Q106" s="11"/>
      <c r="R106" s="70"/>
      <c r="S106" s="70"/>
      <c r="T106" s="70"/>
    </row>
    <row r="107" spans="11:20">
      <c r="K107" s="11"/>
      <c r="L107" s="11"/>
      <c r="M107" s="11"/>
      <c r="N107" s="11"/>
      <c r="O107" s="11"/>
      <c r="P107" s="11"/>
      <c r="Q107" s="11"/>
      <c r="R107" s="70"/>
      <c r="S107" s="70"/>
      <c r="T107" s="70"/>
    </row>
    <row r="108" spans="11:20">
      <c r="K108" s="11"/>
      <c r="L108" s="11"/>
      <c r="M108" s="11"/>
      <c r="N108" s="11"/>
      <c r="O108" s="11"/>
      <c r="P108" s="11"/>
      <c r="Q108" s="11"/>
      <c r="R108" s="70"/>
      <c r="S108" s="70"/>
      <c r="T108" s="70"/>
    </row>
    <row r="109" spans="11:20">
      <c r="K109" s="11"/>
      <c r="L109" s="11"/>
      <c r="M109" s="11"/>
      <c r="N109" s="11"/>
      <c r="O109" s="11"/>
      <c r="P109" s="11"/>
      <c r="Q109" s="11"/>
      <c r="R109" s="70"/>
      <c r="S109" s="70"/>
      <c r="T109" s="70"/>
    </row>
    <row r="110" spans="11:20">
      <c r="K110" s="11"/>
      <c r="L110" s="11"/>
      <c r="M110" s="11"/>
      <c r="N110" s="11"/>
      <c r="O110" s="11"/>
      <c r="P110" s="11"/>
      <c r="Q110" s="11"/>
      <c r="R110" s="70"/>
      <c r="S110" s="70"/>
      <c r="T110" s="70"/>
    </row>
    <row r="111" spans="11:20">
      <c r="K111" s="11"/>
      <c r="L111" s="11"/>
      <c r="M111" s="11"/>
      <c r="N111" s="11"/>
      <c r="O111" s="11"/>
      <c r="P111" s="11"/>
      <c r="Q111" s="11"/>
      <c r="R111" s="70"/>
      <c r="S111" s="70"/>
      <c r="T111" s="70"/>
    </row>
    <row r="112" spans="11:20">
      <c r="K112" s="11"/>
      <c r="L112" s="11"/>
      <c r="M112" s="11"/>
      <c r="N112" s="11"/>
      <c r="O112" s="11"/>
      <c r="P112" s="11"/>
      <c r="Q112" s="11"/>
      <c r="R112" s="70"/>
      <c r="S112" s="70"/>
      <c r="T112" s="70"/>
    </row>
    <row r="113" spans="11:20">
      <c r="K113" s="11"/>
      <c r="L113" s="11"/>
      <c r="M113" s="11"/>
      <c r="N113" s="11"/>
      <c r="O113" s="11"/>
      <c r="P113" s="11"/>
      <c r="Q113" s="11"/>
      <c r="R113" s="70"/>
      <c r="S113" s="70"/>
      <c r="T113" s="70"/>
    </row>
    <row r="114" spans="11:20">
      <c r="K114" s="11"/>
      <c r="L114" s="11"/>
      <c r="M114" s="11"/>
      <c r="N114" s="11"/>
      <c r="O114" s="11"/>
      <c r="P114" s="11"/>
      <c r="Q114" s="11"/>
      <c r="R114" s="70"/>
      <c r="S114" s="70"/>
      <c r="T114" s="70"/>
    </row>
    <row r="115" spans="11:20">
      <c r="K115" s="11"/>
      <c r="L115" s="11"/>
      <c r="M115" s="11"/>
      <c r="N115" s="11"/>
      <c r="O115" s="11"/>
      <c r="P115" s="11"/>
      <c r="Q115" s="11"/>
      <c r="R115" s="70"/>
      <c r="S115" s="70"/>
      <c r="T115" s="70"/>
    </row>
    <row r="116" spans="11:20">
      <c r="K116" s="11"/>
      <c r="L116" s="11"/>
      <c r="M116" s="11"/>
      <c r="N116" s="11"/>
      <c r="O116" s="11"/>
      <c r="P116" s="11"/>
      <c r="Q116" s="11"/>
      <c r="R116" s="70"/>
      <c r="S116" s="70"/>
      <c r="T116" s="70"/>
    </row>
    <row r="117" spans="11:20">
      <c r="K117" s="11"/>
      <c r="L117" s="11"/>
      <c r="M117" s="11"/>
      <c r="N117" s="11"/>
      <c r="O117" s="11"/>
      <c r="P117" s="11"/>
      <c r="Q117" s="11"/>
      <c r="R117" s="70"/>
      <c r="S117" s="70"/>
      <c r="T117" s="70"/>
    </row>
    <row r="118" spans="11:20">
      <c r="K118" s="11"/>
      <c r="L118" s="11"/>
      <c r="M118" s="11"/>
      <c r="N118" s="11"/>
      <c r="O118" s="11"/>
      <c r="P118" s="11"/>
      <c r="Q118" s="11"/>
      <c r="R118" s="70"/>
      <c r="S118" s="70"/>
      <c r="T118" s="70"/>
    </row>
    <row r="119" spans="11:20">
      <c r="K119" s="11"/>
      <c r="L119" s="11"/>
      <c r="M119" s="11"/>
      <c r="N119" s="11"/>
      <c r="O119" s="11"/>
      <c r="P119" s="11"/>
      <c r="Q119" s="11"/>
      <c r="R119" s="70"/>
      <c r="S119" s="70"/>
      <c r="T119" s="70"/>
    </row>
    <row r="120" spans="11:20">
      <c r="K120" s="11"/>
      <c r="L120" s="11"/>
      <c r="M120" s="11"/>
      <c r="N120" s="11"/>
      <c r="O120" s="11"/>
      <c r="P120" s="11"/>
      <c r="Q120" s="11"/>
      <c r="R120" s="70"/>
      <c r="S120" s="70"/>
      <c r="T120" s="70"/>
    </row>
    <row r="121" spans="11:20">
      <c r="K121" s="11"/>
      <c r="L121" s="11"/>
      <c r="M121" s="11"/>
      <c r="N121" s="11"/>
      <c r="O121" s="11"/>
      <c r="P121" s="11"/>
      <c r="Q121" s="11"/>
      <c r="R121" s="70"/>
      <c r="S121" s="70"/>
      <c r="T121" s="70"/>
    </row>
    <row r="122" spans="11:20">
      <c r="K122" s="11"/>
      <c r="L122" s="11"/>
      <c r="M122" s="11"/>
      <c r="N122" s="11"/>
      <c r="O122" s="11"/>
      <c r="P122" s="11"/>
      <c r="Q122" s="11"/>
      <c r="R122" s="70"/>
      <c r="S122" s="70"/>
      <c r="T122" s="70"/>
    </row>
    <row r="123" spans="11:20">
      <c r="K123" s="11"/>
      <c r="L123" s="11"/>
      <c r="M123" s="11"/>
      <c r="N123" s="11"/>
      <c r="O123" s="11"/>
      <c r="P123" s="11"/>
      <c r="Q123" s="11"/>
      <c r="R123" s="70"/>
      <c r="S123" s="70"/>
      <c r="T123" s="70"/>
    </row>
    <row r="124" spans="11:20">
      <c r="K124" s="11"/>
      <c r="L124" s="11"/>
      <c r="M124" s="11"/>
      <c r="N124" s="11"/>
      <c r="O124" s="11"/>
      <c r="P124" s="11"/>
      <c r="Q124" s="11"/>
      <c r="R124" s="70"/>
      <c r="S124" s="70"/>
      <c r="T124" s="70"/>
    </row>
    <row r="125" spans="11:20">
      <c r="K125" s="11"/>
      <c r="L125" s="11"/>
      <c r="M125" s="11"/>
      <c r="N125" s="11"/>
      <c r="O125" s="11"/>
      <c r="P125" s="11"/>
      <c r="Q125" s="11"/>
      <c r="R125" s="70"/>
      <c r="S125" s="70"/>
      <c r="T125" s="70"/>
    </row>
    <row r="126" spans="11:20">
      <c r="K126" s="11"/>
      <c r="L126" s="11"/>
      <c r="M126" s="11"/>
      <c r="N126" s="11"/>
      <c r="O126" s="11"/>
      <c r="P126" s="11"/>
      <c r="Q126" s="11"/>
      <c r="R126" s="70"/>
      <c r="S126" s="70"/>
      <c r="T126" s="70"/>
    </row>
    <row r="127" spans="11:20">
      <c r="K127" s="11"/>
      <c r="L127" s="11"/>
      <c r="M127" s="11"/>
      <c r="N127" s="11"/>
      <c r="O127" s="11"/>
      <c r="P127" s="11"/>
      <c r="Q127" s="11"/>
      <c r="R127" s="70"/>
      <c r="S127" s="70"/>
      <c r="T127" s="70"/>
    </row>
    <row r="128" spans="11:20">
      <c r="K128" s="11"/>
      <c r="L128" s="11"/>
      <c r="M128" s="11"/>
      <c r="N128" s="11"/>
      <c r="O128" s="11"/>
      <c r="P128" s="11"/>
      <c r="Q128" s="11"/>
      <c r="R128" s="70"/>
      <c r="S128" s="70"/>
      <c r="T128" s="70"/>
    </row>
    <row r="129" spans="11:20">
      <c r="K129" s="11"/>
      <c r="L129" s="11"/>
      <c r="M129" s="11"/>
      <c r="N129" s="11"/>
      <c r="O129" s="11"/>
      <c r="P129" s="11"/>
      <c r="Q129" s="11"/>
      <c r="R129" s="70"/>
      <c r="S129" s="70"/>
      <c r="T129" s="70"/>
    </row>
    <row r="130" spans="11:20">
      <c r="K130" s="11"/>
      <c r="L130" s="11"/>
      <c r="M130" s="11"/>
      <c r="N130" s="11"/>
      <c r="O130" s="11"/>
      <c r="P130" s="11"/>
      <c r="Q130" s="11"/>
      <c r="R130" s="70"/>
      <c r="S130" s="70"/>
      <c r="T130" s="70"/>
    </row>
    <row r="131" spans="11:20">
      <c r="K131" s="11"/>
      <c r="L131" s="11"/>
      <c r="M131" s="11"/>
      <c r="N131" s="11"/>
      <c r="O131" s="11"/>
      <c r="P131" s="11"/>
      <c r="Q131" s="11"/>
      <c r="R131" s="70"/>
      <c r="S131" s="70"/>
      <c r="T131" s="70"/>
    </row>
    <row r="132" spans="11:20">
      <c r="K132" s="11"/>
      <c r="L132" s="11"/>
      <c r="M132" s="11"/>
      <c r="N132" s="11"/>
      <c r="O132" s="11"/>
      <c r="P132" s="11"/>
      <c r="Q132" s="11"/>
      <c r="R132" s="70"/>
      <c r="S132" s="70"/>
      <c r="T132" s="70"/>
    </row>
    <row r="133" spans="11:20">
      <c r="K133" s="11"/>
      <c r="L133" s="11"/>
      <c r="M133" s="11"/>
      <c r="N133" s="11"/>
      <c r="O133" s="11"/>
      <c r="P133" s="11"/>
      <c r="Q133" s="11"/>
      <c r="R133" s="70"/>
      <c r="S133" s="70"/>
      <c r="T133" s="70"/>
    </row>
    <row r="134" spans="11:20">
      <c r="K134" s="11"/>
      <c r="L134" s="11"/>
      <c r="M134" s="11"/>
      <c r="N134" s="11"/>
      <c r="O134" s="11"/>
      <c r="P134" s="11"/>
      <c r="Q134" s="11"/>
      <c r="R134" s="70"/>
      <c r="S134" s="70"/>
      <c r="T134" s="70"/>
    </row>
    <row r="135" spans="11:20">
      <c r="K135" s="11"/>
      <c r="L135" s="11"/>
      <c r="M135" s="11"/>
      <c r="N135" s="11"/>
      <c r="O135" s="11"/>
      <c r="P135" s="11"/>
      <c r="Q135" s="11"/>
      <c r="R135" s="70"/>
      <c r="S135" s="70"/>
      <c r="T135" s="70"/>
    </row>
    <row r="136" spans="11:20">
      <c r="K136" s="11"/>
      <c r="L136" s="11"/>
      <c r="M136" s="11"/>
      <c r="N136" s="11"/>
      <c r="O136" s="11"/>
      <c r="P136" s="11"/>
      <c r="Q136" s="11"/>
      <c r="R136" s="70"/>
      <c r="S136" s="70"/>
      <c r="T136" s="70"/>
    </row>
    <row r="137" spans="11:20">
      <c r="K137" s="11"/>
      <c r="L137" s="11"/>
      <c r="M137" s="11"/>
      <c r="N137" s="11"/>
      <c r="O137" s="11"/>
      <c r="P137" s="11"/>
      <c r="Q137" s="11"/>
      <c r="R137" s="70"/>
      <c r="S137" s="70"/>
      <c r="T137" s="70"/>
    </row>
    <row r="138" spans="11:20">
      <c r="K138" s="11"/>
      <c r="L138" s="11"/>
      <c r="M138" s="11"/>
      <c r="N138" s="11"/>
      <c r="O138" s="11"/>
      <c r="P138" s="11"/>
      <c r="Q138" s="11"/>
      <c r="R138" s="70"/>
      <c r="S138" s="70"/>
      <c r="T138" s="70"/>
    </row>
    <row r="139" spans="11:20">
      <c r="K139" s="11"/>
      <c r="L139" s="11"/>
      <c r="M139" s="11"/>
      <c r="N139" s="11"/>
      <c r="O139" s="11"/>
      <c r="P139" s="11"/>
      <c r="Q139" s="11"/>
      <c r="R139" s="70"/>
      <c r="S139" s="70"/>
      <c r="T139" s="70"/>
    </row>
    <row r="140" spans="11:20">
      <c r="K140" s="11"/>
      <c r="L140" s="11"/>
      <c r="M140" s="11"/>
      <c r="N140" s="11"/>
      <c r="O140" s="11"/>
      <c r="P140" s="11"/>
      <c r="Q140" s="11"/>
      <c r="R140" s="70"/>
      <c r="S140" s="70"/>
      <c r="T140" s="70"/>
    </row>
    <row r="141" spans="11:20">
      <c r="K141" s="11"/>
      <c r="L141" s="11"/>
      <c r="M141" s="11"/>
      <c r="N141" s="11"/>
      <c r="O141" s="11"/>
      <c r="P141" s="11"/>
      <c r="Q141" s="11"/>
      <c r="R141" s="70"/>
      <c r="S141" s="70"/>
      <c r="T141" s="70"/>
    </row>
    <row r="142" spans="11:20">
      <c r="K142" s="11"/>
      <c r="L142" s="11"/>
      <c r="M142" s="11"/>
      <c r="N142" s="11"/>
      <c r="O142" s="11"/>
      <c r="P142" s="11"/>
      <c r="Q142" s="11"/>
      <c r="R142" s="70"/>
      <c r="S142" s="70"/>
      <c r="T142" s="70"/>
    </row>
    <row r="143" spans="11:20">
      <c r="K143" s="11"/>
      <c r="L143" s="11"/>
      <c r="M143" s="11"/>
      <c r="N143" s="11"/>
      <c r="O143" s="11"/>
      <c r="P143" s="11"/>
      <c r="Q143" s="11"/>
      <c r="R143" s="70"/>
      <c r="S143" s="70"/>
      <c r="T143" s="70"/>
    </row>
    <row r="144" spans="11:20">
      <c r="K144" s="11"/>
      <c r="L144" s="11"/>
      <c r="M144" s="70"/>
      <c r="N144" s="70"/>
      <c r="O144" s="70"/>
    </row>
    <row r="145" spans="11:15">
      <c r="K145" s="11"/>
      <c r="L145" s="11"/>
      <c r="M145" s="70"/>
      <c r="N145" s="70"/>
      <c r="O145" s="70"/>
    </row>
    <row r="146" spans="11:15">
      <c r="K146" s="11"/>
      <c r="L146" s="11"/>
      <c r="M146" s="70"/>
      <c r="N146" s="70"/>
      <c r="O146" s="70"/>
    </row>
    <row r="147" spans="11:15">
      <c r="K147" s="11"/>
      <c r="L147" s="11"/>
      <c r="M147" s="70"/>
      <c r="N147" s="70"/>
      <c r="O147" s="70"/>
    </row>
    <row r="148" spans="11:15">
      <c r="K148" s="11"/>
      <c r="L148" s="11"/>
      <c r="M148" s="70"/>
      <c r="N148" s="70"/>
      <c r="O148" s="70"/>
    </row>
    <row r="149" spans="11:15">
      <c r="K149" s="11"/>
      <c r="L149" s="11"/>
      <c r="M149" s="70"/>
      <c r="N149" s="70"/>
      <c r="O149" s="70"/>
    </row>
    <row r="150" spans="11:15">
      <c r="K150" s="11"/>
      <c r="L150" s="11"/>
      <c r="M150" s="70"/>
      <c r="N150" s="70"/>
      <c r="O150" s="70"/>
    </row>
    <row r="151" spans="11:15">
      <c r="K151" s="11"/>
      <c r="L151" s="11"/>
      <c r="M151" s="70"/>
      <c r="N151" s="70"/>
      <c r="O151" s="70"/>
    </row>
    <row r="152" spans="11:15">
      <c r="K152" s="11"/>
      <c r="L152" s="11"/>
      <c r="M152" s="70"/>
      <c r="N152" s="70"/>
      <c r="O152" s="70"/>
    </row>
    <row r="153" spans="11:15">
      <c r="K153" s="11"/>
      <c r="L153" s="11"/>
      <c r="M153" s="70"/>
      <c r="N153" s="70"/>
      <c r="O153" s="70"/>
    </row>
    <row r="154" spans="11:15">
      <c r="K154" s="11"/>
      <c r="L154" s="11"/>
      <c r="M154" s="70"/>
      <c r="N154" s="70"/>
      <c r="O154" s="70"/>
    </row>
    <row r="155" spans="11:15">
      <c r="K155" s="11"/>
      <c r="L155" s="11"/>
      <c r="M155" s="70"/>
      <c r="N155" s="70"/>
      <c r="O155" s="70"/>
    </row>
    <row r="156" spans="11:15">
      <c r="K156" s="11"/>
      <c r="L156" s="11"/>
      <c r="M156" s="70"/>
      <c r="N156" s="70"/>
      <c r="O156" s="70"/>
    </row>
    <row r="157" spans="11:15">
      <c r="K157" s="11"/>
      <c r="L157" s="11"/>
      <c r="M157" s="70"/>
      <c r="N157" s="70"/>
      <c r="O157" s="70"/>
    </row>
    <row r="158" spans="11:15">
      <c r="K158" s="11"/>
      <c r="L158" s="11"/>
      <c r="M158" s="70"/>
      <c r="N158" s="70"/>
      <c r="O158" s="70"/>
    </row>
    <row r="159" spans="11:15">
      <c r="K159" s="11"/>
      <c r="L159" s="11"/>
      <c r="M159" s="70"/>
      <c r="N159" s="70"/>
      <c r="O159" s="70"/>
    </row>
    <row r="160" spans="11:15">
      <c r="K160" s="11"/>
      <c r="L160" s="11"/>
      <c r="M160" s="70"/>
      <c r="N160" s="70"/>
      <c r="O160" s="70"/>
    </row>
    <row r="161" spans="11:15">
      <c r="K161" s="11"/>
      <c r="L161" s="11"/>
      <c r="M161" s="70"/>
      <c r="N161" s="70"/>
      <c r="O161" s="70"/>
    </row>
    <row r="162" spans="11:15">
      <c r="K162" s="11"/>
      <c r="L162" s="11"/>
      <c r="M162" s="70"/>
      <c r="N162" s="70"/>
      <c r="O162" s="70"/>
    </row>
    <row r="163" spans="11:15">
      <c r="K163" s="11"/>
      <c r="L163" s="11"/>
      <c r="M163" s="70"/>
      <c r="N163" s="70"/>
      <c r="O163" s="70"/>
    </row>
    <row r="164" spans="11:15">
      <c r="K164" s="11"/>
      <c r="L164" s="11"/>
      <c r="M164" s="70"/>
      <c r="N164" s="70"/>
      <c r="O164" s="70"/>
    </row>
    <row r="165" spans="11:15">
      <c r="K165" s="11"/>
      <c r="L165" s="11"/>
      <c r="M165" s="70"/>
      <c r="N165" s="70"/>
      <c r="O165" s="70"/>
    </row>
    <row r="166" spans="11:15">
      <c r="K166" s="11"/>
      <c r="L166" s="11"/>
      <c r="M166" s="70"/>
      <c r="N166" s="70"/>
      <c r="O166" s="70"/>
    </row>
    <row r="167" spans="11:15">
      <c r="K167" s="11"/>
      <c r="L167" s="11"/>
      <c r="M167" s="70"/>
      <c r="N167" s="70"/>
      <c r="O167" s="70"/>
    </row>
    <row r="168" spans="11:15">
      <c r="K168" s="11"/>
      <c r="L168" s="11"/>
      <c r="M168" s="70"/>
      <c r="N168" s="70"/>
      <c r="O168" s="70"/>
    </row>
    <row r="169" spans="11:15">
      <c r="K169" s="11"/>
      <c r="L169" s="11"/>
      <c r="M169" s="70"/>
      <c r="N169" s="70"/>
      <c r="O169" s="70"/>
    </row>
    <row r="170" spans="11:15">
      <c r="K170" s="11"/>
      <c r="L170" s="11"/>
      <c r="M170" s="70"/>
      <c r="N170" s="70"/>
      <c r="O170" s="70"/>
    </row>
    <row r="171" spans="11:15">
      <c r="K171" s="11"/>
      <c r="L171" s="11"/>
      <c r="M171" s="70"/>
      <c r="N171" s="70"/>
      <c r="O171" s="70"/>
    </row>
    <row r="172" spans="11:15">
      <c r="K172" s="11"/>
      <c r="L172" s="11"/>
      <c r="M172" s="70"/>
      <c r="N172" s="70"/>
      <c r="O172" s="70"/>
    </row>
    <row r="173" spans="11:15">
      <c r="K173" s="11"/>
      <c r="L173" s="11"/>
      <c r="M173" s="70"/>
      <c r="N173" s="70"/>
      <c r="O173" s="70"/>
    </row>
  </sheetData>
  <mergeCells count="18">
    <mergeCell ref="EE35:EI35"/>
    <mergeCell ref="EM17:EO17"/>
    <mergeCell ref="EU17:EW17"/>
    <mergeCell ref="EU36:EW36"/>
    <mergeCell ref="AR1:BB1"/>
    <mergeCell ref="AQ2:AX2"/>
    <mergeCell ref="CY34:DB34"/>
    <mergeCell ref="EQ17:ES17"/>
    <mergeCell ref="EM35:EQ35"/>
    <mergeCell ref="DC34:DF34"/>
    <mergeCell ref="EE17:EG17"/>
    <mergeCell ref="EI17:EK17"/>
    <mergeCell ref="K34:O34"/>
    <mergeCell ref="P34:T34"/>
    <mergeCell ref="BU34:BU35"/>
    <mergeCell ref="BV34:BY34"/>
    <mergeCell ref="BP34:BP35"/>
    <mergeCell ref="BQ34:BT34"/>
  </mergeCells>
  <phoneticPr fontId="2" type="noConversion"/>
  <conditionalFormatting sqref="F26:F32">
    <cfRule type="cellIs" dxfId="689" priority="1853" operator="greaterThan">
      <formula>0.1</formula>
    </cfRule>
    <cfRule type="cellIs" dxfId="688" priority="1854" operator="greaterThan">
      <formula>15</formula>
    </cfRule>
  </conditionalFormatting>
  <conditionalFormatting sqref="AB57 AC58">
    <cfRule type="cellIs" dxfId="687" priority="1847" operator="equal">
      <formula>43</formula>
    </cfRule>
    <cfRule type="cellIs" dxfId="686" priority="1848" operator="equal">
      <formula>42</formula>
    </cfRule>
    <cfRule type="cellIs" dxfId="685" priority="1849" operator="equal">
      <formula>31</formula>
    </cfRule>
    <cfRule type="cellIs" dxfId="684" priority="1850" operator="equal">
      <formula>22</formula>
    </cfRule>
    <cfRule type="cellIs" dxfId="683" priority="1851" operator="equal">
      <formula>19</formula>
    </cfRule>
    <cfRule type="cellIs" dxfId="682" priority="1852" operator="equal">
      <formula>3</formula>
    </cfRule>
  </conditionalFormatting>
  <conditionalFormatting sqref="AB58 AC59 W72">
    <cfRule type="cellIs" dxfId="681" priority="1833" operator="equal">
      <formula>36</formula>
    </cfRule>
    <cfRule type="cellIs" dxfId="680" priority="1834" operator="equal">
      <formula>34</formula>
    </cfRule>
    <cfRule type="cellIs" dxfId="679" priority="1835" operator="equal">
      <formula>15</formula>
    </cfRule>
    <cfRule type="cellIs" dxfId="678" priority="1836" operator="equal">
      <formula>13</formula>
    </cfRule>
    <cfRule type="cellIs" dxfId="677" priority="1837" operator="equal">
      <formula>12</formula>
    </cfRule>
    <cfRule type="cellIs" dxfId="676" priority="1838" operator="equal">
      <formula>3</formula>
    </cfRule>
  </conditionalFormatting>
  <conditionalFormatting sqref="AB59 AC60 DJ72">
    <cfRule type="cellIs" dxfId="675" priority="1826" operator="equal">
      <formula>43</formula>
    </cfRule>
    <cfRule type="cellIs" dxfId="674" priority="1827" operator="equal">
      <formula>34</formula>
    </cfRule>
    <cfRule type="cellIs" dxfId="673" priority="1828" operator="equal">
      <formula>32</formula>
    </cfRule>
    <cfRule type="cellIs" dxfId="672" priority="1829" operator="equal">
      <formula>28</formula>
    </cfRule>
    <cfRule type="cellIs" dxfId="671" priority="1830" operator="equal">
      <formula>26</formula>
    </cfRule>
    <cfRule type="cellIs" dxfId="670" priority="1831" operator="equal">
      <formula>13</formula>
    </cfRule>
    <cfRule type="cellIs" dxfId="669" priority="1832" operator="equal">
      <formula>8</formula>
    </cfRule>
  </conditionalFormatting>
  <conditionalFormatting sqref="EG18:EG31 EK18:EK24 DA21:DA31 BW11:CC23 BR11:BT23 BR26:BT32 BW26:CC32 DE21:DE31 EO18:EO31 ES18:ES24 EW18:EW31 EW37:EW50">
    <cfRule type="cellIs" dxfId="668" priority="1793" operator="greaterThan">
      <formula>0.1</formula>
    </cfRule>
  </conditionalFormatting>
  <conditionalFormatting sqref="DE101:DV130 CD22:CW33 J91:DH92 J93:DD130 G96:I135 CD34:CQ65 CS34:CW65 DY68 DY63 DY59 DY57 DY54:DY55 DY51 DY45 DZ64 DZ60 DZ58 DZ55:DZ56 DZ52 DZ46 EA65 EA61 EA59 EA56:EA57 EA53 EA47 EB66 EB62 EB60 EB57:EB58 EB54 EB48 EC67 EC63 EC61 EC58:EC59 EC55 EC49 P91:T130 CD66:CW70">
    <cfRule type="cellIs" dxfId="667" priority="1762" operator="greaterThan">
      <formula>3.5</formula>
    </cfRule>
  </conditionalFormatting>
  <conditionalFormatting sqref="AS22:BH66 V22:AO37 AQ67:BH67 AS68:BH68 BI22:BN68 V38:AP68 V70:AP71">
    <cfRule type="cellIs" dxfId="666" priority="1755" operator="lessThan">
      <formula>3.5</formula>
    </cfRule>
  </conditionalFormatting>
  <conditionalFormatting sqref="DI22:EC73">
    <cfRule type="cellIs" dxfId="665" priority="1729" operator="greaterThan">
      <formula>0.5</formula>
    </cfRule>
  </conditionalFormatting>
  <conditionalFormatting sqref="CR60">
    <cfRule type="cellIs" dxfId="664" priority="826" operator="equal">
      <formula>37</formula>
    </cfRule>
    <cfRule type="cellIs" dxfId="663" priority="827" operator="equal">
      <formula>34</formula>
    </cfRule>
    <cfRule type="cellIs" dxfId="662" priority="828" operator="equal">
      <formula>20</formula>
    </cfRule>
    <cfRule type="cellIs" dxfId="661" priority="829" operator="equal">
      <formula>14</formula>
    </cfRule>
    <cfRule type="cellIs" dxfId="660" priority="830" operator="equal">
      <formula>7</formula>
    </cfRule>
    <cfRule type="cellIs" dxfId="659" priority="831" operator="equal">
      <formula>1</formula>
    </cfRule>
  </conditionalFormatting>
  <conditionalFormatting sqref="I37:I48">
    <cfRule type="cellIs" dxfId="658" priority="2277" operator="greaterThan">
      <formula>0.1</formula>
    </cfRule>
    <cfRule type="top10" priority="2278" rank="4"/>
  </conditionalFormatting>
  <conditionalFormatting sqref="AS22:BM68 V22:AP68">
    <cfRule type="cellIs" dxfId="657" priority="132" operator="equal">
      <formula>6</formula>
    </cfRule>
  </conditionalFormatting>
  <conditionalFormatting sqref="I22:I33">
    <cfRule type="cellIs" dxfId="656" priority="129" operator="greaterThan">
      <formula>0.1</formula>
    </cfRule>
    <cfRule type="top10" priority="130" rank="4"/>
  </conditionalFormatting>
  <conditionalFormatting sqref="V69:AP69 AS69:BM69 V73:AP73 AS73:BM73">
    <cfRule type="cellIs" dxfId="655" priority="124" operator="equal">
      <formula>6</formula>
    </cfRule>
    <cfRule type="cellIs" dxfId="654" priority="127" operator="lessThan">
      <formula>3.5</formula>
    </cfRule>
  </conditionalFormatting>
  <conditionalFormatting sqref="F37:F48">
    <cfRule type="cellIs" dxfId="653" priority="120" operator="greaterThan">
      <formula>0.1</formula>
    </cfRule>
    <cfRule type="top10" priority="121" rank="4"/>
  </conditionalFormatting>
  <conditionalFormatting sqref="F22:F33">
    <cfRule type="cellIs" dxfId="652" priority="118" operator="greaterThan">
      <formula>0.1</formula>
    </cfRule>
    <cfRule type="top10" priority="119" rank="4"/>
  </conditionalFormatting>
  <conditionalFormatting sqref="V69:AP72 AS69:BM72">
    <cfRule type="cellIs" dxfId="651" priority="96" operator="lessThan">
      <formula>3.5</formula>
    </cfRule>
    <cfRule type="cellIs" dxfId="650" priority="97" operator="equal">
      <formula>6</formula>
    </cfRule>
  </conditionalFormatting>
  <conditionalFormatting sqref="DI74:EC74">
    <cfRule type="cellIs" dxfId="649" priority="86" operator="greaterThan">
      <formula>0.5</formula>
    </cfRule>
  </conditionalFormatting>
  <conditionalFormatting sqref="CD71:CW71">
    <cfRule type="cellIs" dxfId="648" priority="85" operator="greaterThan">
      <formula>3.5</formula>
    </cfRule>
  </conditionalFormatting>
  <conditionalFormatting sqref="AS74:BM74">
    <cfRule type="cellIs" dxfId="647" priority="83" operator="equal">
      <formula>6</formula>
    </cfRule>
    <cfRule type="cellIs" dxfId="646" priority="84" operator="lessThan">
      <formula>3.5</formula>
    </cfRule>
  </conditionalFormatting>
  <conditionalFormatting sqref="V74:AP74">
    <cfRule type="cellIs" dxfId="645" priority="81" operator="equal">
      <formula>6</formula>
    </cfRule>
    <cfRule type="cellIs" dxfId="644" priority="82" operator="lessThan">
      <formula>3.5</formula>
    </cfRule>
  </conditionalFormatting>
  <conditionalFormatting sqref="V75:AP75">
    <cfRule type="cellIs" dxfId="643" priority="78" operator="equal">
      <formula>6</formula>
    </cfRule>
    <cfRule type="cellIs" dxfId="642" priority="80" operator="lessThan">
      <formula>3.5</formula>
    </cfRule>
  </conditionalFormatting>
  <conditionalFormatting sqref="AS75:BM75">
    <cfRule type="cellIs" dxfId="641" priority="76" operator="equal">
      <formula>6</formula>
    </cfRule>
    <cfRule type="cellIs" dxfId="640" priority="77" operator="lessThan">
      <formula>3.5</formula>
    </cfRule>
  </conditionalFormatting>
  <conditionalFormatting sqref="CD72:CW72">
    <cfRule type="cellIs" dxfId="639" priority="75" operator="greaterThan">
      <formula>3.5</formula>
    </cfRule>
  </conditionalFormatting>
  <conditionalFormatting sqref="DI75:EC75">
    <cfRule type="cellIs" dxfId="638" priority="74" operator="greaterThan">
      <formula>0.5</formula>
    </cfRule>
  </conditionalFormatting>
  <conditionalFormatting sqref="V76:AP76">
    <cfRule type="cellIs" dxfId="637" priority="72" operator="equal">
      <formula>6</formula>
    </cfRule>
    <cfRule type="cellIs" dxfId="636" priority="73" operator="lessThan">
      <formula>3.5</formula>
    </cfRule>
  </conditionalFormatting>
  <conditionalFormatting sqref="AS76:BM76">
    <cfRule type="cellIs" dxfId="635" priority="70" operator="equal">
      <formula>6</formula>
    </cfRule>
    <cfRule type="cellIs" dxfId="634" priority="71" operator="lessThan">
      <formula>3.5</formula>
    </cfRule>
  </conditionalFormatting>
  <conditionalFormatting sqref="CD73:CW73">
    <cfRule type="cellIs" dxfId="633" priority="69" operator="greaterThan">
      <formula>3.5</formula>
    </cfRule>
  </conditionalFormatting>
  <conditionalFormatting sqref="DI76:EC76">
    <cfRule type="cellIs" dxfId="632" priority="68" operator="greaterThan">
      <formula>0.5</formula>
    </cfRule>
  </conditionalFormatting>
  <conditionalFormatting sqref="CD74:CW74">
    <cfRule type="cellIs" dxfId="631" priority="67" operator="greaterThan">
      <formula>3.5</formula>
    </cfRule>
  </conditionalFormatting>
  <conditionalFormatting sqref="DI77:EC77">
    <cfRule type="cellIs" dxfId="630" priority="66" operator="greaterThan">
      <formula>0.5</formula>
    </cfRule>
  </conditionalFormatting>
  <conditionalFormatting sqref="V77:AP77">
    <cfRule type="cellIs" dxfId="629" priority="64" operator="lessThan">
      <formula>3.5</formula>
    </cfRule>
    <cfRule type="cellIs" dxfId="628" priority="65" operator="equal">
      <formula>6</formula>
    </cfRule>
  </conditionalFormatting>
  <conditionalFormatting sqref="AS77:BM77">
    <cfRule type="cellIs" dxfId="627" priority="62" operator="lessThan">
      <formula>3.5</formula>
    </cfRule>
    <cfRule type="cellIs" dxfId="626" priority="63" operator="equal">
      <formula>6</formula>
    </cfRule>
  </conditionalFormatting>
  <conditionalFormatting sqref="V78:AP78">
    <cfRule type="cellIs" dxfId="625" priority="60" operator="equal">
      <formula>6</formula>
    </cfRule>
    <cfRule type="cellIs" dxfId="624" priority="61" operator="lessThan">
      <formula>3.5</formula>
    </cfRule>
  </conditionalFormatting>
  <conditionalFormatting sqref="AS78:BM78">
    <cfRule type="cellIs" dxfId="623" priority="58" operator="equal">
      <formula>6</formula>
    </cfRule>
    <cfRule type="cellIs" dxfId="622" priority="59" operator="lessThan">
      <formula>3.5</formula>
    </cfRule>
  </conditionalFormatting>
  <conditionalFormatting sqref="CD75:CW75">
    <cfRule type="cellIs" dxfId="621" priority="57" operator="greaterThan">
      <formula>3.5</formula>
    </cfRule>
  </conditionalFormatting>
  <conditionalFormatting sqref="DI78:EC78">
    <cfRule type="cellIs" dxfId="620" priority="55" operator="greaterThan">
      <formula>0.5</formula>
    </cfRule>
  </conditionalFormatting>
  <conditionalFormatting sqref="V79:AP79">
    <cfRule type="cellIs" dxfId="619" priority="53" operator="equal">
      <formula>6</formula>
    </cfRule>
    <cfRule type="cellIs" dxfId="618" priority="54" operator="lessThan">
      <formula>3.5</formula>
    </cfRule>
  </conditionalFormatting>
  <conditionalFormatting sqref="AS79:BM79">
    <cfRule type="cellIs" dxfId="617" priority="51" operator="equal">
      <formula>6</formula>
    </cfRule>
    <cfRule type="cellIs" dxfId="616" priority="52" operator="lessThan">
      <formula>3.5</formula>
    </cfRule>
  </conditionalFormatting>
  <conditionalFormatting sqref="CD76:CW76">
    <cfRule type="cellIs" dxfId="615" priority="50" operator="greaterThan">
      <formula>3.5</formula>
    </cfRule>
  </conditionalFormatting>
  <conditionalFormatting sqref="DI79:EC79">
    <cfRule type="cellIs" dxfId="614" priority="49" operator="greaterThan">
      <formula>0.5</formula>
    </cfRule>
  </conditionalFormatting>
  <conditionalFormatting sqref="V80:AP80">
    <cfRule type="cellIs" dxfId="613" priority="48" operator="lessThan">
      <formula>3.5</formula>
    </cfRule>
  </conditionalFormatting>
  <conditionalFormatting sqref="AS80:BM80">
    <cfRule type="cellIs" dxfId="612" priority="46" operator="equal">
      <formula>6</formula>
    </cfRule>
    <cfRule type="cellIs" dxfId="611" priority="47" operator="lessThan">
      <formula>3.5</formula>
    </cfRule>
  </conditionalFormatting>
  <conditionalFormatting sqref="CD77:CW77">
    <cfRule type="cellIs" dxfId="610" priority="45" operator="greaterThan">
      <formula>3.5</formula>
    </cfRule>
  </conditionalFormatting>
  <conditionalFormatting sqref="DI80:EC80">
    <cfRule type="cellIs" dxfId="609" priority="44" operator="greaterThan">
      <formula>0.5</formula>
    </cfRule>
  </conditionalFormatting>
  <conditionalFormatting sqref="V81:AP81">
    <cfRule type="cellIs" dxfId="608" priority="42" operator="equal">
      <formula>6</formula>
    </cfRule>
    <cfRule type="cellIs" dxfId="607" priority="43" operator="lessThan">
      <formula>3.5</formula>
    </cfRule>
  </conditionalFormatting>
  <conditionalFormatting sqref="AS81:BM81">
    <cfRule type="cellIs" dxfId="606" priority="40" operator="equal">
      <formula>6</formula>
    </cfRule>
    <cfRule type="cellIs" dxfId="605" priority="41" operator="lessThan">
      <formula>3.5</formula>
    </cfRule>
  </conditionalFormatting>
  <conditionalFormatting sqref="CD78:CW78">
    <cfRule type="cellIs" dxfId="604" priority="39" operator="greaterThan">
      <formula>3.5</formula>
    </cfRule>
  </conditionalFormatting>
  <conditionalFormatting sqref="DI81:EC81">
    <cfRule type="cellIs" dxfId="603" priority="38" operator="greaterThan">
      <formula>0.5</formula>
    </cfRule>
  </conditionalFormatting>
  <conditionalFormatting sqref="V82:AP82">
    <cfRule type="cellIs" dxfId="602" priority="36" operator="equal">
      <formula>6</formula>
    </cfRule>
    <cfRule type="cellIs" dxfId="601" priority="37" operator="lessThan">
      <formula>3.5</formula>
    </cfRule>
  </conditionalFormatting>
  <conditionalFormatting sqref="AS82:BM82">
    <cfRule type="cellIs" dxfId="600" priority="34" operator="equal">
      <formula>6</formula>
    </cfRule>
    <cfRule type="cellIs" dxfId="599" priority="35" operator="lessThan">
      <formula>3.5</formula>
    </cfRule>
  </conditionalFormatting>
  <conditionalFormatting sqref="CD79:CW79">
    <cfRule type="cellIs" dxfId="598" priority="33" operator="greaterThan">
      <formula>3.5</formula>
    </cfRule>
  </conditionalFormatting>
  <conditionalFormatting sqref="DI82:EC82">
    <cfRule type="cellIs" dxfId="597" priority="32" operator="greaterThan">
      <formula>0.5</formula>
    </cfRule>
  </conditionalFormatting>
  <conditionalFormatting sqref="V83:AP83">
    <cfRule type="cellIs" dxfId="596" priority="30" operator="equal">
      <formula>6</formula>
    </cfRule>
    <cfRule type="cellIs" dxfId="595" priority="31" operator="lessThan">
      <formula>3.5</formula>
    </cfRule>
  </conditionalFormatting>
  <conditionalFormatting sqref="AS83:BM83">
    <cfRule type="cellIs" dxfId="594" priority="28" operator="equal">
      <formula>6</formula>
    </cfRule>
    <cfRule type="cellIs" dxfId="593" priority="29" operator="lessThan">
      <formula>3.5</formula>
    </cfRule>
  </conditionalFormatting>
  <conditionalFormatting sqref="CD80:CW80">
    <cfRule type="cellIs" dxfId="592" priority="27" operator="greaterThan">
      <formula>3.5</formula>
    </cfRule>
  </conditionalFormatting>
  <conditionalFormatting sqref="DI83:EC83">
    <cfRule type="cellIs" dxfId="591" priority="26" operator="greaterThan">
      <formula>0.5</formula>
    </cfRule>
  </conditionalFormatting>
  <conditionalFormatting sqref="DA7:DA17">
    <cfRule type="cellIs" dxfId="590" priority="25" operator="greaterThan">
      <formula>0.1</formula>
    </cfRule>
  </conditionalFormatting>
  <conditionalFormatting sqref="V84:AP84">
    <cfRule type="cellIs" dxfId="589" priority="23" operator="equal">
      <formula>6</formula>
    </cfRule>
    <cfRule type="cellIs" dxfId="588" priority="24" operator="lessThan">
      <formula>3.5</formula>
    </cfRule>
  </conditionalFormatting>
  <conditionalFormatting sqref="AS84:BM84">
    <cfRule type="cellIs" dxfId="587" priority="21" operator="equal">
      <formula>6</formula>
    </cfRule>
    <cfRule type="cellIs" dxfId="586" priority="22" operator="lessThan">
      <formula>3.5</formula>
    </cfRule>
  </conditionalFormatting>
  <conditionalFormatting sqref="CD81:CW81">
    <cfRule type="cellIs" dxfId="585" priority="20" operator="greaterThan">
      <formula>3.5</formula>
    </cfRule>
  </conditionalFormatting>
  <conditionalFormatting sqref="DI84:EC84">
    <cfRule type="cellIs" dxfId="584" priority="19" operator="greaterThan">
      <formula>0.5</formula>
    </cfRule>
  </conditionalFormatting>
  <conditionalFormatting sqref="V85:AP85">
    <cfRule type="cellIs" dxfId="583" priority="17" operator="equal">
      <formula>6</formula>
    </cfRule>
    <cfRule type="cellIs" dxfId="582" priority="18" operator="lessThan">
      <formula>3.5</formula>
    </cfRule>
  </conditionalFormatting>
  <conditionalFormatting sqref="AS85:BM85">
    <cfRule type="cellIs" dxfId="581" priority="15" operator="equal">
      <formula>6</formula>
    </cfRule>
    <cfRule type="cellIs" dxfId="580" priority="16" operator="lessThan">
      <formula>3.5</formula>
    </cfRule>
  </conditionalFormatting>
  <conditionalFormatting sqref="CD82:CW82">
    <cfRule type="cellIs" dxfId="579" priority="14" operator="greaterThan">
      <formula>3.5</formula>
    </cfRule>
  </conditionalFormatting>
  <conditionalFormatting sqref="DI85:EC85">
    <cfRule type="cellIs" dxfId="578" priority="13" operator="greaterThan">
      <formula>0.5</formula>
    </cfRule>
  </conditionalFormatting>
  <conditionalFormatting sqref="V86:AP86">
    <cfRule type="cellIs" dxfId="577" priority="5" operator="equal">
      <formula>6</formula>
    </cfRule>
    <cfRule type="cellIs" dxfId="576" priority="6" operator="lessThan">
      <formula>3.5</formula>
    </cfRule>
  </conditionalFormatting>
  <conditionalFormatting sqref="AS86:BM86">
    <cfRule type="cellIs" dxfId="575" priority="3" operator="equal">
      <formula>6</formula>
    </cfRule>
    <cfRule type="cellIs" dxfId="574" priority="4" operator="lessThan">
      <formula>3.5</formula>
    </cfRule>
  </conditionalFormatting>
  <conditionalFormatting sqref="CD83:CW83">
    <cfRule type="cellIs" dxfId="573" priority="2" operator="greaterThan">
      <formula>3.5</formula>
    </cfRule>
  </conditionalFormatting>
  <conditionalFormatting sqref="DI86:EC86">
    <cfRule type="cellIs" dxfId="572" priority="1" operator="greaterThan">
      <formula>0.5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G385"/>
  <sheetViews>
    <sheetView tabSelected="1" zoomScale="60" zoomScaleNormal="60" workbookViewId="0">
      <pane xSplit="3" ySplit="2" topLeftCell="D247" activePane="bottomRight" state="frozen"/>
      <selection pane="topRight" activeCell="D1" sqref="D1"/>
      <selection pane="bottomLeft" activeCell="A3" sqref="A3"/>
      <selection pane="bottomRight" activeCell="G258" sqref="G258"/>
    </sheetView>
  </sheetViews>
  <sheetFormatPr defaultColWidth="4.625" defaultRowHeight="16.5"/>
  <cols>
    <col min="1" max="3" width="4.625" style="128"/>
    <col min="4" max="4" width="12.25" style="105" bestFit="1" customWidth="1"/>
    <col min="5" max="5" width="8.625" style="128" customWidth="1"/>
    <col min="6" max="6" width="5.625" style="128" customWidth="1"/>
    <col min="7" max="7" width="7.875" style="128" customWidth="1"/>
    <col min="8" max="8" width="5.875" style="128" customWidth="1"/>
    <col min="9" max="10" width="6.75" style="128" customWidth="1"/>
    <col min="11" max="11" width="7" style="128" customWidth="1"/>
    <col min="12" max="12" width="6.375" style="128" customWidth="1"/>
    <col min="13" max="13" width="7" style="128" customWidth="1"/>
    <col min="14" max="14" width="6.375" style="128" customWidth="1"/>
    <col min="15" max="75" width="5.625" style="128" customWidth="1"/>
    <col min="76" max="76" width="5.625" style="39" customWidth="1"/>
    <col min="77" max="82" width="5.625" style="128" customWidth="1"/>
    <col min="83" max="83" width="5.625" style="122" customWidth="1"/>
    <col min="84" max="133" width="5.625" style="128" customWidth="1"/>
    <col min="134" max="148" width="4.625" style="128"/>
    <col min="149" max="149" width="6.75" style="128" bestFit="1" customWidth="1"/>
    <col min="150" max="16384" width="4.625" style="128"/>
  </cols>
  <sheetData>
    <row r="1" spans="3:129">
      <c r="CE1" s="128"/>
      <c r="CF1" s="629" t="s">
        <v>9</v>
      </c>
      <c r="CG1" s="629"/>
      <c r="CH1" s="629"/>
      <c r="CI1" s="629"/>
      <c r="CJ1" s="629"/>
      <c r="CK1" s="629"/>
      <c r="CL1" s="629"/>
      <c r="CM1" s="629"/>
      <c r="CN1" s="629"/>
      <c r="CO1" s="629"/>
      <c r="CP1" s="629"/>
      <c r="CQ1" s="130" t="s">
        <v>10</v>
      </c>
      <c r="CR1" s="5" t="s">
        <v>11</v>
      </c>
      <c r="CT1" s="24" t="s">
        <v>12</v>
      </c>
      <c r="CU1" s="25"/>
      <c r="CV1" s="25"/>
      <c r="CW1" s="25"/>
      <c r="CX1" s="26"/>
      <c r="CY1" s="31" t="s">
        <v>13</v>
      </c>
      <c r="CZ1" s="2"/>
      <c r="DA1" s="2"/>
      <c r="DB1" s="2"/>
      <c r="DC1" s="2"/>
      <c r="DD1" s="2"/>
      <c r="DE1" s="2"/>
      <c r="DF1" s="2"/>
    </row>
    <row r="2" spans="3:129">
      <c r="D2" s="106"/>
      <c r="E2" s="6" t="s">
        <v>95</v>
      </c>
      <c r="F2" s="6" t="s">
        <v>96</v>
      </c>
      <c r="G2" s="6" t="s">
        <v>97</v>
      </c>
      <c r="H2" s="6" t="s">
        <v>1</v>
      </c>
      <c r="I2" s="33" t="s">
        <v>98</v>
      </c>
      <c r="J2" s="7" t="s">
        <v>14</v>
      </c>
      <c r="K2" s="7" t="s">
        <v>99</v>
      </c>
      <c r="L2" s="7" t="s">
        <v>100</v>
      </c>
      <c r="M2" s="7" t="s">
        <v>101</v>
      </c>
      <c r="N2" s="7" t="s">
        <v>102</v>
      </c>
      <c r="O2" s="7" t="s">
        <v>15</v>
      </c>
      <c r="P2" s="7" t="s">
        <v>16</v>
      </c>
      <c r="Q2" s="7" t="s">
        <v>17</v>
      </c>
      <c r="R2" s="7" t="s">
        <v>18</v>
      </c>
      <c r="S2" s="7" t="s">
        <v>19</v>
      </c>
      <c r="T2" s="7" t="s">
        <v>20</v>
      </c>
      <c r="U2" s="7" t="s">
        <v>21</v>
      </c>
      <c r="V2" s="35" t="s">
        <v>22</v>
      </c>
      <c r="W2" s="35" t="s">
        <v>23</v>
      </c>
      <c r="X2" s="35" t="s">
        <v>24</v>
      </c>
      <c r="Y2" s="35" t="s">
        <v>25</v>
      </c>
      <c r="Z2" s="35" t="s">
        <v>26</v>
      </c>
      <c r="AA2" s="35" t="s">
        <v>27</v>
      </c>
      <c r="AB2" s="35" t="s">
        <v>28</v>
      </c>
      <c r="AC2" s="35" t="s">
        <v>29</v>
      </c>
      <c r="AD2" s="35" t="s">
        <v>30</v>
      </c>
      <c r="AE2" s="35" t="s">
        <v>68</v>
      </c>
      <c r="AF2" s="35" t="s">
        <v>69</v>
      </c>
      <c r="AG2" s="35" t="s">
        <v>70</v>
      </c>
      <c r="AH2" s="35" t="s">
        <v>71</v>
      </c>
      <c r="AI2" s="35" t="s">
        <v>72</v>
      </c>
      <c r="AJ2" s="35" t="s">
        <v>73</v>
      </c>
      <c r="AK2" s="35" t="s">
        <v>74</v>
      </c>
      <c r="AL2" s="35" t="s">
        <v>75</v>
      </c>
      <c r="AM2" s="35" t="s">
        <v>76</v>
      </c>
      <c r="AN2" s="35" t="s">
        <v>77</v>
      </c>
      <c r="AO2" s="35" t="s">
        <v>78</v>
      </c>
      <c r="AP2" s="35" t="s">
        <v>79</v>
      </c>
      <c r="AQ2" s="35" t="s">
        <v>80</v>
      </c>
      <c r="AR2" s="35" t="s">
        <v>81</v>
      </c>
      <c r="AS2" s="35" t="s">
        <v>82</v>
      </c>
      <c r="AT2" s="35" t="s">
        <v>83</v>
      </c>
      <c r="AU2" s="35" t="s">
        <v>84</v>
      </c>
      <c r="AV2" s="35" t="s">
        <v>85</v>
      </c>
      <c r="AW2" s="35" t="s">
        <v>86</v>
      </c>
      <c r="AX2" s="35" t="s">
        <v>87</v>
      </c>
      <c r="AY2" s="35" t="s">
        <v>88</v>
      </c>
      <c r="AZ2" s="35" t="s">
        <v>89</v>
      </c>
      <c r="BA2" s="35" t="s">
        <v>90</v>
      </c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153"/>
      <c r="BY2" s="8"/>
      <c r="BZ2" s="8"/>
      <c r="CA2" s="8"/>
      <c r="CB2" s="8"/>
      <c r="CC2" s="8"/>
      <c r="CD2" s="8"/>
      <c r="CE2" s="630"/>
      <c r="CF2" s="630"/>
      <c r="CG2" s="630"/>
      <c r="CH2" s="630"/>
      <c r="CI2" s="630"/>
      <c r="CJ2" s="630"/>
      <c r="CK2" s="630"/>
      <c r="CL2" s="630"/>
      <c r="CM2" s="8" t="s">
        <v>13</v>
      </c>
      <c r="CN2" s="122">
        <f>SUM(CF3:CK3)-45-45-45</f>
        <v>42</v>
      </c>
      <c r="CO2" s="128">
        <f>SUM(CF3:CL3)-45-45-45-45</f>
        <v>41</v>
      </c>
      <c r="CQ2" s="27"/>
      <c r="CR2" s="28"/>
      <c r="CS2" s="28"/>
      <c r="CT2" s="28" t="s">
        <v>65</v>
      </c>
      <c r="CU2" s="29" t="s">
        <v>66</v>
      </c>
      <c r="CV2" s="32"/>
    </row>
    <row r="3" spans="3:129" s="122" customFormat="1" ht="17.25">
      <c r="C3" s="11">
        <v>472</v>
      </c>
      <c r="D3" s="107" t="s">
        <v>252</v>
      </c>
      <c r="E3" s="17">
        <v>1</v>
      </c>
      <c r="F3" s="17">
        <v>10</v>
      </c>
      <c r="G3" s="17">
        <v>1</v>
      </c>
      <c r="H3" s="17">
        <f t="shared" ref="H3:H38" si="0">SUM(E3:F3)-(45*0)</f>
        <v>11</v>
      </c>
      <c r="I3" s="17">
        <v>-23</v>
      </c>
      <c r="J3" s="151">
        <f t="shared" ref="J3:J36" si="1">SUM(E3:I3)-(45*0)</f>
        <v>0</v>
      </c>
      <c r="K3" s="151">
        <f t="shared" ref="K3:K36" si="2">SUM(E3:J3)-(45*1)</f>
        <v>-45</v>
      </c>
      <c r="L3" s="34">
        <f t="shared" ref="L3:L37" si="3">SUM(E3:K3)-(45*2)</f>
        <v>-135</v>
      </c>
      <c r="M3" s="34">
        <f t="shared" ref="M3:M37" si="4">SUM(E3:L3)-(45*2)</f>
        <v>-270</v>
      </c>
      <c r="N3" s="34">
        <f t="shared" ref="N3:N38" si="5">SUM(E3:M3)-(45*3)</f>
        <v>-585</v>
      </c>
      <c r="O3" s="34">
        <f t="shared" ref="O3:O35" si="6">SUM(E3:N3)-(45*3)</f>
        <v>-1170</v>
      </c>
      <c r="P3" s="34">
        <f t="shared" ref="P3:P35" si="7">SUM(E3:O3)-(45*3)</f>
        <v>-2340</v>
      </c>
      <c r="Q3" s="34">
        <f t="shared" ref="Q3:Q38" si="8">SUM(E3:P3)-(45*4)</f>
        <v>-4725</v>
      </c>
      <c r="R3" s="34">
        <f t="shared" ref="R3:R35" si="9">SUM(E3:Q3)-(45*4)</f>
        <v>-9450</v>
      </c>
      <c r="S3" s="34">
        <f t="shared" ref="S3:S35" si="10">SUM(E3:R3)-(45*4)</f>
        <v>-18900</v>
      </c>
      <c r="T3" s="34">
        <f t="shared" ref="T3:T35" si="11">SUM(E3:S3)-(45*5)</f>
        <v>-37845</v>
      </c>
      <c r="U3" s="34">
        <f t="shared" ref="U3:U36" si="12">SUM(E3:T3)-(45*6)</f>
        <v>-75735</v>
      </c>
      <c r="V3" s="34">
        <f t="shared" ref="V3:V36" si="13">SUM(F3:U3)-(45*7)</f>
        <v>-151516</v>
      </c>
      <c r="W3" s="34">
        <f t="shared" ref="W3:X37" si="14">SUM(G3:V3)-(45*8)</f>
        <v>-303087</v>
      </c>
      <c r="X3" s="34">
        <f t="shared" si="14"/>
        <v>-606175</v>
      </c>
      <c r="Y3" s="34">
        <f t="shared" ref="Y3:Z36" si="15">SUM(I3:X3)-(45*9)</f>
        <v>-1212406</v>
      </c>
      <c r="Z3" s="34">
        <f t="shared" si="15"/>
        <v>-2424789</v>
      </c>
      <c r="AA3" s="34">
        <f t="shared" ref="AA3:AC35" si="16">SUM(K3:Z3)-(45*8)</f>
        <v>-4849533</v>
      </c>
      <c r="AB3" s="34">
        <f t="shared" si="16"/>
        <v>-9699021</v>
      </c>
      <c r="AC3" s="34">
        <f t="shared" si="16"/>
        <v>-19397907</v>
      </c>
      <c r="AD3" s="34">
        <f t="shared" ref="AD3:AD36" si="17">SUM(N3:AC3)-(45*7)</f>
        <v>-38795499</v>
      </c>
      <c r="AE3" s="34">
        <f t="shared" ref="AE3:AG35" si="18">SUM(O3:AD3)-(45*8)</f>
        <v>-77590458</v>
      </c>
      <c r="AF3" s="34">
        <f t="shared" si="18"/>
        <v>-155179746</v>
      </c>
      <c r="AG3" s="34">
        <f t="shared" si="18"/>
        <v>-310357152</v>
      </c>
      <c r="AH3" s="34">
        <f t="shared" ref="AH3:AH38" si="19">SUM(R3:AG3)-(45*9)</f>
        <v>-620709624</v>
      </c>
      <c r="AI3" s="34">
        <f t="shared" ref="AI3:AL36" si="20">SUM(S3:AH3)-(45*8)</f>
        <v>-1241409753</v>
      </c>
      <c r="AJ3" s="34">
        <f t="shared" si="20"/>
        <v>-2482800606</v>
      </c>
      <c r="AK3" s="34">
        <f t="shared" si="20"/>
        <v>-4965563367</v>
      </c>
      <c r="AL3" s="34">
        <f t="shared" si="20"/>
        <v>-9931050999</v>
      </c>
      <c r="AM3" s="34">
        <f t="shared" ref="AM3:AO35" si="21">SUM(W3:AL3)-(45*7)</f>
        <v>-19861950437</v>
      </c>
      <c r="AN3" s="34">
        <f t="shared" si="21"/>
        <v>-39723597787</v>
      </c>
      <c r="AO3" s="34">
        <f t="shared" si="21"/>
        <v>-79446589399</v>
      </c>
      <c r="AP3" s="34">
        <f t="shared" ref="AP3:AP38" si="22">SUM(Z3:AO3)-(45*8)</f>
        <v>-158891966437</v>
      </c>
      <c r="AQ3" s="34">
        <f t="shared" ref="AQ3:AQ38" si="23">SUM(AA3:AP3)-(45*9)</f>
        <v>-317781508130</v>
      </c>
      <c r="AR3" s="34">
        <f t="shared" ref="AR3:AR39" si="24">SUM(AB3:AQ3)-(45*8)</f>
        <v>-635558166682</v>
      </c>
      <c r="AS3" s="34">
        <f t="shared" ref="AS3:AT35" si="25">SUM(AC3:AR3)-(45*9)</f>
        <v>-1271106634388</v>
      </c>
      <c r="AT3" s="34">
        <f t="shared" si="25"/>
        <v>-2542193870869</v>
      </c>
      <c r="AU3" s="34">
        <f t="shared" ref="AU3:AV37" si="26">SUM(AE3:AT3)-(45*8)</f>
        <v>-5084348946194</v>
      </c>
      <c r="AV3" s="34">
        <f t="shared" si="26"/>
        <v>-10168620301930</v>
      </c>
      <c r="AW3" s="34">
        <f t="shared" ref="AW3:BB37" si="27">SUM(AG3:AV3)-(45*7)</f>
        <v>-20337085424069</v>
      </c>
      <c r="AX3" s="34">
        <f t="shared" si="27"/>
        <v>-40673860490986</v>
      </c>
      <c r="AY3" s="34">
        <f t="shared" si="27"/>
        <v>-81347100272348</v>
      </c>
      <c r="AZ3" s="34">
        <f t="shared" si="27"/>
        <v>-162692959134943</v>
      </c>
      <c r="BA3" s="34">
        <f t="shared" si="27"/>
        <v>-325383435469280</v>
      </c>
      <c r="BB3" s="34">
        <f t="shared" si="27"/>
        <v>-650761905375193</v>
      </c>
      <c r="BC3" s="34">
        <f t="shared" ref="BC3:BE35" si="28">SUM(AM3:BB3)-(45*8)</f>
        <v>-1301513879699432</v>
      </c>
      <c r="BD3" s="34">
        <f t="shared" si="28"/>
        <v>-2603007897448427</v>
      </c>
      <c r="BE3" s="34">
        <f t="shared" si="28"/>
        <v>-5205976071299067</v>
      </c>
      <c r="BF3" s="34">
        <f t="shared" ref="BF3:BG35" si="29">SUM(AP3:BE3)-(45*7)</f>
        <v>-1.0411872696008692E+16</v>
      </c>
      <c r="BG3" s="34">
        <f t="shared" si="29"/>
        <v>-2.0823586500050948E+16</v>
      </c>
      <c r="BH3" s="34">
        <f t="shared" ref="BH3:BH39" si="30">SUM(AR3:BG3)-(45*6)</f>
        <v>-4.164685521859372E+16</v>
      </c>
      <c r="BI3" s="34">
        <f t="shared" ref="BI3:BK35" si="31">SUM(AS3:BH3)-(45*7)</f>
        <v>-8.32930748790208E+16</v>
      </c>
      <c r="BJ3" s="34">
        <f t="shared" si="31"/>
        <v>-1.6658487865140723E+17</v>
      </c>
      <c r="BK3" s="34">
        <f t="shared" si="31"/>
        <v>-3.3316721510894355E+17</v>
      </c>
      <c r="BL3" s="34">
        <f t="shared" ref="BL3:BM35" si="32">SUM(AV3:BK3)-(45*8)</f>
        <v>-6.6632934586894093E+17</v>
      </c>
      <c r="BM3" s="34">
        <f t="shared" si="32"/>
        <v>-1.33264852311758E+18</v>
      </c>
      <c r="BN3" s="34">
        <f t="shared" ref="BN3:BN35" si="33">SUM(AX3:BM3)-(45*7)</f>
        <v>-2.6652767091497364E+18</v>
      </c>
      <c r="BO3" s="34">
        <f t="shared" ref="BO3:BO35" si="34">SUM(AY3:BN3)-(45*8)</f>
        <v>-5.3305127444389806E+18</v>
      </c>
      <c r="BP3" s="34">
        <f t="shared" ref="BP3:BP38" si="35">SUM(AZ3:BO3)-(45*7)</f>
        <v>-1.0660944141777689E+19</v>
      </c>
      <c r="BQ3" s="34">
        <f t="shared" ref="BQ3:BT35" si="36">SUM(BA3:BP3)-(45*6)</f>
        <v>-2.1321725590596243E+19</v>
      </c>
      <c r="BR3" s="34">
        <f t="shared" si="36"/>
        <v>-4.2643125797757018E+19</v>
      </c>
      <c r="BS3" s="34">
        <f t="shared" si="36"/>
        <v>-8.5285600833608647E+19</v>
      </c>
      <c r="BT3" s="34">
        <f t="shared" si="36"/>
        <v>-1.7056990015333761E+20</v>
      </c>
      <c r="BU3" s="34">
        <f t="shared" ref="BU3:BV35" si="37">SUM(BE3:BT3)-(45*7)</f>
        <v>-3.4113719729877778E+20</v>
      </c>
      <c r="BV3" s="34">
        <f t="shared" si="37"/>
        <v>-6.8226918862148416E+20</v>
      </c>
      <c r="BW3" s="10"/>
      <c r="BX3" s="10"/>
      <c r="BY3" s="10"/>
      <c r="BZ3" s="10"/>
      <c r="CA3" s="10"/>
      <c r="CB3" s="10"/>
      <c r="CC3" s="10"/>
      <c r="CD3" s="10"/>
      <c r="CE3" s="12">
        <v>472</v>
      </c>
      <c r="CF3" s="112">
        <v>16</v>
      </c>
      <c r="CG3" s="112">
        <v>25</v>
      </c>
      <c r="CH3" s="112">
        <v>26</v>
      </c>
      <c r="CI3" s="112">
        <v>31</v>
      </c>
      <c r="CJ3" s="112">
        <v>36</v>
      </c>
      <c r="CK3" s="112">
        <v>43</v>
      </c>
      <c r="CL3" s="112">
        <v>44</v>
      </c>
      <c r="CM3" s="11">
        <f>SUM(CF4:CK4)-45-45</f>
        <v>32</v>
      </c>
      <c r="CN3" s="11">
        <f>SUM(CF4:CL4)-45-45</f>
        <v>66</v>
      </c>
      <c r="CP3" s="11">
        <f t="shared" ref="CP3:CU34" si="38">ABS(CF3-CG3)</f>
        <v>9</v>
      </c>
      <c r="CQ3" s="11">
        <f t="shared" si="38"/>
        <v>1</v>
      </c>
      <c r="CR3" s="11">
        <f t="shared" si="38"/>
        <v>5</v>
      </c>
      <c r="CS3" s="11">
        <f t="shared" si="38"/>
        <v>5</v>
      </c>
      <c r="CT3" s="11">
        <f t="shared" si="38"/>
        <v>7</v>
      </c>
      <c r="CU3" s="11">
        <f t="shared" si="38"/>
        <v>1</v>
      </c>
      <c r="CV3" s="11">
        <v>7</v>
      </c>
      <c r="CW3" s="11">
        <v>23</v>
      </c>
    </row>
    <row r="4" spans="3:129" s="122" customFormat="1" ht="17.25">
      <c r="C4" s="11">
        <v>473</v>
      </c>
      <c r="D4" s="107" t="s">
        <v>253</v>
      </c>
      <c r="E4" s="17">
        <v>1</v>
      </c>
      <c r="F4" s="17">
        <v>10</v>
      </c>
      <c r="G4" s="17">
        <v>1</v>
      </c>
      <c r="H4" s="17">
        <f t="shared" si="0"/>
        <v>11</v>
      </c>
      <c r="I4" s="17">
        <v>-22</v>
      </c>
      <c r="J4" s="151">
        <f t="shared" si="1"/>
        <v>1</v>
      </c>
      <c r="K4" s="151">
        <f t="shared" si="2"/>
        <v>-43</v>
      </c>
      <c r="L4" s="34">
        <f t="shared" si="3"/>
        <v>-131</v>
      </c>
      <c r="M4" s="34">
        <f t="shared" si="4"/>
        <v>-262</v>
      </c>
      <c r="N4" s="34">
        <f t="shared" si="5"/>
        <v>-569</v>
      </c>
      <c r="O4" s="34">
        <f t="shared" si="6"/>
        <v>-1138</v>
      </c>
      <c r="P4" s="34">
        <f t="shared" si="7"/>
        <v>-2276</v>
      </c>
      <c r="Q4" s="34">
        <f t="shared" si="8"/>
        <v>-4597</v>
      </c>
      <c r="R4" s="34">
        <f t="shared" si="9"/>
        <v>-9194</v>
      </c>
      <c r="S4" s="34">
        <f t="shared" si="10"/>
        <v>-18388</v>
      </c>
      <c r="T4" s="34">
        <f t="shared" si="11"/>
        <v>-36821</v>
      </c>
      <c r="U4" s="34">
        <f t="shared" si="12"/>
        <v>-73687</v>
      </c>
      <c r="V4" s="34">
        <f t="shared" si="13"/>
        <v>-147420</v>
      </c>
      <c r="W4" s="34">
        <f t="shared" si="14"/>
        <v>-294895</v>
      </c>
      <c r="X4" s="34">
        <f t="shared" si="14"/>
        <v>-589791</v>
      </c>
      <c r="Y4" s="34">
        <f t="shared" si="15"/>
        <v>-1179638</v>
      </c>
      <c r="Z4" s="34">
        <f t="shared" si="15"/>
        <v>-2359254</v>
      </c>
      <c r="AA4" s="34">
        <f t="shared" si="16"/>
        <v>-4718464</v>
      </c>
      <c r="AB4" s="34">
        <f t="shared" si="16"/>
        <v>-9436885</v>
      </c>
      <c r="AC4" s="34">
        <f t="shared" si="16"/>
        <v>-18873639</v>
      </c>
      <c r="AD4" s="34">
        <f t="shared" si="17"/>
        <v>-37746971</v>
      </c>
      <c r="AE4" s="34">
        <f t="shared" si="18"/>
        <v>-75493418</v>
      </c>
      <c r="AF4" s="34">
        <f t="shared" si="18"/>
        <v>-150985698</v>
      </c>
      <c r="AG4" s="34">
        <f t="shared" si="18"/>
        <v>-301969120</v>
      </c>
      <c r="AH4" s="34">
        <f t="shared" si="19"/>
        <v>-603933688</v>
      </c>
      <c r="AI4" s="34">
        <f t="shared" si="20"/>
        <v>-1207858137</v>
      </c>
      <c r="AJ4" s="34">
        <f t="shared" si="20"/>
        <v>-2415697886</v>
      </c>
      <c r="AK4" s="34">
        <f t="shared" si="20"/>
        <v>-4831358951</v>
      </c>
      <c r="AL4" s="34">
        <f t="shared" si="20"/>
        <v>-9662644215</v>
      </c>
      <c r="AM4" s="34">
        <f t="shared" si="21"/>
        <v>-19325140965</v>
      </c>
      <c r="AN4" s="34">
        <f t="shared" si="21"/>
        <v>-38649987035</v>
      </c>
      <c r="AO4" s="34">
        <f t="shared" si="21"/>
        <v>-77299384279</v>
      </c>
      <c r="AP4" s="34">
        <f t="shared" si="22"/>
        <v>-154597588965</v>
      </c>
      <c r="AQ4" s="34">
        <f t="shared" si="23"/>
        <v>-309192818721</v>
      </c>
      <c r="AR4" s="34">
        <f t="shared" si="24"/>
        <v>-618380918933</v>
      </c>
      <c r="AS4" s="34">
        <f t="shared" si="25"/>
        <v>-1236752401026</v>
      </c>
      <c r="AT4" s="34">
        <f t="shared" si="25"/>
        <v>-2473485928413</v>
      </c>
      <c r="AU4" s="34">
        <f t="shared" si="26"/>
        <v>-4946934109810</v>
      </c>
      <c r="AV4" s="34">
        <f t="shared" si="26"/>
        <v>-9893792726202</v>
      </c>
      <c r="AW4" s="34">
        <f t="shared" si="27"/>
        <v>-19787434466661</v>
      </c>
      <c r="AX4" s="34">
        <f t="shared" si="27"/>
        <v>-39574566964202</v>
      </c>
      <c r="AY4" s="34">
        <f t="shared" si="27"/>
        <v>-79148529994716</v>
      </c>
      <c r="AZ4" s="34">
        <f t="shared" si="27"/>
        <v>-158295852131295</v>
      </c>
      <c r="BA4" s="34">
        <f t="shared" si="27"/>
        <v>-316589288564704</v>
      </c>
      <c r="BB4" s="34">
        <f t="shared" si="27"/>
        <v>-633173745770457</v>
      </c>
      <c r="BC4" s="34">
        <f t="shared" si="28"/>
        <v>-1266337828896744</v>
      </c>
      <c r="BD4" s="34">
        <f t="shared" si="28"/>
        <v>-2532656332652523</v>
      </c>
      <c r="BE4" s="34">
        <f t="shared" si="28"/>
        <v>-5065274015318011</v>
      </c>
      <c r="BF4" s="34">
        <f t="shared" si="29"/>
        <v>-1.01304707312517E+16</v>
      </c>
      <c r="BG4" s="34">
        <f t="shared" si="29"/>
        <v>-2.0260786864914436E+16</v>
      </c>
      <c r="BH4" s="34">
        <f t="shared" si="30"/>
        <v>-4.0521264537010104E+16</v>
      </c>
      <c r="BI4" s="34">
        <f t="shared" si="31"/>
        <v>-8.1041910693101312E+16</v>
      </c>
      <c r="BJ4" s="34">
        <f t="shared" si="31"/>
        <v>-1.620825846338016E+17</v>
      </c>
      <c r="BK4" s="34">
        <f t="shared" si="31"/>
        <v>-3.2416269578167482E+17</v>
      </c>
      <c r="BL4" s="34">
        <f t="shared" si="32"/>
        <v>-6.4832044462923994E+17</v>
      </c>
      <c r="BM4" s="34">
        <f t="shared" si="32"/>
        <v>-1.2966309954657533E+18</v>
      </c>
      <c r="BN4" s="34">
        <f t="shared" si="33"/>
        <v>-2.5932422034970404E+18</v>
      </c>
      <c r="BO4" s="34">
        <f t="shared" si="34"/>
        <v>-5.1864448324271165E+18</v>
      </c>
      <c r="BP4" s="34">
        <f t="shared" si="35"/>
        <v>-1.0372810516324237E+19</v>
      </c>
      <c r="BQ4" s="34">
        <f t="shared" si="36"/>
        <v>-2.0745462736796344E+19</v>
      </c>
      <c r="BR4" s="34">
        <f t="shared" si="36"/>
        <v>-4.1490608884304126E+19</v>
      </c>
      <c r="BS4" s="34">
        <f t="shared" si="36"/>
        <v>-8.2980584594862473E+19</v>
      </c>
      <c r="BT4" s="34">
        <f t="shared" si="36"/>
        <v>-1.6595990285189605E+20</v>
      </c>
      <c r="BU4" s="34">
        <f t="shared" si="37"/>
        <v>-3.3191727304745943E+20</v>
      </c>
      <c r="BV4" s="34">
        <f t="shared" si="37"/>
        <v>-6.6382948082090351E+20</v>
      </c>
      <c r="BW4" s="10"/>
      <c r="BX4" s="10"/>
      <c r="BY4" s="10"/>
      <c r="BZ4" s="10"/>
      <c r="CA4" s="10"/>
      <c r="CB4" s="10"/>
      <c r="CC4" s="10"/>
      <c r="CD4" s="10"/>
      <c r="CE4" s="12">
        <v>473</v>
      </c>
      <c r="CF4" s="112">
        <v>8</v>
      </c>
      <c r="CG4" s="112">
        <v>13</v>
      </c>
      <c r="CH4" s="112">
        <v>20</v>
      </c>
      <c r="CI4" s="112">
        <v>22</v>
      </c>
      <c r="CJ4" s="112">
        <v>23</v>
      </c>
      <c r="CK4" s="112">
        <v>36</v>
      </c>
      <c r="CL4" s="112">
        <v>34</v>
      </c>
      <c r="CM4" s="11">
        <f>SUM(CF5:CK5)-45-45</f>
        <v>54</v>
      </c>
      <c r="CN4" s="11">
        <f>SUM(CF5:CL5)-45-45-45</f>
        <v>52</v>
      </c>
      <c r="CP4" s="11">
        <f t="shared" si="38"/>
        <v>5</v>
      </c>
      <c r="CQ4" s="11">
        <f t="shared" si="38"/>
        <v>7</v>
      </c>
      <c r="CR4" s="11">
        <f t="shared" si="38"/>
        <v>2</v>
      </c>
      <c r="CS4" s="11">
        <f t="shared" si="38"/>
        <v>1</v>
      </c>
      <c r="CT4" s="11">
        <f t="shared" si="38"/>
        <v>13</v>
      </c>
      <c r="CU4" s="11">
        <f t="shared" si="38"/>
        <v>2</v>
      </c>
      <c r="CV4" s="11">
        <v>4</v>
      </c>
      <c r="CW4" s="11">
        <v>36</v>
      </c>
    </row>
    <row r="5" spans="3:129" s="122" customFormat="1" ht="17.25">
      <c r="C5" s="11">
        <v>474</v>
      </c>
      <c r="D5" s="107" t="s">
        <v>254</v>
      </c>
      <c r="E5" s="17">
        <v>1</v>
      </c>
      <c r="F5" s="17">
        <v>10</v>
      </c>
      <c r="G5" s="17">
        <v>1</v>
      </c>
      <c r="H5" s="17">
        <f t="shared" si="0"/>
        <v>11</v>
      </c>
      <c r="I5" s="17">
        <v>-21</v>
      </c>
      <c r="J5" s="151">
        <f t="shared" si="1"/>
        <v>2</v>
      </c>
      <c r="K5" s="151">
        <f t="shared" si="2"/>
        <v>-41</v>
      </c>
      <c r="L5" s="34">
        <f t="shared" si="3"/>
        <v>-127</v>
      </c>
      <c r="M5" s="34">
        <f t="shared" si="4"/>
        <v>-254</v>
      </c>
      <c r="N5" s="34">
        <f t="shared" si="5"/>
        <v>-553</v>
      </c>
      <c r="O5" s="34">
        <f t="shared" si="6"/>
        <v>-1106</v>
      </c>
      <c r="P5" s="34">
        <f t="shared" si="7"/>
        <v>-2212</v>
      </c>
      <c r="Q5" s="34">
        <f t="shared" si="8"/>
        <v>-4469</v>
      </c>
      <c r="R5" s="34">
        <f t="shared" si="9"/>
        <v>-8938</v>
      </c>
      <c r="S5" s="34">
        <f t="shared" si="10"/>
        <v>-17876</v>
      </c>
      <c r="T5" s="34">
        <f t="shared" si="11"/>
        <v>-35797</v>
      </c>
      <c r="U5" s="34">
        <f t="shared" si="12"/>
        <v>-71639</v>
      </c>
      <c r="V5" s="34">
        <f t="shared" si="13"/>
        <v>-143324</v>
      </c>
      <c r="W5" s="34">
        <f t="shared" si="14"/>
        <v>-286703</v>
      </c>
      <c r="X5" s="34">
        <f t="shared" si="14"/>
        <v>-573407</v>
      </c>
      <c r="Y5" s="34">
        <f t="shared" si="15"/>
        <v>-1146870</v>
      </c>
      <c r="Z5" s="34">
        <f t="shared" si="15"/>
        <v>-2293719</v>
      </c>
      <c r="AA5" s="34">
        <f t="shared" si="16"/>
        <v>-4587395</v>
      </c>
      <c r="AB5" s="34">
        <f t="shared" si="16"/>
        <v>-9174749</v>
      </c>
      <c r="AC5" s="34">
        <f t="shared" si="16"/>
        <v>-18349371</v>
      </c>
      <c r="AD5" s="34">
        <f t="shared" si="17"/>
        <v>-36698443</v>
      </c>
      <c r="AE5" s="34">
        <f t="shared" si="18"/>
        <v>-73396378</v>
      </c>
      <c r="AF5" s="34">
        <f t="shared" si="18"/>
        <v>-146791650</v>
      </c>
      <c r="AG5" s="34">
        <f t="shared" si="18"/>
        <v>-293581088</v>
      </c>
      <c r="AH5" s="34">
        <f t="shared" si="19"/>
        <v>-587157752</v>
      </c>
      <c r="AI5" s="34">
        <f t="shared" si="20"/>
        <v>-1174306521</v>
      </c>
      <c r="AJ5" s="34">
        <f t="shared" si="20"/>
        <v>-2348595166</v>
      </c>
      <c r="AK5" s="34">
        <f t="shared" si="20"/>
        <v>-4697154535</v>
      </c>
      <c r="AL5" s="34">
        <f t="shared" si="20"/>
        <v>-9394237431</v>
      </c>
      <c r="AM5" s="34">
        <f t="shared" si="21"/>
        <v>-18788331493</v>
      </c>
      <c r="AN5" s="34">
        <f t="shared" si="21"/>
        <v>-37576376283</v>
      </c>
      <c r="AO5" s="34">
        <f t="shared" si="21"/>
        <v>-75152179159</v>
      </c>
      <c r="AP5" s="34">
        <f t="shared" si="22"/>
        <v>-150303211493</v>
      </c>
      <c r="AQ5" s="34">
        <f t="shared" si="23"/>
        <v>-300604129312</v>
      </c>
      <c r="AR5" s="34">
        <f t="shared" si="24"/>
        <v>-601203671184</v>
      </c>
      <c r="AS5" s="34">
        <f t="shared" si="25"/>
        <v>-1202398167664</v>
      </c>
      <c r="AT5" s="34">
        <f t="shared" si="25"/>
        <v>-2404777985957</v>
      </c>
      <c r="AU5" s="34">
        <f t="shared" si="26"/>
        <v>-4809519273426</v>
      </c>
      <c r="AV5" s="34">
        <f t="shared" si="26"/>
        <v>-9618965150474</v>
      </c>
      <c r="AW5" s="34">
        <f t="shared" si="27"/>
        <v>-19237783509253</v>
      </c>
      <c r="AX5" s="34">
        <f t="shared" si="27"/>
        <v>-38475273437418</v>
      </c>
      <c r="AY5" s="34">
        <f t="shared" si="27"/>
        <v>-76949959717084</v>
      </c>
      <c r="AZ5" s="34">
        <f t="shared" si="27"/>
        <v>-153898745127647</v>
      </c>
      <c r="BA5" s="34">
        <f t="shared" si="27"/>
        <v>-307795141660128</v>
      </c>
      <c r="BB5" s="34">
        <f t="shared" si="27"/>
        <v>-615585586165721</v>
      </c>
      <c r="BC5" s="34">
        <f t="shared" si="28"/>
        <v>-1231161778094056</v>
      </c>
      <c r="BD5" s="34">
        <f t="shared" si="28"/>
        <v>-2462304767856619</v>
      </c>
      <c r="BE5" s="34">
        <f t="shared" si="28"/>
        <v>-4924571959336955</v>
      </c>
      <c r="BF5" s="34">
        <f t="shared" si="29"/>
        <v>-9849068766494708</v>
      </c>
      <c r="BG5" s="34">
        <f t="shared" si="29"/>
        <v>-1.9697987229777924E+16</v>
      </c>
      <c r="BH5" s="34">
        <f t="shared" si="30"/>
        <v>-3.9395673855426496E+16</v>
      </c>
      <c r="BI5" s="34">
        <f t="shared" si="31"/>
        <v>-7.8790746507181856E+16</v>
      </c>
      <c r="BJ5" s="34">
        <f t="shared" si="31"/>
        <v>-1.5758029061619603E+17</v>
      </c>
      <c r="BK5" s="34">
        <f t="shared" si="31"/>
        <v>-3.1515817645440608E+17</v>
      </c>
      <c r="BL5" s="34">
        <f t="shared" si="32"/>
        <v>-6.3031154338953882E+17</v>
      </c>
      <c r="BM5" s="34">
        <f t="shared" si="32"/>
        <v>-1.2606134678139272E+18</v>
      </c>
      <c r="BN5" s="34">
        <f t="shared" si="33"/>
        <v>-2.5212076978443453E+18</v>
      </c>
      <c r="BO5" s="34">
        <f t="shared" si="34"/>
        <v>-5.0423769204152525E+18</v>
      </c>
      <c r="BP5" s="34">
        <f t="shared" si="35"/>
        <v>-1.0084676890870788E+19</v>
      </c>
      <c r="BQ5" s="34">
        <f t="shared" si="36"/>
        <v>-2.0169199882996449E+19</v>
      </c>
      <c r="BR5" s="34">
        <f t="shared" si="36"/>
        <v>-4.0338091970851242E+19</v>
      </c>
      <c r="BS5" s="34">
        <f t="shared" si="36"/>
        <v>-8.0675568356116316E+19</v>
      </c>
      <c r="BT5" s="34">
        <f t="shared" si="36"/>
        <v>-1.6134990555045455E+20</v>
      </c>
      <c r="BU5" s="34">
        <f t="shared" si="37"/>
        <v>-3.2269734879614121E+20</v>
      </c>
      <c r="BV5" s="34">
        <f t="shared" si="37"/>
        <v>-6.4538977302032312E+20</v>
      </c>
      <c r="BW5" s="10"/>
      <c r="BX5" s="10"/>
      <c r="BY5" s="10"/>
      <c r="BZ5" s="10"/>
      <c r="CA5" s="10"/>
      <c r="CB5" s="10"/>
      <c r="CC5" s="10"/>
      <c r="CD5" s="10"/>
      <c r="CE5" s="12">
        <v>474</v>
      </c>
      <c r="CF5" s="112">
        <v>4</v>
      </c>
      <c r="CG5" s="112">
        <v>13</v>
      </c>
      <c r="CH5" s="112">
        <v>18</v>
      </c>
      <c r="CI5" s="112">
        <v>31</v>
      </c>
      <c r="CJ5" s="112">
        <v>33</v>
      </c>
      <c r="CK5" s="112">
        <v>45</v>
      </c>
      <c r="CL5" s="112">
        <v>43</v>
      </c>
      <c r="CM5" s="11">
        <f>SUM(CF6:CK6)-45-45-45</f>
        <v>-45</v>
      </c>
      <c r="CN5" s="11">
        <f>SUM(CF6:CL6)-45-45-45-45</f>
        <v>-87</v>
      </c>
      <c r="CP5" s="11">
        <f t="shared" si="38"/>
        <v>9</v>
      </c>
      <c r="CQ5" s="11">
        <f t="shared" si="38"/>
        <v>5</v>
      </c>
      <c r="CR5" s="11">
        <f t="shared" si="38"/>
        <v>13</v>
      </c>
      <c r="CS5" s="11">
        <f t="shared" si="38"/>
        <v>2</v>
      </c>
      <c r="CT5" s="11">
        <f t="shared" si="38"/>
        <v>12</v>
      </c>
      <c r="CU5" s="11">
        <f t="shared" si="38"/>
        <v>2</v>
      </c>
      <c r="CV5" s="11">
        <v>15</v>
      </c>
      <c r="CW5" s="11">
        <f>48-45</f>
        <v>3</v>
      </c>
    </row>
    <row r="6" spans="3:129" s="122" customFormat="1" ht="17.25">
      <c r="C6" s="11">
        <v>475</v>
      </c>
      <c r="D6" s="107" t="s">
        <v>255</v>
      </c>
      <c r="E6" s="17">
        <v>1</v>
      </c>
      <c r="F6" s="17">
        <v>10</v>
      </c>
      <c r="G6" s="17">
        <v>1</v>
      </c>
      <c r="H6" s="17">
        <f t="shared" si="0"/>
        <v>11</v>
      </c>
      <c r="I6" s="17">
        <v>-20</v>
      </c>
      <c r="J6" s="151">
        <f t="shared" si="1"/>
        <v>3</v>
      </c>
      <c r="K6" s="151">
        <f t="shared" si="2"/>
        <v>-39</v>
      </c>
      <c r="L6" s="34">
        <f t="shared" si="3"/>
        <v>-123</v>
      </c>
      <c r="M6" s="34">
        <f t="shared" si="4"/>
        <v>-246</v>
      </c>
      <c r="N6" s="34">
        <f t="shared" si="5"/>
        <v>-537</v>
      </c>
      <c r="O6" s="34">
        <f t="shared" si="6"/>
        <v>-1074</v>
      </c>
      <c r="P6" s="34">
        <f t="shared" si="7"/>
        <v>-2148</v>
      </c>
      <c r="Q6" s="34">
        <f t="shared" si="8"/>
        <v>-4341</v>
      </c>
      <c r="R6" s="34">
        <f t="shared" si="9"/>
        <v>-8682</v>
      </c>
      <c r="S6" s="34">
        <f t="shared" si="10"/>
        <v>-17364</v>
      </c>
      <c r="T6" s="34">
        <f t="shared" si="11"/>
        <v>-34773</v>
      </c>
      <c r="U6" s="34">
        <f t="shared" si="12"/>
        <v>-69591</v>
      </c>
      <c r="V6" s="34">
        <f t="shared" si="13"/>
        <v>-139228</v>
      </c>
      <c r="W6" s="34">
        <f t="shared" si="14"/>
        <v>-278511</v>
      </c>
      <c r="X6" s="34">
        <f t="shared" si="14"/>
        <v>-557023</v>
      </c>
      <c r="Y6" s="34">
        <f t="shared" si="15"/>
        <v>-1114102</v>
      </c>
      <c r="Z6" s="34">
        <f t="shared" si="15"/>
        <v>-2228184</v>
      </c>
      <c r="AA6" s="34">
        <f t="shared" si="16"/>
        <v>-4456326</v>
      </c>
      <c r="AB6" s="34">
        <f t="shared" si="16"/>
        <v>-8912613</v>
      </c>
      <c r="AC6" s="34">
        <f t="shared" si="16"/>
        <v>-17825103</v>
      </c>
      <c r="AD6" s="34">
        <f t="shared" si="17"/>
        <v>-35649915</v>
      </c>
      <c r="AE6" s="34">
        <f t="shared" si="18"/>
        <v>-71299338</v>
      </c>
      <c r="AF6" s="34">
        <f t="shared" si="18"/>
        <v>-142597602</v>
      </c>
      <c r="AG6" s="34">
        <f t="shared" si="18"/>
        <v>-285193056</v>
      </c>
      <c r="AH6" s="34">
        <f t="shared" si="19"/>
        <v>-570381816</v>
      </c>
      <c r="AI6" s="34">
        <f t="shared" si="20"/>
        <v>-1140754905</v>
      </c>
      <c r="AJ6" s="34">
        <f t="shared" si="20"/>
        <v>-2281492446</v>
      </c>
      <c r="AK6" s="34">
        <f t="shared" si="20"/>
        <v>-4562950119</v>
      </c>
      <c r="AL6" s="34">
        <f t="shared" si="20"/>
        <v>-9125830647</v>
      </c>
      <c r="AM6" s="34">
        <f t="shared" si="21"/>
        <v>-18251522021</v>
      </c>
      <c r="AN6" s="34">
        <f t="shared" si="21"/>
        <v>-36502765531</v>
      </c>
      <c r="AO6" s="34">
        <f t="shared" si="21"/>
        <v>-73004974039</v>
      </c>
      <c r="AP6" s="34">
        <f t="shared" si="22"/>
        <v>-146008834021</v>
      </c>
      <c r="AQ6" s="34">
        <f t="shared" si="23"/>
        <v>-292015439903</v>
      </c>
      <c r="AR6" s="34">
        <f t="shared" si="24"/>
        <v>-584026423435</v>
      </c>
      <c r="AS6" s="34">
        <f t="shared" si="25"/>
        <v>-1168043934302</v>
      </c>
      <c r="AT6" s="34">
        <f t="shared" si="25"/>
        <v>-2336070043501</v>
      </c>
      <c r="AU6" s="34">
        <f t="shared" si="26"/>
        <v>-4672104437042</v>
      </c>
      <c r="AV6" s="34">
        <f t="shared" si="26"/>
        <v>-9344137574746</v>
      </c>
      <c r="AW6" s="34">
        <f t="shared" si="27"/>
        <v>-18688132551845</v>
      </c>
      <c r="AX6" s="34">
        <f t="shared" si="27"/>
        <v>-37375979910634</v>
      </c>
      <c r="AY6" s="34">
        <f t="shared" si="27"/>
        <v>-74751389439452</v>
      </c>
      <c r="AZ6" s="34">
        <f t="shared" si="27"/>
        <v>-149501638123999</v>
      </c>
      <c r="BA6" s="34">
        <f t="shared" si="27"/>
        <v>-299000994755552</v>
      </c>
      <c r="BB6" s="34">
        <f t="shared" si="27"/>
        <v>-597997426560985</v>
      </c>
      <c r="BC6" s="34">
        <f t="shared" si="28"/>
        <v>-1195985727291368</v>
      </c>
      <c r="BD6" s="34">
        <f t="shared" si="28"/>
        <v>-2391953203060715</v>
      </c>
      <c r="BE6" s="34">
        <f t="shared" si="28"/>
        <v>-4783869903355899</v>
      </c>
      <c r="BF6" s="34">
        <f t="shared" si="29"/>
        <v>-9567666801737716</v>
      </c>
      <c r="BG6" s="34">
        <f t="shared" si="29"/>
        <v>-1.9135187594641412E+16</v>
      </c>
      <c r="BH6" s="34">
        <f t="shared" si="30"/>
        <v>-3.827008317384288E+16</v>
      </c>
      <c r="BI6" s="34">
        <f t="shared" si="31"/>
        <v>-7.6539582321262368E+16</v>
      </c>
      <c r="BJ6" s="34">
        <f t="shared" si="31"/>
        <v>-1.5307799659859043E+17</v>
      </c>
      <c r="BK6" s="34">
        <f t="shared" si="31"/>
        <v>-3.0615365712713734E+17</v>
      </c>
      <c r="BL6" s="34">
        <f t="shared" si="32"/>
        <v>-6.123026421498377E+17</v>
      </c>
      <c r="BM6" s="34">
        <f t="shared" si="32"/>
        <v>-1.2245959401621005E+18</v>
      </c>
      <c r="BN6" s="34">
        <f t="shared" si="33"/>
        <v>-2.4491731921916493E+18</v>
      </c>
      <c r="BO6" s="34">
        <f t="shared" si="34"/>
        <v>-4.8983090084033884E+18</v>
      </c>
      <c r="BP6" s="34">
        <f t="shared" si="35"/>
        <v>-9.7965432654173368E+18</v>
      </c>
      <c r="BQ6" s="34">
        <f t="shared" si="36"/>
        <v>-1.959293702919655E+19</v>
      </c>
      <c r="BR6" s="34">
        <f t="shared" si="36"/>
        <v>-3.918557505739835E+19</v>
      </c>
      <c r="BS6" s="34">
        <f t="shared" si="36"/>
        <v>-7.8370552117370126E+19</v>
      </c>
      <c r="BT6" s="34">
        <f t="shared" si="36"/>
        <v>-1.5673990824901296E+20</v>
      </c>
      <c r="BU6" s="34">
        <f t="shared" si="37"/>
        <v>-3.1347742454482285E+20</v>
      </c>
      <c r="BV6" s="34">
        <f t="shared" si="37"/>
        <v>-6.2695006521974233E+20</v>
      </c>
      <c r="BW6" s="10"/>
      <c r="BX6" s="10"/>
      <c r="BY6" s="10"/>
      <c r="BZ6" s="10"/>
      <c r="CA6" s="10"/>
      <c r="CB6" s="10"/>
      <c r="CC6" s="10"/>
      <c r="CD6" s="10"/>
      <c r="CE6" s="12">
        <v>475</v>
      </c>
      <c r="CF6" s="112">
        <v>1</v>
      </c>
      <c r="CG6" s="112">
        <v>9</v>
      </c>
      <c r="CH6" s="112">
        <v>14</v>
      </c>
      <c r="CI6" s="112">
        <v>16</v>
      </c>
      <c r="CJ6" s="112">
        <v>21</v>
      </c>
      <c r="CK6" s="112">
        <v>29</v>
      </c>
      <c r="CL6" s="112">
        <v>3</v>
      </c>
      <c r="CM6" s="11">
        <f>SUM(CF7:CK7)-45-45-45</f>
        <v>-11</v>
      </c>
      <c r="CN6" s="11">
        <f>SUM(CF7:CL7)-45-45-45</f>
        <v>16</v>
      </c>
      <c r="CP6" s="11">
        <f t="shared" si="38"/>
        <v>8</v>
      </c>
      <c r="CQ6" s="11">
        <f t="shared" si="38"/>
        <v>5</v>
      </c>
      <c r="CR6" s="11">
        <f t="shared" si="38"/>
        <v>2</v>
      </c>
      <c r="CS6" s="11">
        <f t="shared" si="38"/>
        <v>5</v>
      </c>
      <c r="CT6" s="11">
        <f t="shared" si="38"/>
        <v>8</v>
      </c>
      <c r="CU6" s="11">
        <f t="shared" si="38"/>
        <v>26</v>
      </c>
      <c r="CV6" s="11">
        <v>8</v>
      </c>
      <c r="CW6" s="11">
        <v>33</v>
      </c>
    </row>
    <row r="7" spans="3:129" s="122" customFormat="1" ht="17.25">
      <c r="C7" s="11">
        <v>476</v>
      </c>
      <c r="D7" s="107" t="s">
        <v>0</v>
      </c>
      <c r="E7" s="17">
        <v>1</v>
      </c>
      <c r="F7" s="17">
        <v>10</v>
      </c>
      <c r="G7" s="17">
        <v>1</v>
      </c>
      <c r="H7" s="17">
        <f t="shared" si="0"/>
        <v>11</v>
      </c>
      <c r="I7" s="17">
        <v>-19</v>
      </c>
      <c r="J7" s="151">
        <f t="shared" si="1"/>
        <v>4</v>
      </c>
      <c r="K7" s="151">
        <f t="shared" si="2"/>
        <v>-37</v>
      </c>
      <c r="L7" s="34">
        <f t="shared" si="3"/>
        <v>-119</v>
      </c>
      <c r="M7" s="34">
        <f t="shared" si="4"/>
        <v>-238</v>
      </c>
      <c r="N7" s="34">
        <f t="shared" si="5"/>
        <v>-521</v>
      </c>
      <c r="O7" s="34">
        <f t="shared" si="6"/>
        <v>-1042</v>
      </c>
      <c r="P7" s="34">
        <f t="shared" si="7"/>
        <v>-2084</v>
      </c>
      <c r="Q7" s="34">
        <f t="shared" si="8"/>
        <v>-4213</v>
      </c>
      <c r="R7" s="34">
        <f t="shared" si="9"/>
        <v>-8426</v>
      </c>
      <c r="S7" s="34">
        <f t="shared" si="10"/>
        <v>-16852</v>
      </c>
      <c r="T7" s="34">
        <f t="shared" si="11"/>
        <v>-33749</v>
      </c>
      <c r="U7" s="34">
        <f t="shared" si="12"/>
        <v>-67543</v>
      </c>
      <c r="V7" s="34">
        <f t="shared" si="13"/>
        <v>-135132</v>
      </c>
      <c r="W7" s="34">
        <f t="shared" si="14"/>
        <v>-270319</v>
      </c>
      <c r="X7" s="34">
        <f t="shared" si="14"/>
        <v>-540639</v>
      </c>
      <c r="Y7" s="34">
        <f t="shared" si="15"/>
        <v>-1081334</v>
      </c>
      <c r="Z7" s="34">
        <f t="shared" si="15"/>
        <v>-2162649</v>
      </c>
      <c r="AA7" s="34">
        <f t="shared" si="16"/>
        <v>-4325257</v>
      </c>
      <c r="AB7" s="34">
        <f t="shared" si="16"/>
        <v>-8650477</v>
      </c>
      <c r="AC7" s="34">
        <f t="shared" si="16"/>
        <v>-17300835</v>
      </c>
      <c r="AD7" s="34">
        <f t="shared" si="17"/>
        <v>-34601387</v>
      </c>
      <c r="AE7" s="34">
        <f t="shared" si="18"/>
        <v>-69202298</v>
      </c>
      <c r="AF7" s="34">
        <f t="shared" si="18"/>
        <v>-138403554</v>
      </c>
      <c r="AG7" s="34">
        <f t="shared" si="18"/>
        <v>-276805024</v>
      </c>
      <c r="AH7" s="34">
        <f t="shared" si="19"/>
        <v>-553605880</v>
      </c>
      <c r="AI7" s="34">
        <f t="shared" si="20"/>
        <v>-1107203289</v>
      </c>
      <c r="AJ7" s="34">
        <f t="shared" si="20"/>
        <v>-2214389726</v>
      </c>
      <c r="AK7" s="34">
        <f t="shared" si="20"/>
        <v>-4428745703</v>
      </c>
      <c r="AL7" s="34">
        <f t="shared" si="20"/>
        <v>-8857423863</v>
      </c>
      <c r="AM7" s="34">
        <f t="shared" si="21"/>
        <v>-17714712549</v>
      </c>
      <c r="AN7" s="34">
        <f t="shared" si="21"/>
        <v>-35429154779</v>
      </c>
      <c r="AO7" s="34">
        <f t="shared" si="21"/>
        <v>-70857768919</v>
      </c>
      <c r="AP7" s="34">
        <f t="shared" si="22"/>
        <v>-141714456549</v>
      </c>
      <c r="AQ7" s="34">
        <f t="shared" si="23"/>
        <v>-283426750494</v>
      </c>
      <c r="AR7" s="34">
        <f t="shared" si="24"/>
        <v>-566849175686</v>
      </c>
      <c r="AS7" s="34">
        <f t="shared" si="25"/>
        <v>-1133689700940</v>
      </c>
      <c r="AT7" s="34">
        <f t="shared" si="25"/>
        <v>-2267362101045</v>
      </c>
      <c r="AU7" s="34">
        <f t="shared" si="26"/>
        <v>-4534689600658</v>
      </c>
      <c r="AV7" s="34">
        <f t="shared" si="26"/>
        <v>-9069309999018</v>
      </c>
      <c r="AW7" s="34">
        <f t="shared" si="27"/>
        <v>-18138481594437</v>
      </c>
      <c r="AX7" s="34">
        <f t="shared" si="27"/>
        <v>-36276686383850</v>
      </c>
      <c r="AY7" s="34">
        <f t="shared" si="27"/>
        <v>-72552819161820</v>
      </c>
      <c r="AZ7" s="34">
        <f t="shared" si="27"/>
        <v>-145104531120351</v>
      </c>
      <c r="BA7" s="34">
        <f t="shared" si="27"/>
        <v>-290206847850976</v>
      </c>
      <c r="BB7" s="34">
        <f t="shared" si="27"/>
        <v>-580409266956249</v>
      </c>
      <c r="BC7" s="34">
        <f t="shared" si="28"/>
        <v>-1160809676488680</v>
      </c>
      <c r="BD7" s="34">
        <f t="shared" si="28"/>
        <v>-2321601638264811</v>
      </c>
      <c r="BE7" s="34">
        <f t="shared" si="28"/>
        <v>-4643167847374843</v>
      </c>
      <c r="BF7" s="34">
        <f t="shared" si="29"/>
        <v>-9286264836980724</v>
      </c>
      <c r="BG7" s="34">
        <f t="shared" si="29"/>
        <v>-1.85723879595049E+16</v>
      </c>
      <c r="BH7" s="34">
        <f t="shared" si="30"/>
        <v>-3.7144492492259264E+16</v>
      </c>
      <c r="BI7" s="34">
        <f t="shared" si="31"/>
        <v>-7.428841813534288E+16</v>
      </c>
      <c r="BJ7" s="34">
        <f t="shared" si="31"/>
        <v>-1.4857570258098483E+17</v>
      </c>
      <c r="BK7" s="34">
        <f t="shared" si="31"/>
        <v>-2.9714913779986861E+17</v>
      </c>
      <c r="BL7" s="34">
        <f t="shared" si="32"/>
        <v>-5.942937409101367E+17</v>
      </c>
      <c r="BM7" s="34">
        <f t="shared" si="32"/>
        <v>-1.1885784125102743E+18</v>
      </c>
      <c r="BN7" s="34">
        <f t="shared" si="33"/>
        <v>-2.3771386865389542E+18</v>
      </c>
      <c r="BO7" s="34">
        <f t="shared" si="34"/>
        <v>-4.7542410963915244E+18</v>
      </c>
      <c r="BP7" s="34">
        <f t="shared" si="35"/>
        <v>-9.5084096399638876E+18</v>
      </c>
      <c r="BQ7" s="34">
        <f t="shared" si="36"/>
        <v>-1.9016674175396651E+19</v>
      </c>
      <c r="BR7" s="34">
        <f t="shared" si="36"/>
        <v>-3.8033058143945458E+19</v>
      </c>
      <c r="BS7" s="34">
        <f t="shared" si="36"/>
        <v>-7.6065535878623953E+19</v>
      </c>
      <c r="BT7" s="34">
        <f t="shared" si="36"/>
        <v>-1.5212991094757143E+20</v>
      </c>
      <c r="BU7" s="34">
        <f t="shared" si="37"/>
        <v>-3.0425750029350457E+20</v>
      </c>
      <c r="BV7" s="34">
        <f t="shared" si="37"/>
        <v>-6.0851035741916181E+20</v>
      </c>
      <c r="BW7" s="10"/>
      <c r="BX7" s="10"/>
      <c r="BY7" s="10"/>
      <c r="BZ7" s="10"/>
      <c r="CA7" s="10"/>
      <c r="CB7" s="10"/>
      <c r="CC7" s="10"/>
      <c r="CD7" s="10"/>
      <c r="CE7" s="12">
        <v>476</v>
      </c>
      <c r="CF7" s="112">
        <v>9</v>
      </c>
      <c r="CG7" s="112">
        <v>12</v>
      </c>
      <c r="CH7" s="112">
        <v>13</v>
      </c>
      <c r="CI7" s="112">
        <v>15</v>
      </c>
      <c r="CJ7" s="112">
        <v>37</v>
      </c>
      <c r="CK7" s="112">
        <v>38</v>
      </c>
      <c r="CL7" s="112">
        <v>27</v>
      </c>
      <c r="CM7" s="11">
        <f>SUM(CF8:CK8)-45-45-45</f>
        <v>43</v>
      </c>
      <c r="CN7" s="11">
        <f>SUM(CF8:CL8)-45-45-45-45</f>
        <v>35</v>
      </c>
      <c r="CP7" s="11">
        <f t="shared" si="38"/>
        <v>3</v>
      </c>
      <c r="CQ7" s="11">
        <f t="shared" si="38"/>
        <v>1</v>
      </c>
      <c r="CR7" s="11">
        <f t="shared" si="38"/>
        <v>2</v>
      </c>
      <c r="CS7" s="11">
        <f t="shared" si="38"/>
        <v>22</v>
      </c>
      <c r="CT7" s="11">
        <f t="shared" si="38"/>
        <v>1</v>
      </c>
      <c r="CU7" s="11">
        <f t="shared" si="38"/>
        <v>11</v>
      </c>
      <c r="CV7" s="11">
        <v>4</v>
      </c>
      <c r="CW7" s="11">
        <v>34</v>
      </c>
    </row>
    <row r="8" spans="3:129" s="122" customFormat="1" ht="17.25">
      <c r="C8" s="11">
        <v>477</v>
      </c>
      <c r="D8" s="107" t="s">
        <v>256</v>
      </c>
      <c r="E8" s="17">
        <v>1</v>
      </c>
      <c r="F8" s="17">
        <v>10</v>
      </c>
      <c r="G8" s="17">
        <v>1</v>
      </c>
      <c r="H8" s="17">
        <f t="shared" si="0"/>
        <v>11</v>
      </c>
      <c r="I8" s="17">
        <v>-18</v>
      </c>
      <c r="J8" s="151">
        <f t="shared" si="1"/>
        <v>5</v>
      </c>
      <c r="K8" s="151">
        <f t="shared" si="2"/>
        <v>-35</v>
      </c>
      <c r="L8" s="34">
        <f t="shared" si="3"/>
        <v>-115</v>
      </c>
      <c r="M8" s="34">
        <f t="shared" si="4"/>
        <v>-230</v>
      </c>
      <c r="N8" s="34">
        <f t="shared" si="5"/>
        <v>-505</v>
      </c>
      <c r="O8" s="34">
        <f t="shared" si="6"/>
        <v>-1010</v>
      </c>
      <c r="P8" s="34">
        <f t="shared" si="7"/>
        <v>-2020</v>
      </c>
      <c r="Q8" s="34">
        <f t="shared" si="8"/>
        <v>-4085</v>
      </c>
      <c r="R8" s="34">
        <f t="shared" si="9"/>
        <v>-8170</v>
      </c>
      <c r="S8" s="34">
        <f t="shared" si="10"/>
        <v>-16340</v>
      </c>
      <c r="T8" s="34">
        <f t="shared" si="11"/>
        <v>-32725</v>
      </c>
      <c r="U8" s="34">
        <f t="shared" si="12"/>
        <v>-65495</v>
      </c>
      <c r="V8" s="34">
        <f t="shared" si="13"/>
        <v>-131036</v>
      </c>
      <c r="W8" s="34">
        <f t="shared" si="14"/>
        <v>-262127</v>
      </c>
      <c r="X8" s="34">
        <f t="shared" si="14"/>
        <v>-524255</v>
      </c>
      <c r="Y8" s="34">
        <f t="shared" si="15"/>
        <v>-1048566</v>
      </c>
      <c r="Z8" s="34">
        <f t="shared" si="15"/>
        <v>-2097114</v>
      </c>
      <c r="AA8" s="34">
        <f t="shared" si="16"/>
        <v>-4194188</v>
      </c>
      <c r="AB8" s="34">
        <f t="shared" si="16"/>
        <v>-8388341</v>
      </c>
      <c r="AC8" s="34">
        <f t="shared" si="16"/>
        <v>-16776567</v>
      </c>
      <c r="AD8" s="34">
        <f t="shared" si="17"/>
        <v>-33552859</v>
      </c>
      <c r="AE8" s="34">
        <f t="shared" si="18"/>
        <v>-67105258</v>
      </c>
      <c r="AF8" s="34">
        <f t="shared" si="18"/>
        <v>-134209506</v>
      </c>
      <c r="AG8" s="34">
        <f t="shared" si="18"/>
        <v>-268416992</v>
      </c>
      <c r="AH8" s="34">
        <f t="shared" si="19"/>
        <v>-536829944</v>
      </c>
      <c r="AI8" s="34">
        <f t="shared" si="20"/>
        <v>-1073651673</v>
      </c>
      <c r="AJ8" s="34">
        <f t="shared" si="20"/>
        <v>-2147287006</v>
      </c>
      <c r="AK8" s="34">
        <f t="shared" si="20"/>
        <v>-4294541287</v>
      </c>
      <c r="AL8" s="34">
        <f t="shared" si="20"/>
        <v>-8589017079</v>
      </c>
      <c r="AM8" s="34">
        <f t="shared" si="21"/>
        <v>-17177903077</v>
      </c>
      <c r="AN8" s="34">
        <f t="shared" si="21"/>
        <v>-34355544027</v>
      </c>
      <c r="AO8" s="34">
        <f t="shared" si="21"/>
        <v>-68710563799</v>
      </c>
      <c r="AP8" s="34">
        <f t="shared" si="22"/>
        <v>-137420079077</v>
      </c>
      <c r="AQ8" s="34">
        <f t="shared" si="23"/>
        <v>-274838061085</v>
      </c>
      <c r="AR8" s="34">
        <f t="shared" si="24"/>
        <v>-549671927937</v>
      </c>
      <c r="AS8" s="34">
        <f t="shared" si="25"/>
        <v>-1099335467578</v>
      </c>
      <c r="AT8" s="34">
        <f t="shared" si="25"/>
        <v>-2198654158589</v>
      </c>
      <c r="AU8" s="34">
        <f t="shared" si="26"/>
        <v>-4397274764274</v>
      </c>
      <c r="AV8" s="34">
        <f t="shared" si="26"/>
        <v>-8794482423290</v>
      </c>
      <c r="AW8" s="34">
        <f t="shared" si="27"/>
        <v>-17588830637029</v>
      </c>
      <c r="AX8" s="34">
        <f t="shared" si="27"/>
        <v>-35177392857066</v>
      </c>
      <c r="AY8" s="34">
        <f t="shared" si="27"/>
        <v>-70354248884188</v>
      </c>
      <c r="AZ8" s="34">
        <f t="shared" si="27"/>
        <v>-140707424116703</v>
      </c>
      <c r="BA8" s="34">
        <f t="shared" si="27"/>
        <v>-281412700946400</v>
      </c>
      <c r="BB8" s="34">
        <f t="shared" si="27"/>
        <v>-562821107351513</v>
      </c>
      <c r="BC8" s="34">
        <f t="shared" si="28"/>
        <v>-1125633625685992</v>
      </c>
      <c r="BD8" s="34">
        <f t="shared" si="28"/>
        <v>-2251250073468907</v>
      </c>
      <c r="BE8" s="34">
        <f t="shared" si="28"/>
        <v>-4502465791393787</v>
      </c>
      <c r="BF8" s="34">
        <f t="shared" si="29"/>
        <v>-9004862872223730</v>
      </c>
      <c r="BG8" s="34">
        <f t="shared" si="29"/>
        <v>-1.8009588324368384E+16</v>
      </c>
      <c r="BH8" s="34">
        <f t="shared" si="30"/>
        <v>-3.601890181067564E+16</v>
      </c>
      <c r="BI8" s="34">
        <f t="shared" si="31"/>
        <v>-7.2037253949423384E+16</v>
      </c>
      <c r="BJ8" s="34">
        <f t="shared" si="31"/>
        <v>-1.440734085633792E+17</v>
      </c>
      <c r="BK8" s="34">
        <f t="shared" si="31"/>
        <v>-2.8814461847259981E+17</v>
      </c>
      <c r="BL8" s="34">
        <f t="shared" si="32"/>
        <v>-5.7628483967043539E+17</v>
      </c>
      <c r="BM8" s="34">
        <f t="shared" si="32"/>
        <v>-1.1525608848584475E+18</v>
      </c>
      <c r="BN8" s="34">
        <f t="shared" si="33"/>
        <v>-2.3051041808862579E+18</v>
      </c>
      <c r="BO8" s="34">
        <f t="shared" si="34"/>
        <v>-4.6101731843796588E+18</v>
      </c>
      <c r="BP8" s="34">
        <f t="shared" si="35"/>
        <v>-9.2202760145104323E+18</v>
      </c>
      <c r="BQ8" s="34">
        <f t="shared" si="36"/>
        <v>-1.8440411321596748E+19</v>
      </c>
      <c r="BR8" s="34">
        <f t="shared" si="36"/>
        <v>-3.6880541230492549E+19</v>
      </c>
      <c r="BS8" s="34">
        <f t="shared" si="36"/>
        <v>-7.3760519639877747E+19</v>
      </c>
      <c r="BT8" s="34">
        <f t="shared" si="36"/>
        <v>-1.4751991364612981E+20</v>
      </c>
      <c r="BU8" s="34">
        <f t="shared" si="37"/>
        <v>-2.9503757604218615E+20</v>
      </c>
      <c r="BV8" s="34">
        <f t="shared" si="37"/>
        <v>-5.900706496185809E+20</v>
      </c>
      <c r="BW8" s="10"/>
      <c r="BX8" s="10"/>
      <c r="BY8" s="10"/>
      <c r="BZ8" s="10"/>
      <c r="CA8" s="10"/>
      <c r="CB8" s="10"/>
      <c r="CC8" s="10"/>
      <c r="CD8" s="10"/>
      <c r="CE8" s="12">
        <v>477</v>
      </c>
      <c r="CF8" s="112">
        <v>14</v>
      </c>
      <c r="CG8" s="112">
        <v>25</v>
      </c>
      <c r="CH8" s="112">
        <v>29</v>
      </c>
      <c r="CI8" s="112">
        <v>32</v>
      </c>
      <c r="CJ8" s="112">
        <v>33</v>
      </c>
      <c r="CK8" s="112">
        <v>45</v>
      </c>
      <c r="CL8" s="112">
        <v>37</v>
      </c>
      <c r="CM8" s="11">
        <f>SUM(CF9:CK9)-45-45-45</f>
        <v>61</v>
      </c>
      <c r="CN8" s="11">
        <f>SUM(CF9:CL9)-45-45-45-45</f>
        <v>24</v>
      </c>
      <c r="CP8" s="11">
        <f t="shared" si="38"/>
        <v>11</v>
      </c>
      <c r="CQ8" s="11">
        <f t="shared" si="38"/>
        <v>4</v>
      </c>
      <c r="CR8" s="11">
        <f t="shared" si="38"/>
        <v>3</v>
      </c>
      <c r="CS8" s="11">
        <f t="shared" si="38"/>
        <v>1</v>
      </c>
      <c r="CT8" s="11">
        <f t="shared" si="38"/>
        <v>12</v>
      </c>
      <c r="CU8" s="11">
        <f t="shared" si="38"/>
        <v>8</v>
      </c>
      <c r="CV8" s="11">
        <v>8</v>
      </c>
      <c r="CW8" s="11">
        <v>33</v>
      </c>
      <c r="CX8" s="122" t="s">
        <v>31</v>
      </c>
    </row>
    <row r="9" spans="3:129" s="122" customFormat="1" ht="17.25">
      <c r="C9" s="11">
        <v>478</v>
      </c>
      <c r="D9" s="107" t="s">
        <v>257</v>
      </c>
      <c r="E9" s="17">
        <v>1</v>
      </c>
      <c r="F9" s="17">
        <v>10</v>
      </c>
      <c r="G9" s="17">
        <v>1</v>
      </c>
      <c r="H9" s="17">
        <f t="shared" si="0"/>
        <v>11</v>
      </c>
      <c r="I9" s="17">
        <v>-17</v>
      </c>
      <c r="J9" s="151">
        <f t="shared" si="1"/>
        <v>6</v>
      </c>
      <c r="K9" s="151">
        <f t="shared" si="2"/>
        <v>-33</v>
      </c>
      <c r="L9" s="34">
        <f t="shared" si="3"/>
        <v>-111</v>
      </c>
      <c r="M9" s="34">
        <f t="shared" si="4"/>
        <v>-222</v>
      </c>
      <c r="N9" s="34">
        <f t="shared" si="5"/>
        <v>-489</v>
      </c>
      <c r="O9" s="34">
        <f t="shared" si="6"/>
        <v>-978</v>
      </c>
      <c r="P9" s="34">
        <f t="shared" si="7"/>
        <v>-1956</v>
      </c>
      <c r="Q9" s="34">
        <f t="shared" si="8"/>
        <v>-3957</v>
      </c>
      <c r="R9" s="34">
        <f t="shared" si="9"/>
        <v>-7914</v>
      </c>
      <c r="S9" s="34">
        <f t="shared" si="10"/>
        <v>-15828</v>
      </c>
      <c r="T9" s="34">
        <f t="shared" si="11"/>
        <v>-31701</v>
      </c>
      <c r="U9" s="34">
        <f t="shared" si="12"/>
        <v>-63447</v>
      </c>
      <c r="V9" s="34">
        <f t="shared" si="13"/>
        <v>-126940</v>
      </c>
      <c r="W9" s="34">
        <f t="shared" si="14"/>
        <v>-253935</v>
      </c>
      <c r="X9" s="34">
        <f t="shared" si="14"/>
        <v>-507871</v>
      </c>
      <c r="Y9" s="34">
        <f t="shared" si="15"/>
        <v>-1015798</v>
      </c>
      <c r="Z9" s="34">
        <f t="shared" si="15"/>
        <v>-2031579</v>
      </c>
      <c r="AA9" s="34">
        <f t="shared" si="16"/>
        <v>-4063119</v>
      </c>
      <c r="AB9" s="34">
        <f t="shared" si="16"/>
        <v>-8126205</v>
      </c>
      <c r="AC9" s="34">
        <f t="shared" si="16"/>
        <v>-16252299</v>
      </c>
      <c r="AD9" s="34">
        <f t="shared" si="17"/>
        <v>-32504331</v>
      </c>
      <c r="AE9" s="34">
        <f t="shared" si="18"/>
        <v>-65008218</v>
      </c>
      <c r="AF9" s="34">
        <f t="shared" si="18"/>
        <v>-130015458</v>
      </c>
      <c r="AG9" s="34">
        <f t="shared" si="18"/>
        <v>-260028960</v>
      </c>
      <c r="AH9" s="34">
        <f t="shared" si="19"/>
        <v>-520054008</v>
      </c>
      <c r="AI9" s="34">
        <f t="shared" si="20"/>
        <v>-1040100057</v>
      </c>
      <c r="AJ9" s="34">
        <f t="shared" si="20"/>
        <v>-2080184286</v>
      </c>
      <c r="AK9" s="34">
        <f t="shared" si="20"/>
        <v>-4160336871</v>
      </c>
      <c r="AL9" s="34">
        <f t="shared" si="20"/>
        <v>-8320610295</v>
      </c>
      <c r="AM9" s="34">
        <f t="shared" si="21"/>
        <v>-16641093605</v>
      </c>
      <c r="AN9" s="34">
        <f t="shared" si="21"/>
        <v>-33281933275</v>
      </c>
      <c r="AO9" s="34">
        <f t="shared" si="21"/>
        <v>-66563358679</v>
      </c>
      <c r="AP9" s="34">
        <f t="shared" si="22"/>
        <v>-133125701605</v>
      </c>
      <c r="AQ9" s="34">
        <f t="shared" si="23"/>
        <v>-266249371676</v>
      </c>
      <c r="AR9" s="34">
        <f t="shared" si="24"/>
        <v>-532494680188</v>
      </c>
      <c r="AS9" s="34">
        <f t="shared" si="25"/>
        <v>-1064981234216</v>
      </c>
      <c r="AT9" s="34">
        <f t="shared" si="25"/>
        <v>-2129946216133</v>
      </c>
      <c r="AU9" s="34">
        <f t="shared" si="26"/>
        <v>-4259859927890</v>
      </c>
      <c r="AV9" s="34">
        <f t="shared" si="26"/>
        <v>-8519654847562</v>
      </c>
      <c r="AW9" s="34">
        <f t="shared" si="27"/>
        <v>-17039179679621</v>
      </c>
      <c r="AX9" s="34">
        <f t="shared" si="27"/>
        <v>-34078099330282</v>
      </c>
      <c r="AY9" s="34">
        <f t="shared" si="27"/>
        <v>-68155678606556</v>
      </c>
      <c r="AZ9" s="34">
        <f t="shared" si="27"/>
        <v>-136310317113055</v>
      </c>
      <c r="BA9" s="34">
        <f t="shared" si="27"/>
        <v>-272618554041824</v>
      </c>
      <c r="BB9" s="34">
        <f t="shared" si="27"/>
        <v>-545232947746777</v>
      </c>
      <c r="BC9" s="34">
        <f t="shared" si="28"/>
        <v>-1090457574883304</v>
      </c>
      <c r="BD9" s="34">
        <f t="shared" si="28"/>
        <v>-2180898508673003</v>
      </c>
      <c r="BE9" s="34">
        <f t="shared" si="28"/>
        <v>-4361763735412731</v>
      </c>
      <c r="BF9" s="34">
        <f t="shared" si="29"/>
        <v>-8723460907466738</v>
      </c>
      <c r="BG9" s="34">
        <f t="shared" si="29"/>
        <v>-1.7446788689231872E+16</v>
      </c>
      <c r="BH9" s="34">
        <f t="shared" si="30"/>
        <v>-3.4893311129092024E+16</v>
      </c>
      <c r="BI9" s="34">
        <f t="shared" si="31"/>
        <v>-6.9786089763503896E+16</v>
      </c>
      <c r="BJ9" s="34">
        <f t="shared" si="31"/>
        <v>-1.395711145457736E+17</v>
      </c>
      <c r="BK9" s="34">
        <f t="shared" si="31"/>
        <v>-2.7914009914533107E+17</v>
      </c>
      <c r="BL9" s="34">
        <f t="shared" si="32"/>
        <v>-5.5827593843073434E+17</v>
      </c>
      <c r="BM9" s="34">
        <f t="shared" si="32"/>
        <v>-1.1165433572066211E+18</v>
      </c>
      <c r="BN9" s="34">
        <f t="shared" si="33"/>
        <v>-2.2330696752335624E+18</v>
      </c>
      <c r="BO9" s="34">
        <f t="shared" si="34"/>
        <v>-4.4661052723677947E+18</v>
      </c>
      <c r="BP9" s="34">
        <f t="shared" si="35"/>
        <v>-8.932142389056983E+18</v>
      </c>
      <c r="BQ9" s="34">
        <f t="shared" si="36"/>
        <v>-1.7864148467796853E+19</v>
      </c>
      <c r="BR9" s="34">
        <f t="shared" si="36"/>
        <v>-3.5728024317039665E+19</v>
      </c>
      <c r="BS9" s="34">
        <f t="shared" si="36"/>
        <v>-7.1455503401131581E+19</v>
      </c>
      <c r="BT9" s="34">
        <f t="shared" si="36"/>
        <v>-1.4290991634468828E+20</v>
      </c>
      <c r="BU9" s="34">
        <f t="shared" si="37"/>
        <v>-2.8581765179086789E+20</v>
      </c>
      <c r="BV9" s="34">
        <f t="shared" si="37"/>
        <v>-5.7163094181800038E+20</v>
      </c>
      <c r="BW9" s="10"/>
      <c r="BX9" s="10"/>
      <c r="BY9" s="10"/>
      <c r="BZ9" s="10"/>
      <c r="CA9" s="10"/>
      <c r="CB9" s="10"/>
      <c r="CC9" s="10"/>
      <c r="CD9" s="10"/>
      <c r="CE9" s="12">
        <v>478</v>
      </c>
      <c r="CF9" s="112">
        <v>18</v>
      </c>
      <c r="CG9" s="112">
        <v>29</v>
      </c>
      <c r="CH9" s="112">
        <v>30</v>
      </c>
      <c r="CI9" s="112">
        <v>37</v>
      </c>
      <c r="CJ9" s="112">
        <v>39</v>
      </c>
      <c r="CK9" s="112">
        <v>43</v>
      </c>
      <c r="CL9" s="112">
        <v>8</v>
      </c>
      <c r="CM9" s="11">
        <f>SUM(CF10:CK10)-45-45-45</f>
        <v>27</v>
      </c>
      <c r="CN9" s="11">
        <f>SUM(CF10:CL10)-45-45-45</f>
        <v>51</v>
      </c>
      <c r="CP9" s="11">
        <f t="shared" si="38"/>
        <v>11</v>
      </c>
      <c r="CQ9" s="11">
        <f t="shared" si="38"/>
        <v>1</v>
      </c>
      <c r="CR9" s="11">
        <f t="shared" si="38"/>
        <v>7</v>
      </c>
      <c r="CS9" s="11">
        <f t="shared" si="38"/>
        <v>2</v>
      </c>
      <c r="CT9" s="11">
        <f t="shared" si="38"/>
        <v>4</v>
      </c>
      <c r="CU9" s="11">
        <f t="shared" si="38"/>
        <v>35</v>
      </c>
      <c r="CV9" s="11">
        <v>14</v>
      </c>
      <c r="CW9" s="11">
        <v>35</v>
      </c>
      <c r="CX9" s="122" t="s">
        <v>32</v>
      </c>
    </row>
    <row r="10" spans="3:129" s="122" customFormat="1" ht="17.25">
      <c r="C10" s="11">
        <v>479</v>
      </c>
      <c r="D10" s="107" t="s">
        <v>258</v>
      </c>
      <c r="E10" s="17">
        <v>1</v>
      </c>
      <c r="F10" s="17">
        <v>10</v>
      </c>
      <c r="G10" s="17">
        <v>1</v>
      </c>
      <c r="H10" s="17">
        <f t="shared" si="0"/>
        <v>11</v>
      </c>
      <c r="I10" s="17">
        <v>-16</v>
      </c>
      <c r="J10" s="151">
        <f t="shared" si="1"/>
        <v>7</v>
      </c>
      <c r="K10" s="151">
        <f t="shared" si="2"/>
        <v>-31</v>
      </c>
      <c r="L10" s="34">
        <f t="shared" si="3"/>
        <v>-107</v>
      </c>
      <c r="M10" s="34">
        <f t="shared" si="4"/>
        <v>-214</v>
      </c>
      <c r="N10" s="34">
        <f t="shared" si="5"/>
        <v>-473</v>
      </c>
      <c r="O10" s="34">
        <f t="shared" si="6"/>
        <v>-946</v>
      </c>
      <c r="P10" s="34">
        <f t="shared" si="7"/>
        <v>-1892</v>
      </c>
      <c r="Q10" s="34">
        <f t="shared" si="8"/>
        <v>-3829</v>
      </c>
      <c r="R10" s="34">
        <f t="shared" si="9"/>
        <v>-7658</v>
      </c>
      <c r="S10" s="34">
        <f t="shared" si="10"/>
        <v>-15316</v>
      </c>
      <c r="T10" s="34">
        <f t="shared" si="11"/>
        <v>-30677</v>
      </c>
      <c r="U10" s="34">
        <f t="shared" si="12"/>
        <v>-61399</v>
      </c>
      <c r="V10" s="34">
        <f t="shared" si="13"/>
        <v>-122844</v>
      </c>
      <c r="W10" s="34">
        <f t="shared" si="14"/>
        <v>-245743</v>
      </c>
      <c r="X10" s="34">
        <f t="shared" si="14"/>
        <v>-491487</v>
      </c>
      <c r="Y10" s="34">
        <f t="shared" si="15"/>
        <v>-983030</v>
      </c>
      <c r="Z10" s="34">
        <f t="shared" si="15"/>
        <v>-1966044</v>
      </c>
      <c r="AA10" s="34">
        <f t="shared" si="16"/>
        <v>-3932050</v>
      </c>
      <c r="AB10" s="34">
        <f t="shared" si="16"/>
        <v>-7864069</v>
      </c>
      <c r="AC10" s="34">
        <f t="shared" si="16"/>
        <v>-15728031</v>
      </c>
      <c r="AD10" s="34">
        <f t="shared" si="17"/>
        <v>-31455803</v>
      </c>
      <c r="AE10" s="34">
        <f t="shared" si="18"/>
        <v>-62911178</v>
      </c>
      <c r="AF10" s="34">
        <f t="shared" si="18"/>
        <v>-125821410</v>
      </c>
      <c r="AG10" s="34">
        <f t="shared" si="18"/>
        <v>-251640928</v>
      </c>
      <c r="AH10" s="34">
        <f t="shared" si="19"/>
        <v>-503278072</v>
      </c>
      <c r="AI10" s="34">
        <f t="shared" si="20"/>
        <v>-1006548441</v>
      </c>
      <c r="AJ10" s="34">
        <f t="shared" si="20"/>
        <v>-2013081566</v>
      </c>
      <c r="AK10" s="34">
        <f t="shared" si="20"/>
        <v>-4026132455</v>
      </c>
      <c r="AL10" s="34">
        <f t="shared" si="20"/>
        <v>-8052203511</v>
      </c>
      <c r="AM10" s="34">
        <f t="shared" si="21"/>
        <v>-16104284133</v>
      </c>
      <c r="AN10" s="34">
        <f t="shared" si="21"/>
        <v>-32208322523</v>
      </c>
      <c r="AO10" s="34">
        <f t="shared" si="21"/>
        <v>-64416153559</v>
      </c>
      <c r="AP10" s="34">
        <f t="shared" si="22"/>
        <v>-128831324133</v>
      </c>
      <c r="AQ10" s="34">
        <f t="shared" si="23"/>
        <v>-257660682267</v>
      </c>
      <c r="AR10" s="34">
        <f t="shared" si="24"/>
        <v>-515317432439</v>
      </c>
      <c r="AS10" s="34">
        <f t="shared" si="25"/>
        <v>-1030627000854</v>
      </c>
      <c r="AT10" s="34">
        <f t="shared" si="25"/>
        <v>-2061238273677</v>
      </c>
      <c r="AU10" s="34">
        <f t="shared" si="26"/>
        <v>-4122445091506</v>
      </c>
      <c r="AV10" s="34">
        <f t="shared" si="26"/>
        <v>-8244827271834</v>
      </c>
      <c r="AW10" s="34">
        <f t="shared" si="27"/>
        <v>-16489528722213</v>
      </c>
      <c r="AX10" s="34">
        <f t="shared" si="27"/>
        <v>-32978805803498</v>
      </c>
      <c r="AY10" s="34">
        <f t="shared" si="27"/>
        <v>-65957108328924</v>
      </c>
      <c r="AZ10" s="34">
        <f t="shared" si="27"/>
        <v>-131913210109407</v>
      </c>
      <c r="BA10" s="34">
        <f t="shared" si="27"/>
        <v>-263824407137248</v>
      </c>
      <c r="BB10" s="34">
        <f t="shared" si="27"/>
        <v>-527644788142041</v>
      </c>
      <c r="BC10" s="34">
        <f t="shared" si="28"/>
        <v>-1055281524080616</v>
      </c>
      <c r="BD10" s="34">
        <f t="shared" si="28"/>
        <v>-2110546943877099</v>
      </c>
      <c r="BE10" s="34">
        <f t="shared" si="28"/>
        <v>-4221061679431675</v>
      </c>
      <c r="BF10" s="34">
        <f t="shared" si="29"/>
        <v>-8442058942709746</v>
      </c>
      <c r="BG10" s="34">
        <f t="shared" si="29"/>
        <v>-1.688398905409536E+16</v>
      </c>
      <c r="BH10" s="34">
        <f t="shared" si="30"/>
        <v>-3.3767720447508408E+16</v>
      </c>
      <c r="BI10" s="34">
        <f t="shared" si="31"/>
        <v>-6.7534925577584416E+16</v>
      </c>
      <c r="BJ10" s="34">
        <f t="shared" si="31"/>
        <v>-1.3506882052816798E+17</v>
      </c>
      <c r="BK10" s="34">
        <f t="shared" si="31"/>
        <v>-2.7013557981806227E+17</v>
      </c>
      <c r="BL10" s="34">
        <f t="shared" si="32"/>
        <v>-5.4026703719103309E+17</v>
      </c>
      <c r="BM10" s="34">
        <f t="shared" si="32"/>
        <v>-1.0805258295547944E+18</v>
      </c>
      <c r="BN10" s="34">
        <f t="shared" si="33"/>
        <v>-2.1610351695808663E+18</v>
      </c>
      <c r="BO10" s="34">
        <f t="shared" si="34"/>
        <v>-4.3220373603559296E+18</v>
      </c>
      <c r="BP10" s="34">
        <f t="shared" si="35"/>
        <v>-8.6440087636035297E+18</v>
      </c>
      <c r="BQ10" s="34">
        <f t="shared" si="36"/>
        <v>-1.728788561399695E+19</v>
      </c>
      <c r="BR10" s="34">
        <f t="shared" si="36"/>
        <v>-3.4575507403586765E+19</v>
      </c>
      <c r="BS10" s="34">
        <f t="shared" si="36"/>
        <v>-6.9150487162385383E+19</v>
      </c>
      <c r="BT10" s="34">
        <f t="shared" si="36"/>
        <v>-1.3829991904324669E+20</v>
      </c>
      <c r="BU10" s="34">
        <f t="shared" si="37"/>
        <v>-2.765977275395495E+20</v>
      </c>
      <c r="BV10" s="34">
        <f t="shared" si="37"/>
        <v>-5.5319123401741959E+20</v>
      </c>
      <c r="BW10" s="10"/>
      <c r="BX10" s="10"/>
      <c r="BY10" s="10"/>
      <c r="BZ10" s="10"/>
      <c r="CA10" s="10"/>
      <c r="CB10" s="10"/>
      <c r="CC10" s="10"/>
      <c r="CD10" s="10"/>
      <c r="CE10" s="12">
        <v>479</v>
      </c>
      <c r="CF10" s="112">
        <v>8</v>
      </c>
      <c r="CG10" s="112">
        <v>23</v>
      </c>
      <c r="CH10" s="112">
        <v>25</v>
      </c>
      <c r="CI10" s="112">
        <v>27</v>
      </c>
      <c r="CJ10" s="112">
        <v>35</v>
      </c>
      <c r="CK10" s="112">
        <v>44</v>
      </c>
      <c r="CL10" s="112">
        <v>24</v>
      </c>
      <c r="CM10" s="11">
        <f>SUM(CF11:CK11)-45-45</f>
        <v>6</v>
      </c>
      <c r="CN10" s="11">
        <f>SUM(CF11:CL11)-45-45</f>
        <v>22</v>
      </c>
      <c r="CP10" s="11">
        <f t="shared" si="38"/>
        <v>15</v>
      </c>
      <c r="CQ10" s="11">
        <f t="shared" si="38"/>
        <v>2</v>
      </c>
      <c r="CR10" s="11">
        <f t="shared" si="38"/>
        <v>2</v>
      </c>
      <c r="CS10" s="11">
        <f t="shared" si="38"/>
        <v>8</v>
      </c>
      <c r="CT10" s="11">
        <f t="shared" si="38"/>
        <v>9</v>
      </c>
      <c r="CU10" s="11">
        <f t="shared" si="38"/>
        <v>20</v>
      </c>
      <c r="CV10" s="11">
        <v>6</v>
      </c>
      <c r="CW10" s="11">
        <v>34</v>
      </c>
      <c r="CX10" s="122" t="s">
        <v>33</v>
      </c>
    </row>
    <row r="11" spans="3:129" s="122" customFormat="1" ht="17.25">
      <c r="C11" s="11">
        <v>480</v>
      </c>
      <c r="D11" s="107" t="s">
        <v>251</v>
      </c>
      <c r="E11" s="17">
        <v>1</v>
      </c>
      <c r="F11" s="17">
        <v>10</v>
      </c>
      <c r="G11" s="17">
        <v>1</v>
      </c>
      <c r="H11" s="17">
        <f t="shared" si="0"/>
        <v>11</v>
      </c>
      <c r="I11" s="17">
        <v>-15</v>
      </c>
      <c r="J11" s="151">
        <f t="shared" si="1"/>
        <v>8</v>
      </c>
      <c r="K11" s="151">
        <f t="shared" si="2"/>
        <v>-29</v>
      </c>
      <c r="L11" s="34">
        <f t="shared" si="3"/>
        <v>-103</v>
      </c>
      <c r="M11" s="34">
        <f t="shared" si="4"/>
        <v>-206</v>
      </c>
      <c r="N11" s="34">
        <f t="shared" si="5"/>
        <v>-457</v>
      </c>
      <c r="O11" s="34">
        <f t="shared" si="6"/>
        <v>-914</v>
      </c>
      <c r="P11" s="34">
        <f t="shared" si="7"/>
        <v>-1828</v>
      </c>
      <c r="Q11" s="34">
        <f t="shared" si="8"/>
        <v>-3701</v>
      </c>
      <c r="R11" s="34">
        <f t="shared" si="9"/>
        <v>-7402</v>
      </c>
      <c r="S11" s="34">
        <f t="shared" si="10"/>
        <v>-14804</v>
      </c>
      <c r="T11" s="34">
        <f t="shared" si="11"/>
        <v>-29653</v>
      </c>
      <c r="U11" s="34">
        <f t="shared" si="12"/>
        <v>-59351</v>
      </c>
      <c r="V11" s="34">
        <f t="shared" si="13"/>
        <v>-118748</v>
      </c>
      <c r="W11" s="34">
        <f t="shared" si="14"/>
        <v>-237551</v>
      </c>
      <c r="X11" s="34">
        <f t="shared" si="14"/>
        <v>-475103</v>
      </c>
      <c r="Y11" s="34">
        <f t="shared" si="15"/>
        <v>-950262</v>
      </c>
      <c r="Z11" s="34">
        <f t="shared" si="15"/>
        <v>-1900509</v>
      </c>
      <c r="AA11" s="34">
        <f t="shared" si="16"/>
        <v>-3800981</v>
      </c>
      <c r="AB11" s="34">
        <f t="shared" si="16"/>
        <v>-7601933</v>
      </c>
      <c r="AC11" s="34">
        <f t="shared" si="16"/>
        <v>-15203763</v>
      </c>
      <c r="AD11" s="34">
        <f t="shared" si="17"/>
        <v>-30407275</v>
      </c>
      <c r="AE11" s="34">
        <f t="shared" si="18"/>
        <v>-60814138</v>
      </c>
      <c r="AF11" s="34">
        <f t="shared" si="18"/>
        <v>-121627362</v>
      </c>
      <c r="AG11" s="34">
        <f t="shared" si="18"/>
        <v>-243252896</v>
      </c>
      <c r="AH11" s="34">
        <f t="shared" si="19"/>
        <v>-486502136</v>
      </c>
      <c r="AI11" s="34">
        <f t="shared" si="20"/>
        <v>-972996825</v>
      </c>
      <c r="AJ11" s="34">
        <f t="shared" si="20"/>
        <v>-1945978846</v>
      </c>
      <c r="AK11" s="34">
        <f t="shared" si="20"/>
        <v>-3891928039</v>
      </c>
      <c r="AL11" s="34">
        <f t="shared" si="20"/>
        <v>-7783796727</v>
      </c>
      <c r="AM11" s="34">
        <f t="shared" si="21"/>
        <v>-15567474661</v>
      </c>
      <c r="AN11" s="34">
        <f t="shared" si="21"/>
        <v>-31134711771</v>
      </c>
      <c r="AO11" s="34">
        <f t="shared" si="21"/>
        <v>-62268948439</v>
      </c>
      <c r="AP11" s="34">
        <f t="shared" si="22"/>
        <v>-124536946661</v>
      </c>
      <c r="AQ11" s="34">
        <f t="shared" si="23"/>
        <v>-249071992858</v>
      </c>
      <c r="AR11" s="34">
        <f t="shared" si="24"/>
        <v>-498140184690</v>
      </c>
      <c r="AS11" s="34">
        <f t="shared" si="25"/>
        <v>-996272767492</v>
      </c>
      <c r="AT11" s="34">
        <f t="shared" si="25"/>
        <v>-1992530331221</v>
      </c>
      <c r="AU11" s="34">
        <f t="shared" si="26"/>
        <v>-3985030255122</v>
      </c>
      <c r="AV11" s="34">
        <f t="shared" si="26"/>
        <v>-7969999696106</v>
      </c>
      <c r="AW11" s="34">
        <f t="shared" si="27"/>
        <v>-15939877764805</v>
      </c>
      <c r="AX11" s="34">
        <f t="shared" si="27"/>
        <v>-31879512276714</v>
      </c>
      <c r="AY11" s="34">
        <f t="shared" si="27"/>
        <v>-63758538051292</v>
      </c>
      <c r="AZ11" s="34">
        <f t="shared" si="27"/>
        <v>-127516103105759</v>
      </c>
      <c r="BA11" s="34">
        <f t="shared" si="27"/>
        <v>-255030260232672</v>
      </c>
      <c r="BB11" s="34">
        <f t="shared" si="27"/>
        <v>-510056628537305</v>
      </c>
      <c r="BC11" s="34">
        <f t="shared" si="28"/>
        <v>-1020105473277928</v>
      </c>
      <c r="BD11" s="34">
        <f t="shared" si="28"/>
        <v>-2040195379081195</v>
      </c>
      <c r="BE11" s="34">
        <f t="shared" si="28"/>
        <v>-4080359623450619</v>
      </c>
      <c r="BF11" s="34">
        <f t="shared" si="29"/>
        <v>-8160656977952754</v>
      </c>
      <c r="BG11" s="34">
        <f t="shared" si="29"/>
        <v>-1.6321189418958848E+16</v>
      </c>
      <c r="BH11" s="34">
        <f t="shared" si="30"/>
        <v>-3.2642129765924792E+16</v>
      </c>
      <c r="BI11" s="34">
        <f t="shared" si="31"/>
        <v>-6.5283761391664936E+16</v>
      </c>
      <c r="BJ11" s="34">
        <f t="shared" si="31"/>
        <v>-1.305665265105624E+17</v>
      </c>
      <c r="BK11" s="34">
        <f t="shared" si="31"/>
        <v>-2.6113106049079357E+17</v>
      </c>
      <c r="BL11" s="34">
        <f t="shared" si="32"/>
        <v>-5.222581359513321E+17</v>
      </c>
      <c r="BM11" s="34">
        <f t="shared" si="32"/>
        <v>-1.0445083019029681E+18</v>
      </c>
      <c r="BN11" s="34">
        <f t="shared" si="33"/>
        <v>-2.0890006639281713E+18</v>
      </c>
      <c r="BO11" s="34">
        <f t="shared" si="34"/>
        <v>-4.177969448344066E+18</v>
      </c>
      <c r="BP11" s="34">
        <f t="shared" si="35"/>
        <v>-8.3558751381500805E+18</v>
      </c>
      <c r="BQ11" s="34">
        <f t="shared" si="36"/>
        <v>-1.6711622760197054E+19</v>
      </c>
      <c r="BR11" s="34">
        <f t="shared" si="36"/>
        <v>-3.3422990490133877E+19</v>
      </c>
      <c r="BS11" s="34">
        <f t="shared" si="36"/>
        <v>-6.684547092363921E+19</v>
      </c>
      <c r="BT11" s="34">
        <f t="shared" si="36"/>
        <v>-1.3368992174180514E+20</v>
      </c>
      <c r="BU11" s="34">
        <f t="shared" si="37"/>
        <v>-2.6737780328823122E+20</v>
      </c>
      <c r="BV11" s="34">
        <f t="shared" si="37"/>
        <v>-5.3475152621683894E+20</v>
      </c>
      <c r="BW11" s="10"/>
      <c r="BX11" s="10"/>
      <c r="BY11" s="10"/>
      <c r="BZ11" s="10"/>
      <c r="CA11" s="10"/>
      <c r="CB11" s="10"/>
      <c r="CC11" s="10"/>
      <c r="CD11" s="10"/>
      <c r="CE11" s="12">
        <v>480</v>
      </c>
      <c r="CF11" s="112">
        <v>3</v>
      </c>
      <c r="CG11" s="112">
        <v>5</v>
      </c>
      <c r="CH11" s="112">
        <v>10</v>
      </c>
      <c r="CI11" s="112">
        <v>17</v>
      </c>
      <c r="CJ11" s="112">
        <v>30</v>
      </c>
      <c r="CK11" s="112">
        <v>31</v>
      </c>
      <c r="CL11" s="112">
        <v>16</v>
      </c>
      <c r="CM11" s="11">
        <f>SUM(CF12:CK12)-45-45-45</f>
        <v>5</v>
      </c>
      <c r="CN11" s="11">
        <f>SUM(CF12:CL12)-45-45-45-45</f>
        <v>-20</v>
      </c>
      <c r="CP11" s="11">
        <f t="shared" si="38"/>
        <v>2</v>
      </c>
      <c r="CQ11" s="11">
        <f t="shared" si="38"/>
        <v>5</v>
      </c>
      <c r="CR11" s="11">
        <f t="shared" si="38"/>
        <v>7</v>
      </c>
      <c r="CS11" s="11">
        <f t="shared" si="38"/>
        <v>13</v>
      </c>
      <c r="CT11" s="11">
        <f t="shared" si="38"/>
        <v>1</v>
      </c>
      <c r="CU11" s="11">
        <f t="shared" si="38"/>
        <v>15</v>
      </c>
      <c r="CV11" s="11">
        <v>4</v>
      </c>
      <c r="CW11" s="11">
        <f>50-45</f>
        <v>5</v>
      </c>
      <c r="CX11" s="122" t="s">
        <v>34</v>
      </c>
    </row>
    <row r="12" spans="3:129" s="122" customFormat="1" ht="17.25">
      <c r="C12" s="11">
        <v>481</v>
      </c>
      <c r="D12" s="107" t="s">
        <v>259</v>
      </c>
      <c r="E12" s="17">
        <v>1</v>
      </c>
      <c r="F12" s="17">
        <v>10</v>
      </c>
      <c r="G12" s="17">
        <v>1</v>
      </c>
      <c r="H12" s="17">
        <f t="shared" si="0"/>
        <v>11</v>
      </c>
      <c r="I12" s="17">
        <v>-14</v>
      </c>
      <c r="J12" s="151">
        <f t="shared" si="1"/>
        <v>9</v>
      </c>
      <c r="K12" s="151">
        <f t="shared" si="2"/>
        <v>-27</v>
      </c>
      <c r="L12" s="34">
        <f t="shared" si="3"/>
        <v>-99</v>
      </c>
      <c r="M12" s="34">
        <f t="shared" si="4"/>
        <v>-198</v>
      </c>
      <c r="N12" s="34">
        <f t="shared" si="5"/>
        <v>-441</v>
      </c>
      <c r="O12" s="34">
        <f t="shared" si="6"/>
        <v>-882</v>
      </c>
      <c r="P12" s="34">
        <f t="shared" si="7"/>
        <v>-1764</v>
      </c>
      <c r="Q12" s="34">
        <f t="shared" si="8"/>
        <v>-3573</v>
      </c>
      <c r="R12" s="34">
        <f t="shared" si="9"/>
        <v>-7146</v>
      </c>
      <c r="S12" s="34">
        <f t="shared" si="10"/>
        <v>-14292</v>
      </c>
      <c r="T12" s="34">
        <f t="shared" si="11"/>
        <v>-28629</v>
      </c>
      <c r="U12" s="34">
        <f t="shared" si="12"/>
        <v>-57303</v>
      </c>
      <c r="V12" s="34">
        <f t="shared" si="13"/>
        <v>-114652</v>
      </c>
      <c r="W12" s="34">
        <f t="shared" si="14"/>
        <v>-229359</v>
      </c>
      <c r="X12" s="34">
        <f t="shared" si="14"/>
        <v>-458719</v>
      </c>
      <c r="Y12" s="34">
        <f t="shared" si="15"/>
        <v>-917494</v>
      </c>
      <c r="Z12" s="34">
        <f t="shared" si="15"/>
        <v>-1834974</v>
      </c>
      <c r="AA12" s="34">
        <f t="shared" si="16"/>
        <v>-3669912</v>
      </c>
      <c r="AB12" s="34">
        <f t="shared" si="16"/>
        <v>-7339797</v>
      </c>
      <c r="AC12" s="34">
        <f t="shared" si="16"/>
        <v>-14679495</v>
      </c>
      <c r="AD12" s="34">
        <f t="shared" si="17"/>
        <v>-29358747</v>
      </c>
      <c r="AE12" s="34">
        <f t="shared" si="18"/>
        <v>-58717098</v>
      </c>
      <c r="AF12" s="34">
        <f t="shared" si="18"/>
        <v>-117433314</v>
      </c>
      <c r="AG12" s="34">
        <f t="shared" si="18"/>
        <v>-234864864</v>
      </c>
      <c r="AH12" s="34">
        <f t="shared" si="19"/>
        <v>-469726200</v>
      </c>
      <c r="AI12" s="34">
        <f t="shared" si="20"/>
        <v>-939445209</v>
      </c>
      <c r="AJ12" s="34">
        <f t="shared" si="20"/>
        <v>-1878876126</v>
      </c>
      <c r="AK12" s="34">
        <f t="shared" si="20"/>
        <v>-3757723623</v>
      </c>
      <c r="AL12" s="34">
        <f t="shared" si="20"/>
        <v>-7515389943</v>
      </c>
      <c r="AM12" s="34">
        <f t="shared" si="21"/>
        <v>-15030665189</v>
      </c>
      <c r="AN12" s="34">
        <f t="shared" si="21"/>
        <v>-30061101019</v>
      </c>
      <c r="AO12" s="34">
        <f t="shared" si="21"/>
        <v>-60121743319</v>
      </c>
      <c r="AP12" s="34">
        <f t="shared" si="22"/>
        <v>-120242569189</v>
      </c>
      <c r="AQ12" s="34">
        <f t="shared" si="23"/>
        <v>-240483303449</v>
      </c>
      <c r="AR12" s="34">
        <f t="shared" si="24"/>
        <v>-480962936941</v>
      </c>
      <c r="AS12" s="34">
        <f t="shared" si="25"/>
        <v>-961918534130</v>
      </c>
      <c r="AT12" s="34">
        <f t="shared" si="25"/>
        <v>-1923822388765</v>
      </c>
      <c r="AU12" s="34">
        <f t="shared" si="26"/>
        <v>-3847615418738</v>
      </c>
      <c r="AV12" s="34">
        <f t="shared" si="26"/>
        <v>-7695172120378</v>
      </c>
      <c r="AW12" s="34">
        <f t="shared" si="27"/>
        <v>-15390226807397</v>
      </c>
      <c r="AX12" s="34">
        <f t="shared" si="27"/>
        <v>-30780218749930</v>
      </c>
      <c r="AY12" s="34">
        <f t="shared" si="27"/>
        <v>-61559967773660</v>
      </c>
      <c r="AZ12" s="34">
        <f t="shared" si="27"/>
        <v>-123118996102111</v>
      </c>
      <c r="BA12" s="34">
        <f t="shared" si="27"/>
        <v>-246236113328096</v>
      </c>
      <c r="BB12" s="34">
        <f t="shared" si="27"/>
        <v>-492468468932569</v>
      </c>
      <c r="BC12" s="34">
        <f t="shared" si="28"/>
        <v>-984929422475240</v>
      </c>
      <c r="BD12" s="34">
        <f t="shared" si="28"/>
        <v>-1969843814285291</v>
      </c>
      <c r="BE12" s="34">
        <f t="shared" si="28"/>
        <v>-3939657567469563</v>
      </c>
      <c r="BF12" s="34">
        <f t="shared" si="29"/>
        <v>-7879255013195762</v>
      </c>
      <c r="BG12" s="34">
        <f t="shared" si="29"/>
        <v>-1.5758389783822336E+16</v>
      </c>
      <c r="BH12" s="34">
        <f t="shared" si="30"/>
        <v>-3.1516539084341176E+16</v>
      </c>
      <c r="BI12" s="34">
        <f t="shared" si="31"/>
        <v>-6.3032597205745456E+16</v>
      </c>
      <c r="BJ12" s="34">
        <f t="shared" si="31"/>
        <v>-1.2606423249295678E+17</v>
      </c>
      <c r="BK12" s="34">
        <f t="shared" si="31"/>
        <v>-2.521265411635248E+17</v>
      </c>
      <c r="BL12" s="34">
        <f t="shared" si="32"/>
        <v>-5.0424923471163091E+17</v>
      </c>
      <c r="BM12" s="34">
        <f t="shared" si="32"/>
        <v>-1.0084907742511415E+18</v>
      </c>
      <c r="BN12" s="34">
        <f t="shared" si="33"/>
        <v>-2.0169661582754755E+18</v>
      </c>
      <c r="BO12" s="34">
        <f t="shared" si="34"/>
        <v>-4.0339015363322015E+18</v>
      </c>
      <c r="BP12" s="34">
        <f t="shared" si="35"/>
        <v>-8.0677415126966292E+18</v>
      </c>
      <c r="BQ12" s="34">
        <f t="shared" si="36"/>
        <v>-1.6135359906397155E+19</v>
      </c>
      <c r="BR12" s="34">
        <f t="shared" si="36"/>
        <v>-3.227047357668098E+19</v>
      </c>
      <c r="BS12" s="34">
        <f t="shared" si="36"/>
        <v>-6.4540454684893028E+19</v>
      </c>
      <c r="BT12" s="34">
        <f t="shared" si="36"/>
        <v>-1.2907992444036358E+20</v>
      </c>
      <c r="BU12" s="34">
        <f t="shared" si="37"/>
        <v>-2.5815787903691286E+20</v>
      </c>
      <c r="BV12" s="34">
        <f t="shared" si="37"/>
        <v>-5.1631181841625829E+20</v>
      </c>
      <c r="BW12" s="10"/>
      <c r="BX12" s="10"/>
      <c r="BY12" s="10"/>
      <c r="BZ12" s="10"/>
      <c r="CA12" s="10"/>
      <c r="CB12" s="10"/>
      <c r="CC12" s="10"/>
      <c r="CD12" s="10"/>
      <c r="CE12" s="12">
        <v>481</v>
      </c>
      <c r="CF12" s="112">
        <v>3</v>
      </c>
      <c r="CG12" s="112">
        <v>4</v>
      </c>
      <c r="CH12" s="112">
        <v>23</v>
      </c>
      <c r="CI12" s="112">
        <v>29</v>
      </c>
      <c r="CJ12" s="112">
        <v>40</v>
      </c>
      <c r="CK12" s="112">
        <v>41</v>
      </c>
      <c r="CL12" s="112">
        <v>20</v>
      </c>
      <c r="CM12" s="11">
        <f>SUM(CF13:CK13)-45-45-45-45</f>
        <v>-69</v>
      </c>
      <c r="CN12" s="11">
        <f>SUM(CF13:CL13)-45-45-45-45-45</f>
        <v>-71</v>
      </c>
      <c r="CP12" s="11">
        <f t="shared" si="38"/>
        <v>1</v>
      </c>
      <c r="CQ12" s="11">
        <f t="shared" si="38"/>
        <v>19</v>
      </c>
      <c r="CR12" s="11">
        <f t="shared" si="38"/>
        <v>6</v>
      </c>
      <c r="CS12" s="11">
        <f t="shared" si="38"/>
        <v>11</v>
      </c>
      <c r="CT12" s="11">
        <f t="shared" si="38"/>
        <v>1</v>
      </c>
      <c r="CU12" s="11">
        <f t="shared" si="38"/>
        <v>21</v>
      </c>
      <c r="CV12" s="11">
        <v>3</v>
      </c>
      <c r="CW12" s="11">
        <v>34</v>
      </c>
      <c r="CX12" s="122" t="s">
        <v>35</v>
      </c>
    </row>
    <row r="13" spans="3:129" s="122" customFormat="1" ht="17.25">
      <c r="C13" s="11">
        <v>482</v>
      </c>
      <c r="D13" s="107" t="s">
        <v>260</v>
      </c>
      <c r="E13" s="17">
        <v>1</v>
      </c>
      <c r="F13" s="17">
        <v>10</v>
      </c>
      <c r="G13" s="17">
        <v>1</v>
      </c>
      <c r="H13" s="17">
        <f t="shared" si="0"/>
        <v>11</v>
      </c>
      <c r="I13" s="17">
        <v>-13</v>
      </c>
      <c r="J13" s="151">
        <f t="shared" si="1"/>
        <v>10</v>
      </c>
      <c r="K13" s="151">
        <f t="shared" si="2"/>
        <v>-25</v>
      </c>
      <c r="L13" s="34">
        <f t="shared" si="3"/>
        <v>-95</v>
      </c>
      <c r="M13" s="34">
        <f t="shared" si="4"/>
        <v>-190</v>
      </c>
      <c r="N13" s="34">
        <f t="shared" si="5"/>
        <v>-425</v>
      </c>
      <c r="O13" s="34">
        <f t="shared" si="6"/>
        <v>-850</v>
      </c>
      <c r="P13" s="34">
        <f t="shared" si="7"/>
        <v>-1700</v>
      </c>
      <c r="Q13" s="34">
        <f t="shared" si="8"/>
        <v>-3445</v>
      </c>
      <c r="R13" s="34">
        <f t="shared" si="9"/>
        <v>-6890</v>
      </c>
      <c r="S13" s="34">
        <f t="shared" si="10"/>
        <v>-13780</v>
      </c>
      <c r="T13" s="34">
        <f t="shared" si="11"/>
        <v>-27605</v>
      </c>
      <c r="U13" s="34">
        <f t="shared" si="12"/>
        <v>-55255</v>
      </c>
      <c r="V13" s="34">
        <f t="shared" si="13"/>
        <v>-110556</v>
      </c>
      <c r="W13" s="34">
        <f t="shared" si="14"/>
        <v>-221167</v>
      </c>
      <c r="X13" s="34">
        <f t="shared" si="14"/>
        <v>-442335</v>
      </c>
      <c r="Y13" s="34">
        <f t="shared" si="15"/>
        <v>-884726</v>
      </c>
      <c r="Z13" s="34">
        <f t="shared" si="15"/>
        <v>-1769439</v>
      </c>
      <c r="AA13" s="34">
        <f t="shared" si="16"/>
        <v>-3538843</v>
      </c>
      <c r="AB13" s="34">
        <f t="shared" si="16"/>
        <v>-7077661</v>
      </c>
      <c r="AC13" s="34">
        <f t="shared" si="16"/>
        <v>-14155227</v>
      </c>
      <c r="AD13" s="34">
        <f t="shared" si="17"/>
        <v>-28310219</v>
      </c>
      <c r="AE13" s="34">
        <f t="shared" si="18"/>
        <v>-56620058</v>
      </c>
      <c r="AF13" s="34">
        <f t="shared" si="18"/>
        <v>-113239266</v>
      </c>
      <c r="AG13" s="34">
        <f t="shared" si="18"/>
        <v>-226476832</v>
      </c>
      <c r="AH13" s="34">
        <f t="shared" si="19"/>
        <v>-452950264</v>
      </c>
      <c r="AI13" s="34">
        <f t="shared" si="20"/>
        <v>-905893593</v>
      </c>
      <c r="AJ13" s="34">
        <f t="shared" si="20"/>
        <v>-1811773406</v>
      </c>
      <c r="AK13" s="34">
        <f t="shared" si="20"/>
        <v>-3623519207</v>
      </c>
      <c r="AL13" s="34">
        <f t="shared" si="20"/>
        <v>-7246983159</v>
      </c>
      <c r="AM13" s="34">
        <f t="shared" si="21"/>
        <v>-14493855717</v>
      </c>
      <c r="AN13" s="34">
        <f t="shared" si="21"/>
        <v>-28987490267</v>
      </c>
      <c r="AO13" s="34">
        <f t="shared" si="21"/>
        <v>-57974538199</v>
      </c>
      <c r="AP13" s="34">
        <f t="shared" si="22"/>
        <v>-115948191717</v>
      </c>
      <c r="AQ13" s="34">
        <f t="shared" si="23"/>
        <v>-231894614040</v>
      </c>
      <c r="AR13" s="34">
        <f t="shared" si="24"/>
        <v>-463785689192</v>
      </c>
      <c r="AS13" s="34">
        <f t="shared" si="25"/>
        <v>-927564300768</v>
      </c>
      <c r="AT13" s="34">
        <f t="shared" si="25"/>
        <v>-1855114446309</v>
      </c>
      <c r="AU13" s="34">
        <f t="shared" si="26"/>
        <v>-3710200582354</v>
      </c>
      <c r="AV13" s="34">
        <f t="shared" si="26"/>
        <v>-7420344544650</v>
      </c>
      <c r="AW13" s="34">
        <f t="shared" si="27"/>
        <v>-14840575849989</v>
      </c>
      <c r="AX13" s="34">
        <f t="shared" si="27"/>
        <v>-29680925223146</v>
      </c>
      <c r="AY13" s="34">
        <f t="shared" si="27"/>
        <v>-59361397496028</v>
      </c>
      <c r="AZ13" s="34">
        <f t="shared" si="27"/>
        <v>-118721889098463</v>
      </c>
      <c r="BA13" s="34">
        <f t="shared" si="27"/>
        <v>-237441966423520</v>
      </c>
      <c r="BB13" s="34">
        <f t="shared" si="27"/>
        <v>-474880309327833</v>
      </c>
      <c r="BC13" s="34">
        <f t="shared" si="28"/>
        <v>-949753371672552</v>
      </c>
      <c r="BD13" s="34">
        <f t="shared" si="28"/>
        <v>-1899492249489387</v>
      </c>
      <c r="BE13" s="34">
        <f t="shared" si="28"/>
        <v>-3798955511488507</v>
      </c>
      <c r="BF13" s="34">
        <f t="shared" si="29"/>
        <v>-7597853048438770</v>
      </c>
      <c r="BG13" s="34">
        <f t="shared" si="29"/>
        <v>-1.5195590148685824E+16</v>
      </c>
      <c r="BH13" s="34">
        <f t="shared" si="30"/>
        <v>-3.039094840275756E+16</v>
      </c>
      <c r="BI13" s="34">
        <f t="shared" si="31"/>
        <v>-6.0781433019825976E+16</v>
      </c>
      <c r="BJ13" s="34">
        <f t="shared" si="31"/>
        <v>-1.215619384753512E+17</v>
      </c>
      <c r="BK13" s="34">
        <f t="shared" si="31"/>
        <v>-2.4312202183625606E+17</v>
      </c>
      <c r="BL13" s="34">
        <f t="shared" si="32"/>
        <v>-4.8624033347192986E+17</v>
      </c>
      <c r="BM13" s="34">
        <f t="shared" si="32"/>
        <v>-9.7247324659931507E+17</v>
      </c>
      <c r="BN13" s="34">
        <f t="shared" si="33"/>
        <v>-1.9449316526227802E+18</v>
      </c>
      <c r="BO13" s="34">
        <f t="shared" si="34"/>
        <v>-3.8898336243203374E+18</v>
      </c>
      <c r="BP13" s="34">
        <f t="shared" si="35"/>
        <v>-7.779607887243178E+18</v>
      </c>
      <c r="BQ13" s="34">
        <f t="shared" si="36"/>
        <v>-1.5559097052597258E+19</v>
      </c>
      <c r="BR13" s="34">
        <f t="shared" si="36"/>
        <v>-3.1117956663228092E+19</v>
      </c>
      <c r="BS13" s="34">
        <f t="shared" si="36"/>
        <v>-6.2235438446146863E+19</v>
      </c>
      <c r="BT13" s="34">
        <f t="shared" si="36"/>
        <v>-1.2446992713892205E+20</v>
      </c>
      <c r="BU13" s="34">
        <f t="shared" si="37"/>
        <v>-2.4893795478559461E+20</v>
      </c>
      <c r="BV13" s="34">
        <f t="shared" si="37"/>
        <v>-4.9787211061567776E+20</v>
      </c>
      <c r="BW13" s="10"/>
      <c r="BX13" s="10"/>
      <c r="BY13" s="10"/>
      <c r="BZ13" s="10"/>
      <c r="CA13" s="10"/>
      <c r="CB13" s="10"/>
      <c r="CC13" s="10"/>
      <c r="CD13" s="10"/>
      <c r="CE13" s="12">
        <v>482</v>
      </c>
      <c r="CF13" s="112">
        <v>1</v>
      </c>
      <c r="CG13" s="112">
        <v>10</v>
      </c>
      <c r="CH13" s="112">
        <v>16</v>
      </c>
      <c r="CI13" s="112">
        <v>24</v>
      </c>
      <c r="CJ13" s="112">
        <v>25</v>
      </c>
      <c r="CK13" s="112">
        <v>35</v>
      </c>
      <c r="CL13" s="112">
        <v>43</v>
      </c>
      <c r="CM13" s="11">
        <f>SUM(CF14:CK14)-45-45-45</f>
        <v>-5</v>
      </c>
      <c r="CN13" s="11">
        <f>SUM(CF14:CL14)-45-45-45-45</f>
        <v>-45</v>
      </c>
      <c r="CP13" s="11">
        <f t="shared" si="38"/>
        <v>9</v>
      </c>
      <c r="CQ13" s="11">
        <f t="shared" si="38"/>
        <v>6</v>
      </c>
      <c r="CR13" s="11">
        <f t="shared" si="38"/>
        <v>8</v>
      </c>
      <c r="CS13" s="11">
        <f t="shared" si="38"/>
        <v>1</v>
      </c>
      <c r="CT13" s="11">
        <f t="shared" si="38"/>
        <v>10</v>
      </c>
      <c r="CU13" s="11">
        <f t="shared" si="38"/>
        <v>8</v>
      </c>
      <c r="CV13" s="11">
        <v>7</v>
      </c>
      <c r="CW13" s="11">
        <v>30</v>
      </c>
      <c r="CX13" s="122" t="s">
        <v>36</v>
      </c>
    </row>
    <row r="14" spans="3:129" s="122" customFormat="1" ht="17.25">
      <c r="C14" s="11">
        <v>483</v>
      </c>
      <c r="D14" s="107" t="s">
        <v>261</v>
      </c>
      <c r="E14" s="17">
        <v>1</v>
      </c>
      <c r="F14" s="17">
        <v>10</v>
      </c>
      <c r="G14" s="17">
        <v>1</v>
      </c>
      <c r="H14" s="17">
        <f t="shared" si="0"/>
        <v>11</v>
      </c>
      <c r="I14" s="17">
        <v>-12</v>
      </c>
      <c r="J14" s="151">
        <f t="shared" si="1"/>
        <v>11</v>
      </c>
      <c r="K14" s="151">
        <f t="shared" si="2"/>
        <v>-23</v>
      </c>
      <c r="L14" s="34">
        <f t="shared" si="3"/>
        <v>-91</v>
      </c>
      <c r="M14" s="34">
        <f t="shared" si="4"/>
        <v>-182</v>
      </c>
      <c r="N14" s="34">
        <f t="shared" si="5"/>
        <v>-409</v>
      </c>
      <c r="O14" s="34">
        <f t="shared" si="6"/>
        <v>-818</v>
      </c>
      <c r="P14" s="34">
        <f t="shared" si="7"/>
        <v>-1636</v>
      </c>
      <c r="Q14" s="34">
        <f t="shared" si="8"/>
        <v>-3317</v>
      </c>
      <c r="R14" s="34">
        <f t="shared" si="9"/>
        <v>-6634</v>
      </c>
      <c r="S14" s="34">
        <f t="shared" si="10"/>
        <v>-13268</v>
      </c>
      <c r="T14" s="34">
        <f t="shared" si="11"/>
        <v>-26581</v>
      </c>
      <c r="U14" s="34">
        <f t="shared" si="12"/>
        <v>-53207</v>
      </c>
      <c r="V14" s="34">
        <f t="shared" si="13"/>
        <v>-106460</v>
      </c>
      <c r="W14" s="34">
        <f t="shared" si="14"/>
        <v>-212975</v>
      </c>
      <c r="X14" s="34">
        <f t="shared" si="14"/>
        <v>-425951</v>
      </c>
      <c r="Y14" s="34">
        <f t="shared" si="15"/>
        <v>-851958</v>
      </c>
      <c r="Z14" s="34">
        <f t="shared" si="15"/>
        <v>-1703904</v>
      </c>
      <c r="AA14" s="34">
        <f t="shared" si="16"/>
        <v>-3407774</v>
      </c>
      <c r="AB14" s="34">
        <f t="shared" si="16"/>
        <v>-6815525</v>
      </c>
      <c r="AC14" s="34">
        <f t="shared" si="16"/>
        <v>-13630959</v>
      </c>
      <c r="AD14" s="34">
        <f t="shared" si="17"/>
        <v>-27261691</v>
      </c>
      <c r="AE14" s="34">
        <f t="shared" si="18"/>
        <v>-54523018</v>
      </c>
      <c r="AF14" s="34">
        <f t="shared" si="18"/>
        <v>-109045218</v>
      </c>
      <c r="AG14" s="34">
        <f t="shared" si="18"/>
        <v>-218088800</v>
      </c>
      <c r="AH14" s="34">
        <f t="shared" si="19"/>
        <v>-436174328</v>
      </c>
      <c r="AI14" s="34">
        <f t="shared" si="20"/>
        <v>-872341977</v>
      </c>
      <c r="AJ14" s="34">
        <f t="shared" si="20"/>
        <v>-1744670686</v>
      </c>
      <c r="AK14" s="34">
        <f t="shared" si="20"/>
        <v>-3489314791</v>
      </c>
      <c r="AL14" s="34">
        <f t="shared" si="20"/>
        <v>-6978576375</v>
      </c>
      <c r="AM14" s="34">
        <f t="shared" si="21"/>
        <v>-13957046245</v>
      </c>
      <c r="AN14" s="34">
        <f t="shared" si="21"/>
        <v>-27913879515</v>
      </c>
      <c r="AO14" s="34">
        <f t="shared" si="21"/>
        <v>-55827333079</v>
      </c>
      <c r="AP14" s="34">
        <f t="shared" si="22"/>
        <v>-111653814245</v>
      </c>
      <c r="AQ14" s="34">
        <f t="shared" si="23"/>
        <v>-223305924631</v>
      </c>
      <c r="AR14" s="34">
        <f t="shared" si="24"/>
        <v>-446608441443</v>
      </c>
      <c r="AS14" s="34">
        <f t="shared" si="25"/>
        <v>-893210067406</v>
      </c>
      <c r="AT14" s="34">
        <f t="shared" si="25"/>
        <v>-1786406503853</v>
      </c>
      <c r="AU14" s="34">
        <f t="shared" si="26"/>
        <v>-3572785745970</v>
      </c>
      <c r="AV14" s="34">
        <f t="shared" si="26"/>
        <v>-7145516968922</v>
      </c>
      <c r="AW14" s="34">
        <f t="shared" si="27"/>
        <v>-14290924892581</v>
      </c>
      <c r="AX14" s="34">
        <f t="shared" si="27"/>
        <v>-28581631696362</v>
      </c>
      <c r="AY14" s="34">
        <f t="shared" si="27"/>
        <v>-57162827218396</v>
      </c>
      <c r="AZ14" s="34">
        <f t="shared" si="27"/>
        <v>-114324782094815</v>
      </c>
      <c r="BA14" s="34">
        <f t="shared" si="27"/>
        <v>-228647819518944</v>
      </c>
      <c r="BB14" s="34">
        <f t="shared" si="27"/>
        <v>-457292149723097</v>
      </c>
      <c r="BC14" s="34">
        <f t="shared" si="28"/>
        <v>-914577320869864</v>
      </c>
      <c r="BD14" s="34">
        <f t="shared" si="28"/>
        <v>-1829140684693483</v>
      </c>
      <c r="BE14" s="34">
        <f t="shared" si="28"/>
        <v>-3658253455507451</v>
      </c>
      <c r="BF14" s="34">
        <f t="shared" si="29"/>
        <v>-7316451083681778</v>
      </c>
      <c r="BG14" s="34">
        <f t="shared" si="29"/>
        <v>-1.4632790513549312E+16</v>
      </c>
      <c r="BH14" s="34">
        <f t="shared" si="30"/>
        <v>-2.9265357721173944E+16</v>
      </c>
      <c r="BI14" s="34">
        <f t="shared" si="31"/>
        <v>-5.8530268833906488E+16</v>
      </c>
      <c r="BJ14" s="34">
        <f t="shared" si="31"/>
        <v>-1.1705964445774557E+17</v>
      </c>
      <c r="BK14" s="34">
        <f t="shared" si="31"/>
        <v>-2.341175025089873E+17</v>
      </c>
      <c r="BL14" s="34">
        <f t="shared" si="32"/>
        <v>-4.6823143223222867E+17</v>
      </c>
      <c r="BM14" s="34">
        <f t="shared" si="32"/>
        <v>-9.3645571894748838E+17</v>
      </c>
      <c r="BN14" s="34">
        <f t="shared" si="33"/>
        <v>-1.8728971469700841E+18</v>
      </c>
      <c r="BO14" s="34">
        <f t="shared" si="34"/>
        <v>-3.7457657123084723E+18</v>
      </c>
      <c r="BP14" s="34">
        <f t="shared" si="35"/>
        <v>-7.4914742617897247E+18</v>
      </c>
      <c r="BQ14" s="34">
        <f t="shared" si="36"/>
        <v>-1.4982834198797355E+19</v>
      </c>
      <c r="BR14" s="34">
        <f t="shared" si="36"/>
        <v>-2.9965439749775192E+19</v>
      </c>
      <c r="BS14" s="34">
        <f t="shared" si="36"/>
        <v>-5.9930422207400657E+19</v>
      </c>
      <c r="BT14" s="34">
        <f t="shared" si="36"/>
        <v>-1.1985992983748044E+20</v>
      </c>
      <c r="BU14" s="34">
        <f t="shared" si="37"/>
        <v>-2.3971803053427622E+20</v>
      </c>
      <c r="BV14" s="34">
        <f t="shared" si="37"/>
        <v>-4.7943240281509691E+20</v>
      </c>
      <c r="BW14" s="10"/>
      <c r="BX14" s="10"/>
      <c r="BY14" s="10"/>
      <c r="BZ14" s="10"/>
      <c r="CA14" s="10"/>
      <c r="CB14" s="10"/>
      <c r="CC14" s="10"/>
      <c r="CD14" s="10"/>
      <c r="CE14" s="12">
        <v>483</v>
      </c>
      <c r="CF14" s="112">
        <v>12</v>
      </c>
      <c r="CG14" s="112">
        <v>15</v>
      </c>
      <c r="CH14" s="112">
        <v>19</v>
      </c>
      <c r="CI14" s="112">
        <v>22</v>
      </c>
      <c r="CJ14" s="112">
        <v>28</v>
      </c>
      <c r="CK14" s="112">
        <v>34</v>
      </c>
      <c r="CL14" s="112">
        <v>5</v>
      </c>
      <c r="CM14" s="11">
        <f>SUM(CF15:CK15)-45-45-45</f>
        <v>1</v>
      </c>
      <c r="CN14" s="11">
        <f>SUM(CF15:CL15)-45-45-45-45</f>
        <v>-33</v>
      </c>
      <c r="CP14" s="11">
        <f t="shared" si="38"/>
        <v>3</v>
      </c>
      <c r="CQ14" s="11">
        <f t="shared" si="38"/>
        <v>4</v>
      </c>
      <c r="CR14" s="11">
        <f t="shared" si="38"/>
        <v>3</v>
      </c>
      <c r="CS14" s="11">
        <f t="shared" si="38"/>
        <v>6</v>
      </c>
      <c r="CT14" s="11">
        <f t="shared" si="38"/>
        <v>6</v>
      </c>
      <c r="CU14" s="11">
        <f t="shared" si="38"/>
        <v>29</v>
      </c>
      <c r="CV14" s="11">
        <v>5</v>
      </c>
      <c r="CW14" s="11">
        <f>53-45</f>
        <v>8</v>
      </c>
      <c r="CX14" s="122" t="s">
        <v>37</v>
      </c>
    </row>
    <row r="15" spans="3:129" s="122" customFormat="1" ht="17.25">
      <c r="C15" s="11">
        <v>484</v>
      </c>
      <c r="D15" s="107" t="s">
        <v>249</v>
      </c>
      <c r="E15" s="17">
        <v>1</v>
      </c>
      <c r="F15" s="17">
        <v>10</v>
      </c>
      <c r="G15" s="17">
        <v>1</v>
      </c>
      <c r="H15" s="17">
        <f t="shared" si="0"/>
        <v>11</v>
      </c>
      <c r="I15" s="17">
        <v>-11</v>
      </c>
      <c r="J15" s="151">
        <f t="shared" si="1"/>
        <v>12</v>
      </c>
      <c r="K15" s="151">
        <f t="shared" si="2"/>
        <v>-21</v>
      </c>
      <c r="L15" s="34">
        <f t="shared" si="3"/>
        <v>-87</v>
      </c>
      <c r="M15" s="34">
        <f t="shared" si="4"/>
        <v>-174</v>
      </c>
      <c r="N15" s="34">
        <f t="shared" si="5"/>
        <v>-393</v>
      </c>
      <c r="O15" s="34">
        <f t="shared" si="6"/>
        <v>-786</v>
      </c>
      <c r="P15" s="34">
        <f t="shared" si="7"/>
        <v>-1572</v>
      </c>
      <c r="Q15" s="34">
        <f t="shared" si="8"/>
        <v>-3189</v>
      </c>
      <c r="R15" s="34">
        <f t="shared" si="9"/>
        <v>-6378</v>
      </c>
      <c r="S15" s="34">
        <f t="shared" si="10"/>
        <v>-12756</v>
      </c>
      <c r="T15" s="34">
        <f t="shared" si="11"/>
        <v>-25557</v>
      </c>
      <c r="U15" s="34">
        <f t="shared" si="12"/>
        <v>-51159</v>
      </c>
      <c r="V15" s="34">
        <f t="shared" si="13"/>
        <v>-102364</v>
      </c>
      <c r="W15" s="34">
        <f t="shared" si="14"/>
        <v>-204783</v>
      </c>
      <c r="X15" s="34">
        <f t="shared" si="14"/>
        <v>-409567</v>
      </c>
      <c r="Y15" s="34">
        <f t="shared" si="15"/>
        <v>-819190</v>
      </c>
      <c r="Z15" s="34">
        <f t="shared" si="15"/>
        <v>-1638369</v>
      </c>
      <c r="AA15" s="34">
        <f t="shared" si="16"/>
        <v>-3276705</v>
      </c>
      <c r="AB15" s="34">
        <f t="shared" si="16"/>
        <v>-6553389</v>
      </c>
      <c r="AC15" s="34">
        <f t="shared" si="16"/>
        <v>-13106691</v>
      </c>
      <c r="AD15" s="34">
        <f t="shared" si="17"/>
        <v>-26213163</v>
      </c>
      <c r="AE15" s="34">
        <f t="shared" si="18"/>
        <v>-52425978</v>
      </c>
      <c r="AF15" s="34">
        <f t="shared" si="18"/>
        <v>-104851170</v>
      </c>
      <c r="AG15" s="34">
        <f t="shared" si="18"/>
        <v>-209700768</v>
      </c>
      <c r="AH15" s="34">
        <f t="shared" si="19"/>
        <v>-419398392</v>
      </c>
      <c r="AI15" s="34">
        <f t="shared" si="20"/>
        <v>-838790361</v>
      </c>
      <c r="AJ15" s="34">
        <f t="shared" si="20"/>
        <v>-1677567966</v>
      </c>
      <c r="AK15" s="34">
        <f t="shared" si="20"/>
        <v>-3355110375</v>
      </c>
      <c r="AL15" s="34">
        <f t="shared" si="20"/>
        <v>-6710169591</v>
      </c>
      <c r="AM15" s="34">
        <f t="shared" si="21"/>
        <v>-13420236773</v>
      </c>
      <c r="AN15" s="34">
        <f t="shared" si="21"/>
        <v>-26840268763</v>
      </c>
      <c r="AO15" s="34">
        <f t="shared" si="21"/>
        <v>-53680127959</v>
      </c>
      <c r="AP15" s="34">
        <f t="shared" si="22"/>
        <v>-107359436773</v>
      </c>
      <c r="AQ15" s="34">
        <f t="shared" si="23"/>
        <v>-214717235222</v>
      </c>
      <c r="AR15" s="34">
        <f t="shared" si="24"/>
        <v>-429431193694</v>
      </c>
      <c r="AS15" s="34">
        <f t="shared" si="25"/>
        <v>-858855834044</v>
      </c>
      <c r="AT15" s="34">
        <f t="shared" si="25"/>
        <v>-1717698561397</v>
      </c>
      <c r="AU15" s="34">
        <f t="shared" si="26"/>
        <v>-3435370909586</v>
      </c>
      <c r="AV15" s="34">
        <f t="shared" si="26"/>
        <v>-6870689393194</v>
      </c>
      <c r="AW15" s="34">
        <f t="shared" si="27"/>
        <v>-13741273935173</v>
      </c>
      <c r="AX15" s="34">
        <f t="shared" si="27"/>
        <v>-27482338169578</v>
      </c>
      <c r="AY15" s="34">
        <f t="shared" si="27"/>
        <v>-54964256940764</v>
      </c>
      <c r="AZ15" s="34">
        <f t="shared" si="27"/>
        <v>-109927675091167</v>
      </c>
      <c r="BA15" s="34">
        <f t="shared" si="27"/>
        <v>-219853672614368</v>
      </c>
      <c r="BB15" s="34">
        <f t="shared" si="27"/>
        <v>-439703990118361</v>
      </c>
      <c r="BC15" s="34">
        <f t="shared" si="28"/>
        <v>-879401270067176</v>
      </c>
      <c r="BD15" s="34">
        <f t="shared" si="28"/>
        <v>-1758789119897579</v>
      </c>
      <c r="BE15" s="34">
        <f t="shared" si="28"/>
        <v>-3517551399526395</v>
      </c>
      <c r="BF15" s="34">
        <f t="shared" si="29"/>
        <v>-7035049118924786</v>
      </c>
      <c r="BG15" s="34">
        <f t="shared" si="29"/>
        <v>-1.40699908784128E+16</v>
      </c>
      <c r="BH15" s="34">
        <f t="shared" si="30"/>
        <v>-2.8139767039590336E+16</v>
      </c>
      <c r="BI15" s="34">
        <f t="shared" si="31"/>
        <v>-5.6279104647987016E+16</v>
      </c>
      <c r="BJ15" s="34">
        <f t="shared" si="31"/>
        <v>-1.1255735044014E+17</v>
      </c>
      <c r="BK15" s="34">
        <f t="shared" si="31"/>
        <v>-2.2511298318171859E+17</v>
      </c>
      <c r="BL15" s="34">
        <f t="shared" si="32"/>
        <v>-4.5022253099252768E+17</v>
      </c>
      <c r="BM15" s="34">
        <f t="shared" si="32"/>
        <v>-9.0043819129566221E+17</v>
      </c>
      <c r="BN15" s="34">
        <f t="shared" si="33"/>
        <v>-1.8008626413173891E+18</v>
      </c>
      <c r="BO15" s="34">
        <f t="shared" si="34"/>
        <v>-3.6016978002966093E+18</v>
      </c>
      <c r="BP15" s="34">
        <f t="shared" si="35"/>
        <v>-7.2033406363362775E+18</v>
      </c>
      <c r="BQ15" s="34">
        <f t="shared" si="36"/>
        <v>-1.4406571344997464E+19</v>
      </c>
      <c r="BR15" s="34">
        <f t="shared" si="36"/>
        <v>-2.8812922836322312E+19</v>
      </c>
      <c r="BS15" s="34">
        <f t="shared" si="36"/>
        <v>-5.7625405968654508E+19</v>
      </c>
      <c r="BT15" s="34">
        <f t="shared" si="36"/>
        <v>-1.1524993253603895E+20</v>
      </c>
      <c r="BU15" s="34">
        <f t="shared" si="37"/>
        <v>-2.30498106282958E+20</v>
      </c>
      <c r="BV15" s="34">
        <f t="shared" si="37"/>
        <v>-4.6099269501451646E+20</v>
      </c>
      <c r="BW15" s="10"/>
      <c r="BX15" s="10"/>
      <c r="BY15" s="10"/>
      <c r="BZ15" s="10"/>
      <c r="CA15" s="10"/>
      <c r="CB15" s="10"/>
      <c r="CC15" s="10"/>
      <c r="CD15" s="10"/>
      <c r="CE15" s="12">
        <v>484</v>
      </c>
      <c r="CF15" s="112">
        <v>1</v>
      </c>
      <c r="CG15" s="112">
        <v>3</v>
      </c>
      <c r="CH15" s="112">
        <v>27</v>
      </c>
      <c r="CI15" s="112">
        <v>28</v>
      </c>
      <c r="CJ15" s="112">
        <v>32</v>
      </c>
      <c r="CK15" s="112">
        <v>45</v>
      </c>
      <c r="CL15" s="112">
        <v>11</v>
      </c>
      <c r="CM15" s="11">
        <f>SUM(CF16:CK16)-45</f>
        <v>122</v>
      </c>
      <c r="CN15" s="11">
        <f>SUM(CF16:CL16)-45</f>
        <v>142</v>
      </c>
      <c r="CP15" s="11">
        <f t="shared" si="38"/>
        <v>2</v>
      </c>
      <c r="CQ15" s="11">
        <f t="shared" si="38"/>
        <v>24</v>
      </c>
      <c r="CR15" s="11">
        <f t="shared" si="38"/>
        <v>1</v>
      </c>
      <c r="CS15" s="11">
        <f t="shared" si="38"/>
        <v>4</v>
      </c>
      <c r="CT15" s="11">
        <f t="shared" si="38"/>
        <v>13</v>
      </c>
      <c r="CU15" s="11">
        <f t="shared" si="38"/>
        <v>34</v>
      </c>
      <c r="CV15" s="11">
        <v>6</v>
      </c>
      <c r="CW15" s="11">
        <v>32</v>
      </c>
      <c r="CX15" s="122" t="s">
        <v>38</v>
      </c>
    </row>
    <row r="16" spans="3:129" s="122" customFormat="1" ht="17.25">
      <c r="C16" s="11">
        <v>485</v>
      </c>
      <c r="D16" s="107" t="s">
        <v>250</v>
      </c>
      <c r="E16" s="17">
        <v>1</v>
      </c>
      <c r="F16" s="17">
        <v>10</v>
      </c>
      <c r="G16" s="17">
        <v>1</v>
      </c>
      <c r="H16" s="17">
        <f t="shared" si="0"/>
        <v>11</v>
      </c>
      <c r="I16" s="17">
        <v>-10</v>
      </c>
      <c r="J16" s="151">
        <f t="shared" si="1"/>
        <v>13</v>
      </c>
      <c r="K16" s="151">
        <f t="shared" si="2"/>
        <v>-19</v>
      </c>
      <c r="L16" s="34">
        <f t="shared" si="3"/>
        <v>-83</v>
      </c>
      <c r="M16" s="34">
        <f t="shared" si="4"/>
        <v>-166</v>
      </c>
      <c r="N16" s="34">
        <f t="shared" si="5"/>
        <v>-377</v>
      </c>
      <c r="O16" s="34">
        <f t="shared" si="6"/>
        <v>-754</v>
      </c>
      <c r="P16" s="34">
        <f t="shared" si="7"/>
        <v>-1508</v>
      </c>
      <c r="Q16" s="34">
        <f t="shared" si="8"/>
        <v>-3061</v>
      </c>
      <c r="R16" s="34">
        <f t="shared" si="9"/>
        <v>-6122</v>
      </c>
      <c r="S16" s="34">
        <f t="shared" si="10"/>
        <v>-12244</v>
      </c>
      <c r="T16" s="34">
        <f t="shared" si="11"/>
        <v>-24533</v>
      </c>
      <c r="U16" s="34">
        <f t="shared" si="12"/>
        <v>-49111</v>
      </c>
      <c r="V16" s="34">
        <f t="shared" si="13"/>
        <v>-98268</v>
      </c>
      <c r="W16" s="34">
        <f t="shared" si="14"/>
        <v>-196591</v>
      </c>
      <c r="X16" s="34">
        <f t="shared" si="14"/>
        <v>-393183</v>
      </c>
      <c r="Y16" s="34">
        <f t="shared" si="15"/>
        <v>-786422</v>
      </c>
      <c r="Z16" s="34">
        <f t="shared" si="15"/>
        <v>-1572834</v>
      </c>
      <c r="AA16" s="34">
        <f t="shared" si="16"/>
        <v>-3145636</v>
      </c>
      <c r="AB16" s="34">
        <f t="shared" si="16"/>
        <v>-6291253</v>
      </c>
      <c r="AC16" s="34">
        <f t="shared" si="16"/>
        <v>-12582423</v>
      </c>
      <c r="AD16" s="34">
        <f t="shared" si="17"/>
        <v>-25164635</v>
      </c>
      <c r="AE16" s="34">
        <f t="shared" si="18"/>
        <v>-50328938</v>
      </c>
      <c r="AF16" s="34">
        <f t="shared" si="18"/>
        <v>-100657122</v>
      </c>
      <c r="AG16" s="34">
        <f t="shared" si="18"/>
        <v>-201312736</v>
      </c>
      <c r="AH16" s="34">
        <f t="shared" si="19"/>
        <v>-402622456</v>
      </c>
      <c r="AI16" s="34">
        <f t="shared" si="20"/>
        <v>-805238745</v>
      </c>
      <c r="AJ16" s="34">
        <f t="shared" si="20"/>
        <v>-1610465246</v>
      </c>
      <c r="AK16" s="34">
        <f t="shared" si="20"/>
        <v>-3220905959</v>
      </c>
      <c r="AL16" s="34">
        <f t="shared" si="20"/>
        <v>-6441762807</v>
      </c>
      <c r="AM16" s="34">
        <f t="shared" si="21"/>
        <v>-12883427301</v>
      </c>
      <c r="AN16" s="34">
        <f t="shared" si="21"/>
        <v>-25766658011</v>
      </c>
      <c r="AO16" s="34">
        <f t="shared" si="21"/>
        <v>-51532922839</v>
      </c>
      <c r="AP16" s="34">
        <f t="shared" si="22"/>
        <v>-103065059301</v>
      </c>
      <c r="AQ16" s="34">
        <f t="shared" si="23"/>
        <v>-206128545813</v>
      </c>
      <c r="AR16" s="34">
        <f t="shared" si="24"/>
        <v>-412253945945</v>
      </c>
      <c r="AS16" s="34">
        <f t="shared" si="25"/>
        <v>-824501600682</v>
      </c>
      <c r="AT16" s="34">
        <f t="shared" si="25"/>
        <v>-1648990618941</v>
      </c>
      <c r="AU16" s="34">
        <f t="shared" si="26"/>
        <v>-3297956073202</v>
      </c>
      <c r="AV16" s="34">
        <f t="shared" si="26"/>
        <v>-6595861817466</v>
      </c>
      <c r="AW16" s="34">
        <f t="shared" si="27"/>
        <v>-13191622977765</v>
      </c>
      <c r="AX16" s="34">
        <f t="shared" si="27"/>
        <v>-26383044642794</v>
      </c>
      <c r="AY16" s="34">
        <f t="shared" si="27"/>
        <v>-52765686663132</v>
      </c>
      <c r="AZ16" s="34">
        <f t="shared" si="27"/>
        <v>-105530568087519</v>
      </c>
      <c r="BA16" s="34">
        <f t="shared" si="27"/>
        <v>-211059525709792</v>
      </c>
      <c r="BB16" s="34">
        <f t="shared" si="27"/>
        <v>-422115830513625</v>
      </c>
      <c r="BC16" s="34">
        <f t="shared" si="28"/>
        <v>-844225219264488</v>
      </c>
      <c r="BD16" s="34">
        <f t="shared" si="28"/>
        <v>-1688437555101675</v>
      </c>
      <c r="BE16" s="34">
        <f t="shared" si="28"/>
        <v>-3376849343545339</v>
      </c>
      <c r="BF16" s="34">
        <f t="shared" si="29"/>
        <v>-6753647154167794</v>
      </c>
      <c r="BG16" s="34">
        <f t="shared" si="29"/>
        <v>-1.3507191243276288E+16</v>
      </c>
      <c r="BH16" s="34">
        <f t="shared" si="30"/>
        <v>-2.701417635800672E+16</v>
      </c>
      <c r="BI16" s="34">
        <f t="shared" si="31"/>
        <v>-5.4027940462067536E+16</v>
      </c>
      <c r="BJ16" s="34">
        <f t="shared" si="31"/>
        <v>-1.080550564225344E+17</v>
      </c>
      <c r="BK16" s="34">
        <f t="shared" si="31"/>
        <v>-2.1610846385444986E+17</v>
      </c>
      <c r="BL16" s="34">
        <f t="shared" si="32"/>
        <v>-4.3221362975282656E+17</v>
      </c>
      <c r="BM16" s="34">
        <f t="shared" si="32"/>
        <v>-8.6442066364383565E+17</v>
      </c>
      <c r="BN16" s="34">
        <f t="shared" si="33"/>
        <v>-1.7288281356646935E+18</v>
      </c>
      <c r="BO16" s="34">
        <f t="shared" si="34"/>
        <v>-3.4576298882847442E+18</v>
      </c>
      <c r="BP16" s="34">
        <f t="shared" si="35"/>
        <v>-6.9152070108828242E+18</v>
      </c>
      <c r="BQ16" s="34">
        <f t="shared" si="36"/>
        <v>-1.3830308491197561E+19</v>
      </c>
      <c r="BR16" s="34">
        <f t="shared" si="36"/>
        <v>-2.7660405922869412E+19</v>
      </c>
      <c r="BS16" s="34">
        <f t="shared" si="36"/>
        <v>-5.532038972990831E+19</v>
      </c>
      <c r="BT16" s="34">
        <f t="shared" si="36"/>
        <v>-1.1063993523459736E+20</v>
      </c>
      <c r="BU16" s="34">
        <f t="shared" si="37"/>
        <v>-2.2127818203163961E+20</v>
      </c>
      <c r="BV16" s="34">
        <f t="shared" si="37"/>
        <v>-4.4255298721393567E+20</v>
      </c>
      <c r="BW16" s="10"/>
      <c r="BX16" s="10"/>
      <c r="BY16" s="10"/>
      <c r="BZ16" s="10"/>
      <c r="CA16" s="10"/>
      <c r="CB16" s="10"/>
      <c r="CC16" s="10"/>
      <c r="CD16" s="10"/>
      <c r="CE16" s="12">
        <v>485</v>
      </c>
      <c r="CF16" s="112">
        <v>17</v>
      </c>
      <c r="CG16" s="112">
        <v>22</v>
      </c>
      <c r="CH16" s="112">
        <v>26</v>
      </c>
      <c r="CI16" s="112">
        <v>27</v>
      </c>
      <c r="CJ16" s="112">
        <v>36</v>
      </c>
      <c r="CK16" s="112">
        <v>39</v>
      </c>
      <c r="CL16" s="112">
        <v>20</v>
      </c>
      <c r="CM16" s="11">
        <f>SUM(CF17:CK17)-45-45</f>
        <v>39</v>
      </c>
      <c r="CN16" s="11">
        <f>SUM(CF17:CL17)-45-45-45</f>
        <v>37</v>
      </c>
      <c r="CP16" s="11">
        <f t="shared" si="38"/>
        <v>5</v>
      </c>
      <c r="CQ16" s="11">
        <f t="shared" si="38"/>
        <v>4</v>
      </c>
      <c r="CR16" s="11">
        <f t="shared" si="38"/>
        <v>1</v>
      </c>
      <c r="CS16" s="11">
        <f t="shared" si="38"/>
        <v>9</v>
      </c>
      <c r="CT16" s="11">
        <f t="shared" si="38"/>
        <v>3</v>
      </c>
      <c r="CU16" s="11">
        <f t="shared" si="38"/>
        <v>19</v>
      </c>
      <c r="CV16" s="11">
        <v>9</v>
      </c>
      <c r="CW16" s="11">
        <v>33</v>
      </c>
      <c r="CX16" s="122" t="s">
        <v>39</v>
      </c>
      <c r="DI16" s="129"/>
      <c r="DJ16" s="129"/>
      <c r="DK16" s="129"/>
      <c r="DL16" s="129"/>
      <c r="DM16" s="129"/>
      <c r="DN16" s="129"/>
      <c r="DO16" s="129"/>
      <c r="DP16" s="129"/>
      <c r="DQ16" s="129"/>
      <c r="DR16" s="129"/>
      <c r="DS16" s="129"/>
      <c r="DT16" s="129"/>
      <c r="DU16" s="129"/>
      <c r="DV16" s="129"/>
      <c r="DW16" s="129"/>
      <c r="DX16" s="129"/>
      <c r="DY16" s="129"/>
    </row>
    <row r="17" spans="3:129" s="122" customFormat="1" ht="17.25">
      <c r="C17" s="11">
        <v>486</v>
      </c>
      <c r="D17" s="107" t="s">
        <v>262</v>
      </c>
      <c r="E17" s="17">
        <v>1</v>
      </c>
      <c r="F17" s="17">
        <v>10</v>
      </c>
      <c r="G17" s="17">
        <v>1</v>
      </c>
      <c r="H17" s="17">
        <f t="shared" si="0"/>
        <v>11</v>
      </c>
      <c r="I17" s="17">
        <v>-9</v>
      </c>
      <c r="J17" s="151">
        <f t="shared" si="1"/>
        <v>14</v>
      </c>
      <c r="K17" s="151">
        <f t="shared" si="2"/>
        <v>-17</v>
      </c>
      <c r="L17" s="34">
        <f t="shared" si="3"/>
        <v>-79</v>
      </c>
      <c r="M17" s="34">
        <f t="shared" si="4"/>
        <v>-158</v>
      </c>
      <c r="N17" s="34">
        <f t="shared" si="5"/>
        <v>-361</v>
      </c>
      <c r="O17" s="34">
        <f t="shared" si="6"/>
        <v>-722</v>
      </c>
      <c r="P17" s="34">
        <f t="shared" si="7"/>
        <v>-1444</v>
      </c>
      <c r="Q17" s="34">
        <f t="shared" si="8"/>
        <v>-2933</v>
      </c>
      <c r="R17" s="34">
        <f t="shared" si="9"/>
        <v>-5866</v>
      </c>
      <c r="S17" s="34">
        <f t="shared" si="10"/>
        <v>-11732</v>
      </c>
      <c r="T17" s="34">
        <f t="shared" si="11"/>
        <v>-23509</v>
      </c>
      <c r="U17" s="34">
        <f t="shared" si="12"/>
        <v>-47063</v>
      </c>
      <c r="V17" s="34">
        <f t="shared" si="13"/>
        <v>-94172</v>
      </c>
      <c r="W17" s="34">
        <f t="shared" si="14"/>
        <v>-188399</v>
      </c>
      <c r="X17" s="34">
        <f t="shared" si="14"/>
        <v>-376799</v>
      </c>
      <c r="Y17" s="34">
        <f t="shared" si="15"/>
        <v>-753654</v>
      </c>
      <c r="Z17" s="34">
        <f t="shared" si="15"/>
        <v>-1507299</v>
      </c>
      <c r="AA17" s="34">
        <f t="shared" si="16"/>
        <v>-3014567</v>
      </c>
      <c r="AB17" s="34">
        <f t="shared" si="16"/>
        <v>-6029117</v>
      </c>
      <c r="AC17" s="34">
        <f t="shared" si="16"/>
        <v>-12058155</v>
      </c>
      <c r="AD17" s="34">
        <f t="shared" si="17"/>
        <v>-24116107</v>
      </c>
      <c r="AE17" s="34">
        <f t="shared" si="18"/>
        <v>-48231898</v>
      </c>
      <c r="AF17" s="34">
        <f t="shared" si="18"/>
        <v>-96463074</v>
      </c>
      <c r="AG17" s="34">
        <f t="shared" si="18"/>
        <v>-192924704</v>
      </c>
      <c r="AH17" s="34">
        <f t="shared" si="19"/>
        <v>-385846520</v>
      </c>
      <c r="AI17" s="34">
        <f t="shared" si="20"/>
        <v>-771687129</v>
      </c>
      <c r="AJ17" s="34">
        <f t="shared" si="20"/>
        <v>-1543362526</v>
      </c>
      <c r="AK17" s="34">
        <f t="shared" si="20"/>
        <v>-3086701543</v>
      </c>
      <c r="AL17" s="34">
        <f t="shared" si="20"/>
        <v>-6173356023</v>
      </c>
      <c r="AM17" s="34">
        <f t="shared" si="21"/>
        <v>-12346617829</v>
      </c>
      <c r="AN17" s="34">
        <f t="shared" si="21"/>
        <v>-24693047259</v>
      </c>
      <c r="AO17" s="34">
        <f t="shared" si="21"/>
        <v>-49385717719</v>
      </c>
      <c r="AP17" s="34">
        <f t="shared" si="22"/>
        <v>-98770681829</v>
      </c>
      <c r="AQ17" s="34">
        <f t="shared" si="23"/>
        <v>-197539856404</v>
      </c>
      <c r="AR17" s="34">
        <f t="shared" si="24"/>
        <v>-395076698196</v>
      </c>
      <c r="AS17" s="34">
        <f t="shared" si="25"/>
        <v>-790147367320</v>
      </c>
      <c r="AT17" s="34">
        <f t="shared" si="25"/>
        <v>-1580282676485</v>
      </c>
      <c r="AU17" s="34">
        <f t="shared" si="26"/>
        <v>-3160541236818</v>
      </c>
      <c r="AV17" s="34">
        <f t="shared" si="26"/>
        <v>-6321034241738</v>
      </c>
      <c r="AW17" s="34">
        <f t="shared" si="27"/>
        <v>-12641972020357</v>
      </c>
      <c r="AX17" s="34">
        <f t="shared" si="27"/>
        <v>-25283751116010</v>
      </c>
      <c r="AY17" s="34">
        <f t="shared" si="27"/>
        <v>-50567116385500</v>
      </c>
      <c r="AZ17" s="34">
        <f t="shared" si="27"/>
        <v>-101133461083871</v>
      </c>
      <c r="BA17" s="34">
        <f t="shared" si="27"/>
        <v>-202265378805216</v>
      </c>
      <c r="BB17" s="34">
        <f t="shared" si="27"/>
        <v>-404527670908889</v>
      </c>
      <c r="BC17" s="34">
        <f t="shared" si="28"/>
        <v>-809049168461800</v>
      </c>
      <c r="BD17" s="34">
        <f t="shared" si="28"/>
        <v>-1618085990305771</v>
      </c>
      <c r="BE17" s="34">
        <f t="shared" si="28"/>
        <v>-3236147287564283</v>
      </c>
      <c r="BF17" s="34">
        <f t="shared" si="29"/>
        <v>-6472245189410802</v>
      </c>
      <c r="BG17" s="34">
        <f t="shared" si="29"/>
        <v>-1.2944391608139776E+16</v>
      </c>
      <c r="BH17" s="34">
        <f t="shared" si="30"/>
        <v>-2.5888585676423104E+16</v>
      </c>
      <c r="BI17" s="34">
        <f t="shared" si="31"/>
        <v>-5.1776776276148056E+16</v>
      </c>
      <c r="BJ17" s="34">
        <f t="shared" si="31"/>
        <v>-1.035527624049288E+17</v>
      </c>
      <c r="BK17" s="34">
        <f t="shared" si="31"/>
        <v>-2.0710394452718112E+17</v>
      </c>
      <c r="BL17" s="34">
        <f t="shared" si="32"/>
        <v>-4.142047285131255E+17</v>
      </c>
      <c r="BM17" s="34">
        <f t="shared" si="32"/>
        <v>-8.2840313599200922E+17</v>
      </c>
      <c r="BN17" s="34">
        <f t="shared" si="33"/>
        <v>-1.656793630011998E+18</v>
      </c>
      <c r="BO17" s="34">
        <f t="shared" si="34"/>
        <v>-3.3135619762728801E+18</v>
      </c>
      <c r="BP17" s="34">
        <f t="shared" si="35"/>
        <v>-6.627073385429375E+18</v>
      </c>
      <c r="BQ17" s="34">
        <f t="shared" si="36"/>
        <v>-1.3254045637397666E+19</v>
      </c>
      <c r="BR17" s="34">
        <f t="shared" si="36"/>
        <v>-2.6507889009416528E+19</v>
      </c>
      <c r="BS17" s="34">
        <f t="shared" si="36"/>
        <v>-5.3015373491162145E+19</v>
      </c>
      <c r="BT17" s="34">
        <f t="shared" si="36"/>
        <v>-1.0602993793315583E+20</v>
      </c>
      <c r="BU17" s="34">
        <f t="shared" si="37"/>
        <v>-2.1205825778032135E+20</v>
      </c>
      <c r="BV17" s="34">
        <f t="shared" si="37"/>
        <v>-4.2411327941335515E+20</v>
      </c>
      <c r="BW17" s="10"/>
      <c r="BX17" s="10"/>
      <c r="BY17" s="10"/>
      <c r="BZ17" s="10"/>
      <c r="CA17" s="10"/>
      <c r="CB17" s="10"/>
      <c r="CC17" s="10"/>
      <c r="CD17" s="10"/>
      <c r="CE17" s="12">
        <v>486</v>
      </c>
      <c r="CF17" s="112">
        <v>1</v>
      </c>
      <c r="CG17" s="112">
        <v>2</v>
      </c>
      <c r="CH17" s="112">
        <v>23</v>
      </c>
      <c r="CI17" s="112">
        <v>25</v>
      </c>
      <c r="CJ17" s="112">
        <v>38</v>
      </c>
      <c r="CK17" s="112">
        <v>40</v>
      </c>
      <c r="CL17" s="112">
        <v>43</v>
      </c>
      <c r="CM17" s="11">
        <f>SUM(CF18:CK18)-45-45-45</f>
        <v>1</v>
      </c>
      <c r="CN17" s="11">
        <f>SUM(CF18:CL18)-45-45-45</f>
        <v>45</v>
      </c>
      <c r="CP17" s="11">
        <f t="shared" si="38"/>
        <v>1</v>
      </c>
      <c r="CQ17" s="11">
        <f t="shared" si="38"/>
        <v>21</v>
      </c>
      <c r="CR17" s="11">
        <f t="shared" si="38"/>
        <v>2</v>
      </c>
      <c r="CS17" s="11">
        <f t="shared" si="38"/>
        <v>13</v>
      </c>
      <c r="CT17" s="11">
        <f t="shared" si="38"/>
        <v>2</v>
      </c>
      <c r="CU17" s="11">
        <f t="shared" si="38"/>
        <v>3</v>
      </c>
      <c r="CV17" s="11">
        <v>13</v>
      </c>
      <c r="CW17" s="11">
        <v>29</v>
      </c>
      <c r="CX17" s="122" t="s">
        <v>40</v>
      </c>
      <c r="DI17" s="129"/>
      <c r="DJ17" s="129"/>
      <c r="DK17" s="129"/>
      <c r="DL17" s="129"/>
      <c r="DM17" s="129"/>
      <c r="DN17" s="129"/>
      <c r="DO17" s="129"/>
      <c r="DP17" s="129"/>
      <c r="DQ17" s="129"/>
      <c r="DR17" s="129"/>
      <c r="DS17" s="129"/>
      <c r="DT17" s="129"/>
      <c r="DU17" s="129"/>
      <c r="DV17" s="129"/>
      <c r="DW17" s="129"/>
      <c r="DX17" s="129"/>
      <c r="DY17" s="129"/>
    </row>
    <row r="18" spans="3:129" s="122" customFormat="1" ht="17.25">
      <c r="C18" s="11">
        <v>487</v>
      </c>
      <c r="D18" s="107" t="s">
        <v>263</v>
      </c>
      <c r="E18" s="17">
        <v>1</v>
      </c>
      <c r="F18" s="17">
        <v>10</v>
      </c>
      <c r="G18" s="17">
        <v>1</v>
      </c>
      <c r="H18" s="17">
        <f t="shared" si="0"/>
        <v>11</v>
      </c>
      <c r="I18" s="17">
        <v>-8</v>
      </c>
      <c r="J18" s="151">
        <f t="shared" si="1"/>
        <v>15</v>
      </c>
      <c r="K18" s="151">
        <f t="shared" si="2"/>
        <v>-15</v>
      </c>
      <c r="L18" s="34">
        <f t="shared" si="3"/>
        <v>-75</v>
      </c>
      <c r="M18" s="34">
        <f t="shared" si="4"/>
        <v>-150</v>
      </c>
      <c r="N18" s="34">
        <f t="shared" si="5"/>
        <v>-345</v>
      </c>
      <c r="O18" s="34">
        <f t="shared" si="6"/>
        <v>-690</v>
      </c>
      <c r="P18" s="34">
        <f t="shared" si="7"/>
        <v>-1380</v>
      </c>
      <c r="Q18" s="34">
        <f t="shared" si="8"/>
        <v>-2805</v>
      </c>
      <c r="R18" s="34">
        <f t="shared" si="9"/>
        <v>-5610</v>
      </c>
      <c r="S18" s="34">
        <f t="shared" si="10"/>
        <v>-11220</v>
      </c>
      <c r="T18" s="34">
        <f t="shared" si="11"/>
        <v>-22485</v>
      </c>
      <c r="U18" s="34">
        <f t="shared" si="12"/>
        <v>-45015</v>
      </c>
      <c r="V18" s="34">
        <f t="shared" si="13"/>
        <v>-90076</v>
      </c>
      <c r="W18" s="34">
        <f t="shared" si="14"/>
        <v>-180207</v>
      </c>
      <c r="X18" s="34">
        <f t="shared" si="14"/>
        <v>-360415</v>
      </c>
      <c r="Y18" s="34">
        <f t="shared" si="15"/>
        <v>-720886</v>
      </c>
      <c r="Z18" s="34">
        <f t="shared" si="15"/>
        <v>-1441764</v>
      </c>
      <c r="AA18" s="34">
        <f t="shared" si="16"/>
        <v>-2883498</v>
      </c>
      <c r="AB18" s="34">
        <f t="shared" si="16"/>
        <v>-5766981</v>
      </c>
      <c r="AC18" s="34">
        <f t="shared" si="16"/>
        <v>-11533887</v>
      </c>
      <c r="AD18" s="34">
        <f t="shared" si="17"/>
        <v>-23067579</v>
      </c>
      <c r="AE18" s="34">
        <f t="shared" si="18"/>
        <v>-46134858</v>
      </c>
      <c r="AF18" s="34">
        <f t="shared" si="18"/>
        <v>-92269026</v>
      </c>
      <c r="AG18" s="34">
        <f t="shared" si="18"/>
        <v>-184536672</v>
      </c>
      <c r="AH18" s="34">
        <f t="shared" si="19"/>
        <v>-369070584</v>
      </c>
      <c r="AI18" s="34">
        <f t="shared" si="20"/>
        <v>-738135513</v>
      </c>
      <c r="AJ18" s="34">
        <f t="shared" si="20"/>
        <v>-1476259806</v>
      </c>
      <c r="AK18" s="34">
        <f t="shared" si="20"/>
        <v>-2952497127</v>
      </c>
      <c r="AL18" s="34">
        <f t="shared" si="20"/>
        <v>-5904949239</v>
      </c>
      <c r="AM18" s="34">
        <f t="shared" si="21"/>
        <v>-11809808357</v>
      </c>
      <c r="AN18" s="34">
        <f t="shared" si="21"/>
        <v>-23619436507</v>
      </c>
      <c r="AO18" s="34">
        <f t="shared" si="21"/>
        <v>-47238512599</v>
      </c>
      <c r="AP18" s="34">
        <f t="shared" si="22"/>
        <v>-94476304357</v>
      </c>
      <c r="AQ18" s="34">
        <f t="shared" si="23"/>
        <v>-188951166995</v>
      </c>
      <c r="AR18" s="34">
        <f t="shared" si="24"/>
        <v>-377899450447</v>
      </c>
      <c r="AS18" s="34">
        <f t="shared" si="25"/>
        <v>-755793133958</v>
      </c>
      <c r="AT18" s="34">
        <f t="shared" si="25"/>
        <v>-1511574734029</v>
      </c>
      <c r="AU18" s="34">
        <f t="shared" si="26"/>
        <v>-3023126400434</v>
      </c>
      <c r="AV18" s="34">
        <f t="shared" si="26"/>
        <v>-6046206666010</v>
      </c>
      <c r="AW18" s="34">
        <f t="shared" si="27"/>
        <v>-12092321062949</v>
      </c>
      <c r="AX18" s="34">
        <f t="shared" si="27"/>
        <v>-24184457589226</v>
      </c>
      <c r="AY18" s="34">
        <f t="shared" si="27"/>
        <v>-48368546107868</v>
      </c>
      <c r="AZ18" s="34">
        <f t="shared" si="27"/>
        <v>-96736354080223</v>
      </c>
      <c r="BA18" s="34">
        <f t="shared" si="27"/>
        <v>-193471231900640</v>
      </c>
      <c r="BB18" s="34">
        <f t="shared" si="27"/>
        <v>-386939511304153</v>
      </c>
      <c r="BC18" s="34">
        <f t="shared" si="28"/>
        <v>-773873117659112</v>
      </c>
      <c r="BD18" s="34">
        <f t="shared" si="28"/>
        <v>-1547734425509867</v>
      </c>
      <c r="BE18" s="34">
        <f t="shared" si="28"/>
        <v>-3095445231583227</v>
      </c>
      <c r="BF18" s="34">
        <f t="shared" si="29"/>
        <v>-6190843224653810</v>
      </c>
      <c r="BG18" s="34">
        <f t="shared" si="29"/>
        <v>-1.2381591973003264E+16</v>
      </c>
      <c r="BH18" s="34">
        <f t="shared" si="30"/>
        <v>-2.4762994994839488E+16</v>
      </c>
      <c r="BI18" s="34">
        <f t="shared" si="31"/>
        <v>-4.9525612090228568E+16</v>
      </c>
      <c r="BJ18" s="34">
        <f t="shared" si="31"/>
        <v>-9.90504683873232E+16</v>
      </c>
      <c r="BK18" s="34">
        <f t="shared" si="31"/>
        <v>-1.9809942519991235E+17</v>
      </c>
      <c r="BL18" s="34">
        <f t="shared" si="32"/>
        <v>-3.9619582727342438E+17</v>
      </c>
      <c r="BM18" s="34">
        <f t="shared" si="32"/>
        <v>-7.9238560834018266E+17</v>
      </c>
      <c r="BN18" s="34">
        <f t="shared" si="33"/>
        <v>-1.5847591243593024E+18</v>
      </c>
      <c r="BO18" s="34">
        <f t="shared" si="34"/>
        <v>-3.1694940642610161E+18</v>
      </c>
      <c r="BP18" s="34">
        <f t="shared" si="35"/>
        <v>-6.3389397599759237E+18</v>
      </c>
      <c r="BQ18" s="34">
        <f t="shared" si="36"/>
        <v>-1.2677782783597767E+19</v>
      </c>
      <c r="BR18" s="34">
        <f t="shared" si="36"/>
        <v>-2.5355372095963636E+19</v>
      </c>
      <c r="BS18" s="34">
        <f t="shared" si="36"/>
        <v>-5.0710357252415963E+19</v>
      </c>
      <c r="BT18" s="34">
        <f t="shared" si="36"/>
        <v>-1.0141994063171427E+20</v>
      </c>
      <c r="BU18" s="34">
        <f t="shared" si="37"/>
        <v>-2.0283833352900303E+20</v>
      </c>
      <c r="BV18" s="34">
        <f t="shared" si="37"/>
        <v>-4.056735716127745E+20</v>
      </c>
      <c r="BW18" s="10"/>
      <c r="BX18" s="10"/>
      <c r="BY18" s="10"/>
      <c r="BZ18" s="10"/>
      <c r="CA18" s="10"/>
      <c r="CB18" s="10"/>
      <c r="CC18" s="10"/>
      <c r="CD18" s="10"/>
      <c r="CE18" s="12">
        <v>487</v>
      </c>
      <c r="CF18" s="112">
        <v>4</v>
      </c>
      <c r="CG18" s="112">
        <v>8</v>
      </c>
      <c r="CH18" s="112">
        <v>25</v>
      </c>
      <c r="CI18" s="112">
        <v>37</v>
      </c>
      <c r="CJ18" s="112">
        <v>41</v>
      </c>
      <c r="CK18" s="112">
        <v>21</v>
      </c>
      <c r="CL18" s="112">
        <v>44</v>
      </c>
      <c r="CM18" s="11">
        <f>SUM(CF19:CK19)-45-45</f>
        <v>36</v>
      </c>
      <c r="CN18" s="11">
        <f>SUM(CF19:CL19)-45-45-45</f>
        <v>16</v>
      </c>
      <c r="CP18" s="11">
        <f t="shared" si="38"/>
        <v>4</v>
      </c>
      <c r="CQ18" s="11">
        <f t="shared" si="38"/>
        <v>17</v>
      </c>
      <c r="CR18" s="11">
        <f t="shared" si="38"/>
        <v>12</v>
      </c>
      <c r="CS18" s="11">
        <f t="shared" si="38"/>
        <v>4</v>
      </c>
      <c r="CT18" s="11">
        <f t="shared" si="38"/>
        <v>20</v>
      </c>
      <c r="CU18" s="11">
        <f t="shared" si="38"/>
        <v>23</v>
      </c>
      <c r="CV18" s="11">
        <v>8</v>
      </c>
      <c r="CW18" s="11">
        <f>46-45</f>
        <v>1</v>
      </c>
      <c r="CX18" s="122" t="s">
        <v>41</v>
      </c>
      <c r="DI18" s="129"/>
      <c r="DJ18" s="129"/>
      <c r="DK18" s="129"/>
      <c r="DL18" s="129"/>
      <c r="DM18" s="129"/>
      <c r="DN18" s="129"/>
      <c r="DO18" s="129"/>
      <c r="DP18" s="129"/>
      <c r="DQ18" s="129"/>
      <c r="DR18" s="129"/>
      <c r="DS18" s="129"/>
      <c r="DT18" s="129"/>
      <c r="DU18" s="129"/>
      <c r="DV18" s="129"/>
      <c r="DW18" s="129"/>
      <c r="DX18" s="129"/>
      <c r="DY18" s="129"/>
    </row>
    <row r="19" spans="3:129" s="122" customFormat="1" ht="17.25">
      <c r="C19" s="11">
        <v>488</v>
      </c>
      <c r="D19" s="107" t="s">
        <v>6</v>
      </c>
      <c r="E19" s="17">
        <v>1</v>
      </c>
      <c r="F19" s="17">
        <v>10</v>
      </c>
      <c r="G19" s="17">
        <v>1</v>
      </c>
      <c r="H19" s="17">
        <f t="shared" si="0"/>
        <v>11</v>
      </c>
      <c r="I19" s="17">
        <v>-7</v>
      </c>
      <c r="J19" s="151">
        <f t="shared" si="1"/>
        <v>16</v>
      </c>
      <c r="K19" s="151">
        <f t="shared" si="2"/>
        <v>-13</v>
      </c>
      <c r="L19" s="34">
        <f t="shared" si="3"/>
        <v>-71</v>
      </c>
      <c r="M19" s="34">
        <f t="shared" si="4"/>
        <v>-142</v>
      </c>
      <c r="N19" s="34">
        <f t="shared" si="5"/>
        <v>-329</v>
      </c>
      <c r="O19" s="34">
        <f t="shared" si="6"/>
        <v>-658</v>
      </c>
      <c r="P19" s="34">
        <f t="shared" si="7"/>
        <v>-1316</v>
      </c>
      <c r="Q19" s="34">
        <f t="shared" si="8"/>
        <v>-2677</v>
      </c>
      <c r="R19" s="34">
        <f t="shared" si="9"/>
        <v>-5354</v>
      </c>
      <c r="S19" s="34">
        <f t="shared" si="10"/>
        <v>-10708</v>
      </c>
      <c r="T19" s="34">
        <f t="shared" si="11"/>
        <v>-21461</v>
      </c>
      <c r="U19" s="34">
        <f t="shared" si="12"/>
        <v>-42967</v>
      </c>
      <c r="V19" s="34">
        <f t="shared" si="13"/>
        <v>-85980</v>
      </c>
      <c r="W19" s="34">
        <f t="shared" si="14"/>
        <v>-172015</v>
      </c>
      <c r="X19" s="34">
        <f t="shared" si="14"/>
        <v>-344031</v>
      </c>
      <c r="Y19" s="34">
        <f t="shared" si="15"/>
        <v>-688118</v>
      </c>
      <c r="Z19" s="34">
        <f t="shared" si="15"/>
        <v>-1376229</v>
      </c>
      <c r="AA19" s="34">
        <f t="shared" si="16"/>
        <v>-2752429</v>
      </c>
      <c r="AB19" s="34">
        <f t="shared" si="16"/>
        <v>-5504845</v>
      </c>
      <c r="AC19" s="34">
        <f t="shared" si="16"/>
        <v>-11009619</v>
      </c>
      <c r="AD19" s="34">
        <f t="shared" si="17"/>
        <v>-22019051</v>
      </c>
      <c r="AE19" s="34">
        <f t="shared" si="18"/>
        <v>-44037818</v>
      </c>
      <c r="AF19" s="34">
        <f t="shared" si="18"/>
        <v>-88074978</v>
      </c>
      <c r="AG19" s="34">
        <f t="shared" si="18"/>
        <v>-176148640</v>
      </c>
      <c r="AH19" s="34">
        <f t="shared" si="19"/>
        <v>-352294648</v>
      </c>
      <c r="AI19" s="34">
        <f t="shared" si="20"/>
        <v>-704583897</v>
      </c>
      <c r="AJ19" s="34">
        <f t="shared" si="20"/>
        <v>-1409157086</v>
      </c>
      <c r="AK19" s="34">
        <f t="shared" si="20"/>
        <v>-2818292711</v>
      </c>
      <c r="AL19" s="34">
        <f t="shared" si="20"/>
        <v>-5636542455</v>
      </c>
      <c r="AM19" s="34">
        <f t="shared" si="21"/>
        <v>-11272998885</v>
      </c>
      <c r="AN19" s="34">
        <f t="shared" si="21"/>
        <v>-22545825755</v>
      </c>
      <c r="AO19" s="34">
        <f t="shared" si="21"/>
        <v>-45091307479</v>
      </c>
      <c r="AP19" s="34">
        <f t="shared" si="22"/>
        <v>-90181926885</v>
      </c>
      <c r="AQ19" s="34">
        <f t="shared" si="23"/>
        <v>-180362477586</v>
      </c>
      <c r="AR19" s="34">
        <f t="shared" si="24"/>
        <v>-360722202698</v>
      </c>
      <c r="AS19" s="34">
        <f t="shared" si="25"/>
        <v>-721438900596</v>
      </c>
      <c r="AT19" s="34">
        <f t="shared" si="25"/>
        <v>-1442866791573</v>
      </c>
      <c r="AU19" s="34">
        <f t="shared" si="26"/>
        <v>-2885711564050</v>
      </c>
      <c r="AV19" s="34">
        <f t="shared" si="26"/>
        <v>-5771379090282</v>
      </c>
      <c r="AW19" s="34">
        <f t="shared" si="27"/>
        <v>-11542670105541</v>
      </c>
      <c r="AX19" s="34">
        <f t="shared" si="27"/>
        <v>-23085164062442</v>
      </c>
      <c r="AY19" s="34">
        <f t="shared" si="27"/>
        <v>-46169975830236</v>
      </c>
      <c r="AZ19" s="34">
        <f t="shared" si="27"/>
        <v>-92339247076575</v>
      </c>
      <c r="BA19" s="34">
        <f t="shared" si="27"/>
        <v>-184677084996064</v>
      </c>
      <c r="BB19" s="34">
        <f t="shared" si="27"/>
        <v>-369351351699417</v>
      </c>
      <c r="BC19" s="34">
        <f t="shared" si="28"/>
        <v>-738697066856424</v>
      </c>
      <c r="BD19" s="34">
        <f t="shared" si="28"/>
        <v>-1477382860713963</v>
      </c>
      <c r="BE19" s="34">
        <f t="shared" si="28"/>
        <v>-2954743175602171</v>
      </c>
      <c r="BF19" s="34">
        <f t="shared" si="29"/>
        <v>-5909441259896818</v>
      </c>
      <c r="BG19" s="34">
        <f t="shared" si="29"/>
        <v>-1.1818792337866752E+16</v>
      </c>
      <c r="BH19" s="34">
        <f t="shared" si="30"/>
        <v>-2.3637404313255872E+16</v>
      </c>
      <c r="BI19" s="34">
        <f t="shared" si="31"/>
        <v>-4.7274447904309088E+16</v>
      </c>
      <c r="BJ19" s="34">
        <f t="shared" si="31"/>
        <v>-9.4548174369717584E+16</v>
      </c>
      <c r="BK19" s="34">
        <f t="shared" si="31"/>
        <v>-1.8909490587264358E+17</v>
      </c>
      <c r="BL19" s="34">
        <f t="shared" si="32"/>
        <v>-3.781869260337232E+17</v>
      </c>
      <c r="BM19" s="34">
        <f t="shared" si="32"/>
        <v>-7.563680806883561E+17</v>
      </c>
      <c r="BN19" s="34">
        <f t="shared" si="33"/>
        <v>-1.5127246187066066E+18</v>
      </c>
      <c r="BO19" s="34">
        <f t="shared" si="34"/>
        <v>-3.025426152249151E+18</v>
      </c>
      <c r="BP19" s="34">
        <f t="shared" si="35"/>
        <v>-6.0508061345224704E+18</v>
      </c>
      <c r="BQ19" s="34">
        <f t="shared" si="36"/>
        <v>-1.2101519929797865E+19</v>
      </c>
      <c r="BR19" s="34">
        <f t="shared" si="36"/>
        <v>-2.4202855182510735E+19</v>
      </c>
      <c r="BS19" s="34">
        <f t="shared" si="36"/>
        <v>-4.8405341013669773E+19</v>
      </c>
      <c r="BT19" s="34">
        <f t="shared" si="36"/>
        <v>-9.680994333027269E+19</v>
      </c>
      <c r="BU19" s="34">
        <f t="shared" si="37"/>
        <v>-1.9361840927768465E+20</v>
      </c>
      <c r="BV19" s="34">
        <f t="shared" si="37"/>
        <v>-3.8723386381219371E+20</v>
      </c>
      <c r="BW19" s="10"/>
      <c r="BX19" s="10"/>
      <c r="BY19" s="10"/>
      <c r="BZ19" s="10"/>
      <c r="CA19" s="10"/>
      <c r="CB19" s="10"/>
      <c r="CC19" s="10"/>
      <c r="CD19" s="10"/>
      <c r="CE19" s="12">
        <v>488</v>
      </c>
      <c r="CF19" s="112">
        <v>2</v>
      </c>
      <c r="CG19" s="112">
        <v>8</v>
      </c>
      <c r="CH19" s="112">
        <v>17</v>
      </c>
      <c r="CI19" s="112">
        <v>30</v>
      </c>
      <c r="CJ19" s="112">
        <v>31</v>
      </c>
      <c r="CK19" s="112">
        <v>38</v>
      </c>
      <c r="CL19" s="112">
        <v>25</v>
      </c>
      <c r="CM19" s="11">
        <f>SUM(CF20:CK20)-45-45-45</f>
        <v>-59</v>
      </c>
      <c r="CN19" s="11">
        <f>SUM(CF20:CL20)-45-45-45-45</f>
        <v>-93</v>
      </c>
      <c r="CP19" s="11">
        <f t="shared" si="38"/>
        <v>6</v>
      </c>
      <c r="CQ19" s="11">
        <f t="shared" si="38"/>
        <v>9</v>
      </c>
      <c r="CR19" s="11">
        <f t="shared" si="38"/>
        <v>13</v>
      </c>
      <c r="CS19" s="11">
        <f t="shared" si="38"/>
        <v>1</v>
      </c>
      <c r="CT19" s="11">
        <f t="shared" si="38"/>
        <v>7</v>
      </c>
      <c r="CU19" s="11">
        <f t="shared" si="38"/>
        <v>13</v>
      </c>
      <c r="CV19" s="11">
        <v>10</v>
      </c>
      <c r="CW19" s="11">
        <v>33</v>
      </c>
      <c r="CX19" s="122" t="s">
        <v>42</v>
      </c>
      <c r="DI19" s="129"/>
      <c r="DJ19" s="129"/>
      <c r="DK19" s="129"/>
      <c r="DL19" s="129"/>
      <c r="DM19" s="129"/>
      <c r="DN19" s="129"/>
      <c r="DO19" s="129"/>
      <c r="DP19" s="129"/>
      <c r="DQ19" s="129"/>
      <c r="DR19" s="129"/>
      <c r="DS19" s="129"/>
      <c r="DT19" s="129"/>
      <c r="DU19" s="129"/>
      <c r="DV19" s="129"/>
      <c r="DW19" s="129"/>
      <c r="DX19" s="129"/>
      <c r="DY19" s="129"/>
    </row>
    <row r="20" spans="3:129" s="122" customFormat="1" ht="17.25">
      <c r="C20" s="11">
        <v>489</v>
      </c>
      <c r="D20" s="107" t="s">
        <v>248</v>
      </c>
      <c r="E20" s="17">
        <v>1</v>
      </c>
      <c r="F20" s="17">
        <v>10</v>
      </c>
      <c r="G20" s="17">
        <v>1</v>
      </c>
      <c r="H20" s="17">
        <f t="shared" si="0"/>
        <v>11</v>
      </c>
      <c r="I20" s="17">
        <v>-6</v>
      </c>
      <c r="J20" s="151">
        <f t="shared" si="1"/>
        <v>17</v>
      </c>
      <c r="K20" s="151">
        <f t="shared" si="2"/>
        <v>-11</v>
      </c>
      <c r="L20" s="34">
        <f t="shared" si="3"/>
        <v>-67</v>
      </c>
      <c r="M20" s="34">
        <f t="shared" si="4"/>
        <v>-134</v>
      </c>
      <c r="N20" s="34">
        <f t="shared" si="5"/>
        <v>-313</v>
      </c>
      <c r="O20" s="34">
        <f t="shared" si="6"/>
        <v>-626</v>
      </c>
      <c r="P20" s="34">
        <f t="shared" si="7"/>
        <v>-1252</v>
      </c>
      <c r="Q20" s="34">
        <f t="shared" si="8"/>
        <v>-2549</v>
      </c>
      <c r="R20" s="34">
        <f t="shared" si="9"/>
        <v>-5098</v>
      </c>
      <c r="S20" s="34">
        <f t="shared" si="10"/>
        <v>-10196</v>
      </c>
      <c r="T20" s="34">
        <f t="shared" si="11"/>
        <v>-20437</v>
      </c>
      <c r="U20" s="34">
        <f t="shared" si="12"/>
        <v>-40919</v>
      </c>
      <c r="V20" s="34">
        <f t="shared" si="13"/>
        <v>-81884</v>
      </c>
      <c r="W20" s="34">
        <f t="shared" si="14"/>
        <v>-163823</v>
      </c>
      <c r="X20" s="34">
        <f t="shared" si="14"/>
        <v>-327647</v>
      </c>
      <c r="Y20" s="34">
        <f t="shared" si="15"/>
        <v>-655350</v>
      </c>
      <c r="Z20" s="34">
        <f t="shared" si="15"/>
        <v>-1310694</v>
      </c>
      <c r="AA20" s="34">
        <f t="shared" si="16"/>
        <v>-2621360</v>
      </c>
      <c r="AB20" s="34">
        <f t="shared" si="16"/>
        <v>-5242709</v>
      </c>
      <c r="AC20" s="34">
        <f t="shared" si="16"/>
        <v>-10485351</v>
      </c>
      <c r="AD20" s="34">
        <f t="shared" si="17"/>
        <v>-20970523</v>
      </c>
      <c r="AE20" s="34">
        <f t="shared" si="18"/>
        <v>-41940778</v>
      </c>
      <c r="AF20" s="34">
        <f t="shared" si="18"/>
        <v>-83880930</v>
      </c>
      <c r="AG20" s="34">
        <f t="shared" si="18"/>
        <v>-167760608</v>
      </c>
      <c r="AH20" s="34">
        <f t="shared" si="19"/>
        <v>-335518712</v>
      </c>
      <c r="AI20" s="34">
        <f t="shared" si="20"/>
        <v>-671032281</v>
      </c>
      <c r="AJ20" s="34">
        <f t="shared" si="20"/>
        <v>-1342054366</v>
      </c>
      <c r="AK20" s="34">
        <f t="shared" si="20"/>
        <v>-2684088295</v>
      </c>
      <c r="AL20" s="34">
        <f t="shared" si="20"/>
        <v>-5368135671</v>
      </c>
      <c r="AM20" s="34">
        <f t="shared" si="21"/>
        <v>-10736189413</v>
      </c>
      <c r="AN20" s="34">
        <f t="shared" si="21"/>
        <v>-21472215003</v>
      </c>
      <c r="AO20" s="34">
        <f t="shared" si="21"/>
        <v>-42944102359</v>
      </c>
      <c r="AP20" s="34">
        <f t="shared" si="22"/>
        <v>-85887549413</v>
      </c>
      <c r="AQ20" s="34">
        <f t="shared" si="23"/>
        <v>-171773788177</v>
      </c>
      <c r="AR20" s="34">
        <f t="shared" si="24"/>
        <v>-343544954949</v>
      </c>
      <c r="AS20" s="34">
        <f t="shared" si="25"/>
        <v>-687084667234</v>
      </c>
      <c r="AT20" s="34">
        <f t="shared" si="25"/>
        <v>-1374158849117</v>
      </c>
      <c r="AU20" s="34">
        <f t="shared" si="26"/>
        <v>-2748296727666</v>
      </c>
      <c r="AV20" s="34">
        <f t="shared" si="26"/>
        <v>-5496551514554</v>
      </c>
      <c r="AW20" s="34">
        <f t="shared" si="27"/>
        <v>-10993019148133</v>
      </c>
      <c r="AX20" s="34">
        <f t="shared" si="27"/>
        <v>-21985870535658</v>
      </c>
      <c r="AY20" s="34">
        <f t="shared" si="27"/>
        <v>-43971405552604</v>
      </c>
      <c r="AZ20" s="34">
        <f t="shared" si="27"/>
        <v>-87942140072927</v>
      </c>
      <c r="BA20" s="34">
        <f t="shared" si="27"/>
        <v>-175882938091488</v>
      </c>
      <c r="BB20" s="34">
        <f t="shared" si="27"/>
        <v>-351763192094681</v>
      </c>
      <c r="BC20" s="34">
        <f t="shared" si="28"/>
        <v>-703521016053736</v>
      </c>
      <c r="BD20" s="34">
        <f t="shared" si="28"/>
        <v>-1407031295918059</v>
      </c>
      <c r="BE20" s="34">
        <f t="shared" si="28"/>
        <v>-2814041119621115</v>
      </c>
      <c r="BF20" s="34">
        <f t="shared" si="29"/>
        <v>-5628039295139826</v>
      </c>
      <c r="BG20" s="34">
        <f t="shared" si="29"/>
        <v>-1.125599270273024E+16</v>
      </c>
      <c r="BH20" s="34">
        <f t="shared" si="30"/>
        <v>-2.2511813631672256E+16</v>
      </c>
      <c r="BI20" s="34">
        <f t="shared" si="31"/>
        <v>-4.5023283718389608E+16</v>
      </c>
      <c r="BJ20" s="34">
        <f t="shared" si="31"/>
        <v>-9.0045880352112E+16</v>
      </c>
      <c r="BK20" s="34">
        <f t="shared" si="31"/>
        <v>-1.8009038654537488E+17</v>
      </c>
      <c r="BL20" s="34">
        <f t="shared" si="32"/>
        <v>-3.6017802479402214E+17</v>
      </c>
      <c r="BM20" s="34">
        <f t="shared" si="32"/>
        <v>-7.2035055303652979E+17</v>
      </c>
      <c r="BN20" s="34">
        <f t="shared" si="33"/>
        <v>-1.4406901130539113E+18</v>
      </c>
      <c r="BO20" s="34">
        <f t="shared" si="34"/>
        <v>-2.8813582402372869E+18</v>
      </c>
      <c r="BP20" s="34">
        <f t="shared" si="35"/>
        <v>-5.7626725090690212E+18</v>
      </c>
      <c r="BQ20" s="34">
        <f t="shared" si="36"/>
        <v>-1.1525257075997968E+19</v>
      </c>
      <c r="BR20" s="34">
        <f t="shared" si="36"/>
        <v>-2.3050338269057843E+19</v>
      </c>
      <c r="BS20" s="34">
        <f t="shared" si="36"/>
        <v>-4.6100324774923592E+19</v>
      </c>
      <c r="BT20" s="34">
        <f t="shared" si="36"/>
        <v>-9.219994602883113E+19</v>
      </c>
      <c r="BU20" s="34">
        <f t="shared" si="37"/>
        <v>-1.8439848502636636E+20</v>
      </c>
      <c r="BV20" s="34">
        <f t="shared" si="37"/>
        <v>-3.6879415601161306E+20</v>
      </c>
      <c r="BW20" s="10"/>
      <c r="BX20" s="10"/>
      <c r="BY20" s="10"/>
      <c r="BZ20" s="10"/>
      <c r="CA20" s="10"/>
      <c r="CB20" s="10"/>
      <c r="CC20" s="10"/>
      <c r="CD20" s="10"/>
      <c r="CE20" s="12">
        <v>489</v>
      </c>
      <c r="CF20" s="112">
        <v>2</v>
      </c>
      <c r="CG20" s="112">
        <v>4</v>
      </c>
      <c r="CH20" s="112">
        <v>8</v>
      </c>
      <c r="CI20" s="112">
        <v>15</v>
      </c>
      <c r="CJ20" s="112">
        <v>20</v>
      </c>
      <c r="CK20" s="112">
        <v>27</v>
      </c>
      <c r="CL20" s="112">
        <v>11</v>
      </c>
      <c r="CM20" s="11">
        <f>SUM(CF21:CK21)-45-45-45</f>
        <v>12</v>
      </c>
      <c r="CN20" s="11">
        <f>SUM(CF21:CL21)-45-45-45</f>
        <v>54</v>
      </c>
      <c r="CP20" s="11">
        <f t="shared" si="38"/>
        <v>2</v>
      </c>
      <c r="CQ20" s="11">
        <f t="shared" si="38"/>
        <v>4</v>
      </c>
      <c r="CR20" s="11">
        <f t="shared" si="38"/>
        <v>7</v>
      </c>
      <c r="CS20" s="11">
        <f t="shared" si="38"/>
        <v>5</v>
      </c>
      <c r="CT20" s="11">
        <f t="shared" si="38"/>
        <v>7</v>
      </c>
      <c r="CU20" s="11">
        <f t="shared" si="38"/>
        <v>16</v>
      </c>
      <c r="CV20" s="11">
        <v>6</v>
      </c>
      <c r="CW20" s="11">
        <f>52-45</f>
        <v>7</v>
      </c>
      <c r="CX20" s="122" t="s">
        <v>43</v>
      </c>
      <c r="DI20" s="129"/>
      <c r="DJ20" s="129"/>
      <c r="DK20" s="129"/>
      <c r="DL20" s="129"/>
      <c r="DM20" s="129"/>
      <c r="DN20" s="129"/>
      <c r="DO20" s="129"/>
      <c r="DP20" s="129"/>
      <c r="DQ20" s="129"/>
      <c r="DR20" s="129"/>
      <c r="DS20" s="129"/>
      <c r="DT20" s="129"/>
      <c r="DU20" s="129"/>
      <c r="DV20" s="129"/>
      <c r="DW20" s="129"/>
      <c r="DX20" s="129"/>
      <c r="DY20" s="129"/>
    </row>
    <row r="21" spans="3:129" s="122" customFormat="1" ht="17.25">
      <c r="C21" s="11">
        <v>490</v>
      </c>
      <c r="D21" s="107" t="s">
        <v>264</v>
      </c>
      <c r="E21" s="17">
        <v>1</v>
      </c>
      <c r="F21" s="17">
        <v>10</v>
      </c>
      <c r="G21" s="17">
        <v>1</v>
      </c>
      <c r="H21" s="17">
        <f t="shared" si="0"/>
        <v>11</v>
      </c>
      <c r="I21" s="17">
        <v>-5</v>
      </c>
      <c r="J21" s="151">
        <f t="shared" si="1"/>
        <v>18</v>
      </c>
      <c r="K21" s="151">
        <f t="shared" si="2"/>
        <v>-9</v>
      </c>
      <c r="L21" s="34">
        <f t="shared" si="3"/>
        <v>-63</v>
      </c>
      <c r="M21" s="34">
        <f t="shared" si="4"/>
        <v>-126</v>
      </c>
      <c r="N21" s="34">
        <f t="shared" si="5"/>
        <v>-297</v>
      </c>
      <c r="O21" s="34">
        <f t="shared" si="6"/>
        <v>-594</v>
      </c>
      <c r="P21" s="34">
        <f t="shared" si="7"/>
        <v>-1188</v>
      </c>
      <c r="Q21" s="34">
        <f t="shared" si="8"/>
        <v>-2421</v>
      </c>
      <c r="R21" s="34">
        <f t="shared" si="9"/>
        <v>-4842</v>
      </c>
      <c r="S21" s="34">
        <f t="shared" si="10"/>
        <v>-9684</v>
      </c>
      <c r="T21" s="34">
        <f t="shared" si="11"/>
        <v>-19413</v>
      </c>
      <c r="U21" s="34">
        <f t="shared" si="12"/>
        <v>-38871</v>
      </c>
      <c r="V21" s="34">
        <f t="shared" si="13"/>
        <v>-77788</v>
      </c>
      <c r="W21" s="34">
        <f t="shared" si="14"/>
        <v>-155631</v>
      </c>
      <c r="X21" s="34">
        <f t="shared" si="14"/>
        <v>-311263</v>
      </c>
      <c r="Y21" s="34">
        <f t="shared" si="15"/>
        <v>-622582</v>
      </c>
      <c r="Z21" s="34">
        <f t="shared" si="15"/>
        <v>-1245159</v>
      </c>
      <c r="AA21" s="34">
        <f t="shared" si="16"/>
        <v>-2490291</v>
      </c>
      <c r="AB21" s="34">
        <f t="shared" si="16"/>
        <v>-4980573</v>
      </c>
      <c r="AC21" s="34">
        <f t="shared" si="16"/>
        <v>-9961083</v>
      </c>
      <c r="AD21" s="34">
        <f t="shared" si="17"/>
        <v>-19921995</v>
      </c>
      <c r="AE21" s="34">
        <f t="shared" si="18"/>
        <v>-39843738</v>
      </c>
      <c r="AF21" s="34">
        <f t="shared" si="18"/>
        <v>-79686882</v>
      </c>
      <c r="AG21" s="34">
        <f t="shared" si="18"/>
        <v>-159372576</v>
      </c>
      <c r="AH21" s="34">
        <f t="shared" si="19"/>
        <v>-318742776</v>
      </c>
      <c r="AI21" s="34">
        <f t="shared" si="20"/>
        <v>-637480665</v>
      </c>
      <c r="AJ21" s="34">
        <f t="shared" si="20"/>
        <v>-1274951646</v>
      </c>
      <c r="AK21" s="34">
        <f t="shared" si="20"/>
        <v>-2549883879</v>
      </c>
      <c r="AL21" s="34">
        <f t="shared" si="20"/>
        <v>-5099728887</v>
      </c>
      <c r="AM21" s="34">
        <f t="shared" si="21"/>
        <v>-10199379941</v>
      </c>
      <c r="AN21" s="34">
        <f t="shared" si="21"/>
        <v>-20398604251</v>
      </c>
      <c r="AO21" s="34">
        <f t="shared" si="21"/>
        <v>-40796897239</v>
      </c>
      <c r="AP21" s="34">
        <f t="shared" si="22"/>
        <v>-81593171941</v>
      </c>
      <c r="AQ21" s="34">
        <f t="shared" si="23"/>
        <v>-163185098768</v>
      </c>
      <c r="AR21" s="34">
        <f t="shared" si="24"/>
        <v>-326367707200</v>
      </c>
      <c r="AS21" s="34">
        <f t="shared" si="25"/>
        <v>-652730433872</v>
      </c>
      <c r="AT21" s="34">
        <f t="shared" si="25"/>
        <v>-1305450906661</v>
      </c>
      <c r="AU21" s="34">
        <f t="shared" si="26"/>
        <v>-2610881891282</v>
      </c>
      <c r="AV21" s="34">
        <f t="shared" si="26"/>
        <v>-5221723938826</v>
      </c>
      <c r="AW21" s="34">
        <f t="shared" si="27"/>
        <v>-10443368190725</v>
      </c>
      <c r="AX21" s="34">
        <f t="shared" si="27"/>
        <v>-20886577008874</v>
      </c>
      <c r="AY21" s="34">
        <f t="shared" si="27"/>
        <v>-41772835274972</v>
      </c>
      <c r="AZ21" s="34">
        <f t="shared" si="27"/>
        <v>-83545033069279</v>
      </c>
      <c r="BA21" s="34">
        <f t="shared" si="27"/>
        <v>-167088791186912</v>
      </c>
      <c r="BB21" s="34">
        <f t="shared" si="27"/>
        <v>-334175032489945</v>
      </c>
      <c r="BC21" s="34">
        <f t="shared" si="28"/>
        <v>-668344965251048</v>
      </c>
      <c r="BD21" s="34">
        <f t="shared" si="28"/>
        <v>-1336679731122155</v>
      </c>
      <c r="BE21" s="34">
        <f t="shared" si="28"/>
        <v>-2673339063640059</v>
      </c>
      <c r="BF21" s="34">
        <f t="shared" si="29"/>
        <v>-5346637330382834</v>
      </c>
      <c r="BG21" s="34">
        <f t="shared" si="29"/>
        <v>-1.0693193067593728E+16</v>
      </c>
      <c r="BH21" s="34">
        <f t="shared" si="30"/>
        <v>-2.138622295008864E+16</v>
      </c>
      <c r="BI21" s="34">
        <f t="shared" si="31"/>
        <v>-4.277211953247012E+16</v>
      </c>
      <c r="BJ21" s="34">
        <f t="shared" si="31"/>
        <v>-8.5543586334506368E+16</v>
      </c>
      <c r="BK21" s="34">
        <f t="shared" si="31"/>
        <v>-1.7108586721810608E+17</v>
      </c>
      <c r="BL21" s="34">
        <f t="shared" si="32"/>
        <v>-3.4216912355432096E+17</v>
      </c>
      <c r="BM21" s="34">
        <f t="shared" si="32"/>
        <v>-6.843330253847031E+17</v>
      </c>
      <c r="BN21" s="34">
        <f t="shared" si="33"/>
        <v>-1.3686556074012152E+18</v>
      </c>
      <c r="BO21" s="34">
        <f t="shared" si="34"/>
        <v>-2.7372903282254218E+18</v>
      </c>
      <c r="BP21" s="34">
        <f t="shared" si="35"/>
        <v>-5.4745388836155679E+18</v>
      </c>
      <c r="BQ21" s="34">
        <f t="shared" si="36"/>
        <v>-1.0948994222198067E+19</v>
      </c>
      <c r="BR21" s="34">
        <f t="shared" si="36"/>
        <v>-2.1897821355604947E+19</v>
      </c>
      <c r="BS21" s="34">
        <f t="shared" si="36"/>
        <v>-4.379530853617741E+19</v>
      </c>
      <c r="BT21" s="34">
        <f t="shared" si="36"/>
        <v>-8.7589948727389569E+19</v>
      </c>
      <c r="BU21" s="34">
        <f t="shared" si="37"/>
        <v>-1.75178560775048E+20</v>
      </c>
      <c r="BV21" s="34">
        <f t="shared" si="37"/>
        <v>-3.5035444821103241E+20</v>
      </c>
      <c r="BW21" s="10"/>
      <c r="BX21" s="10"/>
      <c r="BY21" s="10"/>
      <c r="BZ21" s="10"/>
      <c r="CA21" s="10"/>
      <c r="CB21" s="10"/>
      <c r="CC21" s="10"/>
      <c r="CD21" s="10"/>
      <c r="CE21" s="12">
        <v>490</v>
      </c>
      <c r="CF21" s="112">
        <v>2</v>
      </c>
      <c r="CG21" s="112">
        <v>7</v>
      </c>
      <c r="CH21" s="112">
        <v>26</v>
      </c>
      <c r="CI21" s="112">
        <v>29</v>
      </c>
      <c r="CJ21" s="112">
        <v>40</v>
      </c>
      <c r="CK21" s="112">
        <v>43</v>
      </c>
      <c r="CL21" s="112">
        <v>42</v>
      </c>
      <c r="CM21" s="11">
        <f>SUM(CF22:CK22)-45-45</f>
        <v>87</v>
      </c>
      <c r="CN21" s="11">
        <f>SUM(CF22:CL22)-45-45</f>
        <v>91</v>
      </c>
      <c r="CP21" s="11">
        <f t="shared" si="38"/>
        <v>5</v>
      </c>
      <c r="CQ21" s="11">
        <f t="shared" si="38"/>
        <v>19</v>
      </c>
      <c r="CR21" s="11">
        <f t="shared" si="38"/>
        <v>3</v>
      </c>
      <c r="CS21" s="11">
        <f t="shared" si="38"/>
        <v>11</v>
      </c>
      <c r="CT21" s="11">
        <f t="shared" si="38"/>
        <v>3</v>
      </c>
      <c r="CU21" s="11">
        <f t="shared" si="38"/>
        <v>1</v>
      </c>
      <c r="CV21" s="11">
        <v>7</v>
      </c>
      <c r="CW21" s="11">
        <v>29</v>
      </c>
      <c r="CX21" s="122" t="s">
        <v>44</v>
      </c>
      <c r="DI21" s="129"/>
      <c r="DJ21" s="129"/>
      <c r="DK21" s="129"/>
      <c r="DL21" s="129"/>
      <c r="DM21" s="129"/>
      <c r="DN21" s="129"/>
      <c r="DO21" s="129"/>
      <c r="DP21" s="129"/>
      <c r="DQ21" s="129"/>
      <c r="DR21" s="129"/>
      <c r="DS21" s="129"/>
      <c r="DT21" s="129"/>
      <c r="DU21" s="129"/>
      <c r="DV21" s="129"/>
      <c r="DW21" s="129"/>
      <c r="DX21" s="129"/>
      <c r="DY21" s="129"/>
    </row>
    <row r="22" spans="3:129" s="122" customFormat="1" ht="17.25">
      <c r="C22" s="11">
        <v>491</v>
      </c>
      <c r="D22" s="107" t="s">
        <v>7</v>
      </c>
      <c r="E22" s="17">
        <v>1</v>
      </c>
      <c r="F22" s="17">
        <v>10</v>
      </c>
      <c r="G22" s="17">
        <v>1</v>
      </c>
      <c r="H22" s="17">
        <f t="shared" si="0"/>
        <v>11</v>
      </c>
      <c r="I22" s="17">
        <v>-4</v>
      </c>
      <c r="J22" s="151">
        <f t="shared" si="1"/>
        <v>19</v>
      </c>
      <c r="K22" s="151">
        <f t="shared" si="2"/>
        <v>-7</v>
      </c>
      <c r="L22" s="34">
        <f t="shared" si="3"/>
        <v>-59</v>
      </c>
      <c r="M22" s="34">
        <f t="shared" si="4"/>
        <v>-118</v>
      </c>
      <c r="N22" s="34">
        <f t="shared" si="5"/>
        <v>-281</v>
      </c>
      <c r="O22" s="34">
        <f t="shared" si="6"/>
        <v>-562</v>
      </c>
      <c r="P22" s="34">
        <f t="shared" si="7"/>
        <v>-1124</v>
      </c>
      <c r="Q22" s="34">
        <f t="shared" si="8"/>
        <v>-2293</v>
      </c>
      <c r="R22" s="34">
        <f t="shared" si="9"/>
        <v>-4586</v>
      </c>
      <c r="S22" s="34">
        <f t="shared" si="10"/>
        <v>-9172</v>
      </c>
      <c r="T22" s="34">
        <f t="shared" si="11"/>
        <v>-18389</v>
      </c>
      <c r="U22" s="34">
        <f t="shared" si="12"/>
        <v>-36823</v>
      </c>
      <c r="V22" s="34">
        <f t="shared" si="13"/>
        <v>-73692</v>
      </c>
      <c r="W22" s="34">
        <f t="shared" si="14"/>
        <v>-147439</v>
      </c>
      <c r="X22" s="34">
        <f t="shared" si="14"/>
        <v>-294879</v>
      </c>
      <c r="Y22" s="34">
        <f t="shared" si="15"/>
        <v>-589814</v>
      </c>
      <c r="Z22" s="34">
        <f t="shared" si="15"/>
        <v>-1179624</v>
      </c>
      <c r="AA22" s="34">
        <f t="shared" si="16"/>
        <v>-2359222</v>
      </c>
      <c r="AB22" s="34">
        <f t="shared" si="16"/>
        <v>-4718437</v>
      </c>
      <c r="AC22" s="34">
        <f t="shared" si="16"/>
        <v>-9436815</v>
      </c>
      <c r="AD22" s="34">
        <f t="shared" si="17"/>
        <v>-18873467</v>
      </c>
      <c r="AE22" s="34">
        <f t="shared" si="18"/>
        <v>-37746698</v>
      </c>
      <c r="AF22" s="34">
        <f t="shared" si="18"/>
        <v>-75492834</v>
      </c>
      <c r="AG22" s="34">
        <f t="shared" si="18"/>
        <v>-150984544</v>
      </c>
      <c r="AH22" s="34">
        <f t="shared" si="19"/>
        <v>-301966840</v>
      </c>
      <c r="AI22" s="34">
        <f t="shared" si="20"/>
        <v>-603929049</v>
      </c>
      <c r="AJ22" s="34">
        <f t="shared" si="20"/>
        <v>-1207848926</v>
      </c>
      <c r="AK22" s="34">
        <f t="shared" si="20"/>
        <v>-2415679463</v>
      </c>
      <c r="AL22" s="34">
        <f t="shared" si="20"/>
        <v>-4831322103</v>
      </c>
      <c r="AM22" s="34">
        <f t="shared" si="21"/>
        <v>-9662570469</v>
      </c>
      <c r="AN22" s="34">
        <f t="shared" si="21"/>
        <v>-19324993499</v>
      </c>
      <c r="AO22" s="34">
        <f t="shared" si="21"/>
        <v>-38649692119</v>
      </c>
      <c r="AP22" s="34">
        <f t="shared" si="22"/>
        <v>-77298794469</v>
      </c>
      <c r="AQ22" s="34">
        <f t="shared" si="23"/>
        <v>-154596409359</v>
      </c>
      <c r="AR22" s="34">
        <f t="shared" si="24"/>
        <v>-309190459451</v>
      </c>
      <c r="AS22" s="34">
        <f t="shared" si="25"/>
        <v>-618376200510</v>
      </c>
      <c r="AT22" s="34">
        <f t="shared" si="25"/>
        <v>-1236742964205</v>
      </c>
      <c r="AU22" s="34">
        <f t="shared" si="26"/>
        <v>-2473467054898</v>
      </c>
      <c r="AV22" s="34">
        <f t="shared" si="26"/>
        <v>-4946896363098</v>
      </c>
      <c r="AW22" s="34">
        <f t="shared" si="27"/>
        <v>-9893717233317</v>
      </c>
      <c r="AX22" s="34">
        <f t="shared" si="27"/>
        <v>-19787283482090</v>
      </c>
      <c r="AY22" s="34">
        <f t="shared" si="27"/>
        <v>-39574264997340</v>
      </c>
      <c r="AZ22" s="34">
        <f t="shared" si="27"/>
        <v>-79147926065631</v>
      </c>
      <c r="BA22" s="34">
        <f t="shared" si="27"/>
        <v>-158294644282336</v>
      </c>
      <c r="BB22" s="34">
        <f t="shared" si="27"/>
        <v>-316586872885209</v>
      </c>
      <c r="BC22" s="34">
        <f t="shared" si="28"/>
        <v>-633168914448360</v>
      </c>
      <c r="BD22" s="34">
        <f t="shared" si="28"/>
        <v>-1266328166326251</v>
      </c>
      <c r="BE22" s="34">
        <f t="shared" si="28"/>
        <v>-2532637007659003</v>
      </c>
      <c r="BF22" s="34">
        <f t="shared" si="29"/>
        <v>-5065235365625842</v>
      </c>
      <c r="BG22" s="34">
        <f t="shared" si="29"/>
        <v>-1.0130393432457216E+16</v>
      </c>
      <c r="BH22" s="34">
        <f t="shared" si="30"/>
        <v>-2.0260632268505024E+16</v>
      </c>
      <c r="BI22" s="34">
        <f t="shared" si="31"/>
        <v>-4.052095534655064E+16</v>
      </c>
      <c r="BJ22" s="34">
        <f t="shared" si="31"/>
        <v>-8.1041292316900784E+16</v>
      </c>
      <c r="BK22" s="34">
        <f t="shared" si="31"/>
        <v>-1.6208134789083738E+17</v>
      </c>
      <c r="BL22" s="34">
        <f t="shared" si="32"/>
        <v>-3.241602223146199E+17</v>
      </c>
      <c r="BM22" s="34">
        <f t="shared" si="32"/>
        <v>-6.4831549773287667E+17</v>
      </c>
      <c r="BN22" s="34">
        <f t="shared" si="33"/>
        <v>-1.2966211017485199E+18</v>
      </c>
      <c r="BO22" s="34">
        <f t="shared" si="34"/>
        <v>-2.5932224162135578E+18</v>
      </c>
      <c r="BP22" s="34">
        <f t="shared" si="35"/>
        <v>-5.1864052581621187E+18</v>
      </c>
      <c r="BQ22" s="34">
        <f t="shared" si="36"/>
        <v>-1.0372731368398172E+19</v>
      </c>
      <c r="BR22" s="34">
        <f t="shared" si="36"/>
        <v>-2.0745304442152059E+19</v>
      </c>
      <c r="BS22" s="34">
        <f t="shared" si="36"/>
        <v>-4.1490292297431237E+19</v>
      </c>
      <c r="BT22" s="34">
        <f t="shared" si="36"/>
        <v>-8.2979951425948025E+19</v>
      </c>
      <c r="BU22" s="34">
        <f t="shared" si="37"/>
        <v>-1.6595863652372972E+20</v>
      </c>
      <c r="BV22" s="34">
        <f t="shared" si="37"/>
        <v>-3.3191474041045176E+20</v>
      </c>
      <c r="BW22" s="10"/>
      <c r="BX22" s="10"/>
      <c r="BY22" s="10"/>
      <c r="BZ22" s="10"/>
      <c r="CA22" s="10"/>
      <c r="CB22" s="10"/>
      <c r="CC22" s="10"/>
      <c r="CD22" s="10"/>
      <c r="CE22" s="12">
        <v>491</v>
      </c>
      <c r="CF22" s="112">
        <v>8</v>
      </c>
      <c r="CG22" s="112">
        <v>17</v>
      </c>
      <c r="CH22" s="112">
        <v>35</v>
      </c>
      <c r="CI22" s="112">
        <v>36</v>
      </c>
      <c r="CJ22" s="112">
        <v>39</v>
      </c>
      <c r="CK22" s="112">
        <v>42</v>
      </c>
      <c r="CL22" s="112">
        <v>4</v>
      </c>
      <c r="CM22" s="11">
        <f>SUM(CF23:CK23)-45-45</f>
        <v>102</v>
      </c>
      <c r="CN22" s="11">
        <f>SUM(CF23:CL23)-45-45-45</f>
        <v>99</v>
      </c>
      <c r="CP22" s="11">
        <f t="shared" si="38"/>
        <v>9</v>
      </c>
      <c r="CQ22" s="11">
        <f t="shared" si="38"/>
        <v>18</v>
      </c>
      <c r="CR22" s="11">
        <f t="shared" si="38"/>
        <v>1</v>
      </c>
      <c r="CS22" s="11">
        <f t="shared" si="38"/>
        <v>3</v>
      </c>
      <c r="CT22" s="11">
        <f t="shared" si="38"/>
        <v>3</v>
      </c>
      <c r="CU22" s="11">
        <f t="shared" si="38"/>
        <v>38</v>
      </c>
      <c r="CV22" s="11">
        <v>4</v>
      </c>
      <c r="CW22" s="11">
        <v>31</v>
      </c>
      <c r="DI22" s="129"/>
      <c r="DJ22" s="129"/>
      <c r="DK22" s="129"/>
      <c r="DL22" s="129"/>
      <c r="DM22" s="129"/>
      <c r="DN22" s="129"/>
      <c r="DO22" s="129"/>
      <c r="DP22" s="129"/>
      <c r="DQ22" s="129"/>
      <c r="DR22" s="129"/>
      <c r="DS22" s="129"/>
      <c r="DT22" s="129"/>
      <c r="DU22" s="129"/>
      <c r="DV22" s="129"/>
      <c r="DW22" s="129"/>
      <c r="DX22" s="129"/>
      <c r="DY22" s="129"/>
    </row>
    <row r="23" spans="3:129" s="122" customFormat="1" ht="17.25">
      <c r="C23" s="11">
        <v>492</v>
      </c>
      <c r="D23" s="107" t="s">
        <v>265</v>
      </c>
      <c r="E23" s="17">
        <v>1</v>
      </c>
      <c r="F23" s="17">
        <v>10</v>
      </c>
      <c r="G23" s="17">
        <v>1</v>
      </c>
      <c r="H23" s="17">
        <f t="shared" si="0"/>
        <v>11</v>
      </c>
      <c r="I23" s="17">
        <v>-3</v>
      </c>
      <c r="J23" s="151">
        <f t="shared" si="1"/>
        <v>20</v>
      </c>
      <c r="K23" s="151">
        <f t="shared" si="2"/>
        <v>-5</v>
      </c>
      <c r="L23" s="34">
        <f t="shared" si="3"/>
        <v>-55</v>
      </c>
      <c r="M23" s="34">
        <f t="shared" si="4"/>
        <v>-110</v>
      </c>
      <c r="N23" s="34">
        <f t="shared" si="5"/>
        <v>-265</v>
      </c>
      <c r="O23" s="34">
        <f t="shared" si="6"/>
        <v>-530</v>
      </c>
      <c r="P23" s="34">
        <f t="shared" si="7"/>
        <v>-1060</v>
      </c>
      <c r="Q23" s="34">
        <f t="shared" si="8"/>
        <v>-2165</v>
      </c>
      <c r="R23" s="34">
        <f t="shared" si="9"/>
        <v>-4330</v>
      </c>
      <c r="S23" s="34">
        <f t="shared" si="10"/>
        <v>-8660</v>
      </c>
      <c r="T23" s="34">
        <f t="shared" si="11"/>
        <v>-17365</v>
      </c>
      <c r="U23" s="34">
        <f t="shared" si="12"/>
        <v>-34775</v>
      </c>
      <c r="V23" s="34">
        <f t="shared" si="13"/>
        <v>-69596</v>
      </c>
      <c r="W23" s="34">
        <f t="shared" si="14"/>
        <v>-139247</v>
      </c>
      <c r="X23" s="34">
        <f t="shared" si="14"/>
        <v>-278495</v>
      </c>
      <c r="Y23" s="34">
        <f t="shared" si="15"/>
        <v>-557046</v>
      </c>
      <c r="Z23" s="34">
        <f t="shared" si="15"/>
        <v>-1114089</v>
      </c>
      <c r="AA23" s="34">
        <f t="shared" si="16"/>
        <v>-2228153</v>
      </c>
      <c r="AB23" s="34">
        <f t="shared" si="16"/>
        <v>-4456301</v>
      </c>
      <c r="AC23" s="34">
        <f t="shared" si="16"/>
        <v>-8912547</v>
      </c>
      <c r="AD23" s="34">
        <f t="shared" si="17"/>
        <v>-17824939</v>
      </c>
      <c r="AE23" s="34">
        <f t="shared" si="18"/>
        <v>-35649658</v>
      </c>
      <c r="AF23" s="34">
        <f t="shared" si="18"/>
        <v>-71298786</v>
      </c>
      <c r="AG23" s="34">
        <f t="shared" si="18"/>
        <v>-142596512</v>
      </c>
      <c r="AH23" s="34">
        <f t="shared" si="19"/>
        <v>-285190904</v>
      </c>
      <c r="AI23" s="34">
        <f t="shared" si="20"/>
        <v>-570377433</v>
      </c>
      <c r="AJ23" s="34">
        <f t="shared" si="20"/>
        <v>-1140746206</v>
      </c>
      <c r="AK23" s="34">
        <f t="shared" si="20"/>
        <v>-2281475047</v>
      </c>
      <c r="AL23" s="34">
        <f t="shared" si="20"/>
        <v>-4562915319</v>
      </c>
      <c r="AM23" s="34">
        <f t="shared" si="21"/>
        <v>-9125760997</v>
      </c>
      <c r="AN23" s="34">
        <f t="shared" si="21"/>
        <v>-18251382747</v>
      </c>
      <c r="AO23" s="34">
        <f t="shared" si="21"/>
        <v>-36502486999</v>
      </c>
      <c r="AP23" s="34">
        <f t="shared" si="22"/>
        <v>-73004416997</v>
      </c>
      <c r="AQ23" s="34">
        <f t="shared" si="23"/>
        <v>-146007719950</v>
      </c>
      <c r="AR23" s="34">
        <f t="shared" si="24"/>
        <v>-292013211702</v>
      </c>
      <c r="AS23" s="34">
        <f t="shared" si="25"/>
        <v>-584021967148</v>
      </c>
      <c r="AT23" s="34">
        <f t="shared" si="25"/>
        <v>-1168035021749</v>
      </c>
      <c r="AU23" s="34">
        <f t="shared" si="26"/>
        <v>-2336052218514</v>
      </c>
      <c r="AV23" s="34">
        <f t="shared" si="26"/>
        <v>-4672068787370</v>
      </c>
      <c r="AW23" s="34">
        <f t="shared" si="27"/>
        <v>-9344066275909</v>
      </c>
      <c r="AX23" s="34">
        <f t="shared" si="27"/>
        <v>-18687989955306</v>
      </c>
      <c r="AY23" s="34">
        <f t="shared" si="27"/>
        <v>-37375694719708</v>
      </c>
      <c r="AZ23" s="34">
        <f t="shared" si="27"/>
        <v>-74750819061983</v>
      </c>
      <c r="BA23" s="34">
        <f t="shared" si="27"/>
        <v>-149500497377760</v>
      </c>
      <c r="BB23" s="34">
        <f t="shared" si="27"/>
        <v>-298998713280473</v>
      </c>
      <c r="BC23" s="34">
        <f t="shared" si="28"/>
        <v>-597992863645672</v>
      </c>
      <c r="BD23" s="34">
        <f t="shared" si="28"/>
        <v>-1195976601530347</v>
      </c>
      <c r="BE23" s="34">
        <f t="shared" si="28"/>
        <v>-2391934951677947</v>
      </c>
      <c r="BF23" s="34">
        <f t="shared" si="29"/>
        <v>-4783833400868850</v>
      </c>
      <c r="BG23" s="34">
        <f t="shared" si="29"/>
        <v>-9567593797320704</v>
      </c>
      <c r="BH23" s="34">
        <f t="shared" si="30"/>
        <v>-1.9135041586921416E+16</v>
      </c>
      <c r="BI23" s="34">
        <f t="shared" si="31"/>
        <v>-3.8269791160631168E+16</v>
      </c>
      <c r="BJ23" s="34">
        <f t="shared" si="31"/>
        <v>-7.65389982992952E+16</v>
      </c>
      <c r="BK23" s="34">
        <f t="shared" si="31"/>
        <v>-1.5307682856356864E+17</v>
      </c>
      <c r="BL23" s="34">
        <f t="shared" si="32"/>
        <v>-3.0615132107491885E+17</v>
      </c>
      <c r="BM23" s="34">
        <f t="shared" si="32"/>
        <v>-6.1229797008105024E+17</v>
      </c>
      <c r="BN23" s="34">
        <f t="shared" si="33"/>
        <v>-1.2245865960958246E+18</v>
      </c>
      <c r="BO23" s="34">
        <f t="shared" si="34"/>
        <v>-2.4491545042016937E+18</v>
      </c>
      <c r="BP23" s="34">
        <f t="shared" si="35"/>
        <v>-4.8982716327086674E+18</v>
      </c>
      <c r="BQ23" s="34">
        <f t="shared" si="36"/>
        <v>-9.796468514598273E+18</v>
      </c>
      <c r="BR23" s="34">
        <f t="shared" si="36"/>
        <v>-1.9592787528699167E+19</v>
      </c>
      <c r="BS23" s="34">
        <f t="shared" si="36"/>
        <v>-3.9185276058685055E+19</v>
      </c>
      <c r="BT23" s="34">
        <f t="shared" si="36"/>
        <v>-7.8369954124506464E+19</v>
      </c>
      <c r="BU23" s="34">
        <f t="shared" si="37"/>
        <v>-1.5673871227241139E+20</v>
      </c>
      <c r="BV23" s="34">
        <f t="shared" si="37"/>
        <v>-3.134750326098711E+20</v>
      </c>
      <c r="BW23" s="10"/>
      <c r="BX23" s="10"/>
      <c r="BY23" s="10"/>
      <c r="BZ23" s="10"/>
      <c r="CA23" s="10"/>
      <c r="CB23" s="10"/>
      <c r="CC23" s="10"/>
      <c r="CD23" s="10"/>
      <c r="CE23" s="12">
        <v>492</v>
      </c>
      <c r="CF23" s="112">
        <v>22</v>
      </c>
      <c r="CG23" s="112">
        <v>27</v>
      </c>
      <c r="CH23" s="112">
        <v>31</v>
      </c>
      <c r="CI23" s="112">
        <v>35</v>
      </c>
      <c r="CJ23" s="112">
        <v>37</v>
      </c>
      <c r="CK23" s="112">
        <v>40</v>
      </c>
      <c r="CL23" s="112">
        <v>42</v>
      </c>
      <c r="CM23" s="11">
        <f>SUM(CF24:CK24)-45-45-45</f>
        <v>39</v>
      </c>
      <c r="CN23" s="11">
        <f>SUM(CF24:CL24)-45-45-45</f>
        <v>64</v>
      </c>
      <c r="CP23" s="11">
        <f t="shared" si="38"/>
        <v>5</v>
      </c>
      <c r="CQ23" s="11">
        <f t="shared" si="38"/>
        <v>4</v>
      </c>
      <c r="CR23" s="11">
        <f t="shared" si="38"/>
        <v>4</v>
      </c>
      <c r="CS23" s="11">
        <f t="shared" si="38"/>
        <v>2</v>
      </c>
      <c r="CT23" s="11">
        <f t="shared" si="38"/>
        <v>3</v>
      </c>
      <c r="CU23" s="11">
        <f t="shared" si="38"/>
        <v>2</v>
      </c>
      <c r="CV23" s="11">
        <v>5</v>
      </c>
      <c r="CW23" s="11">
        <v>40</v>
      </c>
      <c r="DI23" s="129"/>
      <c r="DJ23" s="129"/>
      <c r="DK23" s="129"/>
      <c r="DL23" s="129"/>
      <c r="DM23" s="129"/>
      <c r="DN23" s="129"/>
      <c r="DO23" s="129"/>
      <c r="DP23" s="129"/>
      <c r="DQ23" s="129"/>
      <c r="DR23" s="129"/>
      <c r="DS23" s="129"/>
      <c r="DT23" s="129"/>
      <c r="DU23" s="129"/>
      <c r="DV23" s="129"/>
      <c r="DW23" s="129"/>
      <c r="DX23" s="129"/>
      <c r="DY23" s="129"/>
    </row>
    <row r="24" spans="3:129" s="122" customFormat="1" ht="17.25">
      <c r="C24" s="11">
        <v>493</v>
      </c>
      <c r="D24" s="107" t="s">
        <v>247</v>
      </c>
      <c r="E24" s="17">
        <v>1</v>
      </c>
      <c r="F24" s="17">
        <v>10</v>
      </c>
      <c r="G24" s="17">
        <v>1</v>
      </c>
      <c r="H24" s="17">
        <f t="shared" si="0"/>
        <v>11</v>
      </c>
      <c r="I24" s="17">
        <v>-2</v>
      </c>
      <c r="J24" s="151">
        <f t="shared" si="1"/>
        <v>21</v>
      </c>
      <c r="K24" s="151">
        <f t="shared" si="2"/>
        <v>-3</v>
      </c>
      <c r="L24" s="34">
        <f t="shared" si="3"/>
        <v>-51</v>
      </c>
      <c r="M24" s="34">
        <f t="shared" si="4"/>
        <v>-102</v>
      </c>
      <c r="N24" s="34">
        <f t="shared" si="5"/>
        <v>-249</v>
      </c>
      <c r="O24" s="34">
        <f t="shared" si="6"/>
        <v>-498</v>
      </c>
      <c r="P24" s="34">
        <f t="shared" si="7"/>
        <v>-996</v>
      </c>
      <c r="Q24" s="34">
        <f t="shared" si="8"/>
        <v>-2037</v>
      </c>
      <c r="R24" s="34">
        <f t="shared" si="9"/>
        <v>-4074</v>
      </c>
      <c r="S24" s="34">
        <f t="shared" si="10"/>
        <v>-8148</v>
      </c>
      <c r="T24" s="34">
        <f t="shared" si="11"/>
        <v>-16341</v>
      </c>
      <c r="U24" s="34">
        <f t="shared" si="12"/>
        <v>-32727</v>
      </c>
      <c r="V24" s="34">
        <f t="shared" si="13"/>
        <v>-65500</v>
      </c>
      <c r="W24" s="34">
        <f t="shared" si="14"/>
        <v>-131055</v>
      </c>
      <c r="X24" s="34">
        <f t="shared" si="14"/>
        <v>-262111</v>
      </c>
      <c r="Y24" s="34">
        <f t="shared" si="15"/>
        <v>-524278</v>
      </c>
      <c r="Z24" s="34">
        <f t="shared" si="15"/>
        <v>-1048554</v>
      </c>
      <c r="AA24" s="34">
        <f t="shared" si="16"/>
        <v>-2097084</v>
      </c>
      <c r="AB24" s="34">
        <f t="shared" si="16"/>
        <v>-4194165</v>
      </c>
      <c r="AC24" s="34">
        <f t="shared" si="16"/>
        <v>-8388279</v>
      </c>
      <c r="AD24" s="34">
        <f t="shared" si="17"/>
        <v>-16776411</v>
      </c>
      <c r="AE24" s="34">
        <f t="shared" si="18"/>
        <v>-33552618</v>
      </c>
      <c r="AF24" s="34">
        <f t="shared" si="18"/>
        <v>-67104738</v>
      </c>
      <c r="AG24" s="34">
        <f t="shared" si="18"/>
        <v>-134208480</v>
      </c>
      <c r="AH24" s="34">
        <f t="shared" si="19"/>
        <v>-268414968</v>
      </c>
      <c r="AI24" s="34">
        <f t="shared" si="20"/>
        <v>-536825817</v>
      </c>
      <c r="AJ24" s="34">
        <f t="shared" si="20"/>
        <v>-1073643486</v>
      </c>
      <c r="AK24" s="34">
        <f t="shared" si="20"/>
        <v>-2147270631</v>
      </c>
      <c r="AL24" s="34">
        <f t="shared" si="20"/>
        <v>-4294508535</v>
      </c>
      <c r="AM24" s="34">
        <f t="shared" si="21"/>
        <v>-8588951525</v>
      </c>
      <c r="AN24" s="34">
        <f t="shared" si="21"/>
        <v>-17177771995</v>
      </c>
      <c r="AO24" s="34">
        <f t="shared" si="21"/>
        <v>-34355281879</v>
      </c>
      <c r="AP24" s="34">
        <f t="shared" si="22"/>
        <v>-68710039525</v>
      </c>
      <c r="AQ24" s="34">
        <f t="shared" si="23"/>
        <v>-137419030541</v>
      </c>
      <c r="AR24" s="34">
        <f t="shared" si="24"/>
        <v>-274835963953</v>
      </c>
      <c r="AS24" s="34">
        <f t="shared" si="25"/>
        <v>-549667733786</v>
      </c>
      <c r="AT24" s="34">
        <f t="shared" si="25"/>
        <v>-1099327079293</v>
      </c>
      <c r="AU24" s="34">
        <f t="shared" si="26"/>
        <v>-2198637382130</v>
      </c>
      <c r="AV24" s="34">
        <f t="shared" si="26"/>
        <v>-4397241211642</v>
      </c>
      <c r="AW24" s="34">
        <f t="shared" si="27"/>
        <v>-8794415318501</v>
      </c>
      <c r="AX24" s="34">
        <f t="shared" si="27"/>
        <v>-17588696428522</v>
      </c>
      <c r="AY24" s="34">
        <f t="shared" si="27"/>
        <v>-35177124442076</v>
      </c>
      <c r="AZ24" s="34">
        <f t="shared" si="27"/>
        <v>-70353712058335</v>
      </c>
      <c r="BA24" s="34">
        <f t="shared" si="27"/>
        <v>-140706350473184</v>
      </c>
      <c r="BB24" s="34">
        <f t="shared" si="27"/>
        <v>-281410553675737</v>
      </c>
      <c r="BC24" s="34">
        <f t="shared" si="28"/>
        <v>-562816812842984</v>
      </c>
      <c r="BD24" s="34">
        <f t="shared" si="28"/>
        <v>-1125625036734443</v>
      </c>
      <c r="BE24" s="34">
        <f t="shared" si="28"/>
        <v>-2251232895696891</v>
      </c>
      <c r="BF24" s="34">
        <f t="shared" si="29"/>
        <v>-4502431436111858</v>
      </c>
      <c r="BG24" s="34">
        <f t="shared" si="29"/>
        <v>-9004794162184191</v>
      </c>
      <c r="BH24" s="34">
        <f t="shared" si="30"/>
        <v>-1.8009450905337796E+16</v>
      </c>
      <c r="BI24" s="34">
        <f t="shared" si="31"/>
        <v>-3.6018626974711684E+16</v>
      </c>
      <c r="BJ24" s="34">
        <f t="shared" si="31"/>
        <v>-7.2036704281689576E+16</v>
      </c>
      <c r="BK24" s="34">
        <f t="shared" si="31"/>
        <v>-1.4407230923629987E+17</v>
      </c>
      <c r="BL24" s="34">
        <f t="shared" si="32"/>
        <v>-2.8814241983521763E+17</v>
      </c>
      <c r="BM24" s="34">
        <f t="shared" si="32"/>
        <v>-5.7628044242922368E+17</v>
      </c>
      <c r="BN24" s="34">
        <f t="shared" si="33"/>
        <v>-1.1525520904431287E+18</v>
      </c>
      <c r="BO24" s="34">
        <f t="shared" si="34"/>
        <v>-2.3050865921898289E+18</v>
      </c>
      <c r="BP24" s="34">
        <f t="shared" si="35"/>
        <v>-4.6101380072552156E+18</v>
      </c>
      <c r="BQ24" s="34">
        <f t="shared" si="36"/>
        <v>-9.2202056607983718E+18</v>
      </c>
      <c r="BR24" s="34">
        <f t="shared" si="36"/>
        <v>-1.844027061524627E+19</v>
      </c>
      <c r="BS24" s="34">
        <f t="shared" si="36"/>
        <v>-3.6880259819938865E+19</v>
      </c>
      <c r="BT24" s="34">
        <f t="shared" si="36"/>
        <v>-7.3759956823064887E+19</v>
      </c>
      <c r="BU24" s="34">
        <f t="shared" si="37"/>
        <v>-1.4751878802109304E+20</v>
      </c>
      <c r="BV24" s="34">
        <f t="shared" si="37"/>
        <v>-2.9503532480929038E+20</v>
      </c>
      <c r="BW24" s="10"/>
      <c r="BX24" s="10"/>
      <c r="BY24" s="10"/>
      <c r="BZ24" s="10"/>
      <c r="CA24" s="10"/>
      <c r="CB24" s="10"/>
      <c r="CC24" s="10"/>
      <c r="CD24" s="10"/>
      <c r="CE24" s="12">
        <v>493</v>
      </c>
      <c r="CF24" s="112">
        <v>20</v>
      </c>
      <c r="CG24" s="112">
        <v>22</v>
      </c>
      <c r="CH24" s="112">
        <v>26</v>
      </c>
      <c r="CI24" s="112">
        <v>33</v>
      </c>
      <c r="CJ24" s="112">
        <v>36</v>
      </c>
      <c r="CK24" s="112">
        <v>37</v>
      </c>
      <c r="CL24" s="112">
        <v>25</v>
      </c>
      <c r="CM24" s="11">
        <f>SUM(CF25:CK25)-45-45</f>
        <v>18</v>
      </c>
      <c r="CN24" s="11">
        <f>SUM(CF25:CL25)-45-45</f>
        <v>40</v>
      </c>
      <c r="CP24" s="11">
        <f t="shared" si="38"/>
        <v>2</v>
      </c>
      <c r="CQ24" s="11">
        <f t="shared" si="38"/>
        <v>4</v>
      </c>
      <c r="CR24" s="11">
        <f t="shared" si="38"/>
        <v>7</v>
      </c>
      <c r="CS24" s="11">
        <f t="shared" si="38"/>
        <v>3</v>
      </c>
      <c r="CT24" s="11">
        <f t="shared" si="38"/>
        <v>1</v>
      </c>
      <c r="CU24" s="11">
        <f t="shared" si="38"/>
        <v>12</v>
      </c>
      <c r="CV24" s="11">
        <v>9</v>
      </c>
      <c r="CW24" s="11">
        <v>27</v>
      </c>
      <c r="DI24" s="129"/>
      <c r="DJ24" s="129"/>
      <c r="DK24" s="129"/>
      <c r="DL24" s="129"/>
      <c r="DM24" s="129"/>
      <c r="DN24" s="129"/>
      <c r="DO24" s="129"/>
      <c r="DP24" s="129"/>
      <c r="DQ24" s="129"/>
      <c r="DR24" s="129"/>
      <c r="DS24" s="129"/>
      <c r="DT24" s="129"/>
      <c r="DU24" s="129"/>
      <c r="DV24" s="129"/>
      <c r="DW24" s="129"/>
      <c r="DX24" s="129"/>
      <c r="DY24" s="129"/>
    </row>
    <row r="25" spans="3:129" s="122" customFormat="1" ht="17.25">
      <c r="C25" s="11">
        <v>494</v>
      </c>
      <c r="D25" s="107" t="s">
        <v>266</v>
      </c>
      <c r="E25" s="17">
        <v>1</v>
      </c>
      <c r="F25" s="17">
        <v>10</v>
      </c>
      <c r="G25" s="17">
        <v>1</v>
      </c>
      <c r="H25" s="17">
        <f t="shared" si="0"/>
        <v>11</v>
      </c>
      <c r="I25" s="17">
        <v>-1</v>
      </c>
      <c r="J25" s="151">
        <f t="shared" si="1"/>
        <v>22</v>
      </c>
      <c r="K25" s="151">
        <f t="shared" si="2"/>
        <v>-1</v>
      </c>
      <c r="L25" s="34">
        <f t="shared" si="3"/>
        <v>-47</v>
      </c>
      <c r="M25" s="34">
        <f t="shared" si="4"/>
        <v>-94</v>
      </c>
      <c r="N25" s="34">
        <f t="shared" si="5"/>
        <v>-233</v>
      </c>
      <c r="O25" s="34">
        <f t="shared" si="6"/>
        <v>-466</v>
      </c>
      <c r="P25" s="34">
        <f t="shared" si="7"/>
        <v>-932</v>
      </c>
      <c r="Q25" s="34">
        <f t="shared" si="8"/>
        <v>-1909</v>
      </c>
      <c r="R25" s="34">
        <f t="shared" si="9"/>
        <v>-3818</v>
      </c>
      <c r="S25" s="34">
        <f t="shared" si="10"/>
        <v>-7636</v>
      </c>
      <c r="T25" s="34">
        <f t="shared" si="11"/>
        <v>-15317</v>
      </c>
      <c r="U25" s="34">
        <f t="shared" si="12"/>
        <v>-30679</v>
      </c>
      <c r="V25" s="34">
        <f t="shared" si="13"/>
        <v>-61404</v>
      </c>
      <c r="W25" s="34">
        <f t="shared" si="14"/>
        <v>-122863</v>
      </c>
      <c r="X25" s="34">
        <f t="shared" si="14"/>
        <v>-245727</v>
      </c>
      <c r="Y25" s="34">
        <f t="shared" si="15"/>
        <v>-491510</v>
      </c>
      <c r="Z25" s="34">
        <f t="shared" si="15"/>
        <v>-983019</v>
      </c>
      <c r="AA25" s="34">
        <f t="shared" si="16"/>
        <v>-1966015</v>
      </c>
      <c r="AB25" s="34">
        <f t="shared" si="16"/>
        <v>-3932029</v>
      </c>
      <c r="AC25" s="34">
        <f t="shared" si="16"/>
        <v>-7864011</v>
      </c>
      <c r="AD25" s="34">
        <f t="shared" si="17"/>
        <v>-15727883</v>
      </c>
      <c r="AE25" s="34">
        <f t="shared" si="18"/>
        <v>-31455578</v>
      </c>
      <c r="AF25" s="34">
        <f t="shared" si="18"/>
        <v>-62910690</v>
      </c>
      <c r="AG25" s="34">
        <f t="shared" si="18"/>
        <v>-125820448</v>
      </c>
      <c r="AH25" s="34">
        <f t="shared" si="19"/>
        <v>-251639032</v>
      </c>
      <c r="AI25" s="34">
        <f t="shared" si="20"/>
        <v>-503274201</v>
      </c>
      <c r="AJ25" s="34">
        <f t="shared" si="20"/>
        <v>-1006540766</v>
      </c>
      <c r="AK25" s="34">
        <f t="shared" si="20"/>
        <v>-2013066215</v>
      </c>
      <c r="AL25" s="34">
        <f t="shared" si="20"/>
        <v>-4026101751</v>
      </c>
      <c r="AM25" s="34">
        <f t="shared" si="21"/>
        <v>-8052142053</v>
      </c>
      <c r="AN25" s="34">
        <f t="shared" si="21"/>
        <v>-16104161243</v>
      </c>
      <c r="AO25" s="34">
        <f t="shared" si="21"/>
        <v>-32208076759</v>
      </c>
      <c r="AP25" s="34">
        <f t="shared" si="22"/>
        <v>-64415662053</v>
      </c>
      <c r="AQ25" s="34">
        <f t="shared" si="23"/>
        <v>-128830341132</v>
      </c>
      <c r="AR25" s="34">
        <f t="shared" si="24"/>
        <v>-257658716204</v>
      </c>
      <c r="AS25" s="34">
        <f t="shared" si="25"/>
        <v>-515313500424</v>
      </c>
      <c r="AT25" s="34">
        <f t="shared" si="25"/>
        <v>-1030619136837</v>
      </c>
      <c r="AU25" s="34">
        <f t="shared" si="26"/>
        <v>-2061222545746</v>
      </c>
      <c r="AV25" s="34">
        <f t="shared" si="26"/>
        <v>-4122413635914</v>
      </c>
      <c r="AW25" s="34">
        <f t="shared" si="27"/>
        <v>-8244764361093</v>
      </c>
      <c r="AX25" s="34">
        <f t="shared" si="27"/>
        <v>-16489402901738</v>
      </c>
      <c r="AY25" s="34">
        <f t="shared" si="27"/>
        <v>-32978554164444</v>
      </c>
      <c r="AZ25" s="34">
        <f t="shared" si="27"/>
        <v>-65956605054687</v>
      </c>
      <c r="BA25" s="34">
        <f t="shared" si="27"/>
        <v>-131912203568608</v>
      </c>
      <c r="BB25" s="34">
        <f t="shared" si="27"/>
        <v>-263822394071001</v>
      </c>
      <c r="BC25" s="34">
        <f t="shared" si="28"/>
        <v>-527640762040296</v>
      </c>
      <c r="BD25" s="34">
        <f t="shared" si="28"/>
        <v>-1055273471938539</v>
      </c>
      <c r="BE25" s="34">
        <f t="shared" si="28"/>
        <v>-2110530839715835</v>
      </c>
      <c r="BF25" s="34">
        <f t="shared" si="29"/>
        <v>-4221029471354866</v>
      </c>
      <c r="BG25" s="34">
        <f t="shared" si="29"/>
        <v>-8441994527047679</v>
      </c>
      <c r="BH25" s="34">
        <f t="shared" si="30"/>
        <v>-1.6883860223754182E+16</v>
      </c>
      <c r="BI25" s="34">
        <f t="shared" si="31"/>
        <v>-3.3767462788792204E+16</v>
      </c>
      <c r="BJ25" s="34">
        <f t="shared" si="31"/>
        <v>-6.7534410264083976E+16</v>
      </c>
      <c r="BK25" s="34">
        <f t="shared" si="31"/>
        <v>-1.3506778990903114E+17</v>
      </c>
      <c r="BL25" s="34">
        <f t="shared" si="32"/>
        <v>-2.7013351859551654E+17</v>
      </c>
      <c r="BM25" s="34">
        <f t="shared" si="32"/>
        <v>-5.4026291477739725E+17</v>
      </c>
      <c r="BN25" s="34">
        <f t="shared" si="33"/>
        <v>-1.0805175847904333E+18</v>
      </c>
      <c r="BO25" s="34">
        <f t="shared" si="34"/>
        <v>-2.1610186801779648E+18</v>
      </c>
      <c r="BP25" s="34">
        <f t="shared" si="35"/>
        <v>-4.3220043818017654E+18</v>
      </c>
      <c r="BQ25" s="34">
        <f t="shared" si="36"/>
        <v>-8.6439428069984748E+18</v>
      </c>
      <c r="BR25" s="34">
        <f t="shared" si="36"/>
        <v>-1.7287753701793382E+19</v>
      </c>
      <c r="BS25" s="34">
        <f t="shared" si="36"/>
        <v>-3.4575243581192692E+19</v>
      </c>
      <c r="BT25" s="34">
        <f t="shared" si="36"/>
        <v>-6.9149959521623343E+19</v>
      </c>
      <c r="BU25" s="34">
        <f t="shared" si="37"/>
        <v>-1.3829886376977475E+20</v>
      </c>
      <c r="BV25" s="34">
        <f t="shared" si="37"/>
        <v>-2.765956170087098E+20</v>
      </c>
      <c r="BW25" s="10"/>
      <c r="BX25" s="10"/>
      <c r="BY25" s="10"/>
      <c r="BZ25" s="10"/>
      <c r="CA25" s="10"/>
      <c r="CB25" s="10"/>
      <c r="CC25" s="10"/>
      <c r="CD25" s="10"/>
      <c r="CE25" s="12">
        <v>494</v>
      </c>
      <c r="CF25" s="112">
        <v>5</v>
      </c>
      <c r="CG25" s="112">
        <v>7</v>
      </c>
      <c r="CH25" s="112">
        <v>8</v>
      </c>
      <c r="CI25" s="112">
        <v>15</v>
      </c>
      <c r="CJ25" s="112">
        <v>30</v>
      </c>
      <c r="CK25" s="112">
        <v>43</v>
      </c>
      <c r="CL25" s="112">
        <v>22</v>
      </c>
      <c r="CM25" s="11">
        <f>SUM(CF26:CK26)-45-45-45</f>
        <v>9</v>
      </c>
      <c r="CN25" s="11">
        <f>SUM(CF26:CL26)-45-45-45-45</f>
        <v>-30</v>
      </c>
      <c r="CP25" s="11">
        <f t="shared" si="38"/>
        <v>2</v>
      </c>
      <c r="CQ25" s="11">
        <f t="shared" si="38"/>
        <v>1</v>
      </c>
      <c r="CR25" s="11">
        <f t="shared" si="38"/>
        <v>7</v>
      </c>
      <c r="CS25" s="11">
        <f t="shared" si="38"/>
        <v>15</v>
      </c>
      <c r="CT25" s="11">
        <f t="shared" si="38"/>
        <v>13</v>
      </c>
      <c r="CU25" s="11">
        <f t="shared" si="38"/>
        <v>21</v>
      </c>
      <c r="CV25" s="11">
        <v>12</v>
      </c>
      <c r="CW25" s="11">
        <v>40</v>
      </c>
      <c r="DI25" s="129"/>
      <c r="DJ25" s="129"/>
      <c r="DK25" s="129"/>
      <c r="DL25" s="129"/>
      <c r="DM25" s="129"/>
      <c r="DN25" s="129"/>
      <c r="DO25" s="129"/>
      <c r="DP25" s="129"/>
      <c r="DQ25" s="129"/>
      <c r="DR25" s="129"/>
      <c r="DS25" s="129"/>
      <c r="DT25" s="129"/>
      <c r="DU25" s="129"/>
      <c r="DV25" s="129"/>
      <c r="DW25" s="129"/>
      <c r="DX25" s="129"/>
      <c r="DY25" s="129"/>
    </row>
    <row r="26" spans="3:129" s="122" customFormat="1" ht="17.25">
      <c r="C26" s="11">
        <v>495</v>
      </c>
      <c r="D26" s="107" t="s">
        <v>267</v>
      </c>
      <c r="E26" s="17">
        <v>1</v>
      </c>
      <c r="F26" s="17">
        <v>10</v>
      </c>
      <c r="G26" s="17">
        <v>1</v>
      </c>
      <c r="H26" s="17">
        <f t="shared" si="0"/>
        <v>11</v>
      </c>
      <c r="I26" s="17">
        <v>0</v>
      </c>
      <c r="J26" s="151">
        <f t="shared" si="1"/>
        <v>23</v>
      </c>
      <c r="K26" s="151">
        <f t="shared" si="2"/>
        <v>1</v>
      </c>
      <c r="L26" s="34">
        <f t="shared" si="3"/>
        <v>-43</v>
      </c>
      <c r="M26" s="34">
        <f t="shared" si="4"/>
        <v>-86</v>
      </c>
      <c r="N26" s="34">
        <f t="shared" si="5"/>
        <v>-217</v>
      </c>
      <c r="O26" s="34">
        <f t="shared" si="6"/>
        <v>-434</v>
      </c>
      <c r="P26" s="34">
        <f t="shared" si="7"/>
        <v>-868</v>
      </c>
      <c r="Q26" s="34">
        <f t="shared" si="8"/>
        <v>-1781</v>
      </c>
      <c r="R26" s="34">
        <f t="shared" si="9"/>
        <v>-3562</v>
      </c>
      <c r="S26" s="34">
        <f t="shared" si="10"/>
        <v>-7124</v>
      </c>
      <c r="T26" s="34">
        <f t="shared" si="11"/>
        <v>-14293</v>
      </c>
      <c r="U26" s="34">
        <f t="shared" si="12"/>
        <v>-28631</v>
      </c>
      <c r="V26" s="34">
        <f t="shared" si="13"/>
        <v>-57308</v>
      </c>
      <c r="W26" s="34">
        <f t="shared" si="14"/>
        <v>-114671</v>
      </c>
      <c r="X26" s="34">
        <f t="shared" si="14"/>
        <v>-229343</v>
      </c>
      <c r="Y26" s="34">
        <f t="shared" si="15"/>
        <v>-458742</v>
      </c>
      <c r="Z26" s="34">
        <f t="shared" si="15"/>
        <v>-917484</v>
      </c>
      <c r="AA26" s="34">
        <f t="shared" si="16"/>
        <v>-1834946</v>
      </c>
      <c r="AB26" s="34">
        <f t="shared" si="16"/>
        <v>-3669893</v>
      </c>
      <c r="AC26" s="34">
        <f t="shared" si="16"/>
        <v>-7339743</v>
      </c>
      <c r="AD26" s="34">
        <f t="shared" si="17"/>
        <v>-14679355</v>
      </c>
      <c r="AE26" s="34">
        <f t="shared" si="18"/>
        <v>-29358538</v>
      </c>
      <c r="AF26" s="34">
        <f t="shared" si="18"/>
        <v>-58716642</v>
      </c>
      <c r="AG26" s="34">
        <f t="shared" si="18"/>
        <v>-117432416</v>
      </c>
      <c r="AH26" s="34">
        <f t="shared" si="19"/>
        <v>-234863096</v>
      </c>
      <c r="AI26" s="34">
        <f t="shared" si="20"/>
        <v>-469722585</v>
      </c>
      <c r="AJ26" s="34">
        <f t="shared" si="20"/>
        <v>-939438046</v>
      </c>
      <c r="AK26" s="34">
        <f t="shared" si="20"/>
        <v>-1878861799</v>
      </c>
      <c r="AL26" s="34">
        <f t="shared" si="20"/>
        <v>-3757694967</v>
      </c>
      <c r="AM26" s="34">
        <f t="shared" si="21"/>
        <v>-7515332581</v>
      </c>
      <c r="AN26" s="34">
        <f t="shared" si="21"/>
        <v>-15030550491</v>
      </c>
      <c r="AO26" s="34">
        <f t="shared" si="21"/>
        <v>-30060871639</v>
      </c>
      <c r="AP26" s="34">
        <f t="shared" si="22"/>
        <v>-60121284581</v>
      </c>
      <c r="AQ26" s="34">
        <f t="shared" si="23"/>
        <v>-120241651723</v>
      </c>
      <c r="AR26" s="34">
        <f t="shared" si="24"/>
        <v>-240481468455</v>
      </c>
      <c r="AS26" s="34">
        <f t="shared" si="25"/>
        <v>-480959267062</v>
      </c>
      <c r="AT26" s="34">
        <f t="shared" si="25"/>
        <v>-961911194381</v>
      </c>
      <c r="AU26" s="34">
        <f t="shared" si="26"/>
        <v>-1923807709362</v>
      </c>
      <c r="AV26" s="34">
        <f t="shared" si="26"/>
        <v>-3847586060186</v>
      </c>
      <c r="AW26" s="34">
        <f t="shared" si="27"/>
        <v>-7695113403685</v>
      </c>
      <c r="AX26" s="34">
        <f t="shared" si="27"/>
        <v>-15390109374954</v>
      </c>
      <c r="AY26" s="34">
        <f t="shared" si="27"/>
        <v>-30779983886812</v>
      </c>
      <c r="AZ26" s="34">
        <f t="shared" si="27"/>
        <v>-61559498051039</v>
      </c>
      <c r="BA26" s="34">
        <f t="shared" si="27"/>
        <v>-123118056664032</v>
      </c>
      <c r="BB26" s="34">
        <f t="shared" si="27"/>
        <v>-246234234466265</v>
      </c>
      <c r="BC26" s="34">
        <f t="shared" si="28"/>
        <v>-492464711237608</v>
      </c>
      <c r="BD26" s="34">
        <f t="shared" si="28"/>
        <v>-984921907142635</v>
      </c>
      <c r="BE26" s="34">
        <f t="shared" si="28"/>
        <v>-1969828783734779</v>
      </c>
      <c r="BF26" s="34">
        <f t="shared" si="29"/>
        <v>-3939627506597874</v>
      </c>
      <c r="BG26" s="34">
        <f t="shared" si="29"/>
        <v>-7879194891911167</v>
      </c>
      <c r="BH26" s="34">
        <f t="shared" si="30"/>
        <v>-1.5758269542170566E+16</v>
      </c>
      <c r="BI26" s="34">
        <f t="shared" si="31"/>
        <v>-3.1516298602872724E+16</v>
      </c>
      <c r="BJ26" s="34">
        <f t="shared" si="31"/>
        <v>-6.3032116246478376E+16</v>
      </c>
      <c r="BK26" s="34">
        <f t="shared" si="31"/>
        <v>-1.2606327058176238E+17</v>
      </c>
      <c r="BL26" s="34">
        <f t="shared" si="32"/>
        <v>-2.5212461735581546E+17</v>
      </c>
      <c r="BM26" s="34">
        <f t="shared" si="32"/>
        <v>-5.0424538712557069E+17</v>
      </c>
      <c r="BN26" s="34">
        <f t="shared" si="33"/>
        <v>-1.0084830791377376E+18</v>
      </c>
      <c r="BO26" s="34">
        <f t="shared" si="34"/>
        <v>-2.0169507681661002E+18</v>
      </c>
      <c r="BP26" s="34">
        <f t="shared" si="35"/>
        <v>-4.0338707563483141E+18</v>
      </c>
      <c r="BQ26" s="34">
        <f t="shared" si="36"/>
        <v>-8.0676799531985756E+18</v>
      </c>
      <c r="BR26" s="34">
        <f t="shared" si="36"/>
        <v>-1.6135236788340488E+19</v>
      </c>
      <c r="BS26" s="34">
        <f t="shared" si="36"/>
        <v>-3.227022734244651E+19</v>
      </c>
      <c r="BT26" s="34">
        <f t="shared" si="36"/>
        <v>-6.4539962220181783E+19</v>
      </c>
      <c r="BU26" s="34">
        <f t="shared" si="37"/>
        <v>-1.2907893951845643E+20</v>
      </c>
      <c r="BV26" s="34">
        <f t="shared" si="37"/>
        <v>-2.5815590920812911E+20</v>
      </c>
      <c r="BW26" s="10"/>
      <c r="BX26" s="10"/>
      <c r="BY26" s="10"/>
      <c r="BZ26" s="10"/>
      <c r="CA26" s="10"/>
      <c r="CB26" s="10"/>
      <c r="CC26" s="10"/>
      <c r="CD26" s="10"/>
      <c r="CE26" s="12">
        <v>495</v>
      </c>
      <c r="CF26" s="112">
        <v>4</v>
      </c>
      <c r="CG26" s="112">
        <v>13</v>
      </c>
      <c r="CH26" s="112">
        <v>22</v>
      </c>
      <c r="CI26" s="112">
        <v>27</v>
      </c>
      <c r="CJ26" s="112">
        <v>34</v>
      </c>
      <c r="CK26" s="112">
        <v>44</v>
      </c>
      <c r="CL26" s="112">
        <v>6</v>
      </c>
      <c r="CM26" s="11">
        <f>SUM(CF27:CK27)-45-45-45-45</f>
        <v>-37</v>
      </c>
      <c r="CN26" s="11">
        <f>SUM(CF27:CL27)-45-45-45-45</f>
        <v>2</v>
      </c>
      <c r="CP26" s="11">
        <f t="shared" si="38"/>
        <v>9</v>
      </c>
      <c r="CQ26" s="11">
        <f t="shared" si="38"/>
        <v>9</v>
      </c>
      <c r="CR26" s="11">
        <f t="shared" si="38"/>
        <v>5</v>
      </c>
      <c r="CS26" s="11">
        <f t="shared" si="38"/>
        <v>7</v>
      </c>
      <c r="CT26" s="11">
        <f t="shared" si="38"/>
        <v>10</v>
      </c>
      <c r="CU26" s="11">
        <f t="shared" si="38"/>
        <v>38</v>
      </c>
      <c r="CV26" s="11">
        <v>6</v>
      </c>
      <c r="CW26" s="11">
        <v>44</v>
      </c>
      <c r="DI26" s="129"/>
      <c r="DJ26" s="129"/>
      <c r="DK26" s="129"/>
      <c r="DL26" s="129"/>
      <c r="DM26" s="129"/>
      <c r="DN26" s="129"/>
      <c r="DO26" s="129"/>
      <c r="DP26" s="129"/>
      <c r="DQ26" s="129"/>
      <c r="DR26" s="129"/>
      <c r="DS26" s="129"/>
      <c r="DT26" s="129"/>
      <c r="DU26" s="129"/>
      <c r="DV26" s="129"/>
      <c r="DW26" s="129"/>
      <c r="DX26" s="129"/>
      <c r="DY26" s="129"/>
    </row>
    <row r="27" spans="3:129" s="122" customFormat="1" ht="17.25">
      <c r="C27" s="11">
        <v>496</v>
      </c>
      <c r="D27" s="107" t="s">
        <v>268</v>
      </c>
      <c r="E27" s="17">
        <v>1</v>
      </c>
      <c r="F27" s="17">
        <v>10</v>
      </c>
      <c r="G27" s="17">
        <v>1</v>
      </c>
      <c r="H27" s="17">
        <f t="shared" si="0"/>
        <v>11</v>
      </c>
      <c r="I27" s="17">
        <v>1</v>
      </c>
      <c r="J27" s="151">
        <f t="shared" si="1"/>
        <v>24</v>
      </c>
      <c r="K27" s="151">
        <f t="shared" si="2"/>
        <v>3</v>
      </c>
      <c r="L27" s="34">
        <f t="shared" si="3"/>
        <v>-39</v>
      </c>
      <c r="M27" s="34">
        <f t="shared" si="4"/>
        <v>-78</v>
      </c>
      <c r="N27" s="34">
        <f t="shared" si="5"/>
        <v>-201</v>
      </c>
      <c r="O27" s="34">
        <f t="shared" si="6"/>
        <v>-402</v>
      </c>
      <c r="P27" s="34">
        <f t="shared" si="7"/>
        <v>-804</v>
      </c>
      <c r="Q27" s="34">
        <f t="shared" si="8"/>
        <v>-1653</v>
      </c>
      <c r="R27" s="34">
        <f t="shared" si="9"/>
        <v>-3306</v>
      </c>
      <c r="S27" s="34">
        <f t="shared" si="10"/>
        <v>-6612</v>
      </c>
      <c r="T27" s="34">
        <f t="shared" si="11"/>
        <v>-13269</v>
      </c>
      <c r="U27" s="34">
        <f t="shared" si="12"/>
        <v>-26583</v>
      </c>
      <c r="V27" s="34">
        <f t="shared" si="13"/>
        <v>-53212</v>
      </c>
      <c r="W27" s="34">
        <f t="shared" si="14"/>
        <v>-106479</v>
      </c>
      <c r="X27" s="34">
        <f t="shared" si="14"/>
        <v>-212959</v>
      </c>
      <c r="Y27" s="34">
        <f t="shared" si="15"/>
        <v>-425974</v>
      </c>
      <c r="Z27" s="34">
        <f t="shared" si="15"/>
        <v>-851949</v>
      </c>
      <c r="AA27" s="34">
        <f t="shared" si="16"/>
        <v>-1703877</v>
      </c>
      <c r="AB27" s="34">
        <f t="shared" si="16"/>
        <v>-3407757</v>
      </c>
      <c r="AC27" s="34">
        <f t="shared" si="16"/>
        <v>-6815475</v>
      </c>
      <c r="AD27" s="34">
        <f t="shared" si="17"/>
        <v>-13630827</v>
      </c>
      <c r="AE27" s="34">
        <f t="shared" si="18"/>
        <v>-27261498</v>
      </c>
      <c r="AF27" s="34">
        <f t="shared" si="18"/>
        <v>-54522594</v>
      </c>
      <c r="AG27" s="34">
        <f t="shared" si="18"/>
        <v>-109044384</v>
      </c>
      <c r="AH27" s="34">
        <f t="shared" si="19"/>
        <v>-218087160</v>
      </c>
      <c r="AI27" s="34">
        <f t="shared" si="20"/>
        <v>-436170969</v>
      </c>
      <c r="AJ27" s="34">
        <f t="shared" si="20"/>
        <v>-872335326</v>
      </c>
      <c r="AK27" s="34">
        <f t="shared" si="20"/>
        <v>-1744657383</v>
      </c>
      <c r="AL27" s="34">
        <f t="shared" si="20"/>
        <v>-3489288183</v>
      </c>
      <c r="AM27" s="34">
        <f t="shared" si="21"/>
        <v>-6978523109</v>
      </c>
      <c r="AN27" s="34">
        <f t="shared" si="21"/>
        <v>-13956939739</v>
      </c>
      <c r="AO27" s="34">
        <f t="shared" si="21"/>
        <v>-27913666519</v>
      </c>
      <c r="AP27" s="34">
        <f t="shared" si="22"/>
        <v>-55826907109</v>
      </c>
      <c r="AQ27" s="34">
        <f t="shared" si="23"/>
        <v>-111652962314</v>
      </c>
      <c r="AR27" s="34">
        <f t="shared" si="24"/>
        <v>-223304220706</v>
      </c>
      <c r="AS27" s="34">
        <f t="shared" si="25"/>
        <v>-446605033700</v>
      </c>
      <c r="AT27" s="34">
        <f t="shared" si="25"/>
        <v>-893203251925</v>
      </c>
      <c r="AU27" s="34">
        <f t="shared" si="26"/>
        <v>-1786392872978</v>
      </c>
      <c r="AV27" s="34">
        <f t="shared" si="26"/>
        <v>-3572758484458</v>
      </c>
      <c r="AW27" s="34">
        <f t="shared" si="27"/>
        <v>-7145462446277</v>
      </c>
      <c r="AX27" s="34">
        <f t="shared" si="27"/>
        <v>-14290815848170</v>
      </c>
      <c r="AY27" s="34">
        <f t="shared" si="27"/>
        <v>-28581413609180</v>
      </c>
      <c r="AZ27" s="34">
        <f t="shared" si="27"/>
        <v>-57162391047391</v>
      </c>
      <c r="BA27" s="34">
        <f t="shared" si="27"/>
        <v>-114323909759456</v>
      </c>
      <c r="BB27" s="34">
        <f t="shared" si="27"/>
        <v>-228646074861529</v>
      </c>
      <c r="BC27" s="34">
        <f t="shared" si="28"/>
        <v>-457288660434920</v>
      </c>
      <c r="BD27" s="34">
        <f t="shared" si="28"/>
        <v>-914570342346731</v>
      </c>
      <c r="BE27" s="34">
        <f t="shared" si="28"/>
        <v>-1829126727753723</v>
      </c>
      <c r="BF27" s="34">
        <f t="shared" si="29"/>
        <v>-3658225541840882</v>
      </c>
      <c r="BG27" s="34">
        <f t="shared" si="29"/>
        <v>-7316395256774655</v>
      </c>
      <c r="BH27" s="34">
        <f t="shared" si="30"/>
        <v>-1.463267886058695E+16</v>
      </c>
      <c r="BI27" s="34">
        <f t="shared" si="31"/>
        <v>-2.9265134416953244E+16</v>
      </c>
      <c r="BJ27" s="34">
        <f t="shared" si="31"/>
        <v>-5.8529822228872776E+16</v>
      </c>
      <c r="BK27" s="34">
        <f t="shared" si="31"/>
        <v>-1.1705875125449363E+17</v>
      </c>
      <c r="BL27" s="34">
        <f t="shared" si="32"/>
        <v>-2.3411571611611434E+17</v>
      </c>
      <c r="BM27" s="34">
        <f t="shared" si="32"/>
        <v>-4.6822785947374426E+17</v>
      </c>
      <c r="BN27" s="34">
        <f t="shared" si="33"/>
        <v>-9.3644857348504205E+17</v>
      </c>
      <c r="BO27" s="34">
        <f t="shared" si="34"/>
        <v>-1.8728828561542362E+18</v>
      </c>
      <c r="BP27" s="34">
        <f t="shared" si="35"/>
        <v>-3.7457371308948628E+18</v>
      </c>
      <c r="BQ27" s="34">
        <f t="shared" si="36"/>
        <v>-7.4914170993986785E+18</v>
      </c>
      <c r="BR27" s="34">
        <f t="shared" si="36"/>
        <v>-1.4982719874887598E+19</v>
      </c>
      <c r="BS27" s="34">
        <f t="shared" si="36"/>
        <v>-2.9965211103700337E+19</v>
      </c>
      <c r="BT27" s="34">
        <f t="shared" si="36"/>
        <v>-5.9929964918740238E+19</v>
      </c>
      <c r="BU27" s="34">
        <f t="shared" si="37"/>
        <v>-1.1985901526713813E+20</v>
      </c>
      <c r="BV27" s="34">
        <f t="shared" si="37"/>
        <v>-2.3971620140754849E+20</v>
      </c>
      <c r="BW27" s="10"/>
      <c r="BX27" s="10"/>
      <c r="BY27" s="10"/>
      <c r="BZ27" s="10"/>
      <c r="CA27" s="10"/>
      <c r="CB27" s="10"/>
      <c r="CC27" s="10"/>
      <c r="CD27" s="10"/>
      <c r="CE27" s="12">
        <v>496</v>
      </c>
      <c r="CF27" s="112">
        <v>4</v>
      </c>
      <c r="CG27" s="112">
        <v>13</v>
      </c>
      <c r="CH27" s="112">
        <v>20</v>
      </c>
      <c r="CI27" s="112">
        <v>29</v>
      </c>
      <c r="CJ27" s="112">
        <v>36</v>
      </c>
      <c r="CK27" s="112">
        <v>41</v>
      </c>
      <c r="CL27" s="112">
        <v>39</v>
      </c>
      <c r="CM27" s="11">
        <f>SUM(CF28:CK28)-45-45-45</f>
        <v>38</v>
      </c>
      <c r="CN27" s="11">
        <f>SUM(CF28:CL28)-45-45-45-45</f>
        <v>6</v>
      </c>
      <c r="CP27" s="11">
        <f t="shared" si="38"/>
        <v>9</v>
      </c>
      <c r="CQ27" s="11">
        <f t="shared" si="38"/>
        <v>7</v>
      </c>
      <c r="CR27" s="11">
        <f t="shared" si="38"/>
        <v>9</v>
      </c>
      <c r="CS27" s="11">
        <f t="shared" si="38"/>
        <v>7</v>
      </c>
      <c r="CT27" s="11">
        <f t="shared" si="38"/>
        <v>5</v>
      </c>
      <c r="CU27" s="11">
        <f t="shared" si="38"/>
        <v>2</v>
      </c>
      <c r="CV27" s="11">
        <v>4</v>
      </c>
      <c r="CW27" s="11">
        <f>46-45</f>
        <v>1</v>
      </c>
      <c r="DI27" s="129"/>
      <c r="DJ27" s="129"/>
      <c r="DK27" s="129"/>
      <c r="DL27" s="129"/>
      <c r="DM27" s="129"/>
      <c r="DN27" s="129"/>
      <c r="DO27" s="129"/>
      <c r="DP27" s="129"/>
      <c r="DQ27" s="129"/>
      <c r="DR27" s="129"/>
      <c r="DS27" s="129"/>
      <c r="DT27" s="129"/>
      <c r="DU27" s="129"/>
      <c r="DV27" s="129"/>
      <c r="DW27" s="129"/>
      <c r="DX27" s="129"/>
      <c r="DY27" s="129"/>
    </row>
    <row r="28" spans="3:129" s="122" customFormat="1" ht="17.25">
      <c r="C28" s="11">
        <v>497</v>
      </c>
      <c r="D28" s="107" t="s">
        <v>269</v>
      </c>
      <c r="E28" s="17">
        <v>1</v>
      </c>
      <c r="F28" s="17">
        <v>10</v>
      </c>
      <c r="G28" s="17">
        <v>1</v>
      </c>
      <c r="H28" s="17">
        <f t="shared" si="0"/>
        <v>11</v>
      </c>
      <c r="I28" s="17">
        <v>2</v>
      </c>
      <c r="J28" s="151">
        <f t="shared" si="1"/>
        <v>25</v>
      </c>
      <c r="K28" s="151">
        <f t="shared" si="2"/>
        <v>5</v>
      </c>
      <c r="L28" s="34">
        <f t="shared" si="3"/>
        <v>-35</v>
      </c>
      <c r="M28" s="34">
        <f t="shared" si="4"/>
        <v>-70</v>
      </c>
      <c r="N28" s="34">
        <f t="shared" si="5"/>
        <v>-185</v>
      </c>
      <c r="O28" s="34">
        <f t="shared" si="6"/>
        <v>-370</v>
      </c>
      <c r="P28" s="34">
        <f t="shared" si="7"/>
        <v>-740</v>
      </c>
      <c r="Q28" s="34">
        <f t="shared" si="8"/>
        <v>-1525</v>
      </c>
      <c r="R28" s="34">
        <f t="shared" si="9"/>
        <v>-3050</v>
      </c>
      <c r="S28" s="34">
        <f t="shared" si="10"/>
        <v>-6100</v>
      </c>
      <c r="T28" s="34">
        <f t="shared" si="11"/>
        <v>-12245</v>
      </c>
      <c r="U28" s="34">
        <f t="shared" si="12"/>
        <v>-24535</v>
      </c>
      <c r="V28" s="34">
        <f t="shared" si="13"/>
        <v>-49116</v>
      </c>
      <c r="W28" s="34">
        <f t="shared" si="14"/>
        <v>-98287</v>
      </c>
      <c r="X28" s="34">
        <f t="shared" si="14"/>
        <v>-196575</v>
      </c>
      <c r="Y28" s="34">
        <f t="shared" si="15"/>
        <v>-393206</v>
      </c>
      <c r="Z28" s="34">
        <f t="shared" si="15"/>
        <v>-786414</v>
      </c>
      <c r="AA28" s="34">
        <f t="shared" si="16"/>
        <v>-1572808</v>
      </c>
      <c r="AB28" s="34">
        <f t="shared" si="16"/>
        <v>-3145621</v>
      </c>
      <c r="AC28" s="34">
        <f t="shared" si="16"/>
        <v>-6291207</v>
      </c>
      <c r="AD28" s="34">
        <f t="shared" si="17"/>
        <v>-12582299</v>
      </c>
      <c r="AE28" s="34">
        <f t="shared" si="18"/>
        <v>-25164458</v>
      </c>
      <c r="AF28" s="34">
        <f t="shared" si="18"/>
        <v>-50328546</v>
      </c>
      <c r="AG28" s="34">
        <f t="shared" si="18"/>
        <v>-100656352</v>
      </c>
      <c r="AH28" s="34">
        <f t="shared" si="19"/>
        <v>-201311224</v>
      </c>
      <c r="AI28" s="34">
        <f t="shared" si="20"/>
        <v>-402619353</v>
      </c>
      <c r="AJ28" s="34">
        <f t="shared" si="20"/>
        <v>-805232606</v>
      </c>
      <c r="AK28" s="34">
        <f t="shared" si="20"/>
        <v>-1610452967</v>
      </c>
      <c r="AL28" s="34">
        <f t="shared" si="20"/>
        <v>-3220881399</v>
      </c>
      <c r="AM28" s="34">
        <f t="shared" si="21"/>
        <v>-6441713637</v>
      </c>
      <c r="AN28" s="34">
        <f t="shared" si="21"/>
        <v>-12883328987</v>
      </c>
      <c r="AO28" s="34">
        <f t="shared" si="21"/>
        <v>-25766461399</v>
      </c>
      <c r="AP28" s="34">
        <f t="shared" si="22"/>
        <v>-51532529637</v>
      </c>
      <c r="AQ28" s="34">
        <f t="shared" si="23"/>
        <v>-103064272905</v>
      </c>
      <c r="AR28" s="34">
        <f t="shared" si="24"/>
        <v>-206126972957</v>
      </c>
      <c r="AS28" s="34">
        <f t="shared" si="25"/>
        <v>-412250800338</v>
      </c>
      <c r="AT28" s="34">
        <f t="shared" si="25"/>
        <v>-824495309469</v>
      </c>
      <c r="AU28" s="34">
        <f t="shared" si="26"/>
        <v>-1648978036594</v>
      </c>
      <c r="AV28" s="34">
        <f t="shared" si="26"/>
        <v>-3297930908730</v>
      </c>
      <c r="AW28" s="34">
        <f t="shared" si="27"/>
        <v>-6595811488869</v>
      </c>
      <c r="AX28" s="34">
        <f t="shared" si="27"/>
        <v>-13191522321386</v>
      </c>
      <c r="AY28" s="34">
        <f t="shared" si="27"/>
        <v>-26382843331548</v>
      </c>
      <c r="AZ28" s="34">
        <f t="shared" si="27"/>
        <v>-52765284043743</v>
      </c>
      <c r="BA28" s="34">
        <f t="shared" si="27"/>
        <v>-105529762854880</v>
      </c>
      <c r="BB28" s="34">
        <f t="shared" si="27"/>
        <v>-211057915256793</v>
      </c>
      <c r="BC28" s="34">
        <f t="shared" si="28"/>
        <v>-422112609632232</v>
      </c>
      <c r="BD28" s="34">
        <f t="shared" si="28"/>
        <v>-844218777550827</v>
      </c>
      <c r="BE28" s="34">
        <f t="shared" si="28"/>
        <v>-1688424671772667</v>
      </c>
      <c r="BF28" s="34">
        <f t="shared" si="29"/>
        <v>-3376823577083890</v>
      </c>
      <c r="BG28" s="34">
        <f t="shared" si="29"/>
        <v>-6753595621638143</v>
      </c>
      <c r="BH28" s="34">
        <f t="shared" si="30"/>
        <v>-1.3507088179003336E+16</v>
      </c>
      <c r="BI28" s="34">
        <f t="shared" si="31"/>
        <v>-2.701397023103376E+16</v>
      </c>
      <c r="BJ28" s="34">
        <f t="shared" si="31"/>
        <v>-5.4027528211267176E+16</v>
      </c>
      <c r="BK28" s="34">
        <f t="shared" si="31"/>
        <v>-1.080542319272249E+17</v>
      </c>
      <c r="BL28" s="34">
        <f t="shared" si="32"/>
        <v>-2.1610681487641322E+17</v>
      </c>
      <c r="BM28" s="34">
        <f t="shared" si="32"/>
        <v>-4.322103318219177E+17</v>
      </c>
      <c r="BN28" s="34">
        <f t="shared" si="33"/>
        <v>-8.6441406783234637E+17</v>
      </c>
      <c r="BO28" s="34">
        <f t="shared" si="34"/>
        <v>-1.7288149441423716E+18</v>
      </c>
      <c r="BP28" s="34">
        <f t="shared" si="35"/>
        <v>-3.4576035054414116E+18</v>
      </c>
      <c r="BQ28" s="34">
        <f t="shared" si="36"/>
        <v>-6.9151542455987794E+18</v>
      </c>
      <c r="BR28" s="34">
        <f t="shared" si="36"/>
        <v>-1.3830202961434704E+19</v>
      </c>
      <c r="BS28" s="34">
        <f t="shared" si="36"/>
        <v>-2.7660194864954151E+19</v>
      </c>
      <c r="BT28" s="34">
        <f t="shared" si="36"/>
        <v>-5.531996761729867E+19</v>
      </c>
      <c r="BU28" s="34">
        <f t="shared" si="37"/>
        <v>-1.1063909101581979E+20</v>
      </c>
      <c r="BV28" s="34">
        <f t="shared" si="37"/>
        <v>-2.212764936069678E+20</v>
      </c>
      <c r="BW28" s="10"/>
      <c r="BX28" s="10"/>
      <c r="BY28" s="10"/>
      <c r="BZ28" s="10"/>
      <c r="CA28" s="10"/>
      <c r="CB28" s="10"/>
      <c r="CC28" s="10"/>
      <c r="CD28" s="10"/>
      <c r="CE28" s="12">
        <v>497</v>
      </c>
      <c r="CF28" s="112">
        <v>19</v>
      </c>
      <c r="CG28" s="112">
        <v>20</v>
      </c>
      <c r="CH28" s="112">
        <v>23</v>
      </c>
      <c r="CI28" s="112">
        <v>24</v>
      </c>
      <c r="CJ28" s="112">
        <v>43</v>
      </c>
      <c r="CK28" s="112">
        <v>44</v>
      </c>
      <c r="CL28" s="112">
        <v>13</v>
      </c>
      <c r="CM28" s="11">
        <f>SUM(CF29:CK29)-45-45</f>
        <v>73</v>
      </c>
      <c r="CN28" s="11">
        <f>SUM(CF29:CL29)-45-45-45</f>
        <v>31</v>
      </c>
      <c r="CP28" s="11">
        <f t="shared" si="38"/>
        <v>1</v>
      </c>
      <c r="CQ28" s="11">
        <f t="shared" si="38"/>
        <v>3</v>
      </c>
      <c r="CR28" s="11">
        <f t="shared" si="38"/>
        <v>1</v>
      </c>
      <c r="CS28" s="11">
        <f t="shared" si="38"/>
        <v>19</v>
      </c>
      <c r="CT28" s="11">
        <f t="shared" si="38"/>
        <v>1</v>
      </c>
      <c r="CU28" s="11">
        <f t="shared" si="38"/>
        <v>31</v>
      </c>
      <c r="CV28" s="11">
        <v>6</v>
      </c>
      <c r="CW28" s="11">
        <v>30</v>
      </c>
      <c r="DI28" s="129"/>
      <c r="DJ28" s="129"/>
      <c r="DK28" s="129"/>
      <c r="DL28" s="129"/>
      <c r="DM28" s="129"/>
      <c r="DN28" s="129"/>
      <c r="DO28" s="129"/>
      <c r="DP28" s="129"/>
      <c r="DQ28" s="129"/>
      <c r="DR28" s="129"/>
      <c r="DS28" s="129"/>
      <c r="DT28" s="129"/>
      <c r="DU28" s="129"/>
      <c r="DV28" s="129"/>
      <c r="DW28" s="129"/>
      <c r="DX28" s="129"/>
      <c r="DY28" s="129"/>
    </row>
    <row r="29" spans="3:129" s="122" customFormat="1" ht="17.25">
      <c r="C29" s="11">
        <v>498</v>
      </c>
      <c r="D29" s="107" t="s">
        <v>246</v>
      </c>
      <c r="E29" s="17">
        <v>1</v>
      </c>
      <c r="F29" s="17">
        <v>10</v>
      </c>
      <c r="G29" s="17">
        <v>1</v>
      </c>
      <c r="H29" s="17">
        <f t="shared" si="0"/>
        <v>11</v>
      </c>
      <c r="I29" s="17">
        <v>3</v>
      </c>
      <c r="J29" s="151">
        <f t="shared" si="1"/>
        <v>26</v>
      </c>
      <c r="K29" s="151">
        <f t="shared" si="2"/>
        <v>7</v>
      </c>
      <c r="L29" s="34">
        <f t="shared" si="3"/>
        <v>-31</v>
      </c>
      <c r="M29" s="34">
        <f t="shared" si="4"/>
        <v>-62</v>
      </c>
      <c r="N29" s="34">
        <f t="shared" si="5"/>
        <v>-169</v>
      </c>
      <c r="O29" s="34">
        <f t="shared" si="6"/>
        <v>-338</v>
      </c>
      <c r="P29" s="34">
        <f t="shared" si="7"/>
        <v>-676</v>
      </c>
      <c r="Q29" s="34">
        <f t="shared" si="8"/>
        <v>-1397</v>
      </c>
      <c r="R29" s="34">
        <f t="shared" si="9"/>
        <v>-2794</v>
      </c>
      <c r="S29" s="34">
        <f t="shared" si="10"/>
        <v>-5588</v>
      </c>
      <c r="T29" s="34">
        <f t="shared" si="11"/>
        <v>-11221</v>
      </c>
      <c r="U29" s="34">
        <f t="shared" si="12"/>
        <v>-22487</v>
      </c>
      <c r="V29" s="34">
        <f t="shared" si="13"/>
        <v>-45020</v>
      </c>
      <c r="W29" s="34">
        <f t="shared" si="14"/>
        <v>-90095</v>
      </c>
      <c r="X29" s="34">
        <f t="shared" si="14"/>
        <v>-180191</v>
      </c>
      <c r="Y29" s="34">
        <f t="shared" si="15"/>
        <v>-360438</v>
      </c>
      <c r="Z29" s="34">
        <f t="shared" si="15"/>
        <v>-720879</v>
      </c>
      <c r="AA29" s="34">
        <f t="shared" si="16"/>
        <v>-1441739</v>
      </c>
      <c r="AB29" s="34">
        <f t="shared" si="16"/>
        <v>-2883485</v>
      </c>
      <c r="AC29" s="34">
        <f t="shared" si="16"/>
        <v>-5766939</v>
      </c>
      <c r="AD29" s="34">
        <f t="shared" si="17"/>
        <v>-11533771</v>
      </c>
      <c r="AE29" s="34">
        <f t="shared" si="18"/>
        <v>-23067418</v>
      </c>
      <c r="AF29" s="34">
        <f t="shared" si="18"/>
        <v>-46134498</v>
      </c>
      <c r="AG29" s="34">
        <f t="shared" si="18"/>
        <v>-92268320</v>
      </c>
      <c r="AH29" s="34">
        <f t="shared" si="19"/>
        <v>-184535288</v>
      </c>
      <c r="AI29" s="34">
        <f t="shared" si="20"/>
        <v>-369067737</v>
      </c>
      <c r="AJ29" s="34">
        <f t="shared" si="20"/>
        <v>-738129886</v>
      </c>
      <c r="AK29" s="34">
        <f t="shared" si="20"/>
        <v>-1476248551</v>
      </c>
      <c r="AL29" s="34">
        <f t="shared" si="20"/>
        <v>-2952474615</v>
      </c>
      <c r="AM29" s="34">
        <f t="shared" si="21"/>
        <v>-5904904165</v>
      </c>
      <c r="AN29" s="34">
        <f t="shared" si="21"/>
        <v>-11809718235</v>
      </c>
      <c r="AO29" s="34">
        <f t="shared" si="21"/>
        <v>-23619256279</v>
      </c>
      <c r="AP29" s="34">
        <f t="shared" si="22"/>
        <v>-47238152165</v>
      </c>
      <c r="AQ29" s="34">
        <f t="shared" si="23"/>
        <v>-94475583496</v>
      </c>
      <c r="AR29" s="34">
        <f t="shared" si="24"/>
        <v>-188949725208</v>
      </c>
      <c r="AS29" s="34">
        <f t="shared" si="25"/>
        <v>-377896566976</v>
      </c>
      <c r="AT29" s="34">
        <f t="shared" si="25"/>
        <v>-755787367013</v>
      </c>
      <c r="AU29" s="34">
        <f t="shared" si="26"/>
        <v>-1511563200210</v>
      </c>
      <c r="AV29" s="34">
        <f t="shared" si="26"/>
        <v>-3023103333002</v>
      </c>
      <c r="AW29" s="34">
        <f t="shared" si="27"/>
        <v>-6046160531461</v>
      </c>
      <c r="AX29" s="34">
        <f t="shared" si="27"/>
        <v>-12092228794602</v>
      </c>
      <c r="AY29" s="34">
        <f t="shared" si="27"/>
        <v>-24184273053916</v>
      </c>
      <c r="AZ29" s="34">
        <f t="shared" si="27"/>
        <v>-48368177040095</v>
      </c>
      <c r="BA29" s="34">
        <f t="shared" si="27"/>
        <v>-96735615950304</v>
      </c>
      <c r="BB29" s="34">
        <f t="shared" si="27"/>
        <v>-193469755652057</v>
      </c>
      <c r="BC29" s="34">
        <f t="shared" si="28"/>
        <v>-386936558829544</v>
      </c>
      <c r="BD29" s="34">
        <f t="shared" si="28"/>
        <v>-773867212754923</v>
      </c>
      <c r="BE29" s="34">
        <f t="shared" si="28"/>
        <v>-1547722615791611</v>
      </c>
      <c r="BF29" s="34">
        <f t="shared" si="29"/>
        <v>-3095421612326898</v>
      </c>
      <c r="BG29" s="34">
        <f t="shared" si="29"/>
        <v>-6190795986501631</v>
      </c>
      <c r="BH29" s="34">
        <f t="shared" si="30"/>
        <v>-1.2381497497419722E+16</v>
      </c>
      <c r="BI29" s="34">
        <f t="shared" si="31"/>
        <v>-2.4762806045114284E+16</v>
      </c>
      <c r="BJ29" s="34">
        <f t="shared" si="31"/>
        <v>-4.9525234193661592E+16</v>
      </c>
      <c r="BK29" s="34">
        <f t="shared" si="31"/>
        <v>-9.904971259995616E+16</v>
      </c>
      <c r="BL29" s="34">
        <f t="shared" si="32"/>
        <v>-1.9809791363671216E+17</v>
      </c>
      <c r="BM29" s="34">
        <f t="shared" si="32"/>
        <v>-3.9619280417009139E+17</v>
      </c>
      <c r="BN29" s="34">
        <f t="shared" si="33"/>
        <v>-7.9237956217965107E+17</v>
      </c>
      <c r="BO29" s="34">
        <f t="shared" si="34"/>
        <v>-1.5847470321305075E+18</v>
      </c>
      <c r="BP29" s="34">
        <f t="shared" si="35"/>
        <v>-3.1694698799879613E+18</v>
      </c>
      <c r="BQ29" s="34">
        <f t="shared" si="36"/>
        <v>-6.3388913917988823E+18</v>
      </c>
      <c r="BR29" s="34">
        <f t="shared" si="36"/>
        <v>-1.2677686047981814E+19</v>
      </c>
      <c r="BS29" s="34">
        <f t="shared" si="36"/>
        <v>-2.5355178626207973E+19</v>
      </c>
      <c r="BT29" s="34">
        <f t="shared" si="36"/>
        <v>-5.0709970315857117E+19</v>
      </c>
      <c r="BU29" s="34">
        <f t="shared" si="37"/>
        <v>-1.0141916676450148E+20</v>
      </c>
      <c r="BV29" s="34">
        <f t="shared" si="37"/>
        <v>-2.0283678580638718E+20</v>
      </c>
      <c r="BW29" s="10"/>
      <c r="BX29" s="10"/>
      <c r="BY29" s="10"/>
      <c r="BZ29" s="10"/>
      <c r="CA29" s="10"/>
      <c r="CB29" s="10"/>
      <c r="CC29" s="10"/>
      <c r="CD29" s="10"/>
      <c r="CE29" s="12">
        <v>498</v>
      </c>
      <c r="CF29" s="112">
        <v>13</v>
      </c>
      <c r="CG29" s="112">
        <v>14</v>
      </c>
      <c r="CH29" s="112">
        <v>24</v>
      </c>
      <c r="CI29" s="112">
        <v>32</v>
      </c>
      <c r="CJ29" s="112">
        <v>39</v>
      </c>
      <c r="CK29" s="112">
        <v>41</v>
      </c>
      <c r="CL29" s="112">
        <v>3</v>
      </c>
      <c r="CM29" s="11">
        <f>SUM(CF30:CK30)-45</f>
        <v>115</v>
      </c>
      <c r="CN29" s="11">
        <f>SUM(CF30:CL30)-45-45</f>
        <v>113</v>
      </c>
      <c r="CP29" s="11">
        <f t="shared" si="38"/>
        <v>1</v>
      </c>
      <c r="CQ29" s="11">
        <f t="shared" si="38"/>
        <v>10</v>
      </c>
      <c r="CR29" s="11">
        <f t="shared" si="38"/>
        <v>8</v>
      </c>
      <c r="CS29" s="11">
        <f t="shared" si="38"/>
        <v>7</v>
      </c>
      <c r="CT29" s="11">
        <f t="shared" si="38"/>
        <v>2</v>
      </c>
      <c r="CU29" s="11">
        <f t="shared" si="38"/>
        <v>38</v>
      </c>
      <c r="CV29" s="11">
        <v>4</v>
      </c>
      <c r="CW29" s="11">
        <v>35</v>
      </c>
      <c r="DI29" s="129"/>
      <c r="DJ29" s="129"/>
      <c r="DK29" s="129"/>
      <c r="DL29" s="129"/>
      <c r="DM29" s="129"/>
      <c r="DN29" s="129"/>
      <c r="DO29" s="129"/>
      <c r="DP29" s="129"/>
      <c r="DQ29" s="129"/>
      <c r="DR29" s="129"/>
      <c r="DS29" s="129"/>
      <c r="DT29" s="129"/>
      <c r="DU29" s="129"/>
      <c r="DV29" s="129"/>
      <c r="DW29" s="129"/>
      <c r="DX29" s="129"/>
      <c r="DY29" s="129"/>
    </row>
    <row r="30" spans="3:129" s="122" customFormat="1" ht="17.25">
      <c r="C30" s="11">
        <v>499</v>
      </c>
      <c r="D30" s="107" t="s">
        <v>270</v>
      </c>
      <c r="E30" s="17">
        <v>1</v>
      </c>
      <c r="F30" s="17">
        <v>10</v>
      </c>
      <c r="G30" s="17">
        <v>1</v>
      </c>
      <c r="H30" s="17">
        <f t="shared" si="0"/>
        <v>11</v>
      </c>
      <c r="I30" s="17">
        <v>4</v>
      </c>
      <c r="J30" s="151">
        <f t="shared" si="1"/>
        <v>27</v>
      </c>
      <c r="K30" s="151">
        <f t="shared" si="2"/>
        <v>9</v>
      </c>
      <c r="L30" s="34">
        <f t="shared" si="3"/>
        <v>-27</v>
      </c>
      <c r="M30" s="34">
        <f t="shared" si="4"/>
        <v>-54</v>
      </c>
      <c r="N30" s="34">
        <f t="shared" si="5"/>
        <v>-153</v>
      </c>
      <c r="O30" s="34">
        <f t="shared" si="6"/>
        <v>-306</v>
      </c>
      <c r="P30" s="34">
        <f t="shared" si="7"/>
        <v>-612</v>
      </c>
      <c r="Q30" s="34">
        <f t="shared" si="8"/>
        <v>-1269</v>
      </c>
      <c r="R30" s="34">
        <f t="shared" si="9"/>
        <v>-2538</v>
      </c>
      <c r="S30" s="34">
        <f t="shared" si="10"/>
        <v>-5076</v>
      </c>
      <c r="T30" s="34">
        <f t="shared" si="11"/>
        <v>-10197</v>
      </c>
      <c r="U30" s="34">
        <f t="shared" si="12"/>
        <v>-20439</v>
      </c>
      <c r="V30" s="34">
        <f t="shared" si="13"/>
        <v>-40924</v>
      </c>
      <c r="W30" s="34">
        <f t="shared" si="14"/>
        <v>-81903</v>
      </c>
      <c r="X30" s="34">
        <f t="shared" si="14"/>
        <v>-163807</v>
      </c>
      <c r="Y30" s="34">
        <f t="shared" si="15"/>
        <v>-327670</v>
      </c>
      <c r="Z30" s="34">
        <f t="shared" si="15"/>
        <v>-655344</v>
      </c>
      <c r="AA30" s="34">
        <f t="shared" si="16"/>
        <v>-1310670</v>
      </c>
      <c r="AB30" s="34">
        <f t="shared" si="16"/>
        <v>-2621349</v>
      </c>
      <c r="AC30" s="34">
        <f t="shared" si="16"/>
        <v>-5242671</v>
      </c>
      <c r="AD30" s="34">
        <f t="shared" si="17"/>
        <v>-10485243</v>
      </c>
      <c r="AE30" s="34">
        <f t="shared" si="18"/>
        <v>-20970378</v>
      </c>
      <c r="AF30" s="34">
        <f t="shared" si="18"/>
        <v>-41940450</v>
      </c>
      <c r="AG30" s="34">
        <f t="shared" si="18"/>
        <v>-83880288</v>
      </c>
      <c r="AH30" s="34">
        <f t="shared" si="19"/>
        <v>-167759352</v>
      </c>
      <c r="AI30" s="34">
        <f t="shared" si="20"/>
        <v>-335516121</v>
      </c>
      <c r="AJ30" s="34">
        <f t="shared" si="20"/>
        <v>-671027166</v>
      </c>
      <c r="AK30" s="34">
        <f t="shared" si="20"/>
        <v>-1342044135</v>
      </c>
      <c r="AL30" s="34">
        <f t="shared" si="20"/>
        <v>-2684067831</v>
      </c>
      <c r="AM30" s="34">
        <f t="shared" si="21"/>
        <v>-5368094693</v>
      </c>
      <c r="AN30" s="34">
        <f t="shared" si="21"/>
        <v>-10736107483</v>
      </c>
      <c r="AO30" s="34">
        <f t="shared" si="21"/>
        <v>-21472051159</v>
      </c>
      <c r="AP30" s="34">
        <f t="shared" si="22"/>
        <v>-42943774693</v>
      </c>
      <c r="AQ30" s="34">
        <f t="shared" si="23"/>
        <v>-85886894087</v>
      </c>
      <c r="AR30" s="34">
        <f t="shared" si="24"/>
        <v>-171772477459</v>
      </c>
      <c r="AS30" s="34">
        <f t="shared" si="25"/>
        <v>-343542333614</v>
      </c>
      <c r="AT30" s="34">
        <f t="shared" si="25"/>
        <v>-687079424557</v>
      </c>
      <c r="AU30" s="34">
        <f t="shared" si="26"/>
        <v>-1374148363826</v>
      </c>
      <c r="AV30" s="34">
        <f t="shared" si="26"/>
        <v>-2748275757274</v>
      </c>
      <c r="AW30" s="34">
        <f t="shared" si="27"/>
        <v>-5496509574053</v>
      </c>
      <c r="AX30" s="34">
        <f t="shared" si="27"/>
        <v>-10992935267818</v>
      </c>
      <c r="AY30" s="34">
        <f t="shared" si="27"/>
        <v>-21985702776284</v>
      </c>
      <c r="AZ30" s="34">
        <f t="shared" si="27"/>
        <v>-43971070036447</v>
      </c>
      <c r="BA30" s="34">
        <f t="shared" si="27"/>
        <v>-87941469045728</v>
      </c>
      <c r="BB30" s="34">
        <f t="shared" si="27"/>
        <v>-175881596047321</v>
      </c>
      <c r="BC30" s="34">
        <f t="shared" si="28"/>
        <v>-351760508026856</v>
      </c>
      <c r="BD30" s="34">
        <f t="shared" si="28"/>
        <v>-703515647959019</v>
      </c>
      <c r="BE30" s="34">
        <f t="shared" si="28"/>
        <v>-1407020559810555</v>
      </c>
      <c r="BF30" s="34">
        <f t="shared" si="29"/>
        <v>-2814019647569906</v>
      </c>
      <c r="BG30" s="34">
        <f t="shared" si="29"/>
        <v>-5627996351365119</v>
      </c>
      <c r="BH30" s="34">
        <f t="shared" si="30"/>
        <v>-1.1255906815836106E+16</v>
      </c>
      <c r="BI30" s="34">
        <f t="shared" si="31"/>
        <v>-2.2511641859194796E+16</v>
      </c>
      <c r="BJ30" s="34">
        <f t="shared" si="31"/>
        <v>-4.5022940176055976E+16</v>
      </c>
      <c r="BK30" s="34">
        <f t="shared" si="31"/>
        <v>-9.0045193272687392E+16</v>
      </c>
      <c r="BL30" s="34">
        <f t="shared" si="32"/>
        <v>-1.8008901239701101E+17</v>
      </c>
      <c r="BM30" s="34">
        <f t="shared" si="32"/>
        <v>-3.6017527651826477E+17</v>
      </c>
      <c r="BN30" s="34">
        <f t="shared" si="33"/>
        <v>-7.2034505652695526E+17</v>
      </c>
      <c r="BO30" s="34">
        <f t="shared" si="34"/>
        <v>-1.4406791201186429E+18</v>
      </c>
      <c r="BP30" s="34">
        <f t="shared" si="35"/>
        <v>-2.8813362545345101E+18</v>
      </c>
      <c r="BQ30" s="34">
        <f t="shared" si="36"/>
        <v>-5.7626285379989832E+18</v>
      </c>
      <c r="BR30" s="34">
        <f t="shared" si="36"/>
        <v>-1.152516913452892E+19</v>
      </c>
      <c r="BS30" s="34">
        <f t="shared" si="36"/>
        <v>-2.3050162387461792E+19</v>
      </c>
      <c r="BT30" s="34">
        <f t="shared" si="36"/>
        <v>-4.6099973014415557E+19</v>
      </c>
      <c r="BU30" s="34">
        <f t="shared" si="37"/>
        <v>-9.2199242513183146E+19</v>
      </c>
      <c r="BV30" s="34">
        <f t="shared" si="37"/>
        <v>-1.843970780058065E+20</v>
      </c>
      <c r="BW30" s="10"/>
      <c r="BX30" s="10"/>
      <c r="BY30" s="10"/>
      <c r="BZ30" s="10"/>
      <c r="CA30" s="10"/>
      <c r="CB30" s="10"/>
      <c r="CC30" s="10"/>
      <c r="CD30" s="10"/>
      <c r="CE30" s="12">
        <v>499</v>
      </c>
      <c r="CF30" s="112">
        <v>5</v>
      </c>
      <c r="CG30" s="112">
        <v>20</v>
      </c>
      <c r="CH30" s="112">
        <v>23</v>
      </c>
      <c r="CI30" s="112">
        <v>37</v>
      </c>
      <c r="CJ30" s="112">
        <v>35</v>
      </c>
      <c r="CK30" s="112">
        <v>40</v>
      </c>
      <c r="CL30" s="112">
        <v>43</v>
      </c>
      <c r="CM30" s="11">
        <f>SUM(CF31:CK31)-45-45</f>
        <v>7</v>
      </c>
      <c r="CN30" s="11">
        <f>SUM(CF31:CL31)-45-45-45</f>
        <v>3</v>
      </c>
      <c r="CP30" s="13">
        <f t="shared" si="38"/>
        <v>15</v>
      </c>
      <c r="CQ30" s="13">
        <f t="shared" si="38"/>
        <v>3</v>
      </c>
      <c r="CR30" s="13">
        <f t="shared" si="38"/>
        <v>14</v>
      </c>
      <c r="CS30" s="13">
        <f t="shared" si="38"/>
        <v>2</v>
      </c>
      <c r="CT30" s="13">
        <f t="shared" si="38"/>
        <v>5</v>
      </c>
      <c r="CU30" s="13">
        <f t="shared" si="38"/>
        <v>3</v>
      </c>
      <c r="CV30" s="11">
        <v>3</v>
      </c>
      <c r="CW30" s="11">
        <f>46-45</f>
        <v>1</v>
      </c>
      <c r="DI30" s="129"/>
      <c r="DJ30" s="129"/>
      <c r="DK30" s="129"/>
      <c r="DL30" s="129"/>
      <c r="DM30" s="129"/>
      <c r="DN30" s="129"/>
      <c r="DO30" s="129"/>
      <c r="DP30" s="129"/>
      <c r="DQ30" s="129"/>
      <c r="DR30" s="129"/>
      <c r="DS30" s="129"/>
      <c r="DT30" s="129"/>
      <c r="DU30" s="129"/>
      <c r="DV30" s="129"/>
      <c r="DW30" s="129"/>
      <c r="DX30" s="129"/>
      <c r="DY30" s="129"/>
    </row>
    <row r="31" spans="3:129" s="122" customFormat="1" ht="17.25">
      <c r="C31" s="11">
        <v>500</v>
      </c>
      <c r="D31" s="107" t="s">
        <v>271</v>
      </c>
      <c r="E31" s="17">
        <v>1</v>
      </c>
      <c r="F31" s="17">
        <v>10</v>
      </c>
      <c r="G31" s="17">
        <v>1</v>
      </c>
      <c r="H31" s="17">
        <f t="shared" si="0"/>
        <v>11</v>
      </c>
      <c r="I31" s="17">
        <v>5</v>
      </c>
      <c r="J31" s="151">
        <f t="shared" si="1"/>
        <v>28</v>
      </c>
      <c r="K31" s="151">
        <f t="shared" si="2"/>
        <v>11</v>
      </c>
      <c r="L31" s="34">
        <f t="shared" si="3"/>
        <v>-23</v>
      </c>
      <c r="M31" s="34">
        <f t="shared" si="4"/>
        <v>-46</v>
      </c>
      <c r="N31" s="34">
        <f t="shared" si="5"/>
        <v>-137</v>
      </c>
      <c r="O31" s="34">
        <f t="shared" si="6"/>
        <v>-274</v>
      </c>
      <c r="P31" s="34">
        <f t="shared" si="7"/>
        <v>-548</v>
      </c>
      <c r="Q31" s="34">
        <f t="shared" si="8"/>
        <v>-1141</v>
      </c>
      <c r="R31" s="34">
        <f t="shared" si="9"/>
        <v>-2282</v>
      </c>
      <c r="S31" s="34">
        <f t="shared" si="10"/>
        <v>-4564</v>
      </c>
      <c r="T31" s="34">
        <f t="shared" si="11"/>
        <v>-9173</v>
      </c>
      <c r="U31" s="34">
        <f t="shared" si="12"/>
        <v>-18391</v>
      </c>
      <c r="V31" s="34">
        <f t="shared" si="13"/>
        <v>-36828</v>
      </c>
      <c r="W31" s="34">
        <f t="shared" si="14"/>
        <v>-73711</v>
      </c>
      <c r="X31" s="34">
        <f t="shared" si="14"/>
        <v>-147423</v>
      </c>
      <c r="Y31" s="34">
        <f t="shared" si="15"/>
        <v>-294902</v>
      </c>
      <c r="Z31" s="34">
        <f t="shared" si="15"/>
        <v>-589809</v>
      </c>
      <c r="AA31" s="34">
        <f t="shared" si="16"/>
        <v>-1179601</v>
      </c>
      <c r="AB31" s="34">
        <f t="shared" si="16"/>
        <v>-2359213</v>
      </c>
      <c r="AC31" s="34">
        <f t="shared" si="16"/>
        <v>-4718403</v>
      </c>
      <c r="AD31" s="34">
        <f t="shared" si="17"/>
        <v>-9436715</v>
      </c>
      <c r="AE31" s="34">
        <f t="shared" si="18"/>
        <v>-18873338</v>
      </c>
      <c r="AF31" s="34">
        <f t="shared" si="18"/>
        <v>-37746402</v>
      </c>
      <c r="AG31" s="34">
        <f t="shared" si="18"/>
        <v>-75492256</v>
      </c>
      <c r="AH31" s="34">
        <f t="shared" si="19"/>
        <v>-150983416</v>
      </c>
      <c r="AI31" s="34">
        <f t="shared" si="20"/>
        <v>-301964505</v>
      </c>
      <c r="AJ31" s="34">
        <f t="shared" si="20"/>
        <v>-603924446</v>
      </c>
      <c r="AK31" s="34">
        <f t="shared" si="20"/>
        <v>-1207839719</v>
      </c>
      <c r="AL31" s="34">
        <f t="shared" si="20"/>
        <v>-2415661047</v>
      </c>
      <c r="AM31" s="34">
        <f t="shared" si="21"/>
        <v>-4831285221</v>
      </c>
      <c r="AN31" s="34">
        <f t="shared" si="21"/>
        <v>-9662496731</v>
      </c>
      <c r="AO31" s="34">
        <f t="shared" si="21"/>
        <v>-19324846039</v>
      </c>
      <c r="AP31" s="34">
        <f t="shared" si="22"/>
        <v>-38649397221</v>
      </c>
      <c r="AQ31" s="34">
        <f t="shared" si="23"/>
        <v>-77298204678</v>
      </c>
      <c r="AR31" s="34">
        <f t="shared" si="24"/>
        <v>-154595229710</v>
      </c>
      <c r="AS31" s="34">
        <f t="shared" si="25"/>
        <v>-309188100252</v>
      </c>
      <c r="AT31" s="34">
        <f t="shared" si="25"/>
        <v>-618371482101</v>
      </c>
      <c r="AU31" s="34">
        <f t="shared" si="26"/>
        <v>-1236733527442</v>
      </c>
      <c r="AV31" s="34">
        <f t="shared" si="26"/>
        <v>-2473448181546</v>
      </c>
      <c r="AW31" s="34">
        <f t="shared" si="27"/>
        <v>-4946858616645</v>
      </c>
      <c r="AX31" s="34">
        <f t="shared" si="27"/>
        <v>-9893641741034</v>
      </c>
      <c r="AY31" s="34">
        <f t="shared" si="27"/>
        <v>-19787132498652</v>
      </c>
      <c r="AZ31" s="34">
        <f t="shared" si="27"/>
        <v>-39573963032799</v>
      </c>
      <c r="BA31" s="34">
        <f t="shared" si="27"/>
        <v>-79147322141152</v>
      </c>
      <c r="BB31" s="34">
        <f t="shared" si="27"/>
        <v>-158293436442585</v>
      </c>
      <c r="BC31" s="34">
        <f t="shared" si="28"/>
        <v>-316584457224168</v>
      </c>
      <c r="BD31" s="34">
        <f t="shared" si="28"/>
        <v>-633164083163115</v>
      </c>
      <c r="BE31" s="34">
        <f t="shared" si="28"/>
        <v>-1266318503829499</v>
      </c>
      <c r="BF31" s="34">
        <f t="shared" si="29"/>
        <v>-2532617682812914</v>
      </c>
      <c r="BG31" s="34">
        <f t="shared" si="29"/>
        <v>-5065196716228607</v>
      </c>
      <c r="BH31" s="34">
        <f t="shared" si="30"/>
        <v>-1.013031613425249E+16</v>
      </c>
      <c r="BI31" s="34">
        <f t="shared" si="31"/>
        <v>-2.0260477673275316E+16</v>
      </c>
      <c r="BJ31" s="34">
        <f t="shared" si="31"/>
        <v>-4.0520646158450376E+16</v>
      </c>
      <c r="BK31" s="34">
        <f t="shared" si="31"/>
        <v>-8.1040673945418656E+16</v>
      </c>
      <c r="BL31" s="34">
        <f t="shared" si="32"/>
        <v>-1.6208011115730992E+17</v>
      </c>
      <c r="BM31" s="34">
        <f t="shared" si="32"/>
        <v>-3.2415774886643827E+17</v>
      </c>
      <c r="BN31" s="34">
        <f t="shared" si="33"/>
        <v>-6.4831055087425984E+17</v>
      </c>
      <c r="BO31" s="34">
        <f t="shared" si="34"/>
        <v>-1.2966112081067786E+18</v>
      </c>
      <c r="BP31" s="34">
        <f t="shared" si="35"/>
        <v>-2.5932026290810588E+18</v>
      </c>
      <c r="BQ31" s="34">
        <f t="shared" si="36"/>
        <v>-5.186365684199084E+18</v>
      </c>
      <c r="BR31" s="34">
        <f t="shared" si="36"/>
        <v>-1.0372652221076027E+19</v>
      </c>
      <c r="BS31" s="34">
        <f t="shared" si="36"/>
        <v>-2.074514614871561E+19</v>
      </c>
      <c r="BT31" s="34">
        <f t="shared" si="36"/>
        <v>-4.1489975712973996E+19</v>
      </c>
      <c r="BU31" s="34">
        <f t="shared" si="37"/>
        <v>-8.2979318261864825E+19</v>
      </c>
      <c r="BV31" s="34">
        <f t="shared" si="37"/>
        <v>-1.6595737020522581E+20</v>
      </c>
      <c r="BX31" s="40"/>
      <c r="CE31" s="12">
        <v>500</v>
      </c>
      <c r="CF31" s="112">
        <v>3</v>
      </c>
      <c r="CG31" s="112">
        <v>4</v>
      </c>
      <c r="CH31" s="112">
        <v>12</v>
      </c>
      <c r="CI31" s="112">
        <v>20</v>
      </c>
      <c r="CJ31" s="112">
        <v>24</v>
      </c>
      <c r="CK31" s="112">
        <v>34</v>
      </c>
      <c r="CL31" s="112">
        <v>41</v>
      </c>
      <c r="CM31" s="11">
        <f>SUM(CF31:CK31)-45-45</f>
        <v>7</v>
      </c>
      <c r="CN31" s="11">
        <f>SUM(CF31:CL31)-45-45-45</f>
        <v>3</v>
      </c>
      <c r="CO31" s="43"/>
      <c r="CP31" s="11">
        <f t="shared" si="38"/>
        <v>1</v>
      </c>
      <c r="CQ31" s="11">
        <f t="shared" si="38"/>
        <v>8</v>
      </c>
      <c r="CR31" s="11">
        <f t="shared" si="38"/>
        <v>8</v>
      </c>
      <c r="CS31" s="11">
        <f t="shared" si="38"/>
        <v>4</v>
      </c>
      <c r="CT31" s="11">
        <f t="shared" si="38"/>
        <v>10</v>
      </c>
      <c r="CU31" s="11">
        <f t="shared" si="38"/>
        <v>7</v>
      </c>
      <c r="CV31" s="11">
        <v>9</v>
      </c>
      <c r="CW31" s="11">
        <f>68-45</f>
        <v>23</v>
      </c>
      <c r="DI31" s="129"/>
      <c r="DJ31" s="129"/>
      <c r="DK31" s="129"/>
      <c r="DL31" s="129"/>
      <c r="DM31" s="129"/>
      <c r="DN31" s="129"/>
      <c r="DO31" s="129"/>
      <c r="DP31" s="129"/>
      <c r="DQ31" s="129"/>
      <c r="DR31" s="129"/>
      <c r="DS31" s="129"/>
      <c r="DT31" s="129"/>
      <c r="DU31" s="129"/>
      <c r="DV31" s="129"/>
      <c r="DW31" s="129"/>
      <c r="DX31" s="129"/>
      <c r="DY31" s="129"/>
    </row>
    <row r="32" spans="3:129" s="122" customFormat="1" ht="17.25">
      <c r="C32" s="11">
        <v>501</v>
      </c>
      <c r="D32" s="107" t="s">
        <v>8</v>
      </c>
      <c r="E32" s="17">
        <v>1</v>
      </c>
      <c r="F32" s="17">
        <v>10</v>
      </c>
      <c r="G32" s="17">
        <v>1</v>
      </c>
      <c r="H32" s="17">
        <f t="shared" si="0"/>
        <v>11</v>
      </c>
      <c r="I32" s="17">
        <v>6</v>
      </c>
      <c r="J32" s="151">
        <f t="shared" si="1"/>
        <v>29</v>
      </c>
      <c r="K32" s="151">
        <f t="shared" si="2"/>
        <v>13</v>
      </c>
      <c r="L32" s="34">
        <f t="shared" si="3"/>
        <v>-19</v>
      </c>
      <c r="M32" s="34">
        <f t="shared" si="4"/>
        <v>-38</v>
      </c>
      <c r="N32" s="34">
        <f t="shared" si="5"/>
        <v>-121</v>
      </c>
      <c r="O32" s="34">
        <f t="shared" si="6"/>
        <v>-242</v>
      </c>
      <c r="P32" s="34">
        <f t="shared" si="7"/>
        <v>-484</v>
      </c>
      <c r="Q32" s="34">
        <f t="shared" si="8"/>
        <v>-1013</v>
      </c>
      <c r="R32" s="34">
        <f t="shared" si="9"/>
        <v>-2026</v>
      </c>
      <c r="S32" s="34">
        <f t="shared" si="10"/>
        <v>-4052</v>
      </c>
      <c r="T32" s="34">
        <f t="shared" si="11"/>
        <v>-8149</v>
      </c>
      <c r="U32" s="34">
        <f t="shared" si="12"/>
        <v>-16343</v>
      </c>
      <c r="V32" s="34">
        <f t="shared" si="13"/>
        <v>-32732</v>
      </c>
      <c r="W32" s="34">
        <f t="shared" si="14"/>
        <v>-65519</v>
      </c>
      <c r="X32" s="34">
        <f t="shared" si="14"/>
        <v>-131039</v>
      </c>
      <c r="Y32" s="34">
        <f t="shared" si="15"/>
        <v>-262134</v>
      </c>
      <c r="Z32" s="34">
        <f t="shared" si="15"/>
        <v>-524274</v>
      </c>
      <c r="AA32" s="34">
        <f t="shared" si="16"/>
        <v>-1048532</v>
      </c>
      <c r="AB32" s="34">
        <f t="shared" si="16"/>
        <v>-2097077</v>
      </c>
      <c r="AC32" s="34">
        <f t="shared" si="16"/>
        <v>-4194135</v>
      </c>
      <c r="AD32" s="34">
        <f t="shared" si="17"/>
        <v>-8388187</v>
      </c>
      <c r="AE32" s="34">
        <f t="shared" si="18"/>
        <v>-16776298</v>
      </c>
      <c r="AF32" s="34">
        <f t="shared" si="18"/>
        <v>-33552354</v>
      </c>
      <c r="AG32" s="34">
        <f t="shared" si="18"/>
        <v>-67104224</v>
      </c>
      <c r="AH32" s="34">
        <f t="shared" si="19"/>
        <v>-134207480</v>
      </c>
      <c r="AI32" s="34">
        <f t="shared" si="20"/>
        <v>-268412889</v>
      </c>
      <c r="AJ32" s="34">
        <f t="shared" si="20"/>
        <v>-536821726</v>
      </c>
      <c r="AK32" s="34">
        <f t="shared" si="20"/>
        <v>-1073635303</v>
      </c>
      <c r="AL32" s="34">
        <f t="shared" si="20"/>
        <v>-2147254263</v>
      </c>
      <c r="AM32" s="34">
        <f t="shared" si="21"/>
        <v>-4294475749</v>
      </c>
      <c r="AN32" s="34">
        <f t="shared" si="21"/>
        <v>-8588885979</v>
      </c>
      <c r="AO32" s="34">
        <f t="shared" si="21"/>
        <v>-17177640919</v>
      </c>
      <c r="AP32" s="34">
        <f t="shared" si="22"/>
        <v>-34355019749</v>
      </c>
      <c r="AQ32" s="34">
        <f t="shared" si="23"/>
        <v>-68709515269</v>
      </c>
      <c r="AR32" s="34">
        <f t="shared" si="24"/>
        <v>-137417981961</v>
      </c>
      <c r="AS32" s="34">
        <f t="shared" si="25"/>
        <v>-274833866890</v>
      </c>
      <c r="AT32" s="34">
        <f t="shared" si="25"/>
        <v>-549663539645</v>
      </c>
      <c r="AU32" s="34">
        <f t="shared" si="26"/>
        <v>-1099318691058</v>
      </c>
      <c r="AV32" s="34">
        <f t="shared" si="26"/>
        <v>-2198620605818</v>
      </c>
      <c r="AW32" s="34">
        <f t="shared" si="27"/>
        <v>-4397207659237</v>
      </c>
      <c r="AX32" s="34">
        <f t="shared" si="27"/>
        <v>-8794348214250</v>
      </c>
      <c r="AY32" s="34">
        <f t="shared" si="27"/>
        <v>-17588562221020</v>
      </c>
      <c r="AZ32" s="34">
        <f t="shared" si="27"/>
        <v>-35176856029151</v>
      </c>
      <c r="BA32" s="34">
        <f t="shared" si="27"/>
        <v>-70353175236576</v>
      </c>
      <c r="BB32" s="34">
        <f t="shared" si="27"/>
        <v>-140705276837849</v>
      </c>
      <c r="BC32" s="34">
        <f t="shared" si="28"/>
        <v>-281408406421480</v>
      </c>
      <c r="BD32" s="34">
        <f t="shared" si="28"/>
        <v>-562812518367211</v>
      </c>
      <c r="BE32" s="34">
        <f t="shared" si="28"/>
        <v>-1125616447848443</v>
      </c>
      <c r="BF32" s="34">
        <f t="shared" si="29"/>
        <v>-2251215718055922</v>
      </c>
      <c r="BG32" s="34">
        <f t="shared" si="29"/>
        <v>-4502397081092095</v>
      </c>
      <c r="BH32" s="34">
        <f t="shared" si="30"/>
        <v>-9004725452668876</v>
      </c>
      <c r="BI32" s="34">
        <f t="shared" si="31"/>
        <v>-1.8009313487355836E+16</v>
      </c>
      <c r="BJ32" s="34">
        <f t="shared" si="31"/>
        <v>-3.6018352140844784E+16</v>
      </c>
      <c r="BK32" s="34">
        <f t="shared" si="31"/>
        <v>-7.203615461814992E+16</v>
      </c>
      <c r="BL32" s="34">
        <f t="shared" si="32"/>
        <v>-1.4407120991760883E+17</v>
      </c>
      <c r="BM32" s="34">
        <f t="shared" si="32"/>
        <v>-2.8814022121461184E+17</v>
      </c>
      <c r="BN32" s="34">
        <f t="shared" si="33"/>
        <v>-5.7627604522156442E+17</v>
      </c>
      <c r="BO32" s="34">
        <f t="shared" si="34"/>
        <v>-1.1525432960949147E+18</v>
      </c>
      <c r="BP32" s="34">
        <f t="shared" si="35"/>
        <v>-2.3050690036276083E+18</v>
      </c>
      <c r="BQ32" s="34">
        <f t="shared" si="36"/>
        <v>-4.6101028303991875E+18</v>
      </c>
      <c r="BR32" s="34">
        <f t="shared" si="36"/>
        <v>-9.2201353076231373E+18</v>
      </c>
      <c r="BS32" s="34">
        <f t="shared" si="36"/>
        <v>-1.8440129909969437E+19</v>
      </c>
      <c r="BT32" s="34">
        <f t="shared" si="36"/>
        <v>-3.6879978411532452E+19</v>
      </c>
      <c r="BU32" s="34">
        <f t="shared" si="37"/>
        <v>-7.3759394010546536E+19</v>
      </c>
      <c r="BV32" s="34">
        <f t="shared" si="37"/>
        <v>-1.4751766240464522E+20</v>
      </c>
      <c r="BX32" s="40"/>
      <c r="CE32" s="12">
        <v>501</v>
      </c>
      <c r="CF32" s="112">
        <v>1</v>
      </c>
      <c r="CG32" s="112">
        <v>4</v>
      </c>
      <c r="CH32" s="112">
        <v>10</v>
      </c>
      <c r="CI32" s="112">
        <v>17</v>
      </c>
      <c r="CJ32" s="112">
        <v>31</v>
      </c>
      <c r="CK32" s="112">
        <v>42</v>
      </c>
      <c r="CL32" s="112">
        <v>2</v>
      </c>
      <c r="CM32" s="11">
        <f>SUM(CF32:CK32)-45-45-45</f>
        <v>-30</v>
      </c>
      <c r="CN32" s="11">
        <f>SUM(CF32:CL32)-45-45-45-45</f>
        <v>-73</v>
      </c>
      <c r="CO32" s="43"/>
      <c r="CP32" s="11">
        <f t="shared" si="38"/>
        <v>3</v>
      </c>
      <c r="CQ32" s="11">
        <f t="shared" si="38"/>
        <v>6</v>
      </c>
      <c r="CR32" s="11">
        <f t="shared" si="38"/>
        <v>7</v>
      </c>
      <c r="CS32" s="11">
        <f t="shared" si="38"/>
        <v>14</v>
      </c>
      <c r="CT32" s="11">
        <f t="shared" si="38"/>
        <v>11</v>
      </c>
      <c r="CU32" s="11">
        <f t="shared" si="38"/>
        <v>40</v>
      </c>
      <c r="CV32" s="11">
        <v>4</v>
      </c>
      <c r="CW32" s="11">
        <f>61-45</f>
        <v>16</v>
      </c>
      <c r="DI32" s="129"/>
      <c r="DJ32" s="129"/>
      <c r="DK32" s="129"/>
      <c r="DL32" s="129"/>
      <c r="DM32" s="129"/>
      <c r="DN32" s="129"/>
      <c r="DO32" s="129"/>
      <c r="DP32" s="129"/>
      <c r="DQ32" s="129"/>
      <c r="DR32" s="129"/>
      <c r="DS32" s="129"/>
      <c r="DT32" s="129"/>
      <c r="DU32" s="129"/>
      <c r="DV32" s="129"/>
      <c r="DW32" s="129"/>
      <c r="DX32" s="129"/>
      <c r="DY32" s="129"/>
    </row>
    <row r="33" spans="3:129" s="122" customFormat="1" ht="17.25">
      <c r="C33" s="11">
        <v>502</v>
      </c>
      <c r="D33" s="107" t="s">
        <v>45</v>
      </c>
      <c r="E33" s="17">
        <v>1</v>
      </c>
      <c r="F33" s="17">
        <v>10</v>
      </c>
      <c r="G33" s="17">
        <v>1</v>
      </c>
      <c r="H33" s="17">
        <f t="shared" si="0"/>
        <v>11</v>
      </c>
      <c r="I33" s="17">
        <v>7</v>
      </c>
      <c r="J33" s="151">
        <f t="shared" si="1"/>
        <v>30</v>
      </c>
      <c r="K33" s="151">
        <f t="shared" si="2"/>
        <v>15</v>
      </c>
      <c r="L33" s="34">
        <f t="shared" si="3"/>
        <v>-15</v>
      </c>
      <c r="M33" s="34">
        <f t="shared" si="4"/>
        <v>-30</v>
      </c>
      <c r="N33" s="34">
        <f t="shared" si="5"/>
        <v>-105</v>
      </c>
      <c r="O33" s="34">
        <f t="shared" si="6"/>
        <v>-210</v>
      </c>
      <c r="P33" s="34">
        <f t="shared" si="7"/>
        <v>-420</v>
      </c>
      <c r="Q33" s="34">
        <f t="shared" si="8"/>
        <v>-885</v>
      </c>
      <c r="R33" s="34">
        <f t="shared" si="9"/>
        <v>-1770</v>
      </c>
      <c r="S33" s="34">
        <f t="shared" si="10"/>
        <v>-3540</v>
      </c>
      <c r="T33" s="34">
        <f t="shared" si="11"/>
        <v>-7125</v>
      </c>
      <c r="U33" s="34">
        <f t="shared" si="12"/>
        <v>-14295</v>
      </c>
      <c r="V33" s="34">
        <f t="shared" si="13"/>
        <v>-28636</v>
      </c>
      <c r="W33" s="34">
        <f t="shared" si="14"/>
        <v>-57327</v>
      </c>
      <c r="X33" s="34">
        <f t="shared" si="14"/>
        <v>-114655</v>
      </c>
      <c r="Y33" s="34">
        <f t="shared" si="15"/>
        <v>-229366</v>
      </c>
      <c r="Z33" s="34">
        <f t="shared" si="15"/>
        <v>-458739</v>
      </c>
      <c r="AA33" s="34">
        <f t="shared" si="16"/>
        <v>-917463</v>
      </c>
      <c r="AB33" s="34">
        <f t="shared" si="16"/>
        <v>-1834941</v>
      </c>
      <c r="AC33" s="34">
        <f t="shared" si="16"/>
        <v>-3669867</v>
      </c>
      <c r="AD33" s="34">
        <f t="shared" si="17"/>
        <v>-7339659</v>
      </c>
      <c r="AE33" s="34">
        <f t="shared" si="18"/>
        <v>-14679258</v>
      </c>
      <c r="AF33" s="34">
        <f t="shared" si="18"/>
        <v>-29358306</v>
      </c>
      <c r="AG33" s="34">
        <f t="shared" si="18"/>
        <v>-58716192</v>
      </c>
      <c r="AH33" s="34">
        <f t="shared" si="19"/>
        <v>-117431544</v>
      </c>
      <c r="AI33" s="34">
        <f t="shared" si="20"/>
        <v>-234861273</v>
      </c>
      <c r="AJ33" s="34">
        <f t="shared" si="20"/>
        <v>-469719006</v>
      </c>
      <c r="AK33" s="34">
        <f t="shared" si="20"/>
        <v>-939430887</v>
      </c>
      <c r="AL33" s="34">
        <f t="shared" si="20"/>
        <v>-1878847479</v>
      </c>
      <c r="AM33" s="34">
        <f t="shared" si="21"/>
        <v>-3757666277</v>
      </c>
      <c r="AN33" s="34">
        <f t="shared" si="21"/>
        <v>-7515275227</v>
      </c>
      <c r="AO33" s="34">
        <f t="shared" si="21"/>
        <v>-15030435799</v>
      </c>
      <c r="AP33" s="34">
        <f t="shared" si="22"/>
        <v>-30060642277</v>
      </c>
      <c r="AQ33" s="34">
        <f t="shared" si="23"/>
        <v>-60120825860</v>
      </c>
      <c r="AR33" s="34">
        <f t="shared" si="24"/>
        <v>-120240734212</v>
      </c>
      <c r="AS33" s="34">
        <f t="shared" si="25"/>
        <v>-240479633528</v>
      </c>
      <c r="AT33" s="34">
        <f t="shared" si="25"/>
        <v>-480955597189</v>
      </c>
      <c r="AU33" s="34">
        <f t="shared" si="26"/>
        <v>-961903854674</v>
      </c>
      <c r="AV33" s="34">
        <f t="shared" si="26"/>
        <v>-1923793030090</v>
      </c>
      <c r="AW33" s="34">
        <f t="shared" si="27"/>
        <v>-3847556701829</v>
      </c>
      <c r="AX33" s="34">
        <f t="shared" si="27"/>
        <v>-7695054687466</v>
      </c>
      <c r="AY33" s="34">
        <f t="shared" si="27"/>
        <v>-15389991943388</v>
      </c>
      <c r="AZ33" s="34">
        <f t="shared" si="27"/>
        <v>-30779749025503</v>
      </c>
      <c r="BA33" s="34">
        <f t="shared" si="27"/>
        <v>-61559028332000</v>
      </c>
      <c r="BB33" s="34">
        <f t="shared" si="27"/>
        <v>-123117117233113</v>
      </c>
      <c r="BC33" s="34">
        <f t="shared" si="28"/>
        <v>-246232355618792</v>
      </c>
      <c r="BD33" s="34">
        <f t="shared" si="28"/>
        <v>-492460953571307</v>
      </c>
      <c r="BE33" s="34">
        <f t="shared" si="28"/>
        <v>-984914391867387</v>
      </c>
      <c r="BF33" s="34">
        <f t="shared" si="29"/>
        <v>-1969813753298930</v>
      </c>
      <c r="BG33" s="34">
        <f t="shared" si="29"/>
        <v>-3939597445955583</v>
      </c>
      <c r="BH33" s="34">
        <f t="shared" si="30"/>
        <v>-7879134771085261</v>
      </c>
      <c r="BI33" s="34">
        <f t="shared" si="31"/>
        <v>-1.5758149301436356E+16</v>
      </c>
      <c r="BJ33" s="34">
        <f t="shared" si="31"/>
        <v>-3.1516058123239184E+16</v>
      </c>
      <c r="BK33" s="34">
        <f t="shared" si="31"/>
        <v>-6.3031635290881176E+16</v>
      </c>
      <c r="BL33" s="34">
        <f t="shared" si="32"/>
        <v>-1.2606230867790771E+17</v>
      </c>
      <c r="BM33" s="34">
        <f t="shared" si="32"/>
        <v>-2.5212269356278534E+17</v>
      </c>
      <c r="BN33" s="34">
        <f t="shared" si="33"/>
        <v>-5.042415395688688E+17</v>
      </c>
      <c r="BO33" s="34">
        <f t="shared" si="34"/>
        <v>-1.0084753840830501E+18</v>
      </c>
      <c r="BP33" s="34">
        <f t="shared" si="35"/>
        <v>-2.0169353781741568E+18</v>
      </c>
      <c r="BQ33" s="34">
        <f t="shared" si="36"/>
        <v>-4.0338399765992883E+18</v>
      </c>
      <c r="BR33" s="34">
        <f t="shared" si="36"/>
        <v>-8.0676183941702441E+18</v>
      </c>
      <c r="BS33" s="34">
        <f t="shared" si="36"/>
        <v>-1.6135113671223255E+19</v>
      </c>
      <c r="BT33" s="34">
        <f t="shared" si="36"/>
        <v>-3.2269981110090891E+19</v>
      </c>
      <c r="BU33" s="34">
        <f t="shared" si="37"/>
        <v>-6.4539469759228215E+19</v>
      </c>
      <c r="BV33" s="34">
        <f t="shared" si="37"/>
        <v>-1.2907795460406456E+20</v>
      </c>
      <c r="BX33" s="40"/>
      <c r="CE33" s="12">
        <v>502</v>
      </c>
      <c r="CF33" s="111">
        <v>6</v>
      </c>
      <c r="CG33" s="111">
        <v>22</v>
      </c>
      <c r="CH33" s="111">
        <v>28</v>
      </c>
      <c r="CI33" s="111">
        <v>32</v>
      </c>
      <c r="CJ33" s="111">
        <v>34</v>
      </c>
      <c r="CK33" s="111">
        <v>40</v>
      </c>
      <c r="CL33" s="111">
        <v>26</v>
      </c>
      <c r="CM33" s="11">
        <f>SUM(CF33:CK33)-45-45-45</f>
        <v>27</v>
      </c>
      <c r="CN33" s="11">
        <f>SUM(CF33:CL33)-45-45-45-45</f>
        <v>8</v>
      </c>
      <c r="CP33" s="130">
        <f t="shared" si="38"/>
        <v>16</v>
      </c>
      <c r="CQ33" s="130">
        <f t="shared" si="38"/>
        <v>6</v>
      </c>
      <c r="CR33" s="130">
        <f t="shared" si="38"/>
        <v>4</v>
      </c>
      <c r="CS33" s="130">
        <f t="shared" si="38"/>
        <v>2</v>
      </c>
      <c r="CT33" s="130">
        <f t="shared" si="38"/>
        <v>6</v>
      </c>
      <c r="CU33" s="130">
        <f t="shared" si="38"/>
        <v>14</v>
      </c>
      <c r="CV33" s="11">
        <v>6</v>
      </c>
      <c r="CW33" s="11">
        <v>31</v>
      </c>
      <c r="DI33" s="129"/>
      <c r="DJ33" s="129"/>
      <c r="DK33" s="129"/>
      <c r="DL33" s="129"/>
      <c r="DM33" s="129"/>
      <c r="DN33" s="129"/>
      <c r="DO33" s="129"/>
      <c r="DP33" s="129"/>
      <c r="DQ33" s="129"/>
      <c r="DR33" s="129"/>
      <c r="DS33" s="129"/>
      <c r="DT33" s="129"/>
      <c r="DU33" s="129"/>
      <c r="DV33" s="129"/>
      <c r="DW33" s="129"/>
      <c r="DX33" s="129"/>
      <c r="DY33" s="129"/>
    </row>
    <row r="34" spans="3:129" s="122" customFormat="1" ht="17.25">
      <c r="C34" s="11">
        <v>503</v>
      </c>
      <c r="D34" s="107" t="s">
        <v>46</v>
      </c>
      <c r="E34" s="17">
        <v>1</v>
      </c>
      <c r="F34" s="17">
        <v>10</v>
      </c>
      <c r="G34" s="17">
        <v>1</v>
      </c>
      <c r="H34" s="17">
        <f t="shared" si="0"/>
        <v>11</v>
      </c>
      <c r="I34" s="17">
        <v>8</v>
      </c>
      <c r="J34" s="151">
        <f t="shared" si="1"/>
        <v>31</v>
      </c>
      <c r="K34" s="151">
        <f t="shared" si="2"/>
        <v>17</v>
      </c>
      <c r="L34" s="34">
        <f t="shared" si="3"/>
        <v>-11</v>
      </c>
      <c r="M34" s="34">
        <f t="shared" si="4"/>
        <v>-22</v>
      </c>
      <c r="N34" s="34">
        <f t="shared" si="5"/>
        <v>-89</v>
      </c>
      <c r="O34" s="34">
        <f t="shared" si="6"/>
        <v>-178</v>
      </c>
      <c r="P34" s="34">
        <f t="shared" si="7"/>
        <v>-356</v>
      </c>
      <c r="Q34" s="34">
        <f t="shared" si="8"/>
        <v>-757</v>
      </c>
      <c r="R34" s="34">
        <f t="shared" si="9"/>
        <v>-1514</v>
      </c>
      <c r="S34" s="34">
        <f t="shared" si="10"/>
        <v>-3028</v>
      </c>
      <c r="T34" s="34">
        <f t="shared" si="11"/>
        <v>-6101</v>
      </c>
      <c r="U34" s="34">
        <f t="shared" si="12"/>
        <v>-12247</v>
      </c>
      <c r="V34" s="34">
        <f t="shared" si="13"/>
        <v>-24540</v>
      </c>
      <c r="W34" s="34">
        <f t="shared" si="14"/>
        <v>-49135</v>
      </c>
      <c r="X34" s="34">
        <f t="shared" si="14"/>
        <v>-98271</v>
      </c>
      <c r="Y34" s="34">
        <f t="shared" si="15"/>
        <v>-196598</v>
      </c>
      <c r="Z34" s="34">
        <f t="shared" si="15"/>
        <v>-393204</v>
      </c>
      <c r="AA34" s="34">
        <f t="shared" si="16"/>
        <v>-786394</v>
      </c>
      <c r="AB34" s="34">
        <f t="shared" si="16"/>
        <v>-1572805</v>
      </c>
      <c r="AC34" s="34">
        <f t="shared" si="16"/>
        <v>-3145599</v>
      </c>
      <c r="AD34" s="34">
        <f t="shared" si="17"/>
        <v>-6291131</v>
      </c>
      <c r="AE34" s="34">
        <f t="shared" si="18"/>
        <v>-12582218</v>
      </c>
      <c r="AF34" s="34">
        <f t="shared" si="18"/>
        <v>-25164258</v>
      </c>
      <c r="AG34" s="34">
        <f t="shared" si="18"/>
        <v>-50328160</v>
      </c>
      <c r="AH34" s="34">
        <f t="shared" si="19"/>
        <v>-100655608</v>
      </c>
      <c r="AI34" s="34">
        <f t="shared" si="20"/>
        <v>-201309657</v>
      </c>
      <c r="AJ34" s="34">
        <f t="shared" si="20"/>
        <v>-402616286</v>
      </c>
      <c r="AK34" s="34">
        <f t="shared" si="20"/>
        <v>-805226471</v>
      </c>
      <c r="AL34" s="34">
        <f t="shared" si="20"/>
        <v>-1610440695</v>
      </c>
      <c r="AM34" s="34">
        <f t="shared" si="21"/>
        <v>-3220856805</v>
      </c>
      <c r="AN34" s="34">
        <f t="shared" si="21"/>
        <v>-6441664475</v>
      </c>
      <c r="AO34" s="34">
        <f t="shared" si="21"/>
        <v>-12883230679</v>
      </c>
      <c r="AP34" s="34">
        <f t="shared" si="22"/>
        <v>-25766264805</v>
      </c>
      <c r="AQ34" s="34">
        <f t="shared" si="23"/>
        <v>-51532136451</v>
      </c>
      <c r="AR34" s="34">
        <f t="shared" si="24"/>
        <v>-103063486463</v>
      </c>
      <c r="AS34" s="34">
        <f t="shared" si="25"/>
        <v>-206125400166</v>
      </c>
      <c r="AT34" s="34">
        <f t="shared" si="25"/>
        <v>-412247654733</v>
      </c>
      <c r="AU34" s="34">
        <f t="shared" si="26"/>
        <v>-824489018290</v>
      </c>
      <c r="AV34" s="34">
        <f t="shared" si="26"/>
        <v>-1648965454362</v>
      </c>
      <c r="AW34" s="34">
        <f t="shared" si="27"/>
        <v>-3297905744421</v>
      </c>
      <c r="AX34" s="34">
        <f t="shared" si="27"/>
        <v>-6595761160682</v>
      </c>
      <c r="AY34" s="34">
        <f t="shared" si="27"/>
        <v>-13191421665756</v>
      </c>
      <c r="AZ34" s="34">
        <f t="shared" si="27"/>
        <v>-26382642021855</v>
      </c>
      <c r="BA34" s="34">
        <f t="shared" si="27"/>
        <v>-52764881427424</v>
      </c>
      <c r="BB34" s="34">
        <f t="shared" si="27"/>
        <v>-105528957628377</v>
      </c>
      <c r="BC34" s="34">
        <f t="shared" si="28"/>
        <v>-211056304816104</v>
      </c>
      <c r="BD34" s="34">
        <f t="shared" si="28"/>
        <v>-422109388775403</v>
      </c>
      <c r="BE34" s="34">
        <f t="shared" si="28"/>
        <v>-844212335886331</v>
      </c>
      <c r="BF34" s="34">
        <f t="shared" si="29"/>
        <v>-1688411788541938</v>
      </c>
      <c r="BG34" s="34">
        <f t="shared" si="29"/>
        <v>-3376797810819071</v>
      </c>
      <c r="BH34" s="34">
        <f t="shared" si="30"/>
        <v>-6753544089501646</v>
      </c>
      <c r="BI34" s="34">
        <f t="shared" si="31"/>
        <v>-1.3506985115516876E+16</v>
      </c>
      <c r="BJ34" s="34">
        <f t="shared" si="31"/>
        <v>-2.7013764105633584E+16</v>
      </c>
      <c r="BK34" s="34">
        <f t="shared" si="31"/>
        <v>-5.4027115963612432E+16</v>
      </c>
      <c r="BL34" s="34">
        <f t="shared" si="32"/>
        <v>-1.0805340743820662E+17</v>
      </c>
      <c r="BM34" s="34">
        <f t="shared" si="32"/>
        <v>-2.1610516591095888E+17</v>
      </c>
      <c r="BN34" s="34">
        <f t="shared" si="33"/>
        <v>-4.3220703391617331E+17</v>
      </c>
      <c r="BO34" s="34">
        <f t="shared" si="34"/>
        <v>-8.6440747207118605E+17</v>
      </c>
      <c r="BP34" s="34">
        <f t="shared" si="35"/>
        <v>-1.7288017527207063E+18</v>
      </c>
      <c r="BQ34" s="34">
        <f t="shared" si="36"/>
        <v>-3.4575771227993912E+18</v>
      </c>
      <c r="BR34" s="34">
        <f t="shared" si="36"/>
        <v>-6.915101480717355E+18</v>
      </c>
      <c r="BS34" s="34">
        <f t="shared" si="36"/>
        <v>-1.3830097432477082E+19</v>
      </c>
      <c r="BT34" s="34">
        <f t="shared" si="36"/>
        <v>-2.7659983808649347E+19</v>
      </c>
      <c r="BU34" s="34">
        <f t="shared" si="37"/>
        <v>-5.5319545507909919E+19</v>
      </c>
      <c r="BV34" s="34">
        <f t="shared" si="37"/>
        <v>-1.1063824680348395E+20</v>
      </c>
      <c r="BX34" s="40"/>
      <c r="CE34" s="12">
        <v>503</v>
      </c>
      <c r="CF34" s="111">
        <v>1</v>
      </c>
      <c r="CG34" s="111">
        <v>5</v>
      </c>
      <c r="CH34" s="111">
        <v>27</v>
      </c>
      <c r="CI34" s="111">
        <v>30</v>
      </c>
      <c r="CJ34" s="111">
        <v>34</v>
      </c>
      <c r="CK34" s="111">
        <v>36</v>
      </c>
      <c r="CL34" s="111">
        <v>40</v>
      </c>
      <c r="CM34" s="11">
        <f>SUM(CF34:CK34)-45-45</f>
        <v>43</v>
      </c>
      <c r="CN34" s="11">
        <f>SUM(CF34:CL34)-45-45</f>
        <v>83</v>
      </c>
      <c r="CP34" s="130">
        <f t="shared" si="38"/>
        <v>4</v>
      </c>
      <c r="CQ34" s="130">
        <f t="shared" si="38"/>
        <v>22</v>
      </c>
      <c r="CR34" s="130">
        <f t="shared" si="38"/>
        <v>3</v>
      </c>
      <c r="CS34" s="130">
        <f t="shared" si="38"/>
        <v>4</v>
      </c>
      <c r="CT34" s="130">
        <f t="shared" si="38"/>
        <v>2</v>
      </c>
      <c r="CU34" s="130">
        <f t="shared" si="38"/>
        <v>4</v>
      </c>
      <c r="CV34" s="11">
        <v>7</v>
      </c>
      <c r="CW34" s="11">
        <v>42</v>
      </c>
      <c r="DI34" s="129"/>
      <c r="DJ34" s="129"/>
      <c r="DK34" s="129"/>
      <c r="DL34" s="129"/>
      <c r="DM34" s="129"/>
      <c r="DN34" s="129"/>
      <c r="DO34" s="129"/>
      <c r="DP34" s="129"/>
      <c r="DQ34" s="129"/>
      <c r="DR34" s="129"/>
      <c r="DS34" s="129"/>
      <c r="DT34" s="129"/>
      <c r="DU34" s="129"/>
      <c r="DV34" s="129"/>
      <c r="DW34" s="129"/>
      <c r="DX34" s="129"/>
      <c r="DY34" s="129"/>
    </row>
    <row r="35" spans="3:129" s="122" customFormat="1" ht="17.25">
      <c r="C35" s="11">
        <v>504</v>
      </c>
      <c r="D35" s="107" t="s">
        <v>47</v>
      </c>
      <c r="E35" s="17">
        <v>1</v>
      </c>
      <c r="F35" s="17">
        <v>10</v>
      </c>
      <c r="G35" s="17">
        <v>1</v>
      </c>
      <c r="H35" s="17">
        <f t="shared" si="0"/>
        <v>11</v>
      </c>
      <c r="I35" s="17">
        <v>9</v>
      </c>
      <c r="J35" s="151">
        <f t="shared" si="1"/>
        <v>32</v>
      </c>
      <c r="K35" s="151">
        <f t="shared" si="2"/>
        <v>19</v>
      </c>
      <c r="L35" s="34">
        <f t="shared" si="3"/>
        <v>-7</v>
      </c>
      <c r="M35" s="34">
        <f t="shared" si="4"/>
        <v>-14</v>
      </c>
      <c r="N35" s="34">
        <f t="shared" si="5"/>
        <v>-73</v>
      </c>
      <c r="O35" s="34">
        <f t="shared" si="6"/>
        <v>-146</v>
      </c>
      <c r="P35" s="34">
        <f t="shared" si="7"/>
        <v>-292</v>
      </c>
      <c r="Q35" s="34">
        <f t="shared" si="8"/>
        <v>-629</v>
      </c>
      <c r="R35" s="34">
        <f t="shared" si="9"/>
        <v>-1258</v>
      </c>
      <c r="S35" s="34">
        <f t="shared" si="10"/>
        <v>-2516</v>
      </c>
      <c r="T35" s="34">
        <f t="shared" si="11"/>
        <v>-5077</v>
      </c>
      <c r="U35" s="34">
        <f t="shared" si="12"/>
        <v>-10199</v>
      </c>
      <c r="V35" s="34">
        <f t="shared" si="13"/>
        <v>-20444</v>
      </c>
      <c r="W35" s="34">
        <f t="shared" si="14"/>
        <v>-40943</v>
      </c>
      <c r="X35" s="34">
        <f t="shared" si="14"/>
        <v>-81887</v>
      </c>
      <c r="Y35" s="34">
        <f t="shared" si="15"/>
        <v>-163830</v>
      </c>
      <c r="Z35" s="34">
        <f t="shared" si="15"/>
        <v>-327669</v>
      </c>
      <c r="AA35" s="34">
        <f t="shared" si="16"/>
        <v>-655325</v>
      </c>
      <c r="AB35" s="34">
        <f t="shared" si="16"/>
        <v>-1310669</v>
      </c>
      <c r="AC35" s="34">
        <f t="shared" si="16"/>
        <v>-2621331</v>
      </c>
      <c r="AD35" s="34">
        <f t="shared" si="17"/>
        <v>-5242603</v>
      </c>
      <c r="AE35" s="34">
        <f t="shared" si="18"/>
        <v>-10485178</v>
      </c>
      <c r="AF35" s="34">
        <f t="shared" si="18"/>
        <v>-20970210</v>
      </c>
      <c r="AG35" s="34">
        <f t="shared" si="18"/>
        <v>-41940128</v>
      </c>
      <c r="AH35" s="34">
        <f t="shared" si="19"/>
        <v>-83879672</v>
      </c>
      <c r="AI35" s="34">
        <f t="shared" si="20"/>
        <v>-167758041</v>
      </c>
      <c r="AJ35" s="34">
        <f t="shared" si="20"/>
        <v>-335513566</v>
      </c>
      <c r="AK35" s="34">
        <f t="shared" si="20"/>
        <v>-671022055</v>
      </c>
      <c r="AL35" s="34">
        <f t="shared" si="20"/>
        <v>-1342033911</v>
      </c>
      <c r="AM35" s="34">
        <f t="shared" si="21"/>
        <v>-2684047333</v>
      </c>
      <c r="AN35" s="34">
        <f t="shared" si="21"/>
        <v>-5368053723</v>
      </c>
      <c r="AO35" s="34">
        <f t="shared" si="21"/>
        <v>-10736025559</v>
      </c>
      <c r="AP35" s="34">
        <f t="shared" si="22"/>
        <v>-21471887333</v>
      </c>
      <c r="AQ35" s="34">
        <f t="shared" si="23"/>
        <v>-42943447042</v>
      </c>
      <c r="AR35" s="34">
        <f t="shared" si="24"/>
        <v>-85886238714</v>
      </c>
      <c r="AS35" s="34">
        <f t="shared" si="25"/>
        <v>-171771166804</v>
      </c>
      <c r="AT35" s="34">
        <f t="shared" si="25"/>
        <v>-343539712277</v>
      </c>
      <c r="AU35" s="34">
        <f t="shared" si="26"/>
        <v>-687074181906</v>
      </c>
      <c r="AV35" s="34">
        <f t="shared" si="26"/>
        <v>-1374137878634</v>
      </c>
      <c r="AW35" s="34">
        <f t="shared" si="27"/>
        <v>-2748254787013</v>
      </c>
      <c r="AX35" s="34">
        <f t="shared" si="27"/>
        <v>-5496467633898</v>
      </c>
      <c r="AY35" s="34">
        <f t="shared" si="27"/>
        <v>-10992851388124</v>
      </c>
      <c r="AZ35" s="34">
        <f t="shared" si="27"/>
        <v>-21985535018207</v>
      </c>
      <c r="BA35" s="34">
        <f t="shared" si="27"/>
        <v>-43970734522848</v>
      </c>
      <c r="BB35" s="34">
        <f t="shared" si="27"/>
        <v>-87940798023641</v>
      </c>
      <c r="BC35" s="34">
        <f t="shared" si="28"/>
        <v>-175880254013416</v>
      </c>
      <c r="BD35" s="34">
        <f t="shared" si="28"/>
        <v>-351757823979499</v>
      </c>
      <c r="BE35" s="34">
        <f t="shared" si="28"/>
        <v>-703510279905275</v>
      </c>
      <c r="BF35" s="34">
        <f t="shared" si="29"/>
        <v>-1407009823784946</v>
      </c>
      <c r="BG35" s="34">
        <f t="shared" si="29"/>
        <v>-2813998175682559</v>
      </c>
      <c r="BH35" s="34">
        <f t="shared" si="30"/>
        <v>-5627953407918031</v>
      </c>
      <c r="BI35" s="34">
        <f t="shared" si="31"/>
        <v>-1.1255820929597392E+16</v>
      </c>
      <c r="BJ35" s="34">
        <f t="shared" si="31"/>
        <v>-2.251147008802798E+16</v>
      </c>
      <c r="BK35" s="34">
        <f t="shared" si="31"/>
        <v>-4.502259663634368E+16</v>
      </c>
      <c r="BL35" s="34">
        <f t="shared" si="32"/>
        <v>-9.0044506198505504E+16</v>
      </c>
      <c r="BM35" s="34">
        <f t="shared" si="32"/>
        <v>-1.8008763825913238E+17</v>
      </c>
      <c r="BN35" s="34">
        <f t="shared" si="33"/>
        <v>-3.601725282634777E+17</v>
      </c>
      <c r="BO35" s="34">
        <f t="shared" si="34"/>
        <v>-7.2033956005932147E+17</v>
      </c>
      <c r="BP35" s="34">
        <f t="shared" si="35"/>
        <v>-1.4406681272672548E+18</v>
      </c>
      <c r="BQ35" s="34">
        <f t="shared" si="36"/>
        <v>-2.8813142689994916E+18</v>
      </c>
      <c r="BR35" s="34">
        <f t="shared" si="36"/>
        <v>-5.7625845672644598E+18</v>
      </c>
      <c r="BS35" s="34">
        <f t="shared" si="36"/>
        <v>-1.1525081193730896E+19</v>
      </c>
      <c r="BT35" s="34">
        <f t="shared" si="36"/>
        <v>-2.3049986507207778E+19</v>
      </c>
      <c r="BU35" s="34">
        <f t="shared" si="37"/>
        <v>-4.6099621256591573E+19</v>
      </c>
      <c r="BV35" s="34">
        <f t="shared" si="37"/>
        <v>-9.2198539002903249E+19</v>
      </c>
      <c r="BX35" s="152" t="s">
        <v>109</v>
      </c>
      <c r="CE35" s="12">
        <v>504</v>
      </c>
      <c r="CF35" s="111">
        <v>6</v>
      </c>
      <c r="CG35" s="111">
        <v>14</v>
      </c>
      <c r="CH35" s="111">
        <v>22</v>
      </c>
      <c r="CI35" s="111">
        <v>26</v>
      </c>
      <c r="CJ35" s="111">
        <v>43</v>
      </c>
      <c r="CK35" s="111">
        <v>44</v>
      </c>
      <c r="CL35" s="111">
        <v>31</v>
      </c>
      <c r="CM35" s="11">
        <f t="shared" ref="CM35:CM40" si="39">SUM(CF35:CK35)-45-45-45</f>
        <v>20</v>
      </c>
      <c r="CN35" s="11">
        <f>SUM(CF35:CL35)-45-45-45</f>
        <v>51</v>
      </c>
      <c r="CP35" s="130">
        <f t="shared" ref="CP35:CU51" si="40">ABS(CF35-CG35)</f>
        <v>8</v>
      </c>
      <c r="CQ35" s="130">
        <f t="shared" si="40"/>
        <v>8</v>
      </c>
      <c r="CR35" s="130">
        <f t="shared" si="40"/>
        <v>4</v>
      </c>
      <c r="CS35" s="130">
        <f t="shared" si="40"/>
        <v>17</v>
      </c>
      <c r="CT35" s="130">
        <f t="shared" si="40"/>
        <v>1</v>
      </c>
      <c r="CU35" s="130">
        <f t="shared" si="40"/>
        <v>13</v>
      </c>
      <c r="CV35" s="11">
        <v>9</v>
      </c>
      <c r="CW35" s="11">
        <v>29</v>
      </c>
      <c r="DD35" s="129"/>
      <c r="DE35" s="129"/>
      <c r="DF35" s="129"/>
      <c r="DG35" s="129"/>
      <c r="DH35" s="129"/>
      <c r="DI35" s="129"/>
      <c r="DJ35" s="129"/>
      <c r="DK35" s="129"/>
      <c r="DL35" s="129"/>
      <c r="DM35" s="129">
        <v>32</v>
      </c>
      <c r="DN35" s="129"/>
      <c r="DO35" s="129"/>
      <c r="DP35" s="129"/>
      <c r="DQ35" s="129"/>
      <c r="DR35" s="129">
        <v>38</v>
      </c>
      <c r="DS35" s="129">
        <v>39</v>
      </c>
      <c r="DT35" s="129">
        <v>45</v>
      </c>
      <c r="DU35" s="129"/>
      <c r="DV35" s="129"/>
      <c r="DW35" s="129"/>
      <c r="DX35" s="129"/>
      <c r="DY35" s="129"/>
    </row>
    <row r="36" spans="3:129" s="122" customFormat="1" ht="17.25">
      <c r="C36" s="11">
        <v>505</v>
      </c>
      <c r="D36" s="107" t="s">
        <v>272</v>
      </c>
      <c r="E36" s="17">
        <v>4</v>
      </c>
      <c r="F36" s="17">
        <v>12</v>
      </c>
      <c r="G36" s="17">
        <v>1</v>
      </c>
      <c r="H36" s="17">
        <f>SUM(E36:F36)-(45*0)</f>
        <v>16</v>
      </c>
      <c r="I36" s="17">
        <v>10</v>
      </c>
      <c r="J36" s="151">
        <f t="shared" si="1"/>
        <v>43</v>
      </c>
      <c r="K36" s="151">
        <f t="shared" si="2"/>
        <v>41</v>
      </c>
      <c r="L36" s="34">
        <f t="shared" si="3"/>
        <v>37</v>
      </c>
      <c r="M36" s="34">
        <f>SUM(E36:L36)-(45*3)</f>
        <v>29</v>
      </c>
      <c r="N36" s="34">
        <f>SUM(E36:M36)-(45*4)</f>
        <v>13</v>
      </c>
      <c r="O36" s="34">
        <f>SUM(E36:N36)-(45*4)</f>
        <v>26</v>
      </c>
      <c r="P36" s="34">
        <f>SUM(E36:O36)-(45*5)</f>
        <v>7</v>
      </c>
      <c r="Q36" s="34">
        <f>SUM(E36:P36)-(45*5)</f>
        <v>14</v>
      </c>
      <c r="R36" s="34">
        <f>SUM(E36:Q36)-(45*5)</f>
        <v>28</v>
      </c>
      <c r="S36" s="34">
        <f>SUM(E36:R36)-(45*6)</f>
        <v>11</v>
      </c>
      <c r="T36" s="34">
        <f>SUM(E36:S36)-(45*6)</f>
        <v>22</v>
      </c>
      <c r="U36" s="34">
        <f t="shared" si="12"/>
        <v>44</v>
      </c>
      <c r="V36" s="34">
        <f t="shared" si="13"/>
        <v>39</v>
      </c>
      <c r="W36" s="34">
        <f t="shared" si="14"/>
        <v>21</v>
      </c>
      <c r="X36" s="34">
        <f t="shared" si="14"/>
        <v>41</v>
      </c>
      <c r="Y36" s="34">
        <f t="shared" si="15"/>
        <v>21</v>
      </c>
      <c r="Z36" s="34">
        <f t="shared" si="15"/>
        <v>32</v>
      </c>
      <c r="AA36" s="34">
        <f>SUM(K36:Z36)-(45*9)</f>
        <v>21</v>
      </c>
      <c r="AB36" s="34">
        <f>SUM(L36:AA36)-(45*9)</f>
        <v>1</v>
      </c>
      <c r="AC36" s="34">
        <f>SUM(M36:AB36)-(45*8)</f>
        <v>10</v>
      </c>
      <c r="AD36" s="34">
        <f t="shared" si="17"/>
        <v>36</v>
      </c>
      <c r="AE36" s="34">
        <f>SUM(O36:AD36)-(45*8)</f>
        <v>14</v>
      </c>
      <c r="AF36" s="34">
        <f>SUM(P36:AE36)-(45*8)</f>
        <v>2</v>
      </c>
      <c r="AG36" s="34">
        <f>SUM(Q36:AF36)-(45*7)</f>
        <v>42</v>
      </c>
      <c r="AH36" s="34">
        <f>SUM(R36:AG36)-(45*8)</f>
        <v>25</v>
      </c>
      <c r="AI36" s="34">
        <f t="shared" si="20"/>
        <v>22</v>
      </c>
      <c r="AJ36" s="34">
        <f t="shared" si="20"/>
        <v>33</v>
      </c>
      <c r="AK36" s="34">
        <f t="shared" si="20"/>
        <v>44</v>
      </c>
      <c r="AL36" s="34">
        <f t="shared" si="20"/>
        <v>44</v>
      </c>
      <c r="AM36" s="34">
        <f>SUM(W36:AL36)-(45*9)</f>
        <v>4</v>
      </c>
      <c r="AN36" s="34">
        <f t="shared" ref="AN36:AO38" si="41">SUM(X36:AM36)-(45*8)</f>
        <v>32</v>
      </c>
      <c r="AO36" s="34">
        <f t="shared" si="41"/>
        <v>23</v>
      </c>
      <c r="AP36" s="34">
        <f t="shared" si="22"/>
        <v>25</v>
      </c>
      <c r="AQ36" s="34">
        <f>SUM(AA36:AP36)-(45*8)</f>
        <v>18</v>
      </c>
      <c r="AR36" s="34">
        <f t="shared" si="24"/>
        <v>15</v>
      </c>
      <c r="AS36" s="34">
        <f>SUM(AC36:AR36)-(45*8)</f>
        <v>29</v>
      </c>
      <c r="AT36" s="34">
        <f>SUM(AD36:AS36)-(45*9)</f>
        <v>3</v>
      </c>
      <c r="AU36" s="34">
        <f t="shared" si="26"/>
        <v>15</v>
      </c>
      <c r="AV36" s="34">
        <f t="shared" si="26"/>
        <v>16</v>
      </c>
      <c r="AW36" s="34">
        <f>SUM(AG36:AV36)-(45*8)</f>
        <v>30</v>
      </c>
      <c r="AX36" s="34">
        <f>SUM(AH36:AW36)-(45*8)</f>
        <v>18</v>
      </c>
      <c r="AY36" s="34">
        <f>SUM(AI36:AX36)-(45*8)</f>
        <v>11</v>
      </c>
      <c r="AZ36" s="34">
        <f t="shared" si="27"/>
        <v>45</v>
      </c>
      <c r="BA36" s="34">
        <f>SUM(AK36:AZ36)-(45*8)</f>
        <v>12</v>
      </c>
      <c r="BB36" s="34">
        <f t="shared" si="27"/>
        <v>25</v>
      </c>
      <c r="BC36" s="34">
        <f>SUM(AM36:BB36)-(45*7)</f>
        <v>6</v>
      </c>
      <c r="BD36" s="34">
        <f>SUM(AN36:BC36)-(45*7)</f>
        <v>8</v>
      </c>
      <c r="BE36" s="34">
        <f>SUM(AO36:BD36)-(45*6)</f>
        <v>29</v>
      </c>
      <c r="BF36" s="34">
        <f>SUM(AP36:BE36)-(45*6)</f>
        <v>35</v>
      </c>
      <c r="BG36" s="34">
        <f>SUM(AQ36:BF36)-(45*6)</f>
        <v>45</v>
      </c>
      <c r="BH36" s="34">
        <f>SUM(AR36:BG36)-(45*7)</f>
        <v>27</v>
      </c>
      <c r="BI36" s="34">
        <f>SUM(AS36:BH36)-(45*7)</f>
        <v>39</v>
      </c>
      <c r="BJ36" s="34">
        <f>SUM(AT36:BI36)-(45*8)</f>
        <v>4</v>
      </c>
      <c r="BK36" s="34">
        <f>SUM(AU36:BJ36)-(45*8)</f>
        <v>5</v>
      </c>
      <c r="BL36" s="34">
        <f>SUM(AV36:BK36)-(45*7)</f>
        <v>40</v>
      </c>
      <c r="BM36" s="34">
        <f>SUM(AW36:BL36)-(45*8)</f>
        <v>19</v>
      </c>
      <c r="BN36" s="34">
        <f>SUM(AX36:BM36)-(45*8)</f>
        <v>8</v>
      </c>
      <c r="BO36" s="34">
        <f>SUM(AY36:BN36)-(45*7)</f>
        <v>43</v>
      </c>
      <c r="BP36" s="34">
        <f t="shared" ref="BP36:BV36" si="42">SUM(AZ36:BO36)-(45*8)</f>
        <v>30</v>
      </c>
      <c r="BQ36" s="34">
        <f t="shared" si="42"/>
        <v>15</v>
      </c>
      <c r="BR36" s="34">
        <f t="shared" si="42"/>
        <v>18</v>
      </c>
      <c r="BS36" s="34">
        <f t="shared" si="42"/>
        <v>11</v>
      </c>
      <c r="BT36" s="34">
        <f t="shared" si="42"/>
        <v>16</v>
      </c>
      <c r="BU36" s="34">
        <f t="shared" si="42"/>
        <v>24</v>
      </c>
      <c r="BV36" s="34">
        <f t="shared" si="42"/>
        <v>19</v>
      </c>
      <c r="BX36" s="40"/>
      <c r="CE36" s="12">
        <v>505</v>
      </c>
      <c r="CF36" s="110">
        <v>7</v>
      </c>
      <c r="CG36" s="110">
        <v>20</v>
      </c>
      <c r="CH36" s="110">
        <v>22</v>
      </c>
      <c r="CI36" s="110">
        <v>25</v>
      </c>
      <c r="CJ36" s="110">
        <v>38</v>
      </c>
      <c r="CK36" s="110">
        <v>40</v>
      </c>
      <c r="CL36" s="110">
        <v>44</v>
      </c>
      <c r="CM36" s="151">
        <f t="shared" si="39"/>
        <v>17</v>
      </c>
      <c r="CN36" s="11">
        <f>SUM(CF36:CL36)-45-45-45-45</f>
        <v>16</v>
      </c>
      <c r="CP36" s="130">
        <f t="shared" si="40"/>
        <v>13</v>
      </c>
      <c r="CQ36" s="130">
        <f t="shared" si="40"/>
        <v>2</v>
      </c>
      <c r="CR36" s="130">
        <f t="shared" si="40"/>
        <v>3</v>
      </c>
      <c r="CS36" s="130">
        <f t="shared" si="40"/>
        <v>13</v>
      </c>
      <c r="CT36" s="130">
        <f t="shared" si="40"/>
        <v>2</v>
      </c>
      <c r="CU36" s="130">
        <f t="shared" si="40"/>
        <v>4</v>
      </c>
      <c r="CV36" s="11">
        <v>6</v>
      </c>
      <c r="CW36" s="11">
        <v>38</v>
      </c>
      <c r="DD36" s="129"/>
      <c r="DE36" s="129"/>
      <c r="DF36" s="129"/>
      <c r="DG36" s="129"/>
      <c r="DH36" s="129"/>
      <c r="DI36" s="129"/>
      <c r="DJ36" s="129"/>
      <c r="DK36" s="129"/>
      <c r="DL36" s="129"/>
      <c r="DM36" s="129"/>
      <c r="DN36" s="129"/>
      <c r="DO36" s="129"/>
      <c r="DP36" s="129"/>
      <c r="DQ36" s="129"/>
      <c r="DR36" s="129"/>
      <c r="DS36" s="129"/>
      <c r="DT36" s="129"/>
      <c r="DU36" s="129"/>
      <c r="DV36" s="129"/>
      <c r="DW36" s="129"/>
      <c r="DX36" s="129"/>
      <c r="DY36" s="129"/>
    </row>
    <row r="37" spans="3:129" s="122" customFormat="1" ht="17.25">
      <c r="C37" s="11">
        <v>506</v>
      </c>
      <c r="D37" s="107" t="s">
        <v>273</v>
      </c>
      <c r="E37" s="17">
        <v>11</v>
      </c>
      <c r="F37" s="17">
        <v>19</v>
      </c>
      <c r="G37" s="17">
        <v>2</v>
      </c>
      <c r="H37" s="17">
        <f t="shared" si="0"/>
        <v>30</v>
      </c>
      <c r="I37" s="17">
        <v>11</v>
      </c>
      <c r="J37" s="151">
        <f>SUM(E37:I37)-(45*1)</f>
        <v>28</v>
      </c>
      <c r="K37" s="151">
        <f>SUM(E37:J37)-(45*2)</f>
        <v>11</v>
      </c>
      <c r="L37" s="34">
        <f t="shared" si="3"/>
        <v>22</v>
      </c>
      <c r="M37" s="34">
        <f t="shared" si="4"/>
        <v>44</v>
      </c>
      <c r="N37" s="34">
        <f t="shared" si="5"/>
        <v>43</v>
      </c>
      <c r="O37" s="34">
        <f>SUM(E37:N37)-(45*4)</f>
        <v>41</v>
      </c>
      <c r="P37" s="34">
        <f>SUM(E37:O37)-(45*5)</f>
        <v>37</v>
      </c>
      <c r="Q37" s="34">
        <f>SUM(E37:P37)-(45*6)</f>
        <v>29</v>
      </c>
      <c r="R37" s="34">
        <f>SUM(E37:Q37)-(45*7)</f>
        <v>13</v>
      </c>
      <c r="S37" s="34">
        <f>SUM(E37:R37)-(45*7)</f>
        <v>26</v>
      </c>
      <c r="T37" s="34">
        <f>SUM(E37:S37)-(45*8)</f>
        <v>7</v>
      </c>
      <c r="U37" s="34">
        <f>SUM(E37:T37)-(45*8)</f>
        <v>14</v>
      </c>
      <c r="V37" s="34">
        <f>SUM(F37:U37)-(45*8)</f>
        <v>17</v>
      </c>
      <c r="W37" s="34">
        <f t="shared" si="14"/>
        <v>15</v>
      </c>
      <c r="X37" s="34">
        <f t="shared" si="14"/>
        <v>28</v>
      </c>
      <c r="Y37" s="34">
        <f>SUM(I37:X37)-(45*8)</f>
        <v>26</v>
      </c>
      <c r="Z37" s="34">
        <f>SUM(J37:Y37)-(45*8)</f>
        <v>41</v>
      </c>
      <c r="AA37" s="34">
        <f>SUM(K37:Z37)-(45*9)</f>
        <v>9</v>
      </c>
      <c r="AB37" s="34">
        <f>SUM(L37:AA37)-(45*9)</f>
        <v>7</v>
      </c>
      <c r="AC37" s="34">
        <f>SUM(M37:AB37)-(45*8)</f>
        <v>37</v>
      </c>
      <c r="AD37" s="34">
        <f>SUM(N37:AC37)-(45*8)</f>
        <v>30</v>
      </c>
      <c r="AE37" s="34">
        <f>SUM(O37:AD37)-(45*8)</f>
        <v>17</v>
      </c>
      <c r="AF37" s="34">
        <f>SUM(P37:AE37)-(45*7)</f>
        <v>38</v>
      </c>
      <c r="AG37" s="34">
        <f>SUM(Q37:AF37)-(45*7)</f>
        <v>39</v>
      </c>
      <c r="AH37" s="34">
        <f>SUM(R37:AG37)-(45*8)</f>
        <v>4</v>
      </c>
      <c r="AI37" s="34">
        <f>SUM(S37:AH37)-(45*7)</f>
        <v>40</v>
      </c>
      <c r="AJ37" s="34">
        <f t="shared" ref="AJ37:AL38" si="43">SUM(T37:AI37)-(45*8)</f>
        <v>9</v>
      </c>
      <c r="AK37" s="34">
        <f t="shared" si="43"/>
        <v>11</v>
      </c>
      <c r="AL37" s="34">
        <f t="shared" si="43"/>
        <v>8</v>
      </c>
      <c r="AM37" s="34">
        <f>SUM(W37:AL37)-(45*7)</f>
        <v>44</v>
      </c>
      <c r="AN37" s="34">
        <f t="shared" si="41"/>
        <v>28</v>
      </c>
      <c r="AO37" s="34">
        <f t="shared" si="41"/>
        <v>28</v>
      </c>
      <c r="AP37" s="34">
        <f t="shared" si="22"/>
        <v>30</v>
      </c>
      <c r="AQ37" s="34">
        <f>SUM(AA37:AP37)-(45*8)</f>
        <v>19</v>
      </c>
      <c r="AR37" s="34">
        <f t="shared" si="24"/>
        <v>29</v>
      </c>
      <c r="AS37" s="34">
        <f>SUM(AC37:AR37)-(45*9)</f>
        <v>6</v>
      </c>
      <c r="AT37" s="34">
        <f>SUM(AD37:AS37)-(45*8)</f>
        <v>20</v>
      </c>
      <c r="AU37" s="34">
        <f t="shared" si="26"/>
        <v>10</v>
      </c>
      <c r="AV37" s="34">
        <f t="shared" si="26"/>
        <v>3</v>
      </c>
      <c r="AW37" s="34">
        <f t="shared" si="27"/>
        <v>13</v>
      </c>
      <c r="AX37" s="34">
        <f>SUM(AH37:AW37)-(45*6)</f>
        <v>32</v>
      </c>
      <c r="AY37" s="34">
        <f t="shared" si="27"/>
        <v>15</v>
      </c>
      <c r="AZ37" s="34">
        <f>SUM(AJ37:AY37)-(45*6)</f>
        <v>35</v>
      </c>
      <c r="BA37" s="34">
        <f t="shared" si="27"/>
        <v>16</v>
      </c>
      <c r="BB37" s="34">
        <f t="shared" si="27"/>
        <v>21</v>
      </c>
      <c r="BC37" s="34">
        <f>SUM(AM37:BB37)-(45*7)</f>
        <v>34</v>
      </c>
      <c r="BD37" s="34">
        <f>SUM(AN37:BC37)-(45*7)</f>
        <v>24</v>
      </c>
      <c r="BE37" s="34">
        <f>SUM(AO37:BD37)-(45*7)</f>
        <v>20</v>
      </c>
      <c r="BF37" s="34">
        <f>SUM(AP37:BE37)-(45*7)</f>
        <v>12</v>
      </c>
      <c r="BG37" s="34">
        <f>SUM(AQ37:BF37)-(45*6)</f>
        <v>39</v>
      </c>
      <c r="BH37" s="34">
        <f>SUM(AR37:BG37)-(45*7)</f>
        <v>14</v>
      </c>
      <c r="BI37" s="34">
        <f>SUM(AS37:BH37)-(45*6)</f>
        <v>44</v>
      </c>
      <c r="BJ37" s="34">
        <f>SUM(AT37:BI37)-(45*7)</f>
        <v>37</v>
      </c>
      <c r="BK37" s="34">
        <f>SUM(AU37:BJ37)-(45*8)</f>
        <v>9</v>
      </c>
      <c r="BL37" s="34">
        <f>SUM(AV37:BK37)-(45*8)</f>
        <v>8</v>
      </c>
      <c r="BM37" s="34">
        <f>SUM(AW37:BL37)-(45*8)</f>
        <v>13</v>
      </c>
      <c r="BN37" s="34">
        <f>SUM(AX37:BM37)-(45*8)</f>
        <v>13</v>
      </c>
      <c r="BO37" s="34">
        <f>SUM(AY37:BN37)-(45*7)</f>
        <v>39</v>
      </c>
      <c r="BP37" s="34">
        <f>SUM(AZ37:BO37)-(45*8)</f>
        <v>18</v>
      </c>
      <c r="BQ37" s="34">
        <f>SUM(BA37:BP37)-(45*8)</f>
        <v>1</v>
      </c>
      <c r="BR37" s="34">
        <f>SUM(BB37:BQ37)-(45*7)</f>
        <v>31</v>
      </c>
      <c r="BS37" s="34">
        <f>SUM(BC37:BR37)-(45*7)</f>
        <v>41</v>
      </c>
      <c r="BT37" s="34">
        <f>SUM(BD37:BS37)-(45*8)</f>
        <v>3</v>
      </c>
      <c r="BU37" s="34">
        <f>SUM(BE37:BT37)-(45*7)</f>
        <v>27</v>
      </c>
      <c r="BV37" s="34">
        <f>SUM(BF37:BU37)-(45*7)</f>
        <v>34</v>
      </c>
      <c r="BX37" s="40"/>
      <c r="BZ37" s="122" t="s">
        <v>286</v>
      </c>
      <c r="CE37" s="12">
        <v>506</v>
      </c>
      <c r="CF37" s="109">
        <v>6</v>
      </c>
      <c r="CG37" s="109">
        <v>9</v>
      </c>
      <c r="CH37" s="109">
        <v>11</v>
      </c>
      <c r="CI37" s="109">
        <v>22</v>
      </c>
      <c r="CJ37" s="109">
        <v>24</v>
      </c>
      <c r="CK37" s="109">
        <v>30</v>
      </c>
      <c r="CL37" s="109">
        <v>31</v>
      </c>
      <c r="CM37" s="151">
        <f t="shared" si="39"/>
        <v>-33</v>
      </c>
      <c r="CN37" s="11">
        <f>SUM(CF37:CL37)-45-45-45-45</f>
        <v>-47</v>
      </c>
      <c r="CP37" s="130">
        <f t="shared" si="40"/>
        <v>3</v>
      </c>
      <c r="CQ37" s="130">
        <f t="shared" si="40"/>
        <v>2</v>
      </c>
      <c r="CR37" s="130">
        <f t="shared" si="40"/>
        <v>11</v>
      </c>
      <c r="CS37" s="130">
        <f t="shared" si="40"/>
        <v>2</v>
      </c>
      <c r="CT37" s="130">
        <f t="shared" si="40"/>
        <v>6</v>
      </c>
      <c r="CU37" s="130">
        <f t="shared" si="40"/>
        <v>1</v>
      </c>
      <c r="CV37" s="11">
        <v>3</v>
      </c>
      <c r="CW37" s="11">
        <v>33</v>
      </c>
      <c r="DD37" s="129"/>
      <c r="DE37" s="129"/>
      <c r="DF37" s="129"/>
      <c r="DG37" s="129"/>
      <c r="DH37" s="129"/>
      <c r="DI37" s="129"/>
      <c r="DJ37" s="129"/>
      <c r="DK37" s="129"/>
      <c r="DL37" s="129"/>
      <c r="DM37" s="129"/>
      <c r="DN37" s="129"/>
      <c r="DO37" s="129"/>
      <c r="DP37" s="129"/>
      <c r="DQ37" s="129"/>
      <c r="DR37" s="129"/>
      <c r="DS37" s="129"/>
      <c r="DT37" s="129"/>
      <c r="DU37" s="129"/>
      <c r="DV37" s="129"/>
      <c r="DW37" s="129"/>
      <c r="DX37" s="129"/>
      <c r="DY37" s="129"/>
    </row>
    <row r="38" spans="3:129" s="122" customFormat="1" ht="17.25">
      <c r="C38" s="11">
        <v>507</v>
      </c>
      <c r="D38" s="107" t="s">
        <v>274</v>
      </c>
      <c r="E38" s="17">
        <v>18</v>
      </c>
      <c r="F38" s="17">
        <v>26</v>
      </c>
      <c r="G38" s="17">
        <v>3</v>
      </c>
      <c r="H38" s="17">
        <f t="shared" si="0"/>
        <v>44</v>
      </c>
      <c r="I38" s="17">
        <v>12</v>
      </c>
      <c r="J38" s="151">
        <f>SUM(E38:I38)-(45*2)</f>
        <v>13</v>
      </c>
      <c r="K38" s="151">
        <f>SUM(E38:J38)-(45*2)</f>
        <v>26</v>
      </c>
      <c r="L38" s="34">
        <f>SUM(E38:K38)-(45*3)</f>
        <v>7</v>
      </c>
      <c r="M38" s="34">
        <f>SUM(E38:L38)-(45*3)</f>
        <v>14</v>
      </c>
      <c r="N38" s="34">
        <f t="shared" si="5"/>
        <v>28</v>
      </c>
      <c r="O38" s="34">
        <f>SUM(E38:N38)-(45*4)</f>
        <v>11</v>
      </c>
      <c r="P38" s="34">
        <f>SUM(E38:O38)-(45*4)</f>
        <v>22</v>
      </c>
      <c r="Q38" s="34">
        <f t="shared" si="8"/>
        <v>44</v>
      </c>
      <c r="R38" s="34">
        <f>SUM(E38:Q38)-(45*5)</f>
        <v>43</v>
      </c>
      <c r="S38" s="34">
        <f>SUM(E38:R38)-(45*6)</f>
        <v>41</v>
      </c>
      <c r="T38" s="34">
        <f>SUM(E38:S38)-(45*7)</f>
        <v>37</v>
      </c>
      <c r="U38" s="34">
        <f>SUM(E38:T38)-(45*8)</f>
        <v>29</v>
      </c>
      <c r="V38" s="34">
        <f>SUM(F38:U38)-(45*8)</f>
        <v>40</v>
      </c>
      <c r="W38" s="34">
        <f>SUM(G38:V38)-(45*9)</f>
        <v>9</v>
      </c>
      <c r="X38" s="34">
        <f>SUM(H38:W38)-(45*9)</f>
        <v>15</v>
      </c>
      <c r="Y38" s="34">
        <f>SUM(I38:X38)-(45*8)</f>
        <v>31</v>
      </c>
      <c r="Z38" s="34">
        <f>SUM(J38:Y38)-(45*9)</f>
        <v>5</v>
      </c>
      <c r="AA38" s="34">
        <f>SUM(K38:Z38)-(45*8)</f>
        <v>42</v>
      </c>
      <c r="AB38" s="34">
        <f t="shared" ref="AB38:AG38" si="44">SUM(L38:AA38)-(45*9)</f>
        <v>13</v>
      </c>
      <c r="AC38" s="34">
        <f t="shared" si="44"/>
        <v>19</v>
      </c>
      <c r="AD38" s="34">
        <f t="shared" si="44"/>
        <v>24</v>
      </c>
      <c r="AE38" s="34">
        <f t="shared" si="44"/>
        <v>20</v>
      </c>
      <c r="AF38" s="34">
        <f t="shared" si="44"/>
        <v>29</v>
      </c>
      <c r="AG38" s="34">
        <f t="shared" si="44"/>
        <v>36</v>
      </c>
      <c r="AH38" s="34">
        <f t="shared" si="19"/>
        <v>28</v>
      </c>
      <c r="AI38" s="34">
        <f>SUM(S38:AH38)-(45*9)</f>
        <v>13</v>
      </c>
      <c r="AJ38" s="34">
        <f t="shared" si="43"/>
        <v>30</v>
      </c>
      <c r="AK38" s="34">
        <f t="shared" si="43"/>
        <v>23</v>
      </c>
      <c r="AL38" s="34">
        <f t="shared" si="43"/>
        <v>17</v>
      </c>
      <c r="AM38" s="34">
        <f>SUM(W38:AL38)-(45*7)</f>
        <v>39</v>
      </c>
      <c r="AN38" s="34">
        <f t="shared" si="41"/>
        <v>24</v>
      </c>
      <c r="AO38" s="34">
        <f t="shared" si="41"/>
        <v>33</v>
      </c>
      <c r="AP38" s="34">
        <f t="shared" si="22"/>
        <v>35</v>
      </c>
      <c r="AQ38" s="34">
        <f t="shared" si="23"/>
        <v>20</v>
      </c>
      <c r="AR38" s="34">
        <f t="shared" si="24"/>
        <v>43</v>
      </c>
      <c r="AS38" s="34">
        <f>SUM(AC38:AR38)-(45*9)</f>
        <v>28</v>
      </c>
      <c r="AT38" s="34">
        <f>SUM(AD38:AS38)-(45*9)</f>
        <v>37</v>
      </c>
      <c r="AU38" s="34">
        <f>SUM(AE38:AT38)-(45*10)</f>
        <v>5</v>
      </c>
      <c r="AV38" s="34">
        <f>SUM(AF38:AU38)-(45*9)</f>
        <v>35</v>
      </c>
      <c r="AW38" s="34">
        <f>SUM(AG38:AV38)-(45*9)</f>
        <v>41</v>
      </c>
      <c r="AX38" s="34">
        <f>SUM(AH38:AW38)-(45*10)</f>
        <v>1</v>
      </c>
      <c r="AY38" s="34">
        <f>SUM(AI38:AX38)-(45*9)</f>
        <v>19</v>
      </c>
      <c r="AZ38" s="34">
        <f>SUM(AJ38:AY38)-(45*9)</f>
        <v>25</v>
      </c>
      <c r="BA38" s="34">
        <f>SUM(AK38:AZ38)-(45*9)</f>
        <v>20</v>
      </c>
      <c r="BB38" s="34">
        <f>SUM(AL38:BA38)-(45*9)</f>
        <v>17</v>
      </c>
      <c r="BC38" s="34">
        <f>SUM(AM38:BB38)-(45*9)</f>
        <v>17</v>
      </c>
      <c r="BD38" s="34">
        <f>SUM(AN38:BC38)-(45*8)</f>
        <v>40</v>
      </c>
      <c r="BE38" s="34">
        <f>SUM(AO38:BD38)-(45*9)</f>
        <v>11</v>
      </c>
      <c r="BF38" s="34">
        <f>SUM(AP38:BE38)-(45*8)</f>
        <v>34</v>
      </c>
      <c r="BG38" s="34">
        <f>SUM(AQ38:BF38)-(45*8)</f>
        <v>33</v>
      </c>
      <c r="BH38" s="34">
        <f>SUM(AR38:BG38)-(45*9)</f>
        <v>1</v>
      </c>
      <c r="BI38" s="34">
        <f>SUM(AS38:BH38)-(45*8)</f>
        <v>4</v>
      </c>
      <c r="BJ38" s="34">
        <f>SUM(AT38:BI38)-(45*7)</f>
        <v>25</v>
      </c>
      <c r="BK38" s="34">
        <f>SUM(AU38:BJ38)-(45*7)</f>
        <v>13</v>
      </c>
      <c r="BL38" s="34">
        <f>SUM(AV38:BK38)-(45*7)</f>
        <v>21</v>
      </c>
      <c r="BM38" s="34">
        <f>SUM(AW38:BL38)-(45*7)</f>
        <v>7</v>
      </c>
      <c r="BN38" s="34">
        <f>SUM(AX38:BM38)-(45*6)</f>
        <v>18</v>
      </c>
      <c r="BO38" s="34">
        <f>SUM(AY38:BN38)-(45*6)</f>
        <v>35</v>
      </c>
      <c r="BP38" s="34">
        <f t="shared" si="35"/>
        <v>6</v>
      </c>
      <c r="BQ38" s="34">
        <f>SUM(BA38:BP38)-(45*6)</f>
        <v>32</v>
      </c>
      <c r="BR38" s="34">
        <f>SUM(BB38:BQ38)-(45*6)</f>
        <v>44</v>
      </c>
      <c r="BS38" s="34">
        <f>SUM(BC38:BR38)-(45*7)</f>
        <v>26</v>
      </c>
      <c r="BT38" s="34">
        <f>SUM(BD38:BS38)-(45*7)</f>
        <v>35</v>
      </c>
      <c r="BU38" s="34">
        <f>SUM(BE38:BT38)-(45*7)</f>
        <v>30</v>
      </c>
      <c r="BV38" s="34">
        <f>SUM(BF38:BU38)-(45*8)</f>
        <v>4</v>
      </c>
      <c r="BX38" s="40"/>
      <c r="CE38" s="12">
        <v>507</v>
      </c>
      <c r="CF38" s="109">
        <v>12</v>
      </c>
      <c r="CG38" s="109">
        <v>13</v>
      </c>
      <c r="CH38" s="109">
        <v>32</v>
      </c>
      <c r="CI38" s="109">
        <v>33</v>
      </c>
      <c r="CJ38" s="109">
        <v>40</v>
      </c>
      <c r="CK38" s="109">
        <v>41</v>
      </c>
      <c r="CL38" s="109">
        <v>4</v>
      </c>
      <c r="CM38" s="151">
        <f t="shared" si="39"/>
        <v>36</v>
      </c>
      <c r="CN38" s="11">
        <f>SUM(CF38:CL38)-45-45-45-45</f>
        <v>-5</v>
      </c>
      <c r="CP38" s="130">
        <f t="shared" si="40"/>
        <v>1</v>
      </c>
      <c r="CQ38" s="130">
        <f t="shared" si="40"/>
        <v>19</v>
      </c>
      <c r="CR38" s="130">
        <f t="shared" si="40"/>
        <v>1</v>
      </c>
      <c r="CS38" s="130">
        <f t="shared" si="40"/>
        <v>7</v>
      </c>
      <c r="CT38" s="130">
        <f t="shared" si="40"/>
        <v>1</v>
      </c>
      <c r="CU38" s="130">
        <f t="shared" si="40"/>
        <v>37</v>
      </c>
      <c r="CV38" s="11">
        <v>9</v>
      </c>
      <c r="CW38" s="11">
        <v>29</v>
      </c>
      <c r="DB38" s="122" t="s">
        <v>149</v>
      </c>
      <c r="DD38" s="129"/>
      <c r="DE38" s="129"/>
      <c r="DF38" s="129"/>
      <c r="DG38" s="129"/>
      <c r="DH38" s="129"/>
      <c r="DI38" s="129"/>
      <c r="DJ38" s="129"/>
      <c r="DK38" s="129"/>
      <c r="DL38" s="129"/>
      <c r="DM38" s="129"/>
      <c r="DN38" s="129"/>
      <c r="DO38" s="129"/>
      <c r="DP38" s="129"/>
      <c r="DQ38" s="129"/>
      <c r="DR38" s="129"/>
      <c r="DS38" s="129"/>
      <c r="DT38" s="129"/>
      <c r="DU38" s="129"/>
      <c r="DV38" s="129"/>
      <c r="DW38" s="129"/>
      <c r="DX38" s="129"/>
      <c r="DY38" s="129"/>
    </row>
    <row r="39" spans="3:129" s="122" customFormat="1" ht="17.25">
      <c r="C39" s="11">
        <v>508</v>
      </c>
      <c r="D39" s="107" t="s">
        <v>275</v>
      </c>
      <c r="E39" s="17">
        <v>25</v>
      </c>
      <c r="F39" s="17">
        <v>33</v>
      </c>
      <c r="G39" s="17">
        <v>4</v>
      </c>
      <c r="H39" s="17">
        <f>SUM(E39:F39)-(45*1)</f>
        <v>13</v>
      </c>
      <c r="I39" s="17">
        <v>13</v>
      </c>
      <c r="J39" s="151">
        <f>SUM(E39:I39)-(45*1)</f>
        <v>43</v>
      </c>
      <c r="K39" s="151">
        <f>SUM(E39:J39)-(45*2)</f>
        <v>41</v>
      </c>
      <c r="L39" s="34">
        <f>SUM(E39:K39)-(45*3)</f>
        <v>37</v>
      </c>
      <c r="M39" s="34">
        <f>SUM(E39:L39)-(45*4)</f>
        <v>29</v>
      </c>
      <c r="N39" s="34">
        <f>SUM(E39:M39)-(45*5)</f>
        <v>13</v>
      </c>
      <c r="O39" s="34">
        <f>SUM(E39:N39)-(45*5)</f>
        <v>26</v>
      </c>
      <c r="P39" s="34">
        <f>SUM(E39:O39)-(45*6)</f>
        <v>7</v>
      </c>
      <c r="Q39" s="34">
        <f>SUM(E39:P39)-(45*6)</f>
        <v>14</v>
      </c>
      <c r="R39" s="34">
        <f>SUM(E39:Q39)-(45*6)</f>
        <v>28</v>
      </c>
      <c r="S39" s="34">
        <f>SUM(E39:R39)-(45*7)</f>
        <v>11</v>
      </c>
      <c r="T39" s="34">
        <f>SUM(E39:S39)-(45*7)</f>
        <v>22</v>
      </c>
      <c r="U39" s="34">
        <f>SUM(E39:T39)-(45*7)</f>
        <v>44</v>
      </c>
      <c r="V39" s="34">
        <f>SUM(F39:U39)-(45*8)</f>
        <v>18</v>
      </c>
      <c r="W39" s="34">
        <f>SUM(G39:V39)-(45*8)</f>
        <v>3</v>
      </c>
      <c r="X39" s="34">
        <f>SUM(H39:W39)-(45*8)</f>
        <v>2</v>
      </c>
      <c r="Y39" s="34">
        <f>SUM(I39:X39)-(45*7)</f>
        <v>36</v>
      </c>
      <c r="Z39" s="34">
        <f>SUM(J39:Y39)-(45*8)</f>
        <v>14</v>
      </c>
      <c r="AA39" s="34">
        <f>SUM(K39:Z39)-(45*7)</f>
        <v>30</v>
      </c>
      <c r="AB39" s="34">
        <f>SUM(L39:AA39)-(45*7)</f>
        <v>19</v>
      </c>
      <c r="AC39" s="34">
        <f>SUM(M39:AB39)-(45*7)</f>
        <v>1</v>
      </c>
      <c r="AD39" s="34">
        <f>SUM(N39:AC39)-(45*6)</f>
        <v>18</v>
      </c>
      <c r="AE39" s="34">
        <f>SUM(O39:AD39)-(45*6)</f>
        <v>23</v>
      </c>
      <c r="AF39" s="34">
        <f>SUM(P39:AE39)-(45*6)</f>
        <v>20</v>
      </c>
      <c r="AG39" s="34">
        <f>SUM(Q39:AF39)-(45*6)</f>
        <v>33</v>
      </c>
      <c r="AH39" s="34">
        <f>SUM(R39:AG39)-(45*7)</f>
        <v>7</v>
      </c>
      <c r="AI39" s="34">
        <f>SUM(S39:AH39)-(45*6)</f>
        <v>31</v>
      </c>
      <c r="AJ39" s="34">
        <f>SUM(T39:AI39)-(45*7)</f>
        <v>6</v>
      </c>
      <c r="AK39" s="34">
        <f>SUM(U39:AJ39)-(45*6)</f>
        <v>35</v>
      </c>
      <c r="AL39" s="34">
        <f>SUM(V39:AK39)-(45*6)</f>
        <v>26</v>
      </c>
      <c r="AM39" s="34">
        <f>SUM(W39:AL39)-(45*6)</f>
        <v>34</v>
      </c>
      <c r="AN39" s="34">
        <f>SUM(X39:AM39)-(45*7)</f>
        <v>20</v>
      </c>
      <c r="AO39" s="34">
        <f>SUM(Y39:AN39)-(45*7)</f>
        <v>38</v>
      </c>
      <c r="AP39" s="34">
        <f>SUM(Z39:AO39)-(45*7)</f>
        <v>40</v>
      </c>
      <c r="AQ39" s="34">
        <f>SUM(AA39:AP39)-(45*8)</f>
        <v>21</v>
      </c>
      <c r="AR39" s="34">
        <f t="shared" si="24"/>
        <v>12</v>
      </c>
      <c r="AS39" s="34">
        <f>SUM(AC39:AR39)-(45*8)</f>
        <v>5</v>
      </c>
      <c r="AT39" s="34">
        <f>SUM(AD39:AS39)-(45*8)</f>
        <v>9</v>
      </c>
      <c r="AU39" s="34">
        <f>SUM(AE39:AT39)-(45*7)</f>
        <v>45</v>
      </c>
      <c r="AV39" s="34">
        <f>SUM(AF39:AU39)-(45*8)</f>
        <v>22</v>
      </c>
      <c r="AW39" s="34">
        <f t="shared" ref="AW39:BB39" si="45">SUM(AG39:AV39)-(45*8)</f>
        <v>24</v>
      </c>
      <c r="AX39" s="34">
        <f t="shared" si="45"/>
        <v>15</v>
      </c>
      <c r="AY39" s="34">
        <f t="shared" si="45"/>
        <v>23</v>
      </c>
      <c r="AZ39" s="34">
        <f t="shared" si="45"/>
        <v>15</v>
      </c>
      <c r="BA39" s="34">
        <f t="shared" si="45"/>
        <v>24</v>
      </c>
      <c r="BB39" s="34">
        <f t="shared" si="45"/>
        <v>13</v>
      </c>
      <c r="BC39" s="34">
        <f>SUM(AM39:BB39)-(45*7)</f>
        <v>45</v>
      </c>
      <c r="BD39" s="34">
        <f>SUM(AN39:BC39)-(45*8)</f>
        <v>11</v>
      </c>
      <c r="BE39" s="34">
        <f>SUM(AO39:BD39)-(45*8)</f>
        <v>2</v>
      </c>
      <c r="BF39" s="34">
        <f>SUM(AP39:BE39)-(45*7)</f>
        <v>11</v>
      </c>
      <c r="BG39" s="34">
        <f>SUM(AQ39:BF39)-(45*6)</f>
        <v>27</v>
      </c>
      <c r="BH39" s="34">
        <f t="shared" si="30"/>
        <v>33</v>
      </c>
      <c r="BI39" s="34">
        <f>SUM(AS39:BH39)-(45*7)</f>
        <v>9</v>
      </c>
      <c r="BJ39" s="34">
        <f>SUM(AT39:BI39)-(45*7)</f>
        <v>13</v>
      </c>
      <c r="BK39" s="34">
        <f>SUM(AU39:BJ39)-(45*7)</f>
        <v>17</v>
      </c>
      <c r="BL39" s="34">
        <f>SUM(AV39:BK39)-(45*6)</f>
        <v>34</v>
      </c>
      <c r="BM39" s="34">
        <f>SUM(AW39:BL39)-(45*7)</f>
        <v>1</v>
      </c>
      <c r="BN39" s="34">
        <f>SUM(AX39:BM39)-(45*6)</f>
        <v>23</v>
      </c>
      <c r="BO39" s="34">
        <f>SUM(AY39:BN39)-(45*6)</f>
        <v>31</v>
      </c>
      <c r="BP39" s="34">
        <f>SUM(AZ39:BO39)-(45*6)</f>
        <v>39</v>
      </c>
      <c r="BQ39" s="34">
        <f>SUM(BA39:BP39)-(45*7)</f>
        <v>18</v>
      </c>
      <c r="BR39" s="34">
        <f>SUM(BB39:BQ39)-(45*7)</f>
        <v>12</v>
      </c>
      <c r="BS39" s="34">
        <f>SUM(BC39:BR39)-(45*7)</f>
        <v>11</v>
      </c>
      <c r="BT39" s="34">
        <f>SUM(BD39:BS39)-(45*6)</f>
        <v>22</v>
      </c>
      <c r="BU39" s="34">
        <f>SUM(BE39:BT39)-(45*6)</f>
        <v>33</v>
      </c>
      <c r="BV39" s="34">
        <f>SUM(BF39:BU39)-(45*7)</f>
        <v>19</v>
      </c>
      <c r="BX39" s="40"/>
      <c r="CE39" s="12">
        <v>508</v>
      </c>
      <c r="CF39" s="109">
        <v>5</v>
      </c>
      <c r="CG39" s="109">
        <v>27</v>
      </c>
      <c r="CH39" s="109">
        <v>31</v>
      </c>
      <c r="CI39" s="109">
        <v>34</v>
      </c>
      <c r="CJ39" s="113">
        <v>35</v>
      </c>
      <c r="CK39" s="113">
        <v>43</v>
      </c>
      <c r="CL39" s="113">
        <v>37</v>
      </c>
      <c r="CM39" s="151">
        <f t="shared" si="39"/>
        <v>40</v>
      </c>
      <c r="CN39" s="11">
        <f>SUM(CF39:CL39)-45-45-45-45</f>
        <v>32</v>
      </c>
      <c r="CP39" s="130">
        <f t="shared" si="40"/>
        <v>22</v>
      </c>
      <c r="CQ39" s="130">
        <f t="shared" si="40"/>
        <v>4</v>
      </c>
      <c r="CR39" s="130">
        <f t="shared" si="40"/>
        <v>3</v>
      </c>
      <c r="CS39" s="130">
        <f t="shared" si="40"/>
        <v>1</v>
      </c>
      <c r="CT39" s="130">
        <f t="shared" si="40"/>
        <v>8</v>
      </c>
      <c r="CU39" s="130">
        <f t="shared" si="40"/>
        <v>6</v>
      </c>
      <c r="CV39" s="11">
        <v>8</v>
      </c>
      <c r="CW39" s="11">
        <v>31</v>
      </c>
      <c r="DD39" s="129"/>
      <c r="DE39" s="129"/>
      <c r="DF39" s="129"/>
      <c r="DG39" s="129"/>
      <c r="DH39" s="129"/>
      <c r="DI39" s="129"/>
      <c r="DJ39" s="129"/>
      <c r="DK39" s="129"/>
      <c r="DL39" s="129"/>
      <c r="DM39" s="129"/>
      <c r="DN39" s="129"/>
      <c r="DO39" s="129"/>
      <c r="DP39" s="129"/>
      <c r="DQ39" s="129"/>
      <c r="DR39" s="129"/>
      <c r="DS39" s="129"/>
      <c r="DT39" s="129"/>
      <c r="DU39" s="129"/>
      <c r="DV39" s="129"/>
      <c r="DW39" s="129"/>
      <c r="DX39" s="129"/>
      <c r="DY39" s="129"/>
    </row>
    <row r="40" spans="3:129" s="23" customFormat="1" ht="17.25">
      <c r="C40" s="17">
        <v>509</v>
      </c>
      <c r="D40" s="155" t="s">
        <v>48</v>
      </c>
      <c r="E40" s="17">
        <v>1</v>
      </c>
      <c r="F40" s="17">
        <v>10</v>
      </c>
      <c r="G40" s="17">
        <v>1</v>
      </c>
      <c r="H40" s="17">
        <f>SUM(E40:F40)-(45*0)</f>
        <v>11</v>
      </c>
      <c r="I40" s="17">
        <v>14</v>
      </c>
      <c r="J40" s="34">
        <f>SUM(E40:I40)-(45*0)</f>
        <v>37</v>
      </c>
      <c r="K40" s="34">
        <f>SUM(E40:J40)-(45*1)</f>
        <v>29</v>
      </c>
      <c r="L40" s="34">
        <f>SUM(E40:K40)-(45*2)</f>
        <v>13</v>
      </c>
      <c r="M40" s="34">
        <f>SUM(E40:L40)-(45*2)</f>
        <v>26</v>
      </c>
      <c r="N40" s="34">
        <f>SUM(E40:M40)-(45*3)</f>
        <v>7</v>
      </c>
      <c r="O40" s="34">
        <f>SUM(E40:N40)-(45*3)</f>
        <v>14</v>
      </c>
      <c r="P40" s="34">
        <f>SUM(E40:O40)-(45*3)</f>
        <v>28</v>
      </c>
      <c r="Q40" s="34">
        <f>SUM(E40:P40)-(45*4)</f>
        <v>11</v>
      </c>
      <c r="R40" s="34">
        <f>SUM(E40:Q40)-(45*4)</f>
        <v>22</v>
      </c>
      <c r="S40" s="34">
        <f>SUM(E40:R40)-(45*4)</f>
        <v>44</v>
      </c>
      <c r="T40" s="34">
        <f>SUM(E40:S40)-(45*5)</f>
        <v>43</v>
      </c>
      <c r="U40" s="34">
        <f>SUM(E40:T40)-(45*6)</f>
        <v>41</v>
      </c>
      <c r="V40" s="34">
        <f>SUM(F40:U40)-(45*7)</f>
        <v>36</v>
      </c>
      <c r="W40" s="34">
        <f>SUM(G40:V40)-(45*8)</f>
        <v>17</v>
      </c>
      <c r="X40" s="34">
        <f>SUM(H40:W40)-(45*8)</f>
        <v>33</v>
      </c>
      <c r="Y40" s="34">
        <f>SUM(I40:X40)-(45*9)</f>
        <v>10</v>
      </c>
      <c r="Z40" s="34">
        <f>SUM(J40:Y40)-(45*9)</f>
        <v>6</v>
      </c>
      <c r="AA40" s="34">
        <f>SUM(K40:Z40)-(45*8)</f>
        <v>20</v>
      </c>
      <c r="AB40" s="34">
        <f>SUM(L40:AA40)-(45*8)</f>
        <v>11</v>
      </c>
      <c r="AC40" s="34">
        <f>SUM(M40:AB40)-(45*8)</f>
        <v>9</v>
      </c>
      <c r="AD40" s="34">
        <f>SUM(N40:AC40)-(45*7)</f>
        <v>37</v>
      </c>
      <c r="AE40" s="34">
        <f>SUM(O40:AD40)-(45*8)</f>
        <v>22</v>
      </c>
      <c r="AF40" s="34">
        <f>SUM(P40:AE40)-(45*8)</f>
        <v>30</v>
      </c>
      <c r="AG40" s="34">
        <f>SUM(Q40:AF40)-(45*8)</f>
        <v>32</v>
      </c>
      <c r="AH40" s="34">
        <f>SUM(R40:AG40)-(45*9)</f>
        <v>8</v>
      </c>
      <c r="AI40" s="34">
        <f>SUM(S40:AH40)-(45*8)</f>
        <v>39</v>
      </c>
      <c r="AJ40" s="34">
        <f>SUM(T40:AI40)-(45*8)</f>
        <v>34</v>
      </c>
      <c r="AK40" s="34">
        <f>SUM(U40:AJ40)-(45*8)</f>
        <v>25</v>
      </c>
      <c r="AL40" s="34">
        <f>SUM(V40:AK40)-(45*8)</f>
        <v>9</v>
      </c>
      <c r="AM40" s="34">
        <f>SUM(W40:AL40)-(45*7)</f>
        <v>27</v>
      </c>
      <c r="AN40" s="34">
        <f>SUM(X40:AM40)-(45*7)</f>
        <v>37</v>
      </c>
      <c r="AO40" s="34">
        <f>SUM(Y40:AN40)-(45*7)</f>
        <v>41</v>
      </c>
      <c r="AP40" s="34">
        <f>SUM(Z40:AO40)-(45*8)</f>
        <v>27</v>
      </c>
      <c r="AQ40" s="34">
        <f>SUM(AA40:AP40)-(45*9)</f>
        <v>3</v>
      </c>
      <c r="AR40" s="34">
        <f>SUM(AB40:AQ40)-(45*8)</f>
        <v>31</v>
      </c>
      <c r="AS40" s="34">
        <f>SUM(AC40:AR40)-(45*9)</f>
        <v>6</v>
      </c>
      <c r="AT40" s="34">
        <f>SUM(AD40:AS40)-(45*9)</f>
        <v>3</v>
      </c>
      <c r="AU40" s="34">
        <f>SUM(AE40:AT40)-(45*8)</f>
        <v>14</v>
      </c>
      <c r="AV40" s="34">
        <f>SUM(AF40:AU40)-(45*8)</f>
        <v>6</v>
      </c>
      <c r="AW40" s="34">
        <f t="shared" ref="AW40:BB40" si="46">SUM(AG40:AV40)-(45*7)</f>
        <v>27</v>
      </c>
      <c r="AX40" s="34">
        <f t="shared" si="46"/>
        <v>22</v>
      </c>
      <c r="AY40" s="34">
        <f t="shared" si="46"/>
        <v>36</v>
      </c>
      <c r="AZ40" s="34">
        <f t="shared" si="46"/>
        <v>33</v>
      </c>
      <c r="BA40" s="34">
        <f t="shared" si="46"/>
        <v>32</v>
      </c>
      <c r="BB40" s="34">
        <f t="shared" si="46"/>
        <v>39</v>
      </c>
      <c r="BC40" s="34">
        <f>SUM(AM40:BB40)-(45*8)</f>
        <v>24</v>
      </c>
      <c r="BD40" s="34">
        <f>SUM(AN40:BC40)-(45*8)</f>
        <v>21</v>
      </c>
      <c r="BE40" s="34">
        <f>SUM(AO40:BD40)-(45*8)</f>
        <v>5</v>
      </c>
      <c r="BF40" s="34">
        <f>SUM(AP40:BE40)-(45*7)</f>
        <v>14</v>
      </c>
      <c r="BG40" s="34">
        <f>SUM(AQ40:BF40)-(45*7)</f>
        <v>1</v>
      </c>
      <c r="BH40" s="34">
        <f>SUM(AR40:BG40)-(45*6)</f>
        <v>44</v>
      </c>
      <c r="BI40" s="34">
        <f>SUM(AS40:BH40)-(45*7)</f>
        <v>12</v>
      </c>
      <c r="BJ40" s="34">
        <f>SUM(AT40:BI40)-(45*7)</f>
        <v>18</v>
      </c>
      <c r="BK40" s="34">
        <f>SUM(AU40:BJ40)-(45*7)</f>
        <v>33</v>
      </c>
      <c r="BL40" s="34">
        <f>SUM(AV40:BK40)-(45*8)</f>
        <v>7</v>
      </c>
      <c r="BM40" s="34">
        <f>SUM(AW40:BL40)-(45*8)</f>
        <v>8</v>
      </c>
      <c r="BN40" s="34">
        <f>SUM(AX40:BM40)-(45*7)</f>
        <v>34</v>
      </c>
      <c r="BO40" s="34">
        <f>SUM(AY40:BN40)-(45*8)</f>
        <v>1</v>
      </c>
      <c r="BP40" s="34">
        <f t="shared" ref="BP40:BQ44" si="47">SUM(AZ40:BO40)-(45*7)</f>
        <v>11</v>
      </c>
      <c r="BQ40" s="34">
        <f>SUM(BA40:BP40)-(45*6)</f>
        <v>34</v>
      </c>
      <c r="BR40" s="34">
        <f>SUM(BB40:BQ40)-(45*6)</f>
        <v>36</v>
      </c>
      <c r="BS40" s="34">
        <f>SUM(BC40:BR40)-(45*6)</f>
        <v>33</v>
      </c>
      <c r="BT40" s="34">
        <f>SUM(BD40:BS40)-(45*6)</f>
        <v>42</v>
      </c>
      <c r="BU40" s="34">
        <f>SUM(BE40:BT40)-(45*7)</f>
        <v>18</v>
      </c>
      <c r="BV40" s="34">
        <f>SUM(BF40:BU40)-(45*7)</f>
        <v>31</v>
      </c>
      <c r="BX40" s="190"/>
      <c r="BZ40" s="17">
        <v>6</v>
      </c>
      <c r="CA40" s="17">
        <f>COUNTIF(BX40:BX541,BZ40)</f>
        <v>5</v>
      </c>
      <c r="CB40" s="156">
        <f>(CA40/CA47)</f>
        <v>6.5789473684210523E-2</v>
      </c>
      <c r="CE40" s="85">
        <v>509</v>
      </c>
      <c r="CF40" s="157">
        <v>12</v>
      </c>
      <c r="CG40" s="157">
        <v>25</v>
      </c>
      <c r="CH40" s="157">
        <v>29</v>
      </c>
      <c r="CI40" s="157">
        <v>35</v>
      </c>
      <c r="CJ40" s="158">
        <v>42</v>
      </c>
      <c r="CK40" s="158">
        <v>43</v>
      </c>
      <c r="CL40" s="158">
        <v>24</v>
      </c>
      <c r="CM40" s="34">
        <f t="shared" si="39"/>
        <v>51</v>
      </c>
      <c r="CN40" s="17">
        <f>SUM(CF40:CL40)-45-45-45-45</f>
        <v>30</v>
      </c>
      <c r="CP40" s="159">
        <f t="shared" si="40"/>
        <v>13</v>
      </c>
      <c r="CQ40" s="159">
        <f t="shared" si="40"/>
        <v>4</v>
      </c>
      <c r="CR40" s="159">
        <f t="shared" si="40"/>
        <v>6</v>
      </c>
      <c r="CS40" s="159">
        <f t="shared" si="40"/>
        <v>7</v>
      </c>
      <c r="CT40" s="159">
        <f t="shared" si="40"/>
        <v>1</v>
      </c>
      <c r="CU40" s="159">
        <f t="shared" si="40"/>
        <v>19</v>
      </c>
      <c r="CV40" s="17">
        <v>5</v>
      </c>
      <c r="CW40" s="17">
        <v>34</v>
      </c>
      <c r="DI40" s="21"/>
      <c r="DJ40" s="21"/>
      <c r="DK40" s="21"/>
      <c r="DL40" s="21"/>
      <c r="DM40" s="21"/>
      <c r="DN40" s="21"/>
      <c r="DO40" s="21"/>
      <c r="DP40" s="21"/>
      <c r="DQ40" s="21"/>
      <c r="DR40" s="21"/>
      <c r="DS40" s="21"/>
      <c r="DT40" s="21"/>
      <c r="DU40" s="21"/>
      <c r="DV40" s="21"/>
      <c r="DW40" s="21"/>
      <c r="DX40" s="21"/>
      <c r="DY40" s="21"/>
    </row>
    <row r="41" spans="3:129" s="23" customFormat="1" ht="17.25">
      <c r="C41" s="17">
        <v>510</v>
      </c>
      <c r="D41" s="155" t="s">
        <v>49</v>
      </c>
      <c r="E41" s="17">
        <v>8</v>
      </c>
      <c r="F41" s="17">
        <v>17</v>
      </c>
      <c r="G41" s="17">
        <v>2</v>
      </c>
      <c r="H41" s="17">
        <f>SUM(E41:F41)-(45*0)</f>
        <v>25</v>
      </c>
      <c r="I41" s="17">
        <v>6</v>
      </c>
      <c r="J41" s="34">
        <f>SUM(E41:I41)-(45*1)</f>
        <v>13</v>
      </c>
      <c r="K41" s="34">
        <f>SUM(E41:J41)-(45*1)</f>
        <v>26</v>
      </c>
      <c r="L41" s="34">
        <f>SUM(E41:K41)-(45*2)</f>
        <v>7</v>
      </c>
      <c r="M41" s="34">
        <f>SUM(E41:L41)-(45*2)</f>
        <v>14</v>
      </c>
      <c r="N41" s="34">
        <f>SUM(E41:M41)-(45*2)</f>
        <v>28</v>
      </c>
      <c r="O41" s="34">
        <f>SUM(E41:N41)-(45*3)</f>
        <v>11</v>
      </c>
      <c r="P41" s="34">
        <f>SUM(E41:O41)-(45*3)</f>
        <v>22</v>
      </c>
      <c r="Q41" s="34">
        <f>SUM(E41:P41)-(45*3)</f>
        <v>44</v>
      </c>
      <c r="R41" s="34">
        <f>SUM(E41:Q41)-(45*4)</f>
        <v>43</v>
      </c>
      <c r="S41" s="34">
        <f>SUM(E41:R41)-(45*5)</f>
        <v>41</v>
      </c>
      <c r="T41" s="34">
        <f>SUM(E41:S41)-(45*6)</f>
        <v>37</v>
      </c>
      <c r="U41" s="34">
        <f>SUM(E41:T41)-(45*7)</f>
        <v>29</v>
      </c>
      <c r="V41" s="34">
        <f>SUM(F41:U41)-(45*8)</f>
        <v>5</v>
      </c>
      <c r="W41" s="34">
        <f>SUM(G41:V41)-(45*7)</f>
        <v>38</v>
      </c>
      <c r="X41" s="34">
        <f>SUM(H41:W41)-(45*8)</f>
        <v>29</v>
      </c>
      <c r="Y41" s="34">
        <f>SUM(I41:X41)-(45*8)</f>
        <v>33</v>
      </c>
      <c r="Z41" s="34">
        <f>SUM(J41:Y41)-(45*9)</f>
        <v>15</v>
      </c>
      <c r="AA41" s="34">
        <f>SUM(K41:Z41)-(45*9)</f>
        <v>17</v>
      </c>
      <c r="AB41" s="34">
        <f>SUM(L41:AA41)-(45*9)</f>
        <v>8</v>
      </c>
      <c r="AC41" s="34">
        <f>SUM(M41:AB41)-(45*9)</f>
        <v>9</v>
      </c>
      <c r="AD41" s="34">
        <f>SUM(N41:AC41)-(45*9)</f>
        <v>4</v>
      </c>
      <c r="AE41" s="34">
        <f t="shared" ref="AE41:AF43" si="48">SUM(O41:AD41)-(45*8)</f>
        <v>25</v>
      </c>
      <c r="AF41" s="34">
        <f t="shared" si="48"/>
        <v>39</v>
      </c>
      <c r="AG41" s="34">
        <f>SUM(Q41:AF41)-(45*9)</f>
        <v>11</v>
      </c>
      <c r="AH41" s="34">
        <f>SUM(R41:AG41)-(45*8)</f>
        <v>23</v>
      </c>
      <c r="AI41" s="34">
        <f>SUM(S41:AH41)-(45*8)</f>
        <v>3</v>
      </c>
      <c r="AJ41" s="34">
        <f>SUM(T41:AI41)-(45*7)</f>
        <v>10</v>
      </c>
      <c r="AK41" s="34">
        <f>SUM(U41:AJ41)-(45*6)</f>
        <v>28</v>
      </c>
      <c r="AL41" s="34">
        <f>SUM(V41:AK41)-(45*6)</f>
        <v>27</v>
      </c>
      <c r="AM41" s="34">
        <f>SUM(W41:AL41)-(45*7)</f>
        <v>4</v>
      </c>
      <c r="AN41" s="34">
        <f>SUM(X41:AM41)-(45*6)</f>
        <v>15</v>
      </c>
      <c r="AO41" s="34">
        <f>SUM(Y41:AN41)-(45*6)</f>
        <v>1</v>
      </c>
      <c r="AP41" s="34">
        <f t="shared" ref="AP41:AV41" si="49">SUM(Z41:AO41)-(45*5)</f>
        <v>14</v>
      </c>
      <c r="AQ41" s="34">
        <f t="shared" si="49"/>
        <v>13</v>
      </c>
      <c r="AR41" s="34">
        <f t="shared" si="49"/>
        <v>9</v>
      </c>
      <c r="AS41" s="34">
        <f t="shared" si="49"/>
        <v>10</v>
      </c>
      <c r="AT41" s="34">
        <f t="shared" si="49"/>
        <v>11</v>
      </c>
      <c r="AU41" s="34">
        <f t="shared" si="49"/>
        <v>18</v>
      </c>
      <c r="AV41" s="34">
        <f t="shared" si="49"/>
        <v>11</v>
      </c>
      <c r="AW41" s="34">
        <f>SUM(AG41:AV41)-(45*4)</f>
        <v>28</v>
      </c>
      <c r="AX41" s="34">
        <f>SUM(AH41:AW41)-(45*4)</f>
        <v>45</v>
      </c>
      <c r="AY41" s="34">
        <f>SUM(AI41:AX41)-(45*5)</f>
        <v>22</v>
      </c>
      <c r="AZ41" s="34">
        <f>SUM(AJ41:AY41)-(45*5)</f>
        <v>41</v>
      </c>
      <c r="BA41" s="34">
        <f>SUM(AK41:AZ41)-(45*6)</f>
        <v>27</v>
      </c>
      <c r="BB41" s="34">
        <f>SUM(AL41:BA41)-(45*6)</f>
        <v>26</v>
      </c>
      <c r="BC41" s="34">
        <f>SUM(AM41:BB41)-(45*6)</f>
        <v>25</v>
      </c>
      <c r="BD41" s="34">
        <f t="shared" ref="BD41:BF42" si="50">SUM(AN41:BC41)-(45*7)</f>
        <v>1</v>
      </c>
      <c r="BE41" s="34">
        <f>SUM(AO41:BD41)-(45*6)</f>
        <v>32</v>
      </c>
      <c r="BF41" s="34">
        <f t="shared" si="50"/>
        <v>18</v>
      </c>
      <c r="BG41" s="34">
        <f>SUM(AQ41:BF41)-(45*7)</f>
        <v>22</v>
      </c>
      <c r="BH41" s="34">
        <f>SUM(AR41:BG41)-(45*7)</f>
        <v>31</v>
      </c>
      <c r="BI41" s="34">
        <f>SUM(AS41:BH41)-(45*8)</f>
        <v>8</v>
      </c>
      <c r="BJ41" s="34">
        <f>SUM(AT41:BI41)-(45*8)</f>
        <v>6</v>
      </c>
      <c r="BK41" s="34">
        <f t="shared" ref="BK41:BM43" si="51">SUM(AU41:BJ41)-(45*8)</f>
        <v>1</v>
      </c>
      <c r="BL41" s="34">
        <f>SUM(AV41:BK41)-(45*7)</f>
        <v>29</v>
      </c>
      <c r="BM41" s="34">
        <f t="shared" si="51"/>
        <v>2</v>
      </c>
      <c r="BN41" s="34">
        <f>SUM(AX41:BM41)-(45*7)</f>
        <v>21</v>
      </c>
      <c r="BO41" s="34">
        <f>SUM(AY41:BN41)-(45*6)</f>
        <v>42</v>
      </c>
      <c r="BP41" s="34">
        <f t="shared" si="47"/>
        <v>17</v>
      </c>
      <c r="BQ41" s="34">
        <f>SUM(BA41:BP41)-(45*6)</f>
        <v>38</v>
      </c>
      <c r="BR41" s="34">
        <f t="shared" ref="BR41:BS44" si="52">SUM(BB41:BQ41)-(45*7)</f>
        <v>4</v>
      </c>
      <c r="BS41" s="34">
        <f>SUM(BC41:BR41)-(45*6)</f>
        <v>27</v>
      </c>
      <c r="BT41" s="34">
        <f>SUM(BD41:BS41)-(45*6)</f>
        <v>29</v>
      </c>
      <c r="BU41" s="34">
        <f>SUM(BE41:BT41)-(45*7)</f>
        <v>12</v>
      </c>
      <c r="BV41" s="34">
        <f>SUM(BF41:BU41)-(45*6)</f>
        <v>37</v>
      </c>
      <c r="BX41" s="190"/>
      <c r="BZ41" s="17">
        <v>5</v>
      </c>
      <c r="CA41" s="17">
        <f>COUNTIF(BX40:BX765,BZ41)</f>
        <v>15</v>
      </c>
      <c r="CB41" s="156">
        <f>(CA41/CA47)</f>
        <v>0.19736842105263158</v>
      </c>
      <c r="CE41" s="85">
        <v>510</v>
      </c>
      <c r="CF41" s="160">
        <v>12</v>
      </c>
      <c r="CG41" s="160">
        <v>29</v>
      </c>
      <c r="CH41" s="160">
        <v>32</v>
      </c>
      <c r="CI41" s="160">
        <v>33</v>
      </c>
      <c r="CJ41" s="161">
        <v>39</v>
      </c>
      <c r="CK41" s="161">
        <v>40</v>
      </c>
      <c r="CL41" s="161">
        <v>42</v>
      </c>
      <c r="CM41" s="19">
        <f>SUM(CF41:CK41)-45-45-45-45</f>
        <v>5</v>
      </c>
      <c r="CN41" s="20">
        <f>SUM(CF41:CL41)-45-45-45-45-45</f>
        <v>2</v>
      </c>
      <c r="CP41" s="159">
        <f t="shared" si="40"/>
        <v>17</v>
      </c>
      <c r="CQ41" s="159">
        <f t="shared" si="40"/>
        <v>3</v>
      </c>
      <c r="CR41" s="159">
        <f t="shared" si="40"/>
        <v>1</v>
      </c>
      <c r="CS41" s="159">
        <f t="shared" si="40"/>
        <v>6</v>
      </c>
      <c r="CT41" s="159">
        <f t="shared" si="40"/>
        <v>1</v>
      </c>
      <c r="CU41" s="159">
        <f t="shared" si="40"/>
        <v>2</v>
      </c>
      <c r="CV41" s="17">
        <v>5</v>
      </c>
      <c r="CW41" s="17">
        <v>25</v>
      </c>
      <c r="DI41" s="21"/>
      <c r="DJ41" s="21"/>
      <c r="DK41" s="21"/>
      <c r="DL41" s="21"/>
      <c r="DM41" s="21"/>
      <c r="DN41" s="21"/>
      <c r="DO41" s="21"/>
      <c r="DP41" s="21"/>
      <c r="DQ41" s="21"/>
      <c r="DR41" s="21"/>
      <c r="DS41" s="21"/>
      <c r="DT41" s="21"/>
      <c r="DU41" s="21"/>
      <c r="DV41" s="21"/>
      <c r="DW41" s="21"/>
      <c r="DX41" s="21"/>
      <c r="DY41" s="21"/>
    </row>
    <row r="42" spans="3:129" s="23" customFormat="1" ht="17.25">
      <c r="C42" s="17">
        <v>511</v>
      </c>
      <c r="D42" s="155" t="s">
        <v>50</v>
      </c>
      <c r="E42" s="17">
        <v>15</v>
      </c>
      <c r="F42" s="17">
        <v>24</v>
      </c>
      <c r="G42" s="17">
        <v>3</v>
      </c>
      <c r="H42" s="17">
        <f>SUM(E42:F42)-(45*0)</f>
        <v>39</v>
      </c>
      <c r="I42" s="17">
        <v>7</v>
      </c>
      <c r="J42" s="34">
        <f>SUM(E42:I42)-(45*1)</f>
        <v>43</v>
      </c>
      <c r="K42" s="34">
        <f>SUM(E42:J42)-(45*2)</f>
        <v>41</v>
      </c>
      <c r="L42" s="34">
        <f>SUM(E42:K42)-(45*3)</f>
        <v>37</v>
      </c>
      <c r="M42" s="34">
        <f>SUM(E42:L42)-(45*4)</f>
        <v>29</v>
      </c>
      <c r="N42" s="34">
        <f>SUM(E42:M42)-(45*5)</f>
        <v>13</v>
      </c>
      <c r="O42" s="34">
        <f>SUM(E42:N42)-(45*5)</f>
        <v>26</v>
      </c>
      <c r="P42" s="34">
        <f>SUM(E42:O42)-(45*6)</f>
        <v>7</v>
      </c>
      <c r="Q42" s="34">
        <f>SUM(E42:P42)-(45*6)</f>
        <v>14</v>
      </c>
      <c r="R42" s="34">
        <f>SUM(E42:Q42)-(45*6)</f>
        <v>28</v>
      </c>
      <c r="S42" s="34">
        <f>SUM(E42:R42)-(45*7)</f>
        <v>11</v>
      </c>
      <c r="T42" s="34">
        <f>SUM(E42:S42)-(45*7)</f>
        <v>22</v>
      </c>
      <c r="U42" s="34">
        <f>SUM(E42:T42)-(45*7)</f>
        <v>44</v>
      </c>
      <c r="V42" s="34">
        <f>SUM(F42:U42)-(45*8)</f>
        <v>28</v>
      </c>
      <c r="W42" s="34">
        <f>SUM(G42:V42)-(45*8)</f>
        <v>32</v>
      </c>
      <c r="X42" s="34">
        <f>SUM(H42:W42)-(45*9)</f>
        <v>16</v>
      </c>
      <c r="Y42" s="34">
        <f>SUM(I42:X42)-(45*8)</f>
        <v>38</v>
      </c>
      <c r="Z42" s="34">
        <f>SUM(J42:Y42)-(45*9)</f>
        <v>24</v>
      </c>
      <c r="AA42" s="34">
        <f>SUM(K42:Z42)-(45*9)</f>
        <v>5</v>
      </c>
      <c r="AB42" s="34">
        <f>SUM(L42:AA42)-(45*8)</f>
        <v>14</v>
      </c>
      <c r="AC42" s="34">
        <f>SUM(M42:AB42)-(45*7)</f>
        <v>36</v>
      </c>
      <c r="AD42" s="34">
        <f>SUM(N42:AC42)-(45*7)</f>
        <v>43</v>
      </c>
      <c r="AE42" s="34">
        <f t="shared" si="48"/>
        <v>28</v>
      </c>
      <c r="AF42" s="34">
        <f t="shared" si="48"/>
        <v>30</v>
      </c>
      <c r="AG42" s="34">
        <f>SUM(Q42:AF42)-(45*9)</f>
        <v>8</v>
      </c>
      <c r="AH42" s="34">
        <f>SUM(R42:AG42)-(45*9)</f>
        <v>2</v>
      </c>
      <c r="AI42" s="34">
        <f>SUM(S42:AH42)-(45*8)</f>
        <v>21</v>
      </c>
      <c r="AJ42" s="34">
        <f>SUM(T42:AI42)-(45*8)</f>
        <v>31</v>
      </c>
      <c r="AK42" s="34">
        <f>SUM(U42:AJ42)-(45*8)</f>
        <v>40</v>
      </c>
      <c r="AL42" s="34">
        <f>SUM(V42:AK42)-(45*8)</f>
        <v>36</v>
      </c>
      <c r="AM42" s="34">
        <f>SUM(W42:AL42)-(45*8)</f>
        <v>44</v>
      </c>
      <c r="AN42" s="34">
        <f>SUM(X42:AM42)-(45*9)</f>
        <v>11</v>
      </c>
      <c r="AO42" s="34">
        <f>SUM(Y42:AN42)-(45*9)</f>
        <v>6</v>
      </c>
      <c r="AP42" s="34">
        <f t="shared" ref="AP42:AU42" si="53">SUM(Z42:AO42)-(45*8)</f>
        <v>19</v>
      </c>
      <c r="AQ42" s="34">
        <f t="shared" si="53"/>
        <v>14</v>
      </c>
      <c r="AR42" s="34">
        <f t="shared" si="53"/>
        <v>23</v>
      </c>
      <c r="AS42" s="34">
        <f t="shared" si="53"/>
        <v>32</v>
      </c>
      <c r="AT42" s="34">
        <f t="shared" si="53"/>
        <v>28</v>
      </c>
      <c r="AU42" s="34">
        <f t="shared" si="53"/>
        <v>13</v>
      </c>
      <c r="AV42" s="34">
        <f>SUM(AF42:AU42)-(45*7)</f>
        <v>43</v>
      </c>
      <c r="AW42" s="34">
        <f t="shared" ref="AW42:BC42" si="54">SUM(AG42:AV42)-(45*8)</f>
        <v>11</v>
      </c>
      <c r="AX42" s="34">
        <f t="shared" si="54"/>
        <v>14</v>
      </c>
      <c r="AY42" s="34">
        <f t="shared" si="54"/>
        <v>26</v>
      </c>
      <c r="AZ42" s="34">
        <f t="shared" si="54"/>
        <v>31</v>
      </c>
      <c r="BA42" s="34">
        <f t="shared" si="54"/>
        <v>31</v>
      </c>
      <c r="BB42" s="34">
        <f t="shared" si="54"/>
        <v>22</v>
      </c>
      <c r="BC42" s="34">
        <f t="shared" si="54"/>
        <v>8</v>
      </c>
      <c r="BD42" s="34">
        <f t="shared" si="50"/>
        <v>17</v>
      </c>
      <c r="BE42" s="34">
        <f t="shared" si="50"/>
        <v>23</v>
      </c>
      <c r="BF42" s="34">
        <f t="shared" si="50"/>
        <v>40</v>
      </c>
      <c r="BG42" s="34">
        <f>SUM(AQ42:BF42)-(45*8)</f>
        <v>16</v>
      </c>
      <c r="BH42" s="34">
        <f>SUM(AR42:BG42)-(45*8)</f>
        <v>18</v>
      </c>
      <c r="BI42" s="34">
        <f>SUM(AS42:BH42)-(45*8)</f>
        <v>13</v>
      </c>
      <c r="BJ42" s="34">
        <f>SUM(AT42:BI42)-(45*7)</f>
        <v>39</v>
      </c>
      <c r="BK42" s="34">
        <f t="shared" si="51"/>
        <v>5</v>
      </c>
      <c r="BL42" s="34">
        <f>SUM(AV42:BK42)-(45*7)</f>
        <v>42</v>
      </c>
      <c r="BM42" s="34">
        <f>SUM(AW42:BL42)-(45*7)</f>
        <v>41</v>
      </c>
      <c r="BN42" s="34">
        <f>SUM(AX42:BM42)-(45*8)</f>
        <v>26</v>
      </c>
      <c r="BO42" s="34">
        <f>SUM(AY42:BN42)-(45*8)</f>
        <v>38</v>
      </c>
      <c r="BP42" s="34">
        <f>SUM(AZ42:BO42)-(45*9)</f>
        <v>5</v>
      </c>
      <c r="BQ42" s="34">
        <f t="shared" ref="BQ42:BV42" si="55">SUM(BA42:BP42)-(45*8)</f>
        <v>24</v>
      </c>
      <c r="BR42" s="34">
        <f t="shared" si="55"/>
        <v>17</v>
      </c>
      <c r="BS42" s="34">
        <f t="shared" si="55"/>
        <v>12</v>
      </c>
      <c r="BT42" s="34">
        <f t="shared" si="55"/>
        <v>16</v>
      </c>
      <c r="BU42" s="34">
        <f t="shared" si="55"/>
        <v>15</v>
      </c>
      <c r="BV42" s="34">
        <f t="shared" si="55"/>
        <v>7</v>
      </c>
      <c r="BW42" s="21"/>
      <c r="BX42" s="190"/>
      <c r="BY42" s="21"/>
      <c r="BZ42" s="17">
        <v>4</v>
      </c>
      <c r="CA42" s="17">
        <f>COUNTIF(BX40:BX726,BZ42)</f>
        <v>13</v>
      </c>
      <c r="CB42" s="156">
        <f>(CA42/CA47)</f>
        <v>0.17105263157894737</v>
      </c>
      <c r="CC42" s="21"/>
      <c r="CD42" s="21"/>
      <c r="CE42" s="85">
        <v>511</v>
      </c>
      <c r="CF42" s="162">
        <v>3</v>
      </c>
      <c r="CG42" s="162">
        <v>7</v>
      </c>
      <c r="CH42" s="162">
        <v>14</v>
      </c>
      <c r="CI42" s="162">
        <v>23</v>
      </c>
      <c r="CJ42" s="163">
        <v>26</v>
      </c>
      <c r="CK42" s="163">
        <v>42</v>
      </c>
      <c r="CL42" s="163">
        <v>24</v>
      </c>
      <c r="CM42" s="19">
        <f>SUM(CF42:CK42)-45-45</f>
        <v>25</v>
      </c>
      <c r="CN42" s="20">
        <f>SUM(CF42:CL42)-45-45-45</f>
        <v>4</v>
      </c>
      <c r="CP42" s="159">
        <f t="shared" si="40"/>
        <v>4</v>
      </c>
      <c r="CQ42" s="159">
        <f t="shared" si="40"/>
        <v>7</v>
      </c>
      <c r="CR42" s="159">
        <f t="shared" si="40"/>
        <v>9</v>
      </c>
      <c r="CS42" s="159">
        <f t="shared" si="40"/>
        <v>3</v>
      </c>
      <c r="CT42" s="159">
        <f t="shared" si="40"/>
        <v>16</v>
      </c>
      <c r="CU42" s="159">
        <f t="shared" si="40"/>
        <v>18</v>
      </c>
      <c r="CV42" s="17">
        <v>6</v>
      </c>
      <c r="CW42" s="17">
        <v>37</v>
      </c>
      <c r="DI42" s="21"/>
      <c r="DJ42" s="21"/>
      <c r="DK42" s="21"/>
      <c r="DL42" s="21"/>
      <c r="DM42" s="21"/>
      <c r="DN42" s="21"/>
      <c r="DO42" s="21"/>
      <c r="DP42" s="21"/>
      <c r="DQ42" s="21"/>
      <c r="DR42" s="21"/>
      <c r="DS42" s="21"/>
      <c r="DT42" s="21"/>
      <c r="DU42" s="21"/>
      <c r="DV42" s="21"/>
      <c r="DW42" s="21"/>
      <c r="DX42" s="21"/>
      <c r="DY42" s="21"/>
    </row>
    <row r="43" spans="3:129" s="23" customFormat="1" ht="17.25">
      <c r="C43" s="17">
        <v>512</v>
      </c>
      <c r="D43" s="155" t="s">
        <v>51</v>
      </c>
      <c r="E43" s="17">
        <v>22</v>
      </c>
      <c r="F43" s="17">
        <v>31</v>
      </c>
      <c r="G43" s="17">
        <v>4</v>
      </c>
      <c r="H43" s="17">
        <f>SUM(E43:F43)-(45*1)</f>
        <v>8</v>
      </c>
      <c r="I43" s="17">
        <v>8</v>
      </c>
      <c r="J43" s="34">
        <f>SUM(E43:I43)-(45*1)</f>
        <v>28</v>
      </c>
      <c r="K43" s="34">
        <f>SUM(E43:J43)-(45*2)</f>
        <v>11</v>
      </c>
      <c r="L43" s="34">
        <f>SUM(E43:K43)-(45*2)</f>
        <v>22</v>
      </c>
      <c r="M43" s="34">
        <f>SUM(E43:L43)-(45*2)</f>
        <v>44</v>
      </c>
      <c r="N43" s="34">
        <f>SUM(E43:M43)-(45*3)</f>
        <v>43</v>
      </c>
      <c r="O43" s="34">
        <f>SUM(E43:N43)-(45*4)</f>
        <v>41</v>
      </c>
      <c r="P43" s="34">
        <f>SUM(E43:O43)-(45*5)</f>
        <v>37</v>
      </c>
      <c r="Q43" s="34">
        <f>SUM(E43:P43)-(45*6)</f>
        <v>29</v>
      </c>
      <c r="R43" s="34">
        <f>SUM(E43:Q43)-(45*7)</f>
        <v>13</v>
      </c>
      <c r="S43" s="34">
        <f>SUM(E43:R43)-(45*7)</f>
        <v>26</v>
      </c>
      <c r="T43" s="34">
        <f>SUM(E43:S43)-(45*8)</f>
        <v>7</v>
      </c>
      <c r="U43" s="34">
        <f>SUM(E43:T43)-(45*8)</f>
        <v>14</v>
      </c>
      <c r="V43" s="34">
        <f>SUM(F43:U43)-(45*8)</f>
        <v>6</v>
      </c>
      <c r="W43" s="34">
        <f>SUM(G43:V43)-(45*7)</f>
        <v>26</v>
      </c>
      <c r="X43" s="34">
        <f>SUM(H43:W43)-(45*8)</f>
        <v>3</v>
      </c>
      <c r="Y43" s="34">
        <f>SUM(I43:X43)-(45*7)</f>
        <v>43</v>
      </c>
      <c r="Z43" s="34">
        <f>SUM(J43:Y43)-(45*8)</f>
        <v>33</v>
      </c>
      <c r="AA43" s="34">
        <f>SUM(K43:Z43)-(45*8)</f>
        <v>38</v>
      </c>
      <c r="AB43" s="34">
        <f>SUM(L43:AA43)-(45*9)</f>
        <v>20</v>
      </c>
      <c r="AC43" s="34">
        <f>SUM(M43:AB43)-(45*9)</f>
        <v>18</v>
      </c>
      <c r="AD43" s="34">
        <f>SUM(N43:AC43)-(45*8)</f>
        <v>37</v>
      </c>
      <c r="AE43" s="34">
        <f t="shared" si="48"/>
        <v>31</v>
      </c>
      <c r="AF43" s="34">
        <f t="shared" si="48"/>
        <v>21</v>
      </c>
      <c r="AG43" s="34">
        <f>SUM(Q43:AF43)-(45*8)</f>
        <v>5</v>
      </c>
      <c r="AH43" s="34">
        <f>SUM(R43:AG43)-(45*7)</f>
        <v>26</v>
      </c>
      <c r="AI43" s="34">
        <f>SUM(S43:AH43)-(45*7)</f>
        <v>39</v>
      </c>
      <c r="AJ43" s="34">
        <f>SUM(T43:AI43)-(45*8)</f>
        <v>7</v>
      </c>
      <c r="AK43" s="34">
        <f>SUM(U43:AJ43)-(45*8)</f>
        <v>7</v>
      </c>
      <c r="AL43" s="34">
        <f>SUM(V43:AK43)-(45*7)</f>
        <v>45</v>
      </c>
      <c r="AM43" s="34">
        <f>SUM(W43:AL43)-(45*8)</f>
        <v>39</v>
      </c>
      <c r="AN43" s="34">
        <f>SUM(X43:AM43)-(45*9)</f>
        <v>7</v>
      </c>
      <c r="AO43" s="34">
        <f>SUM(Y43:AN43)-(45*9)</f>
        <v>11</v>
      </c>
      <c r="AP43" s="34">
        <f>SUM(Z43:AO43)-(45*8)</f>
        <v>24</v>
      </c>
      <c r="AQ43" s="34">
        <f>SUM(AA43:AP43)-(45*8)</f>
        <v>15</v>
      </c>
      <c r="AR43" s="34">
        <f>SUM(AB43:AQ43)-(45*7)</f>
        <v>37</v>
      </c>
      <c r="AS43" s="34">
        <f>SUM(AC43:AR43)-(45*8)</f>
        <v>9</v>
      </c>
      <c r="AT43" s="34">
        <f>SUM(AD43:AS43)-(45*7)</f>
        <v>45</v>
      </c>
      <c r="AU43" s="34">
        <f>SUM(AE43:AT43)-(45*8)</f>
        <v>8</v>
      </c>
      <c r="AV43" s="34">
        <f>SUM(AF43:AU43)-(45*7)</f>
        <v>30</v>
      </c>
      <c r="AW43" s="34">
        <f>SUM(AG43:AV43)-(45*7)</f>
        <v>39</v>
      </c>
      <c r="AX43" s="34">
        <f>SUM(AH43:AW43)-(45*8)</f>
        <v>28</v>
      </c>
      <c r="AY43" s="34">
        <f>SUM(AI43:AX43)-(45*8)</f>
        <v>30</v>
      </c>
      <c r="AZ43" s="34">
        <f>SUM(AJ43:AY43)-(45*8)</f>
        <v>21</v>
      </c>
      <c r="BA43" s="34">
        <f>SUM(AK43:AZ43)-(45*8)</f>
        <v>35</v>
      </c>
      <c r="BB43" s="34">
        <f>SUM(AL43:BA43)-(45*9)</f>
        <v>18</v>
      </c>
      <c r="BC43" s="34">
        <f>SUM(AM43:BB43)-(45*8)</f>
        <v>36</v>
      </c>
      <c r="BD43" s="34">
        <f>SUM(AN43:BC43)-(45*8)</f>
        <v>33</v>
      </c>
      <c r="BE43" s="34">
        <f>SUM(AO43:BD43)-(45*9)</f>
        <v>14</v>
      </c>
      <c r="BF43" s="34">
        <f>SUM(AP43:BE43)-(45*9)</f>
        <v>17</v>
      </c>
      <c r="BG43" s="34">
        <f>SUM(AQ43:BF43)-(45*9)</f>
        <v>10</v>
      </c>
      <c r="BH43" s="34">
        <f>SUM(AR43:BG43)-(45*9)</f>
        <v>5</v>
      </c>
      <c r="BI43" s="34">
        <f>SUM(AS43:BH43)-(45*8)</f>
        <v>18</v>
      </c>
      <c r="BJ43" s="34">
        <f>SUM(AT43:BI43)-(45*8)</f>
        <v>27</v>
      </c>
      <c r="BK43" s="34">
        <f t="shared" si="51"/>
        <v>9</v>
      </c>
      <c r="BL43" s="34">
        <f t="shared" si="51"/>
        <v>10</v>
      </c>
      <c r="BM43" s="34">
        <f>SUM(AW43:BL43)-(45*7)</f>
        <v>35</v>
      </c>
      <c r="BN43" s="34">
        <f>SUM(AX43:BM43)-(45*7)</f>
        <v>31</v>
      </c>
      <c r="BO43" s="34">
        <f>SUM(AY43:BN43)-(45*7)</f>
        <v>34</v>
      </c>
      <c r="BP43" s="34">
        <f t="shared" si="47"/>
        <v>38</v>
      </c>
      <c r="BQ43" s="34">
        <f>SUM(BA43:BP43)-(45*8)</f>
        <v>10</v>
      </c>
      <c r="BR43" s="34">
        <f t="shared" si="52"/>
        <v>30</v>
      </c>
      <c r="BS43" s="34">
        <f t="shared" si="52"/>
        <v>42</v>
      </c>
      <c r="BT43" s="34">
        <f>SUM(BD43:BS43)-(45*8)</f>
        <v>3</v>
      </c>
      <c r="BU43" s="34">
        <f>SUM(BE43:BT43)-(45*7)</f>
        <v>18</v>
      </c>
      <c r="BV43" s="34">
        <f>SUM(BF43:BU43)-(45*7)</f>
        <v>22</v>
      </c>
      <c r="BW43" s="21"/>
      <c r="BX43" s="190"/>
      <c r="BY43" s="21"/>
      <c r="BZ43" s="17">
        <v>3</v>
      </c>
      <c r="CA43" s="17">
        <f>COUNTIF(BX40:BX302,BZ43)</f>
        <v>9</v>
      </c>
      <c r="CB43" s="156">
        <f>(CA43/CA47)</f>
        <v>0.11842105263157894</v>
      </c>
      <c r="CC43" s="21"/>
      <c r="CD43" s="21"/>
      <c r="CE43" s="164">
        <v>512</v>
      </c>
      <c r="CF43" s="165">
        <v>4</v>
      </c>
      <c r="CG43" s="165">
        <v>5</v>
      </c>
      <c r="CH43" s="165">
        <v>9</v>
      </c>
      <c r="CI43" s="165">
        <v>13</v>
      </c>
      <c r="CJ43" s="165">
        <v>26</v>
      </c>
      <c r="CK43" s="165">
        <v>27</v>
      </c>
      <c r="CL43" s="165">
        <v>1</v>
      </c>
      <c r="CM43" s="166">
        <f>SUM(CF43:CK43)-45</f>
        <v>39</v>
      </c>
      <c r="CN43" s="167">
        <f>SUM(CF43:CL43)-45</f>
        <v>40</v>
      </c>
      <c r="CO43" s="21"/>
      <c r="CP43" s="159">
        <f t="shared" si="40"/>
        <v>1</v>
      </c>
      <c r="CQ43" s="159">
        <f t="shared" si="40"/>
        <v>4</v>
      </c>
      <c r="CR43" s="159">
        <f t="shared" si="40"/>
        <v>4</v>
      </c>
      <c r="CS43" s="159">
        <f t="shared" si="40"/>
        <v>13</v>
      </c>
      <c r="CT43" s="159">
        <f t="shared" si="40"/>
        <v>1</v>
      </c>
      <c r="CU43" s="159">
        <f t="shared" si="40"/>
        <v>26</v>
      </c>
      <c r="CV43" s="17">
        <v>13</v>
      </c>
      <c r="CW43" s="17">
        <f>52-45</f>
        <v>7</v>
      </c>
      <c r="DI43" s="21"/>
      <c r="DJ43" s="21"/>
      <c r="DK43" s="21"/>
      <c r="DL43" s="21"/>
      <c r="DM43" s="21"/>
      <c r="DN43" s="21"/>
      <c r="DO43" s="21"/>
      <c r="DP43" s="21"/>
      <c r="DQ43" s="21"/>
      <c r="DR43" s="21"/>
      <c r="DS43" s="21"/>
      <c r="DT43" s="21"/>
      <c r="DU43" s="21"/>
      <c r="DV43" s="21"/>
      <c r="DW43" s="21"/>
      <c r="DX43" s="21"/>
      <c r="DY43" s="21"/>
    </row>
    <row r="44" spans="3:129" s="23" customFormat="1" ht="17.25">
      <c r="C44" s="17">
        <v>513</v>
      </c>
      <c r="D44" s="155" t="s">
        <v>52</v>
      </c>
      <c r="E44" s="17">
        <v>29</v>
      </c>
      <c r="F44" s="17">
        <v>38</v>
      </c>
      <c r="G44" s="17">
        <v>5</v>
      </c>
      <c r="H44" s="17">
        <f>SUM(E44:F44)-(45*1)</f>
        <v>22</v>
      </c>
      <c r="I44" s="17">
        <v>9</v>
      </c>
      <c r="J44" s="34">
        <f>SUM(E44:I44)-(45*2)</f>
        <v>13</v>
      </c>
      <c r="K44" s="34">
        <f>SUM(E44:J44)-(45*2)</f>
        <v>26</v>
      </c>
      <c r="L44" s="34">
        <f>SUM(E44:K44)-(45*3)</f>
        <v>7</v>
      </c>
      <c r="M44" s="34">
        <f>SUM(E44:L44)-(45*3)</f>
        <v>14</v>
      </c>
      <c r="N44" s="34">
        <f>SUM(E44:M44)-(45*3)</f>
        <v>28</v>
      </c>
      <c r="O44" s="34">
        <f>SUM(E44:N44)-(45*4)</f>
        <v>11</v>
      </c>
      <c r="P44" s="34">
        <f>SUM(E44:O44)-(45*4)</f>
        <v>22</v>
      </c>
      <c r="Q44" s="34">
        <f>SUM(E44:P44)-(45*4)</f>
        <v>44</v>
      </c>
      <c r="R44" s="34">
        <f>SUM(E44:Q44)-(45*5)</f>
        <v>43</v>
      </c>
      <c r="S44" s="34">
        <f>SUM(E44:R44)-(45*6)</f>
        <v>41</v>
      </c>
      <c r="T44" s="34">
        <f>SUM(E44:S44)-(45*7)</f>
        <v>37</v>
      </c>
      <c r="U44" s="34">
        <f>SUM(E44:T44)-(45*8)</f>
        <v>29</v>
      </c>
      <c r="V44" s="34">
        <f>SUM(F44:U44)-(45*8)</f>
        <v>29</v>
      </c>
      <c r="W44" s="34">
        <f>SUM(G44:V44)-(45*8)</f>
        <v>20</v>
      </c>
      <c r="X44" s="34">
        <f>SUM(H44:W44)-(45*8)</f>
        <v>35</v>
      </c>
      <c r="Y44" s="34">
        <f>SUM(I44:X44)-(45*9)</f>
        <v>3</v>
      </c>
      <c r="Z44" s="34">
        <f>SUM(J44:Y44)-(45*8)</f>
        <v>42</v>
      </c>
      <c r="AA44" s="34">
        <f>SUM(K44:Z44)-(45*9)</f>
        <v>26</v>
      </c>
      <c r="AB44" s="34">
        <f>SUM(L44:AA44)-(45*9)</f>
        <v>26</v>
      </c>
      <c r="AC44" s="34">
        <f>SUM(M44:AB44)-(45*9)</f>
        <v>45</v>
      </c>
      <c r="AD44" s="34">
        <f>SUM(N44:AC44)-(45*10)</f>
        <v>31</v>
      </c>
      <c r="AE44" s="34">
        <f>SUM(O44:AD44)-(45*10)</f>
        <v>34</v>
      </c>
      <c r="AF44" s="34">
        <f>SUM(P44:AE44)-(45*11)</f>
        <v>12</v>
      </c>
      <c r="AG44" s="34">
        <f>SUM(Q44:AF44)-(45*11)</f>
        <v>2</v>
      </c>
      <c r="AH44" s="34">
        <f>SUM(R44:AG44)-(45*10)</f>
        <v>5</v>
      </c>
      <c r="AI44" s="34">
        <f>SUM(S44:AH44)-(45*9)</f>
        <v>12</v>
      </c>
      <c r="AJ44" s="34">
        <f>SUM(T44:AI44)-(45*8)</f>
        <v>28</v>
      </c>
      <c r="AK44" s="34">
        <f>SUM(U44:AJ44)-(45*8)</f>
        <v>19</v>
      </c>
      <c r="AL44" s="34">
        <f>SUM(V44:AK44)-(45*8)</f>
        <v>9</v>
      </c>
      <c r="AM44" s="34">
        <f>SUM(W44:AL44)-(45*7)</f>
        <v>34</v>
      </c>
      <c r="AN44" s="34">
        <f>SUM(X44:AM44)-(45*8)</f>
        <v>3</v>
      </c>
      <c r="AO44" s="34">
        <f>SUM(Y44:AN44)-(45*7)</f>
        <v>16</v>
      </c>
      <c r="AP44" s="34">
        <f>SUM(Z44:AO44)-(45*7)</f>
        <v>29</v>
      </c>
      <c r="AQ44" s="34">
        <f>SUM(AA44:AP44)-(45*7)</f>
        <v>16</v>
      </c>
      <c r="AR44" s="34">
        <f>SUM(AB44:AQ44)-(45*7)</f>
        <v>6</v>
      </c>
      <c r="AS44" s="34">
        <f>SUM(AC44:AR44)-(45*6)</f>
        <v>31</v>
      </c>
      <c r="AT44" s="34">
        <f>SUM(AD44:AS44)-(45*6)</f>
        <v>17</v>
      </c>
      <c r="AU44" s="34">
        <f>SUM(AE44:AT44)-(45*6)</f>
        <v>3</v>
      </c>
      <c r="AV44" s="34">
        <f>SUM(AF44:AU44)-(45*5)</f>
        <v>17</v>
      </c>
      <c r="AW44" s="34">
        <f>SUM(AG44:AV44)-(45*5)</f>
        <v>22</v>
      </c>
      <c r="AX44" s="34">
        <f>SUM(AH44:AW44)-(45*5)</f>
        <v>42</v>
      </c>
      <c r="AY44" s="34">
        <f>SUM(AI44:AX44)-(45*6)</f>
        <v>34</v>
      </c>
      <c r="AZ44" s="34">
        <f>SUM(AJ44:AY44)-(45*7)</f>
        <v>11</v>
      </c>
      <c r="BA44" s="34">
        <f>SUM(AK44:AZ44)-(45*6)</f>
        <v>39</v>
      </c>
      <c r="BB44" s="34">
        <f>SUM(AL44:BA44)-(45*7)</f>
        <v>14</v>
      </c>
      <c r="BC44" s="34">
        <f>SUM(AM44:BB44)-(45*7)</f>
        <v>19</v>
      </c>
      <c r="BD44" s="34">
        <f>SUM(AN44:BC44)-(45*7)</f>
        <v>4</v>
      </c>
      <c r="BE44" s="34">
        <f>SUM(AO44:BD44)-(45*7)</f>
        <v>5</v>
      </c>
      <c r="BF44" s="34">
        <f>SUM(AP44:BE44)-(45*6)</f>
        <v>39</v>
      </c>
      <c r="BG44" s="34">
        <f>SUM(AQ44:BF44)-(45*7)</f>
        <v>4</v>
      </c>
      <c r="BH44" s="34">
        <f>SUM(AR44:BG44)-(45*6)</f>
        <v>37</v>
      </c>
      <c r="BI44" s="34">
        <f>SUM(AS44:BH44)-(45*7)</f>
        <v>23</v>
      </c>
      <c r="BJ44" s="34">
        <f>SUM(AT44:BI44)-(45*7)</f>
        <v>15</v>
      </c>
      <c r="BK44" s="34">
        <f>SUM(AU44:BJ44)-(45*7)</f>
        <v>13</v>
      </c>
      <c r="BL44" s="34">
        <f>SUM(AV44:BK44)-(45*7)</f>
        <v>23</v>
      </c>
      <c r="BM44" s="34">
        <f>SUM(AW44:BL44)-(45*7)</f>
        <v>29</v>
      </c>
      <c r="BN44" s="34">
        <f>SUM(AX44:BM44)-(45*7)</f>
        <v>36</v>
      </c>
      <c r="BO44" s="34">
        <f>SUM(AY44:BN44)-(45*7)</f>
        <v>30</v>
      </c>
      <c r="BP44" s="34">
        <f t="shared" si="47"/>
        <v>26</v>
      </c>
      <c r="BQ44" s="34">
        <f t="shared" si="47"/>
        <v>41</v>
      </c>
      <c r="BR44" s="34">
        <f t="shared" si="52"/>
        <v>43</v>
      </c>
      <c r="BS44" s="34">
        <f>SUM(BC44:BR44)-(45*8)</f>
        <v>27</v>
      </c>
      <c r="BT44" s="34">
        <f>SUM(BD44:BS44)-(45*8)</f>
        <v>35</v>
      </c>
      <c r="BU44" s="34">
        <f>SUM(BE44:BT44)-(45*9)</f>
        <v>21</v>
      </c>
      <c r="BV44" s="34">
        <f>SUM(BF44:BU44)-(45*9)</f>
        <v>37</v>
      </c>
      <c r="BW44" s="21"/>
      <c r="BX44" s="190"/>
      <c r="BY44" s="21"/>
      <c r="BZ44" s="17">
        <v>2</v>
      </c>
      <c r="CA44" s="17">
        <f>COUNTIF(BX40:BX525,BZ44)</f>
        <v>10</v>
      </c>
      <c r="CB44" s="156">
        <f>(CA44/CA47)</f>
        <v>0.13157894736842105</v>
      </c>
      <c r="CC44" s="21"/>
      <c r="CD44" s="21"/>
      <c r="CE44" s="85">
        <v>513</v>
      </c>
      <c r="CF44" s="17">
        <v>5</v>
      </c>
      <c r="CG44" s="17">
        <v>8</v>
      </c>
      <c r="CH44" s="17">
        <v>21</v>
      </c>
      <c r="CI44" s="17">
        <v>23</v>
      </c>
      <c r="CJ44" s="17">
        <v>27</v>
      </c>
      <c r="CK44" s="17">
        <v>33</v>
      </c>
      <c r="CL44" s="17">
        <v>12</v>
      </c>
      <c r="CM44" s="19">
        <f>SUM(CF44:CK44)-45-45</f>
        <v>27</v>
      </c>
      <c r="CN44" s="20">
        <f>SUM(CF44:CL44)-45-45</f>
        <v>39</v>
      </c>
      <c r="CO44" s="17"/>
      <c r="CP44" s="17">
        <f t="shared" si="40"/>
        <v>3</v>
      </c>
      <c r="CQ44" s="17">
        <f t="shared" si="40"/>
        <v>13</v>
      </c>
      <c r="CR44" s="17">
        <f t="shared" si="40"/>
        <v>2</v>
      </c>
      <c r="CS44" s="17">
        <f t="shared" si="40"/>
        <v>4</v>
      </c>
      <c r="CT44" s="17">
        <f t="shared" si="40"/>
        <v>6</v>
      </c>
      <c r="CU44" s="17">
        <f t="shared" si="40"/>
        <v>21</v>
      </c>
      <c r="CV44" s="17">
        <v>3</v>
      </c>
      <c r="CW44" s="17">
        <f>54-45</f>
        <v>9</v>
      </c>
      <c r="DB44" s="59" t="s">
        <v>138</v>
      </c>
      <c r="DC44" s="59" t="s">
        <v>139</v>
      </c>
      <c r="DD44" s="59" t="s">
        <v>140</v>
      </c>
      <c r="DI44" s="21"/>
      <c r="DJ44" s="21"/>
      <c r="DK44" s="21"/>
      <c r="DL44" s="21"/>
      <c r="DM44" s="21"/>
      <c r="DN44" s="21"/>
      <c r="DO44" s="21"/>
      <c r="DP44" s="21"/>
      <c r="DQ44" s="21"/>
      <c r="DR44" s="21"/>
      <c r="DS44" s="21"/>
      <c r="DT44" s="21"/>
      <c r="DU44" s="21"/>
      <c r="DV44" s="21"/>
      <c r="DW44" s="21"/>
      <c r="DX44" s="21"/>
      <c r="DY44" s="21"/>
    </row>
    <row r="45" spans="3:129" s="23" customFormat="1" ht="17.25">
      <c r="C45" s="17">
        <v>514</v>
      </c>
      <c r="D45" s="155" t="s">
        <v>53</v>
      </c>
      <c r="E45" s="17">
        <v>6</v>
      </c>
      <c r="F45" s="17">
        <v>16</v>
      </c>
      <c r="G45" s="17">
        <v>1</v>
      </c>
      <c r="H45" s="17">
        <f>SUM(E45:F45)-(45*0)</f>
        <v>22</v>
      </c>
      <c r="I45" s="17">
        <v>10</v>
      </c>
      <c r="J45" s="34">
        <f>SUM(E45:I45)-(45*1)</f>
        <v>10</v>
      </c>
      <c r="K45" s="34">
        <f>SUM(E45:J45)-(45*1)</f>
        <v>20</v>
      </c>
      <c r="L45" s="34">
        <f>SUM(E45:K45)-(45*1)</f>
        <v>40</v>
      </c>
      <c r="M45" s="34">
        <f>SUM(E45:L45)-(45*2)</f>
        <v>35</v>
      </c>
      <c r="N45" s="34">
        <f>SUM(E45:M45)-(45*3)</f>
        <v>25</v>
      </c>
      <c r="O45" s="34">
        <f>SUM(E45:N45)-(45*4)</f>
        <v>5</v>
      </c>
      <c r="P45" s="34">
        <f>SUM(E45:O45)-(45*4)</f>
        <v>10</v>
      </c>
      <c r="Q45" s="34">
        <f>SUM(E45:P45)-(45*4)</f>
        <v>20</v>
      </c>
      <c r="R45" s="34">
        <f>SUM(E45:Q45)-(45*4)</f>
        <v>40</v>
      </c>
      <c r="S45" s="34">
        <f>SUM(E45:R45)-(45*5)</f>
        <v>35</v>
      </c>
      <c r="T45" s="34">
        <f>SUM(E45:S45)-(45*6)</f>
        <v>25</v>
      </c>
      <c r="U45" s="34">
        <f>SUM(E45:T45)-(45*7)</f>
        <v>5</v>
      </c>
      <c r="V45" s="34">
        <f>SUM(F45:U45)-(45*7)</f>
        <v>4</v>
      </c>
      <c r="W45" s="34">
        <f>SUM(G45:V45)-(45*6)</f>
        <v>37</v>
      </c>
      <c r="X45" s="34">
        <f>SUM(H45:W45)-(45*7)</f>
        <v>28</v>
      </c>
      <c r="Y45" s="34">
        <f>SUM(I45:X45)-(45*7)</f>
        <v>34</v>
      </c>
      <c r="Z45" s="34">
        <f>SUM(J45:Y45)-(45*8)</f>
        <v>13</v>
      </c>
      <c r="AA45" s="34">
        <f>SUM(K45:Z45)-(45*8)</f>
        <v>16</v>
      </c>
      <c r="AB45" s="34">
        <f>SUM(L45:AA45)-(45*8)</f>
        <v>12</v>
      </c>
      <c r="AC45" s="34">
        <f t="shared" ref="AC45:AF46" si="56">SUM(M45:AB45)-(45*7)</f>
        <v>29</v>
      </c>
      <c r="AD45" s="34">
        <f t="shared" si="56"/>
        <v>23</v>
      </c>
      <c r="AE45" s="34">
        <f t="shared" si="56"/>
        <v>21</v>
      </c>
      <c r="AF45" s="34">
        <f t="shared" si="56"/>
        <v>37</v>
      </c>
      <c r="AG45" s="34">
        <f>SUM(Q45:AF45)-(45*8)</f>
        <v>19</v>
      </c>
      <c r="AH45" s="34">
        <f>SUM(R45:AG45)-(45*8)</f>
        <v>18</v>
      </c>
      <c r="AI45" s="34">
        <f>SUM(S45:AH45)-(45*7)</f>
        <v>41</v>
      </c>
      <c r="AJ45" s="34">
        <f>SUM(T45:AI45)-(45*8)</f>
        <v>2</v>
      </c>
      <c r="AK45" s="34">
        <f>SUM(U45:AJ45)-(45*7)</f>
        <v>24</v>
      </c>
      <c r="AL45" s="34">
        <f>SUM(V45:AK45)-(45*7)</f>
        <v>43</v>
      </c>
      <c r="AM45" s="34">
        <f>SUM(W45:AL45)-(45*8)</f>
        <v>37</v>
      </c>
      <c r="AN45" s="34">
        <f>SUM(X45:AM45)-(45*8)</f>
        <v>37</v>
      </c>
      <c r="AO45" s="34">
        <f>SUM(Y45:AN45)-(45*9)</f>
        <v>1</v>
      </c>
      <c r="AP45" s="34">
        <f>SUM(Z45:AO45)-(45*8)</f>
        <v>13</v>
      </c>
      <c r="AQ45" s="34">
        <f>SUM(AA45:AP45)-(45*8)</f>
        <v>13</v>
      </c>
      <c r="AR45" s="34">
        <f>SUM(AB45:AQ45)-(45*8)</f>
        <v>10</v>
      </c>
      <c r="AS45" s="34">
        <f>SUM(AC45:AR45)-(45*8)</f>
        <v>8</v>
      </c>
      <c r="AT45" s="34">
        <f>SUM(AD45:AS45)-(45*7)</f>
        <v>32</v>
      </c>
      <c r="AU45" s="34">
        <f>SUM(AE45:AT45)-(45*7)</f>
        <v>41</v>
      </c>
      <c r="AV45" s="34">
        <f>SUM(AF45:AU45)-(45*8)</f>
        <v>16</v>
      </c>
      <c r="AW45" s="34">
        <f>SUM(AG45:AV45)-(45*7)</f>
        <v>40</v>
      </c>
      <c r="AX45" s="34">
        <f>SUM(AH45:AW45)-(45*8)</f>
        <v>16</v>
      </c>
      <c r="AY45" s="34">
        <f>SUM(AI45:AX45)-(45*8)</f>
        <v>14</v>
      </c>
      <c r="AZ45" s="34">
        <f>SUM(AJ45:AY45)-(45*7)</f>
        <v>32</v>
      </c>
      <c r="BA45" s="34">
        <f>SUM(AK45:AZ45)-(45*8)</f>
        <v>17</v>
      </c>
      <c r="BB45" s="34">
        <f>SUM(AL45:BA45)-(45*8)</f>
        <v>10</v>
      </c>
      <c r="BC45" s="34">
        <f t="shared" ref="BC45:BF47" si="57">SUM(AM45:BB45)-(45*7)</f>
        <v>22</v>
      </c>
      <c r="BD45" s="34">
        <f t="shared" si="57"/>
        <v>7</v>
      </c>
      <c r="BE45" s="34">
        <f>SUM(AO45:BD45)-(45*6)</f>
        <v>22</v>
      </c>
      <c r="BF45" s="34">
        <f>SUM(AP45:BE45)-(45*6)</f>
        <v>43</v>
      </c>
      <c r="BG45" s="34">
        <f>SUM(AQ45:BF45)-(45*7)</f>
        <v>28</v>
      </c>
      <c r="BH45" s="34">
        <f>SUM(AR45:BG45)-(45*7)</f>
        <v>43</v>
      </c>
      <c r="BI45" s="34">
        <f>SUM(AS45:BH45)-(45*8)</f>
        <v>31</v>
      </c>
      <c r="BJ45" s="34">
        <f>SUM(AT45:BI45)-(45*9)</f>
        <v>9</v>
      </c>
      <c r="BK45" s="34">
        <f t="shared" ref="BK45:BM46" si="58">SUM(AU45:BJ45)-(45*8)</f>
        <v>31</v>
      </c>
      <c r="BL45" s="34">
        <f t="shared" si="58"/>
        <v>21</v>
      </c>
      <c r="BM45" s="34">
        <f t="shared" si="58"/>
        <v>26</v>
      </c>
      <c r="BN45" s="34">
        <f>SUM(AX45:BM45)-(45*8)</f>
        <v>12</v>
      </c>
      <c r="BO45" s="34">
        <f t="shared" ref="BO45:BO50" si="59">SUM(AY45:BN45)-(45*8)</f>
        <v>8</v>
      </c>
      <c r="BP45" s="34">
        <f>SUM(AZ45:BO45)-(45*8)</f>
        <v>2</v>
      </c>
      <c r="BQ45" s="34">
        <f>SUM(BA45:BP45)-(45*7)</f>
        <v>17</v>
      </c>
      <c r="BR45" s="34">
        <f>SUM(BB45:BQ45)-(45*7)</f>
        <v>17</v>
      </c>
      <c r="BS45" s="34">
        <f>SUM(BC45:BR45)-(45*7)</f>
        <v>24</v>
      </c>
      <c r="BT45" s="34">
        <f>SUM(BD45:BS45)-(45*7)</f>
        <v>26</v>
      </c>
      <c r="BU45" s="34">
        <f>SUM(BE45:BT45)-(45*7)</f>
        <v>45</v>
      </c>
      <c r="BV45" s="34">
        <f>SUM(BF45:BU45)-(45*8)</f>
        <v>23</v>
      </c>
      <c r="BW45" s="21"/>
      <c r="BX45" s="190"/>
      <c r="BY45" s="21"/>
      <c r="BZ45" s="17">
        <v>1</v>
      </c>
      <c r="CA45" s="17">
        <f>COUNTIF(BX40:BX332,BZ45)</f>
        <v>9</v>
      </c>
      <c r="CB45" s="156">
        <f>(CA45/CA47)</f>
        <v>0.11842105263157894</v>
      </c>
      <c r="CC45" s="21"/>
      <c r="CD45" s="21"/>
      <c r="CE45" s="85">
        <v>514</v>
      </c>
      <c r="CF45" s="17">
        <v>1</v>
      </c>
      <c r="CG45" s="17">
        <v>15</v>
      </c>
      <c r="CH45" s="17">
        <v>20</v>
      </c>
      <c r="CI45" s="17">
        <v>26</v>
      </c>
      <c r="CJ45" s="17">
        <v>35</v>
      </c>
      <c r="CK45" s="17">
        <v>42</v>
      </c>
      <c r="CL45" s="17">
        <v>9</v>
      </c>
      <c r="CM45" s="19">
        <f>SUM(CF45:CK45)-45-45-45</f>
        <v>4</v>
      </c>
      <c r="CN45" s="20">
        <f>SUM(CF45:CL45)-45-45-45</f>
        <v>13</v>
      </c>
      <c r="CO45" s="17"/>
      <c r="CP45" s="17">
        <f t="shared" si="40"/>
        <v>14</v>
      </c>
      <c r="CQ45" s="17">
        <f t="shared" si="40"/>
        <v>5</v>
      </c>
      <c r="CR45" s="17">
        <f t="shared" si="40"/>
        <v>6</v>
      </c>
      <c r="CS45" s="17">
        <f t="shared" si="40"/>
        <v>9</v>
      </c>
      <c r="CT45" s="17">
        <f t="shared" si="40"/>
        <v>7</v>
      </c>
      <c r="CU45" s="17">
        <f t="shared" si="40"/>
        <v>33</v>
      </c>
      <c r="CV45" s="17">
        <v>3</v>
      </c>
      <c r="CW45" s="17">
        <v>36</v>
      </c>
      <c r="DB45" s="59">
        <v>0</v>
      </c>
      <c r="DC45" s="59">
        <f>COUNTIF(CY39:CY895,DB45)</f>
        <v>9</v>
      </c>
      <c r="DD45" s="168">
        <f>DC45/DC52</f>
        <v>0.12</v>
      </c>
      <c r="DI45" s="21"/>
      <c r="DJ45" s="21"/>
      <c r="DK45" s="21"/>
      <c r="DL45" s="21"/>
      <c r="DM45" s="21"/>
      <c r="DN45" s="21"/>
      <c r="DO45" s="21"/>
      <c r="DP45" s="21"/>
      <c r="DQ45" s="21"/>
      <c r="DR45" s="21"/>
      <c r="DS45" s="21"/>
      <c r="DT45" s="21"/>
      <c r="DU45" s="21"/>
      <c r="DV45" s="21"/>
      <c r="DW45" s="21"/>
      <c r="DX45" s="21"/>
      <c r="DY45" s="21"/>
    </row>
    <row r="46" spans="3:129" s="23" customFormat="1" ht="17.25">
      <c r="C46" s="17">
        <v>515</v>
      </c>
      <c r="D46" s="169" t="s">
        <v>54</v>
      </c>
      <c r="E46" s="17">
        <v>13</v>
      </c>
      <c r="F46" s="17">
        <v>23</v>
      </c>
      <c r="G46" s="17">
        <v>2</v>
      </c>
      <c r="H46" s="17">
        <f>SUM(E46:F46)-(45*0)</f>
        <v>36</v>
      </c>
      <c r="I46" s="17">
        <v>11</v>
      </c>
      <c r="J46" s="34">
        <f>SUM(E46:I46)-(45*1)</f>
        <v>40</v>
      </c>
      <c r="K46" s="34">
        <f>SUM(E46:J46)-(45*2)</f>
        <v>35</v>
      </c>
      <c r="L46" s="34">
        <f>SUM(E46:K46)-(45*3)</f>
        <v>25</v>
      </c>
      <c r="M46" s="34">
        <f>SUM(E46:L46)-(45*4)</f>
        <v>5</v>
      </c>
      <c r="N46" s="34">
        <f>SUM(E46:M46)-(45*4)</f>
        <v>10</v>
      </c>
      <c r="O46" s="34">
        <f>SUM(E46:N46)-(45*4)</f>
        <v>20</v>
      </c>
      <c r="P46" s="34">
        <f>SUM(E46:O46)-(45*4)</f>
        <v>40</v>
      </c>
      <c r="Q46" s="34">
        <f>SUM(E46:P46)-(45*5)</f>
        <v>35</v>
      </c>
      <c r="R46" s="34">
        <f>SUM(E46:Q46)-(45*6)</f>
        <v>25</v>
      </c>
      <c r="S46" s="34">
        <f>SUM(E46:R46)-(45*7)</f>
        <v>5</v>
      </c>
      <c r="T46" s="34">
        <f>SUM(E46:S46)-(45*7)</f>
        <v>10</v>
      </c>
      <c r="U46" s="34">
        <f>SUM(E46:T46)-(45*7)</f>
        <v>20</v>
      </c>
      <c r="V46" s="34">
        <f>SUM(F46:U46)-(45*7)</f>
        <v>27</v>
      </c>
      <c r="W46" s="34">
        <f>SUM(G46:V46)-(45*7)</f>
        <v>31</v>
      </c>
      <c r="X46" s="34">
        <f>SUM(H46:W46)-(45*8)</f>
        <v>15</v>
      </c>
      <c r="Y46" s="34">
        <f>SUM(I46:X46)-(45*7)</f>
        <v>39</v>
      </c>
      <c r="Z46" s="34">
        <f>SUM(J46:Y46)-(45*8)</f>
        <v>22</v>
      </c>
      <c r="AA46" s="34">
        <f>SUM(K46:Z46)-(45*8)</f>
        <v>4</v>
      </c>
      <c r="AB46" s="34">
        <f>SUM(L46:AA46)-(45*7)</f>
        <v>18</v>
      </c>
      <c r="AC46" s="34">
        <f t="shared" si="56"/>
        <v>11</v>
      </c>
      <c r="AD46" s="34">
        <f t="shared" si="56"/>
        <v>17</v>
      </c>
      <c r="AE46" s="34">
        <f t="shared" si="56"/>
        <v>24</v>
      </c>
      <c r="AF46" s="34">
        <f t="shared" si="56"/>
        <v>28</v>
      </c>
      <c r="AG46" s="34">
        <f>SUM(Q46:AF46)-(45*7)</f>
        <v>16</v>
      </c>
      <c r="AH46" s="34">
        <f>SUM(R46:AG46)-(45*6)</f>
        <v>42</v>
      </c>
      <c r="AI46" s="34">
        <f>SUM(S46:AH46)-(45*7)</f>
        <v>14</v>
      </c>
      <c r="AJ46" s="34">
        <f>SUM(T46:AI46)-(45*7)</f>
        <v>23</v>
      </c>
      <c r="AK46" s="34">
        <f>SUM(U46:AJ46)-(45*7)</f>
        <v>36</v>
      </c>
      <c r="AL46" s="34">
        <f>SUM(V46:AK46)-(45*8)</f>
        <v>7</v>
      </c>
      <c r="AM46" s="34">
        <f>SUM(W46:AL46)-(45*7)</f>
        <v>32</v>
      </c>
      <c r="AN46" s="34">
        <f>SUM(X46:AM46)-(45*7)</f>
        <v>33</v>
      </c>
      <c r="AO46" s="34">
        <f>SUM(Y46:AN46)-(45*8)</f>
        <v>6</v>
      </c>
      <c r="AP46" s="34">
        <f>SUM(Z46:AO46)-(45*7)</f>
        <v>18</v>
      </c>
      <c r="AQ46" s="34">
        <f>SUM(AA46:AP46)-(45*7)</f>
        <v>14</v>
      </c>
      <c r="AR46" s="34">
        <f>SUM(AB46:AQ46)-(45*7)</f>
        <v>24</v>
      </c>
      <c r="AS46" s="34">
        <f>SUM(AC46:AR46)-(45*7)</f>
        <v>30</v>
      </c>
      <c r="AT46" s="34">
        <f>SUM(AD46:AS46)-(45*8)</f>
        <v>4</v>
      </c>
      <c r="AU46" s="34">
        <f>SUM(AE46:AT46)-(45*7)</f>
        <v>36</v>
      </c>
      <c r="AV46" s="34">
        <f>SUM(AF46:AU46)-(45*8)</f>
        <v>3</v>
      </c>
      <c r="AW46" s="34">
        <f>SUM(AG46:AV46)-(45*7)</f>
        <v>23</v>
      </c>
      <c r="AX46" s="34">
        <f>SUM(AH46:AW46)-(45*7)</f>
        <v>30</v>
      </c>
      <c r="AY46" s="34">
        <f>SUM(AI46:AX46)-(45*7)</f>
        <v>18</v>
      </c>
      <c r="AZ46" s="34">
        <f>SUM(AJ46:AY46)-(45*7)</f>
        <v>22</v>
      </c>
      <c r="BA46" s="34">
        <f>SUM(AK46:AZ46)-(45*7)</f>
        <v>21</v>
      </c>
      <c r="BB46" s="34">
        <f>SUM(AL46:BA46)-(45*7)</f>
        <v>6</v>
      </c>
      <c r="BC46" s="34">
        <f t="shared" si="57"/>
        <v>5</v>
      </c>
      <c r="BD46" s="34">
        <f>SUM(AN46:BC46)-(45*6)</f>
        <v>23</v>
      </c>
      <c r="BE46" s="34">
        <f>SUM(AO46:BD46)-(45*6)</f>
        <v>13</v>
      </c>
      <c r="BF46" s="34">
        <f>SUM(AP46:BE46)-(45*6)</f>
        <v>20</v>
      </c>
      <c r="BG46" s="34">
        <f>SUM(AQ46:BF46)-(45*6)</f>
        <v>22</v>
      </c>
      <c r="BH46" s="34">
        <f>SUM(AR46:BG46)-(45*6)</f>
        <v>30</v>
      </c>
      <c r="BI46" s="34">
        <f>SUM(AS46:BH46)-(45*6)</f>
        <v>36</v>
      </c>
      <c r="BJ46" s="34">
        <f>SUM(AT46:BI46)-(45*6)</f>
        <v>42</v>
      </c>
      <c r="BK46" s="34">
        <f>SUM(AU46:BJ46)-(45*7)</f>
        <v>35</v>
      </c>
      <c r="BL46" s="34">
        <f>SUM(AV46:BK46)-(45*7)</f>
        <v>34</v>
      </c>
      <c r="BM46" s="34">
        <f t="shared" si="58"/>
        <v>20</v>
      </c>
      <c r="BN46" s="34">
        <f>SUM(AX46:BM46)-(45*8)</f>
        <v>17</v>
      </c>
      <c r="BO46" s="34">
        <f t="shared" si="59"/>
        <v>4</v>
      </c>
      <c r="BP46" s="34">
        <f>SUM(AZ46:BO46)-(45*7)</f>
        <v>35</v>
      </c>
      <c r="BQ46" s="34">
        <f>SUM(BA46:BP46)-(45*8)</f>
        <v>3</v>
      </c>
      <c r="BR46" s="34">
        <f>SUM(BB46:BQ46)-(45*7)</f>
        <v>30</v>
      </c>
      <c r="BS46" s="34">
        <f>SUM(BC46:BR46)-(45*8)</f>
        <v>9</v>
      </c>
      <c r="BT46" s="34">
        <f>SUM(BD46:BS46)-(45*8)</f>
        <v>13</v>
      </c>
      <c r="BU46" s="34">
        <f>SUM(BE46:BT46)-(45*8)</f>
        <v>3</v>
      </c>
      <c r="BV46" s="34">
        <f>SUM(BF46:BU46)-(45*7)</f>
        <v>38</v>
      </c>
      <c r="BW46" s="21"/>
      <c r="BX46" s="190"/>
      <c r="BY46" s="21"/>
      <c r="BZ46" s="17">
        <v>0</v>
      </c>
      <c r="CA46" s="17">
        <f>COUNTIF(BX40:BX332,BZ46)</f>
        <v>15</v>
      </c>
      <c r="CB46" s="156">
        <f>(CA46/CA47)</f>
        <v>0.19736842105263158</v>
      </c>
      <c r="CC46" s="21"/>
      <c r="CD46" s="21"/>
      <c r="CE46" s="85">
        <v>515</v>
      </c>
      <c r="CF46" s="17">
        <v>2</v>
      </c>
      <c r="CG46" s="17">
        <v>11</v>
      </c>
      <c r="CH46" s="17">
        <v>12</v>
      </c>
      <c r="CI46" s="17">
        <v>15</v>
      </c>
      <c r="CJ46" s="17">
        <v>23</v>
      </c>
      <c r="CK46" s="17">
        <v>37</v>
      </c>
      <c r="CL46" s="17">
        <v>8</v>
      </c>
      <c r="CM46" s="19">
        <f>SUM(CF46:CK46)-45-45</f>
        <v>10</v>
      </c>
      <c r="CN46" s="20">
        <f>SUM(CF46:CL46)-45-45</f>
        <v>18</v>
      </c>
      <c r="CO46" s="17"/>
      <c r="CP46" s="17">
        <f t="shared" si="40"/>
        <v>9</v>
      </c>
      <c r="CQ46" s="17">
        <f t="shared" si="40"/>
        <v>1</v>
      </c>
      <c r="CR46" s="17">
        <f t="shared" si="40"/>
        <v>3</v>
      </c>
      <c r="CS46" s="17">
        <f t="shared" si="40"/>
        <v>8</v>
      </c>
      <c r="CT46" s="17">
        <f t="shared" si="40"/>
        <v>14</v>
      </c>
      <c r="CU46" s="17">
        <f t="shared" si="40"/>
        <v>29</v>
      </c>
      <c r="CV46" s="17">
        <v>1</v>
      </c>
      <c r="CW46" s="17">
        <v>35</v>
      </c>
      <c r="CX46" s="21"/>
      <c r="CY46" s="21"/>
      <c r="CZ46" s="21"/>
      <c r="DA46" s="21"/>
      <c r="DB46" s="59">
        <v>1</v>
      </c>
      <c r="DC46" s="59">
        <f>COUNTIF(CY45:CY901,DB46)</f>
        <v>24</v>
      </c>
      <c r="DD46" s="168">
        <f>DC46/DC52</f>
        <v>0.32</v>
      </c>
      <c r="DI46" s="21"/>
      <c r="DJ46" s="21"/>
      <c r="DK46" s="21"/>
      <c r="DL46" s="21"/>
      <c r="DM46" s="21"/>
      <c r="DN46" s="21"/>
      <c r="DO46" s="21"/>
      <c r="DP46" s="21"/>
      <c r="DQ46" s="21"/>
      <c r="DR46" s="21"/>
      <c r="DS46" s="21"/>
      <c r="DT46" s="21"/>
      <c r="DU46" s="21"/>
      <c r="DV46" s="21"/>
      <c r="DW46" s="21"/>
      <c r="DX46" s="21"/>
      <c r="DY46" s="21"/>
    </row>
    <row r="47" spans="3:129" s="23" customFormat="1">
      <c r="C47" s="17">
        <v>516</v>
      </c>
      <c r="D47" s="169" t="s">
        <v>55</v>
      </c>
      <c r="E47" s="17">
        <v>20</v>
      </c>
      <c r="F47" s="17">
        <v>30</v>
      </c>
      <c r="G47" s="17">
        <v>3</v>
      </c>
      <c r="H47" s="17">
        <f>SUM(E47:F47)-(45*1)</f>
        <v>5</v>
      </c>
      <c r="I47" s="17">
        <v>12</v>
      </c>
      <c r="J47" s="34">
        <f>SUM(E47:I47)-(45*1)</f>
        <v>25</v>
      </c>
      <c r="K47" s="34">
        <f>SUM(E47:J47)-(45*2)</f>
        <v>5</v>
      </c>
      <c r="L47" s="34">
        <f>SUM(E47:K47)-(45*2)</f>
        <v>10</v>
      </c>
      <c r="M47" s="34">
        <f>SUM(E47:L47)-(45*2)</f>
        <v>20</v>
      </c>
      <c r="N47" s="34">
        <f>SUM(E47:M47)-(45*2)</f>
        <v>40</v>
      </c>
      <c r="O47" s="34">
        <f>SUM(E47:N47)-(45*3)</f>
        <v>35</v>
      </c>
      <c r="P47" s="34">
        <f>SUM(E47:O47)-(45*4)</f>
        <v>25</v>
      </c>
      <c r="Q47" s="34">
        <f>SUM(E47:P47)-(45*5)</f>
        <v>5</v>
      </c>
      <c r="R47" s="34">
        <f>SUM(E47:Q47)-(45*5)</f>
        <v>10</v>
      </c>
      <c r="S47" s="34">
        <f>SUM(E47:R47)-(45*5)</f>
        <v>20</v>
      </c>
      <c r="T47" s="34">
        <f>SUM(E47:S47)-(45*5)</f>
        <v>40</v>
      </c>
      <c r="U47" s="34">
        <f>SUM(E47:T47)-(45*6)</f>
        <v>35</v>
      </c>
      <c r="V47" s="34">
        <f>SUM(F47:U47)-(45*7)</f>
        <v>5</v>
      </c>
      <c r="W47" s="34">
        <f>SUM(G47:V47)-(45*6)</f>
        <v>25</v>
      </c>
      <c r="X47" s="34">
        <f>SUM(H47:W47)-(45*7)</f>
        <v>2</v>
      </c>
      <c r="Y47" s="34">
        <f>SUM(I47:X47)-(45*6)</f>
        <v>44</v>
      </c>
      <c r="Z47" s="34">
        <f>SUM(J47:Y47)-(45*7)</f>
        <v>31</v>
      </c>
      <c r="AA47" s="34">
        <f>SUM(K47:Z47)-(45*7)</f>
        <v>37</v>
      </c>
      <c r="AB47" s="34">
        <f>SUM(L47:AA47)-(45*8)</f>
        <v>24</v>
      </c>
      <c r="AC47" s="34">
        <f>SUM(M47:AB47)-(45*8)</f>
        <v>38</v>
      </c>
      <c r="AD47" s="34">
        <f>SUM(N47:AC47)-(45*9)</f>
        <v>11</v>
      </c>
      <c r="AE47" s="34">
        <f t="shared" ref="AE47:AJ47" si="60">SUM(O47:AD47)-(45*8)</f>
        <v>27</v>
      </c>
      <c r="AF47" s="34">
        <f t="shared" si="60"/>
        <v>19</v>
      </c>
      <c r="AG47" s="34">
        <f t="shared" si="60"/>
        <v>13</v>
      </c>
      <c r="AH47" s="34">
        <f t="shared" si="60"/>
        <v>21</v>
      </c>
      <c r="AI47" s="34">
        <f t="shared" si="60"/>
        <v>32</v>
      </c>
      <c r="AJ47" s="34">
        <f t="shared" si="60"/>
        <v>44</v>
      </c>
      <c r="AK47" s="34">
        <f>SUM(U47:AJ47)-(45*9)</f>
        <v>3</v>
      </c>
      <c r="AL47" s="34">
        <f>SUM(V47:AK47)-(45*8)</f>
        <v>16</v>
      </c>
      <c r="AM47" s="34">
        <f>SUM(W47:AL47)-(45*8)</f>
        <v>27</v>
      </c>
      <c r="AN47" s="34">
        <f>SUM(X47:AM47)-(45*8)</f>
        <v>29</v>
      </c>
      <c r="AO47" s="34">
        <f>SUM(Y47:AN47)-(45*9)</f>
        <v>11</v>
      </c>
      <c r="AP47" s="34">
        <f>SUM(Z47:AO47)-(45*8)</f>
        <v>23</v>
      </c>
      <c r="AQ47" s="34">
        <f>SUM(AA47:AP47)-(45*8)</f>
        <v>15</v>
      </c>
      <c r="AR47" s="34">
        <f>SUM(AB47:AQ47)-(45*7)</f>
        <v>38</v>
      </c>
      <c r="AS47" s="34">
        <f>SUM(AC47:AR47)-(45*8)</f>
        <v>7</v>
      </c>
      <c r="AT47" s="34">
        <f>SUM(AD47:AS47)-(45*7)</f>
        <v>21</v>
      </c>
      <c r="AU47" s="34">
        <f>SUM(AE47:AT47)-(45*7)</f>
        <v>31</v>
      </c>
      <c r="AV47" s="34">
        <f>SUM(AF47:AU47)-(45*7)</f>
        <v>35</v>
      </c>
      <c r="AW47" s="34">
        <f>SUM(AG47:AV47)-(45*8)</f>
        <v>6</v>
      </c>
      <c r="AX47" s="34">
        <f>SUM(AH47:AW47)-(45*7)</f>
        <v>44</v>
      </c>
      <c r="AY47" s="34">
        <f t="shared" ref="AY47:AZ49" si="61">SUM(AI47:AX47)-(45*8)</f>
        <v>22</v>
      </c>
      <c r="AZ47" s="34">
        <f t="shared" si="61"/>
        <v>12</v>
      </c>
      <c r="BA47" s="34">
        <f>SUM(AK47:AZ47)-(45*7)</f>
        <v>25</v>
      </c>
      <c r="BB47" s="34">
        <f>SUM(AL47:BA47)-(45*8)</f>
        <v>2</v>
      </c>
      <c r="BC47" s="34">
        <f t="shared" si="57"/>
        <v>33</v>
      </c>
      <c r="BD47" s="34">
        <f t="shared" si="57"/>
        <v>39</v>
      </c>
      <c r="BE47" s="34">
        <f>SUM(AO47:BD47)-(45*8)</f>
        <v>4</v>
      </c>
      <c r="BF47" s="34">
        <f t="shared" si="57"/>
        <v>42</v>
      </c>
      <c r="BG47" s="34">
        <f>SUM(AQ47:BF47)-(45*8)</f>
        <v>16</v>
      </c>
      <c r="BH47" s="34">
        <f>SUM(AR47:BG47)-(45*8)</f>
        <v>17</v>
      </c>
      <c r="BI47" s="34">
        <f>SUM(AS47:BH47)-(45*7)</f>
        <v>41</v>
      </c>
      <c r="BJ47" s="34">
        <f>SUM(AT47:BI47)-(45*8)</f>
        <v>30</v>
      </c>
      <c r="BK47" s="34">
        <f>SUM(AU47:BJ47)-(45*8)</f>
        <v>39</v>
      </c>
      <c r="BL47" s="34">
        <f>SUM(AV47:BK47)-(45*9)</f>
        <v>2</v>
      </c>
      <c r="BM47" s="34">
        <f>SUM(AW47:BL47)-(45*8)</f>
        <v>14</v>
      </c>
      <c r="BN47" s="34">
        <f>SUM(AX47:BM47)-(45*8)</f>
        <v>22</v>
      </c>
      <c r="BO47" s="34">
        <f>SUM(AY47:BN47)-(45*7)</f>
        <v>45</v>
      </c>
      <c r="BP47" s="34">
        <f>SUM(AZ47:BO47)-(45*8)</f>
        <v>23</v>
      </c>
      <c r="BQ47" s="34">
        <f>SUM(BA47:BP47)-(45*8)</f>
        <v>34</v>
      </c>
      <c r="BR47" s="34">
        <f>SUM(BB47:BQ47)-(45*8)</f>
        <v>43</v>
      </c>
      <c r="BS47" s="34">
        <f>SUM(BC47:BR47)-(45*9)</f>
        <v>39</v>
      </c>
      <c r="BT47" s="34">
        <f>SUM(BD47:BS47)-(45*9)</f>
        <v>45</v>
      </c>
      <c r="BU47" s="34">
        <f>SUM(BE47:BT47)-(45*10)</f>
        <v>6</v>
      </c>
      <c r="BV47" s="34">
        <f>SUM(BF47:BU47)-(45*10)</f>
        <v>8</v>
      </c>
      <c r="BW47" s="21"/>
      <c r="BX47" s="190"/>
      <c r="BY47" s="21"/>
      <c r="BZ47" s="17"/>
      <c r="CA47" s="17">
        <f>SUM(CA40:CA46)</f>
        <v>76</v>
      </c>
      <c r="CB47" s="156">
        <f>SUM(CB40:CB46)</f>
        <v>1</v>
      </c>
      <c r="CC47" s="21"/>
      <c r="CD47" s="21"/>
      <c r="CE47" s="17">
        <v>516</v>
      </c>
      <c r="CF47" s="17">
        <v>2</v>
      </c>
      <c r="CG47" s="17">
        <v>8</v>
      </c>
      <c r="CH47" s="17">
        <v>23</v>
      </c>
      <c r="CI47" s="17">
        <v>41</v>
      </c>
      <c r="CJ47" s="17">
        <v>43</v>
      </c>
      <c r="CK47" s="17">
        <v>44</v>
      </c>
      <c r="CL47" s="17">
        <v>30</v>
      </c>
      <c r="CM47" s="19">
        <f>SUM(CF47:CK47)-45-45-45</f>
        <v>26</v>
      </c>
      <c r="CN47" s="20">
        <f>SUM(CF47:CL47)-45-45-45-45</f>
        <v>11</v>
      </c>
      <c r="CO47" s="17"/>
      <c r="CP47" s="17">
        <f t="shared" si="40"/>
        <v>6</v>
      </c>
      <c r="CQ47" s="17">
        <f t="shared" si="40"/>
        <v>15</v>
      </c>
      <c r="CR47" s="17">
        <f t="shared" si="40"/>
        <v>18</v>
      </c>
      <c r="CS47" s="17">
        <f t="shared" si="40"/>
        <v>2</v>
      </c>
      <c r="CT47" s="17">
        <f t="shared" si="40"/>
        <v>1</v>
      </c>
      <c r="CU47" s="17">
        <f t="shared" si="40"/>
        <v>14</v>
      </c>
      <c r="CV47" s="17">
        <v>11</v>
      </c>
      <c r="CW47" s="17">
        <v>32</v>
      </c>
      <c r="DB47" s="59">
        <v>2</v>
      </c>
      <c r="DC47" s="59">
        <f>COUNTIF(CY45:CY901,DB47)</f>
        <v>18</v>
      </c>
      <c r="DD47" s="168">
        <f>DC47/DC52</f>
        <v>0.24</v>
      </c>
      <c r="DI47" s="21"/>
      <c r="DJ47" s="21"/>
      <c r="DK47" s="21"/>
      <c r="DL47" s="21"/>
      <c r="DM47" s="21"/>
      <c r="DN47" s="21"/>
      <c r="DO47" s="21"/>
      <c r="DP47" s="21"/>
      <c r="DQ47" s="21"/>
      <c r="DR47" s="21"/>
      <c r="DS47" s="21"/>
      <c r="DT47" s="21"/>
      <c r="DU47" s="21"/>
      <c r="DV47" s="21"/>
      <c r="DW47" s="21"/>
      <c r="DX47" s="21"/>
      <c r="DY47" s="21"/>
    </row>
    <row r="48" spans="3:129" s="23" customFormat="1">
      <c r="C48" s="17">
        <v>517</v>
      </c>
      <c r="D48" s="169" t="s">
        <v>56</v>
      </c>
      <c r="E48" s="17">
        <v>27</v>
      </c>
      <c r="F48" s="17">
        <v>37</v>
      </c>
      <c r="G48" s="17">
        <v>4</v>
      </c>
      <c r="H48" s="17">
        <f>SUM(E48:F48)-(45*1)</f>
        <v>19</v>
      </c>
      <c r="I48" s="17">
        <v>13</v>
      </c>
      <c r="J48" s="34">
        <f>SUM(E48:I48)-(45*2)</f>
        <v>10</v>
      </c>
      <c r="K48" s="34">
        <f>SUM(E48:J48)-(45*2)</f>
        <v>20</v>
      </c>
      <c r="L48" s="34">
        <f>SUM(E48:K48)-(45*2)</f>
        <v>40</v>
      </c>
      <c r="M48" s="34">
        <f>SUM(E48:L48)-(45*3)</f>
        <v>35</v>
      </c>
      <c r="N48" s="34">
        <f>SUM(E48:M48)-(45*4)</f>
        <v>25</v>
      </c>
      <c r="O48" s="34">
        <f>SUM(E48:N48)-(45*5)</f>
        <v>5</v>
      </c>
      <c r="P48" s="34">
        <f>SUM(E48:O48)-(45*5)</f>
        <v>10</v>
      </c>
      <c r="Q48" s="34">
        <f>SUM(E48:P48)-(45*5)</f>
        <v>20</v>
      </c>
      <c r="R48" s="34">
        <f>SUM(E48:Q48)-(45*5)</f>
        <v>40</v>
      </c>
      <c r="S48" s="34">
        <f>SUM(E48:R48)-(45*6)</f>
        <v>35</v>
      </c>
      <c r="T48" s="34">
        <f>SUM(E48:S48)-(45*7)</f>
        <v>25</v>
      </c>
      <c r="U48" s="34">
        <f>SUM(E48:T48)-(45*8)</f>
        <v>5</v>
      </c>
      <c r="V48" s="34">
        <f>SUM(F48:U48)-(45*7)</f>
        <v>28</v>
      </c>
      <c r="W48" s="34">
        <f>SUM(G48:V48)-(45*7)</f>
        <v>19</v>
      </c>
      <c r="X48" s="34">
        <f>SUM(H48:W48)-(45*7)</f>
        <v>34</v>
      </c>
      <c r="Y48" s="34">
        <f>SUM(I48:X48)-(45*8)</f>
        <v>4</v>
      </c>
      <c r="Z48" s="34">
        <f>SUM(J48:Y48)-(45*7)</f>
        <v>40</v>
      </c>
      <c r="AA48" s="34">
        <f>SUM(K48:Z48)-(45*8)</f>
        <v>25</v>
      </c>
      <c r="AB48" s="34">
        <f>SUM(L48:AA48)-(45*8)</f>
        <v>30</v>
      </c>
      <c r="AC48" s="34">
        <f>SUM(M48:AB48)-(45*8)</f>
        <v>20</v>
      </c>
      <c r="AD48" s="34">
        <f>SUM(N48:AC48)-(45*8)</f>
        <v>5</v>
      </c>
      <c r="AE48" s="34">
        <f>SUM(O48:AD48)-(45*7)</f>
        <v>30</v>
      </c>
      <c r="AF48" s="34">
        <f>SUM(P48:AE48)-(45*8)</f>
        <v>10</v>
      </c>
      <c r="AG48" s="34">
        <f>SUM(Q48:AF48)-(45*8)</f>
        <v>10</v>
      </c>
      <c r="AH48" s="34">
        <f>SUM(R48:AG48)-(45*7)</f>
        <v>45</v>
      </c>
      <c r="AI48" s="34">
        <f>SUM(S48:AH48)-(45*8)</f>
        <v>5</v>
      </c>
      <c r="AJ48" s="34">
        <f t="shared" ref="AJ48:AQ48" si="62">SUM(T48:AI48)-(45*7)</f>
        <v>20</v>
      </c>
      <c r="AK48" s="34">
        <f t="shared" si="62"/>
        <v>15</v>
      </c>
      <c r="AL48" s="34">
        <f t="shared" si="62"/>
        <v>25</v>
      </c>
      <c r="AM48" s="34">
        <f t="shared" si="62"/>
        <v>22</v>
      </c>
      <c r="AN48" s="34">
        <f t="shared" si="62"/>
        <v>25</v>
      </c>
      <c r="AO48" s="34">
        <f t="shared" si="62"/>
        <v>16</v>
      </c>
      <c r="AP48" s="34">
        <f t="shared" si="62"/>
        <v>28</v>
      </c>
      <c r="AQ48" s="34">
        <f t="shared" si="62"/>
        <v>16</v>
      </c>
      <c r="AR48" s="34">
        <f>SUM(AB48:AQ48)-(45*7)</f>
        <v>7</v>
      </c>
      <c r="AS48" s="34">
        <f>SUM(AC48:AR48)-(45*6)</f>
        <v>29</v>
      </c>
      <c r="AT48" s="34">
        <f>SUM(AD48:AS48)-(45*6)</f>
        <v>38</v>
      </c>
      <c r="AU48" s="34">
        <f>SUM(AE48:AT48)-(45*7)</f>
        <v>26</v>
      </c>
      <c r="AV48" s="34">
        <f>SUM(AF48:AU48)-(45*7)</f>
        <v>22</v>
      </c>
      <c r="AW48" s="34">
        <f>SUM(AG48:AV48)-(45*7)</f>
        <v>34</v>
      </c>
      <c r="AX48" s="34">
        <f>SUM(AH48:AW48)-(45*8)</f>
        <v>13</v>
      </c>
      <c r="AY48" s="34">
        <f>SUM(AI48:AX48)-(45*7)</f>
        <v>26</v>
      </c>
      <c r="AZ48" s="34">
        <f t="shared" si="61"/>
        <v>2</v>
      </c>
      <c r="BA48" s="34">
        <f>SUM(AK48:AZ48)-(45*7)</f>
        <v>29</v>
      </c>
      <c r="BB48" s="34">
        <f>SUM(AL48:BA48)-(45*7)</f>
        <v>43</v>
      </c>
      <c r="BC48" s="34">
        <f>SUM(AM48:BB48)-(45*8)</f>
        <v>16</v>
      </c>
      <c r="BD48" s="34">
        <f>SUM(AN48:BC48)-(45*8)</f>
        <v>10</v>
      </c>
      <c r="BE48" s="34">
        <f>SUM(AO48:BD48)-(45*7)</f>
        <v>40</v>
      </c>
      <c r="BF48" s="34">
        <f>SUM(AP48:BE48)-(45*8)</f>
        <v>19</v>
      </c>
      <c r="BG48" s="34">
        <f>SUM(AQ48:BF48)-(45*8)</f>
        <v>10</v>
      </c>
      <c r="BH48" s="34">
        <f>SUM(AR48:BG48)-(45*8)</f>
        <v>4</v>
      </c>
      <c r="BI48" s="34">
        <f>SUM(AS48:BH48)-(45*8)</f>
        <v>1</v>
      </c>
      <c r="BJ48" s="34">
        <f>SUM(AT48:BI48)-(45*7)</f>
        <v>18</v>
      </c>
      <c r="BK48" s="34">
        <f>SUM(AU48:BJ48)-(45*6)</f>
        <v>43</v>
      </c>
      <c r="BL48" s="34">
        <f>SUM(AV48:BK48)-(45*7)</f>
        <v>15</v>
      </c>
      <c r="BM48" s="34">
        <f>SUM(AW48:BL48)-(45*7)</f>
        <v>8</v>
      </c>
      <c r="BN48" s="34">
        <f>SUM(AX48:BM48)-(45*6)</f>
        <v>27</v>
      </c>
      <c r="BO48" s="34">
        <f>SUM(AY48:BN48)-(45*6)</f>
        <v>41</v>
      </c>
      <c r="BP48" s="34">
        <f>SUM(AZ48:BO48)-(45*7)</f>
        <v>11</v>
      </c>
      <c r="BQ48" s="34">
        <f>SUM(BA48:BP48)-(45*7)</f>
        <v>20</v>
      </c>
      <c r="BR48" s="34">
        <f>SUM(BB48:BQ48)-(45*7)</f>
        <v>11</v>
      </c>
      <c r="BS48" s="34">
        <f>SUM(BC48:BR48)-(45*6)</f>
        <v>24</v>
      </c>
      <c r="BT48" s="34">
        <f>SUM(BD48:BS48)-(45*6)</f>
        <v>32</v>
      </c>
      <c r="BU48" s="34">
        <f>SUM(BE48:BT48)-(45*7)</f>
        <v>9</v>
      </c>
      <c r="BV48" s="34">
        <f>SUM(BF48:BU48)-(45*6)</f>
        <v>23</v>
      </c>
      <c r="BW48" s="21"/>
      <c r="BX48" s="190"/>
      <c r="BY48" s="21"/>
      <c r="BZ48" s="21"/>
      <c r="CA48" s="21"/>
      <c r="CB48" s="21"/>
      <c r="CC48" s="21"/>
      <c r="CD48" s="21"/>
      <c r="CE48" s="17">
        <v>517</v>
      </c>
      <c r="CF48" s="17">
        <v>1</v>
      </c>
      <c r="CG48" s="17">
        <v>9</v>
      </c>
      <c r="CH48" s="17">
        <v>12</v>
      </c>
      <c r="CI48" s="17">
        <v>28</v>
      </c>
      <c r="CJ48" s="17">
        <v>36</v>
      </c>
      <c r="CK48" s="17">
        <v>41</v>
      </c>
      <c r="CL48" s="17">
        <v>10</v>
      </c>
      <c r="CM48" s="19">
        <f>SUM(CF48:CK48)-45-45</f>
        <v>37</v>
      </c>
      <c r="CN48" s="20">
        <f>SUM(CF48:CL48)-45-45-45</f>
        <v>2</v>
      </c>
      <c r="CO48" s="17"/>
      <c r="CP48" s="17">
        <f t="shared" si="40"/>
        <v>8</v>
      </c>
      <c r="CQ48" s="17">
        <f t="shared" si="40"/>
        <v>3</v>
      </c>
      <c r="CR48" s="17">
        <f t="shared" si="40"/>
        <v>16</v>
      </c>
      <c r="CS48" s="17">
        <f t="shared" si="40"/>
        <v>8</v>
      </c>
      <c r="CT48" s="17">
        <f t="shared" si="40"/>
        <v>5</v>
      </c>
      <c r="CU48" s="17">
        <f t="shared" si="40"/>
        <v>31</v>
      </c>
      <c r="CV48" s="17">
        <v>5</v>
      </c>
      <c r="CW48" s="17">
        <v>40</v>
      </c>
      <c r="CX48" s="21"/>
      <c r="CY48" s="21"/>
      <c r="CZ48" s="21"/>
      <c r="DA48" s="21"/>
      <c r="DB48" s="59">
        <v>3</v>
      </c>
      <c r="DC48" s="59">
        <f>COUNTIF(CY45:CY901,DB48)</f>
        <v>19</v>
      </c>
      <c r="DD48" s="168">
        <f>DC48/DC52</f>
        <v>0.25333333333333335</v>
      </c>
      <c r="DE48" s="21"/>
      <c r="DI48" s="21"/>
      <c r="DJ48" s="21"/>
      <c r="DK48" s="21"/>
      <c r="DL48" s="21"/>
      <c r="DM48" s="21"/>
      <c r="DN48" s="21"/>
      <c r="DO48" s="21"/>
      <c r="DP48" s="21"/>
      <c r="DQ48" s="21"/>
      <c r="DR48" s="21"/>
      <c r="DS48" s="21"/>
      <c r="DT48" s="21"/>
      <c r="DU48" s="21"/>
      <c r="DV48" s="21"/>
      <c r="DW48" s="21"/>
      <c r="DX48" s="21"/>
      <c r="DY48" s="21"/>
    </row>
    <row r="49" spans="1:129" s="23" customFormat="1">
      <c r="C49" s="17">
        <v>518</v>
      </c>
      <c r="D49" s="169" t="s">
        <v>57</v>
      </c>
      <c r="E49" s="17">
        <v>3</v>
      </c>
      <c r="F49" s="17">
        <v>14</v>
      </c>
      <c r="G49" s="17">
        <v>1</v>
      </c>
      <c r="H49" s="17">
        <f>SUM(E49:F49)-(45*0)</f>
        <v>17</v>
      </c>
      <c r="I49" s="17">
        <v>14</v>
      </c>
      <c r="J49" s="34">
        <f>SUM(E49:I49)-(45*1)</f>
        <v>4</v>
      </c>
      <c r="K49" s="34">
        <f>SUM(E49:J49)-(45*1)</f>
        <v>8</v>
      </c>
      <c r="L49" s="34">
        <f>SUM(E49:K49)-(45*1)</f>
        <v>16</v>
      </c>
      <c r="M49" s="34">
        <f>SUM(E49:L49)-(45*1)</f>
        <v>32</v>
      </c>
      <c r="N49" s="34">
        <f>SUM(E49:M49)-(45*2)</f>
        <v>19</v>
      </c>
      <c r="O49" s="34">
        <f>SUM(E49:N49)-(45*2)</f>
        <v>38</v>
      </c>
      <c r="P49" s="34">
        <f>SUM(E49:O49)-(45*3)</f>
        <v>31</v>
      </c>
      <c r="Q49" s="34">
        <f>SUM(E49:P49)-(45*4)</f>
        <v>17</v>
      </c>
      <c r="R49" s="34">
        <f>SUM(E49:Q49)-(45*4)</f>
        <v>34</v>
      </c>
      <c r="S49" s="34">
        <f>SUM(E49:R49)-(45*5)</f>
        <v>23</v>
      </c>
      <c r="T49" s="34">
        <f>SUM(E49:S49)-(45*6)</f>
        <v>1</v>
      </c>
      <c r="U49" s="34">
        <f>SUM(E49:T49)-(45*6)</f>
        <v>2</v>
      </c>
      <c r="V49" s="34">
        <f>SUM(F49:U49)-(45*6)</f>
        <v>1</v>
      </c>
      <c r="W49" s="34">
        <f>SUM(G49:V49)-(45*5)</f>
        <v>33</v>
      </c>
      <c r="X49" s="34">
        <f>SUM(H49:W49)-(45*6)</f>
        <v>20</v>
      </c>
      <c r="Y49" s="34">
        <f>SUM(I49:X49)-(45*6)</f>
        <v>23</v>
      </c>
      <c r="Z49" s="34">
        <f>SUM(J49:Y49)-(45*6)</f>
        <v>32</v>
      </c>
      <c r="AA49" s="34">
        <f>SUM(K49:Z49)-(45*7)</f>
        <v>15</v>
      </c>
      <c r="AB49" s="34">
        <f>SUM(L49:AA49)-(45*7)</f>
        <v>22</v>
      </c>
      <c r="AC49" s="34">
        <f>SUM(M49:AB49)-(45*7)</f>
        <v>28</v>
      </c>
      <c r="AD49" s="34">
        <f>SUM(N49:AC49)-(45*7)</f>
        <v>24</v>
      </c>
      <c r="AE49" s="34">
        <f>SUM(O49:AD49)-(45*7)</f>
        <v>29</v>
      </c>
      <c r="AF49" s="34">
        <f>SUM(P49:AE49)-(45*7)</f>
        <v>20</v>
      </c>
      <c r="AG49" s="34">
        <f>SUM(Q49:AF49)-(45*7)</f>
        <v>9</v>
      </c>
      <c r="AH49" s="34">
        <f>SUM(R49:AG49)-(45*7)</f>
        <v>1</v>
      </c>
      <c r="AI49" s="34">
        <f>SUM(S49:AH49)-(45*6)</f>
        <v>13</v>
      </c>
      <c r="AJ49" s="34">
        <f>SUM(T49:AI49)-(45*6)</f>
        <v>3</v>
      </c>
      <c r="AK49" s="34">
        <f>SUM(U49:AJ49)-(45*6)</f>
        <v>5</v>
      </c>
      <c r="AL49" s="34">
        <f>SUM(V49:AK49)-(45*6)</f>
        <v>8</v>
      </c>
      <c r="AM49" s="34">
        <f>SUM(W49:AL49)-(45*6)</f>
        <v>15</v>
      </c>
      <c r="AN49" s="34">
        <f>SUM(X49:AM49)-(45*5)</f>
        <v>42</v>
      </c>
      <c r="AO49" s="34">
        <f>SUM(Y49:AN49)-(45*6)</f>
        <v>19</v>
      </c>
      <c r="AP49" s="34">
        <f>SUM(Z49:AO49)-(45*6)</f>
        <v>15</v>
      </c>
      <c r="AQ49" s="34">
        <f>SUM(AA49:AP49)-(45*5)</f>
        <v>43</v>
      </c>
      <c r="AR49" s="34">
        <f>SUM(AB49:AQ49)-(45*6)</f>
        <v>26</v>
      </c>
      <c r="AS49" s="34">
        <f>SUM(AC49:AR49)-(45*6)</f>
        <v>30</v>
      </c>
      <c r="AT49" s="34">
        <f>SUM(AD49:AS49)-(45*6)</f>
        <v>32</v>
      </c>
      <c r="AU49" s="34">
        <f>SUM(AE49:AT49)-(45*6)</f>
        <v>40</v>
      </c>
      <c r="AV49" s="34">
        <f>SUM(AF49:AU49)-(45*7)</f>
        <v>6</v>
      </c>
      <c r="AW49" s="34">
        <f>SUM(AG49:AV49)-(45*6)</f>
        <v>37</v>
      </c>
      <c r="AX49" s="34">
        <f>SUM(AH49:AW49)-(45*7)</f>
        <v>20</v>
      </c>
      <c r="AY49" s="34">
        <f>SUM(AI49:AX49)-(45*7)</f>
        <v>39</v>
      </c>
      <c r="AZ49" s="34">
        <f t="shared" si="61"/>
        <v>20</v>
      </c>
      <c r="BA49" s="34">
        <f>SUM(AK49:AZ49)-(45*8)</f>
        <v>37</v>
      </c>
      <c r="BB49" s="34">
        <f>SUM(AL49:BA49)-(45*9)</f>
        <v>24</v>
      </c>
      <c r="BC49" s="34">
        <f>SUM(AM49:BB49)-(45*9)</f>
        <v>40</v>
      </c>
      <c r="BD49" s="34">
        <f>SUM(AN49:BC49)-(45*10)</f>
        <v>20</v>
      </c>
      <c r="BE49" s="34">
        <f>SUM(AO49:BD49)-(45*9)</f>
        <v>43</v>
      </c>
      <c r="BF49" s="34">
        <f>SUM(AP49:BE49)-(45*10)</f>
        <v>22</v>
      </c>
      <c r="BG49" s="34">
        <f>SUM(AQ49:BF49)-(45*10)</f>
        <v>29</v>
      </c>
      <c r="BH49" s="34">
        <f>SUM(AR49:BG49)-(45*10)</f>
        <v>15</v>
      </c>
      <c r="BI49" s="34">
        <f>SUM(AS49:BH49)-(45*10)</f>
        <v>4</v>
      </c>
      <c r="BJ49" s="34">
        <f>SUM(AT49:BI49)-(45*9)</f>
        <v>23</v>
      </c>
      <c r="BK49" s="34">
        <f>SUM(AU49:BJ49)-(45*9)</f>
        <v>14</v>
      </c>
      <c r="BL49" s="34">
        <f>SUM(AV49:BK49)-(45*8)</f>
        <v>33</v>
      </c>
      <c r="BM49" s="34">
        <f>SUM(AW49:BL49)-(45*9)</f>
        <v>15</v>
      </c>
      <c r="BN49" s="34">
        <f>SUM(AX49:BM49)-(45*8)</f>
        <v>38</v>
      </c>
      <c r="BO49" s="34">
        <f>SUM(AY49:BN49)-(45*9)</f>
        <v>11</v>
      </c>
      <c r="BP49" s="34">
        <f>SUM(AZ49:BO49)-(45*8)</f>
        <v>28</v>
      </c>
      <c r="BQ49" s="34">
        <f>SUM(BA49:BP49)-(45*8)</f>
        <v>36</v>
      </c>
      <c r="BR49" s="34">
        <f>SUM(BB49:BQ49)-(45*8)</f>
        <v>35</v>
      </c>
      <c r="BS49" s="34">
        <f>SUM(BC49:BR49)-(45*9)</f>
        <v>1</v>
      </c>
      <c r="BT49" s="34">
        <f>SUM(BD49:BS49)-(45*8)</f>
        <v>7</v>
      </c>
      <c r="BU49" s="34">
        <f>SUM(BE49:BT49)-(45*7)</f>
        <v>39</v>
      </c>
      <c r="BV49" s="34">
        <f>SUM(BF49:BU49)-(45*7)</f>
        <v>35</v>
      </c>
      <c r="BW49" s="21"/>
      <c r="BX49" s="190"/>
      <c r="BY49" s="21"/>
      <c r="BZ49" s="21"/>
      <c r="CA49" s="21"/>
      <c r="CB49" s="21"/>
      <c r="CC49" s="21"/>
      <c r="CD49" s="21"/>
      <c r="CE49" s="17">
        <v>518</v>
      </c>
      <c r="CF49" s="17">
        <v>14</v>
      </c>
      <c r="CG49" s="17">
        <v>23</v>
      </c>
      <c r="CH49" s="17">
        <v>30</v>
      </c>
      <c r="CI49" s="17">
        <v>32</v>
      </c>
      <c r="CJ49" s="17">
        <v>34</v>
      </c>
      <c r="CK49" s="17">
        <v>38</v>
      </c>
      <c r="CL49" s="17">
        <v>6</v>
      </c>
      <c r="CM49" s="19">
        <f>SUM(CF49:CK49)-45-45-45</f>
        <v>36</v>
      </c>
      <c r="CN49" s="20">
        <f>SUM(CF49:CL49)-45-45-45</f>
        <v>42</v>
      </c>
      <c r="CO49" s="17"/>
      <c r="CP49" s="17">
        <f t="shared" si="40"/>
        <v>9</v>
      </c>
      <c r="CQ49" s="17">
        <f t="shared" si="40"/>
        <v>7</v>
      </c>
      <c r="CR49" s="17">
        <f t="shared" si="40"/>
        <v>2</v>
      </c>
      <c r="CS49" s="17">
        <f t="shared" si="40"/>
        <v>2</v>
      </c>
      <c r="CT49" s="17">
        <f t="shared" si="40"/>
        <v>4</v>
      </c>
      <c r="CU49" s="17">
        <f t="shared" si="40"/>
        <v>32</v>
      </c>
      <c r="CV49" s="17">
        <v>6</v>
      </c>
      <c r="CW49" s="17">
        <v>34</v>
      </c>
      <c r="CX49" s="21"/>
      <c r="CY49" s="21"/>
      <c r="DA49" s="21"/>
      <c r="DB49" s="59">
        <v>4</v>
      </c>
      <c r="DC49" s="59">
        <f>COUNTIF(CY45:CY901,DB49)</f>
        <v>3</v>
      </c>
      <c r="DD49" s="168">
        <f>DC49/DC52</f>
        <v>0.04</v>
      </c>
      <c r="DE49" s="21"/>
      <c r="DI49" s="21"/>
      <c r="DJ49" s="21"/>
      <c r="DK49" s="21"/>
      <c r="DL49" s="21"/>
      <c r="DM49" s="21"/>
      <c r="DN49" s="21"/>
      <c r="DO49" s="21"/>
      <c r="DP49" s="21"/>
      <c r="DQ49" s="21"/>
      <c r="DR49" s="21"/>
      <c r="DS49" s="21"/>
      <c r="DT49" s="21"/>
      <c r="DU49" s="21"/>
      <c r="DV49" s="21"/>
      <c r="DW49" s="21"/>
      <c r="DX49" s="21"/>
      <c r="DY49" s="21"/>
    </row>
    <row r="50" spans="1:129" s="23" customFormat="1">
      <c r="C50" s="17">
        <v>519</v>
      </c>
      <c r="D50" s="169" t="s">
        <v>58</v>
      </c>
      <c r="E50" s="17">
        <v>10</v>
      </c>
      <c r="F50" s="17">
        <v>21</v>
      </c>
      <c r="G50" s="17">
        <v>2</v>
      </c>
      <c r="H50" s="17">
        <f>SUM(E50:F50)-(45*0)</f>
        <v>31</v>
      </c>
      <c r="I50" s="17">
        <v>15</v>
      </c>
      <c r="J50" s="34">
        <f>SUM(E50:I50)-(45*1)</f>
        <v>34</v>
      </c>
      <c r="K50" s="34">
        <f>SUM(E50:J50)-(45*2)</f>
        <v>23</v>
      </c>
      <c r="L50" s="34">
        <f>SUM(E50:K50)-(45*3)</f>
        <v>1</v>
      </c>
      <c r="M50" s="34">
        <f>SUM(E50:L50)-(45*3)</f>
        <v>2</v>
      </c>
      <c r="N50" s="34">
        <f>SUM(E50:M50)-(45*3)</f>
        <v>4</v>
      </c>
      <c r="O50" s="34">
        <f>SUM(E50:N50)-(45*3)</f>
        <v>8</v>
      </c>
      <c r="P50" s="34">
        <f>SUM(E50:O50)-(45*3)</f>
        <v>16</v>
      </c>
      <c r="Q50" s="34">
        <f>SUM(E50:P50)-(45*3)</f>
        <v>32</v>
      </c>
      <c r="R50" s="34">
        <f>SUM(E50:Q50)-(45*4)</f>
        <v>19</v>
      </c>
      <c r="S50" s="34">
        <f>SUM(E50:R50)-(45*4)</f>
        <v>38</v>
      </c>
      <c r="T50" s="34">
        <f>SUM(E50:S50)-(45*5)</f>
        <v>31</v>
      </c>
      <c r="U50" s="34">
        <f>SUM(E50:T50)-(45*6)</f>
        <v>17</v>
      </c>
      <c r="V50" s="34">
        <f>SUM(F50:U50)-(45*6)</f>
        <v>24</v>
      </c>
      <c r="W50" s="34">
        <f>SUM(G50:V50)-(45*6)</f>
        <v>27</v>
      </c>
      <c r="X50" s="34">
        <f>SUM(H50:W50)-(45*7)</f>
        <v>7</v>
      </c>
      <c r="Y50" s="34">
        <f>SUM(I50:X50)-(45*6)</f>
        <v>28</v>
      </c>
      <c r="Z50" s="34">
        <f>SUM(J50:Y50)-(45*6)</f>
        <v>41</v>
      </c>
      <c r="AA50" s="34">
        <f>SUM(K50:Z50)-(45*7)</f>
        <v>3</v>
      </c>
      <c r="AB50" s="34">
        <f>SUM(L50:AA50)-(45*6)</f>
        <v>28</v>
      </c>
      <c r="AC50" s="34">
        <f>SUM(M50:AB50)-(45*7)</f>
        <v>10</v>
      </c>
      <c r="AD50" s="34">
        <f>SUM(N50:AC50)-(45*7)</f>
        <v>18</v>
      </c>
      <c r="AE50" s="34">
        <f>SUM(O50:AD50)-(45*7)</f>
        <v>32</v>
      </c>
      <c r="AF50" s="34">
        <f>SUM(P50:AE50)-(45*8)</f>
        <v>11</v>
      </c>
      <c r="AG50" s="34">
        <f>SUM(Q50:AF50)-(45*8)</f>
        <v>6</v>
      </c>
      <c r="AH50" s="34">
        <f>SUM(R50:AG50)-(45*7)</f>
        <v>25</v>
      </c>
      <c r="AI50" s="34">
        <f>SUM(S50:AH50)-(45*7)</f>
        <v>31</v>
      </c>
      <c r="AJ50" s="34">
        <f>SUM(T50:AI50)-(45*7)</f>
        <v>24</v>
      </c>
      <c r="AK50" s="34">
        <f>SUM(U50:AJ50)-(45*7)</f>
        <v>17</v>
      </c>
      <c r="AL50" s="34">
        <f>SUM(V50:AK50)-(45*7)</f>
        <v>17</v>
      </c>
      <c r="AM50" s="34">
        <f>SUM(W50:AL50)-(45*7)</f>
        <v>10</v>
      </c>
      <c r="AN50" s="34">
        <f>SUM(X50:AM50)-(45*6)</f>
        <v>38</v>
      </c>
      <c r="AO50" s="34">
        <f>SUM(Y50:AN50)-(45*7)</f>
        <v>24</v>
      </c>
      <c r="AP50" s="34">
        <f>SUM(Z50:AO50)-(45*7)</f>
        <v>20</v>
      </c>
      <c r="AQ50" s="34">
        <f>SUM(AA50:AP50)-(45*6)</f>
        <v>44</v>
      </c>
      <c r="AR50" s="34">
        <f>SUM(AB50:AQ50)-(45*7)</f>
        <v>40</v>
      </c>
      <c r="AS50" s="34">
        <f>SUM(AC50:AR50)-(45*8)</f>
        <v>7</v>
      </c>
      <c r="AT50" s="34">
        <f>SUM(AD50:AS50)-(45*8)</f>
        <v>4</v>
      </c>
      <c r="AU50" s="34">
        <f>SUM(AE50:AT50)-(45*7)</f>
        <v>35</v>
      </c>
      <c r="AV50" s="34">
        <f>SUM(AF50:AU50)-(45*7)</f>
        <v>38</v>
      </c>
      <c r="AW50" s="34">
        <f>SUM(AG50:AV50)-(45*8)</f>
        <v>20</v>
      </c>
      <c r="AX50" s="34">
        <f>SUM(AH50:AW50)-(45*8)</f>
        <v>34</v>
      </c>
      <c r="AY50" s="34">
        <f>SUM(AI50:AX50)-(45*8)</f>
        <v>43</v>
      </c>
      <c r="AZ50" s="34">
        <f>SUM(AJ50:AY50)-(45*9)</f>
        <v>10</v>
      </c>
      <c r="BA50" s="34">
        <f>SUM(AK50:AZ50)-(45*8)</f>
        <v>41</v>
      </c>
      <c r="BB50" s="34">
        <f>SUM(AL50:BA50)-(45*9)</f>
        <v>20</v>
      </c>
      <c r="BC50" s="34">
        <f>SUM(AM50:BB50)-(45*9)</f>
        <v>23</v>
      </c>
      <c r="BD50" s="34">
        <f>SUM(AN50:BC50)-(45*9)</f>
        <v>36</v>
      </c>
      <c r="BE50" s="34">
        <f>SUM(AO50:BD50)-(45*9)</f>
        <v>34</v>
      </c>
      <c r="BF50" s="34">
        <f>SUM(AP50:BE50)-(45*9)</f>
        <v>44</v>
      </c>
      <c r="BG50" s="34">
        <f>SUM(AQ50:BF50)-(45*10)</f>
        <v>23</v>
      </c>
      <c r="BH50" s="34">
        <f>SUM(AR50:BG50)-(45*10)</f>
        <v>2</v>
      </c>
      <c r="BI50" s="34">
        <f>SUM(AS50:BH50)-(45*9)</f>
        <v>9</v>
      </c>
      <c r="BJ50" s="34">
        <f>SUM(AT50:BI50)-(45*9)</f>
        <v>11</v>
      </c>
      <c r="BK50" s="34">
        <f>SUM(AU50:BJ50)-(45*9)</f>
        <v>18</v>
      </c>
      <c r="BL50" s="34">
        <f>SUM(AV50:BK50)-(45*9)</f>
        <v>1</v>
      </c>
      <c r="BM50" s="34">
        <f>SUM(AW50:BL50)-(45*8)</f>
        <v>9</v>
      </c>
      <c r="BN50" s="34">
        <f>SUM(AX50:BM50)-(45*7)</f>
        <v>43</v>
      </c>
      <c r="BO50" s="34">
        <f t="shared" si="59"/>
        <v>7</v>
      </c>
      <c r="BP50" s="34">
        <f>SUM(AZ50:BO50)-(45*7)</f>
        <v>16</v>
      </c>
      <c r="BQ50" s="34">
        <f>SUM(BA50:BP50)-(45*7)</f>
        <v>22</v>
      </c>
      <c r="BR50" s="34">
        <f>SUM(BB50:BQ50)-(45*7)</f>
        <v>3</v>
      </c>
      <c r="BS50" s="34">
        <f>SUM(BC50:BR50)-(45*6)</f>
        <v>31</v>
      </c>
      <c r="BT50" s="34">
        <f>SUM(BD50:BS50)-(45*6)</f>
        <v>39</v>
      </c>
      <c r="BU50" s="34">
        <f>SUM(BE50:BT50)-(45*6)</f>
        <v>42</v>
      </c>
      <c r="BV50" s="34">
        <f>SUM(BF50:BU50)-(45*7)</f>
        <v>5</v>
      </c>
      <c r="BW50" s="21"/>
      <c r="BX50" s="190"/>
      <c r="BY50" s="21"/>
      <c r="BZ50" s="21"/>
      <c r="CA50" s="21"/>
      <c r="CB50" s="21"/>
      <c r="CC50" s="21"/>
      <c r="CD50" s="21"/>
      <c r="CE50" s="17">
        <v>519</v>
      </c>
      <c r="CF50" s="17">
        <v>6</v>
      </c>
      <c r="CG50" s="17">
        <v>8</v>
      </c>
      <c r="CH50" s="17">
        <v>13</v>
      </c>
      <c r="CI50" s="17">
        <v>16</v>
      </c>
      <c r="CJ50" s="17">
        <v>30</v>
      </c>
      <c r="CK50" s="170">
        <v>43</v>
      </c>
      <c r="CL50" s="17">
        <v>3</v>
      </c>
      <c r="CM50" s="19">
        <f>SUM(CF50:CK50)-45-45</f>
        <v>26</v>
      </c>
      <c r="CN50" s="20">
        <f>SUM(CF50:CL50)-45-45</f>
        <v>29</v>
      </c>
      <c r="CO50" s="17"/>
      <c r="CP50" s="17">
        <f t="shared" si="40"/>
        <v>2</v>
      </c>
      <c r="CQ50" s="17">
        <f t="shared" si="40"/>
        <v>5</v>
      </c>
      <c r="CR50" s="17">
        <f t="shared" si="40"/>
        <v>3</v>
      </c>
      <c r="CS50" s="17">
        <f t="shared" si="40"/>
        <v>14</v>
      </c>
      <c r="CT50" s="17">
        <f t="shared" si="40"/>
        <v>13</v>
      </c>
      <c r="CU50" s="17">
        <f t="shared" si="40"/>
        <v>40</v>
      </c>
      <c r="CV50" s="17">
        <v>7</v>
      </c>
      <c r="CW50" s="17">
        <v>32</v>
      </c>
      <c r="CX50" s="21"/>
      <c r="CY50" s="21"/>
      <c r="DA50" s="21"/>
      <c r="DB50" s="59">
        <v>5</v>
      </c>
      <c r="DC50" s="59">
        <f>COUNTIF(CY45:CY901,DB50)</f>
        <v>2</v>
      </c>
      <c r="DD50" s="168">
        <f>DC50/DC52</f>
        <v>2.6666666666666668E-2</v>
      </c>
      <c r="DE50" s="21"/>
      <c r="DI50" s="21"/>
      <c r="DJ50" s="21"/>
      <c r="DK50" s="21"/>
      <c r="DL50" s="21"/>
      <c r="DM50" s="21"/>
      <c r="DN50" s="21"/>
      <c r="DO50" s="21"/>
      <c r="DP50" s="21"/>
      <c r="DQ50" s="21"/>
      <c r="DR50" s="21"/>
      <c r="DS50" s="21"/>
      <c r="DT50" s="21"/>
      <c r="DU50" s="21"/>
      <c r="DV50" s="21"/>
      <c r="DW50" s="21"/>
      <c r="DX50" s="21"/>
      <c r="DY50" s="21"/>
    </row>
    <row r="51" spans="1:129" s="23" customFormat="1">
      <c r="C51" s="17">
        <v>520</v>
      </c>
      <c r="D51" s="169" t="s">
        <v>59</v>
      </c>
      <c r="E51" s="17">
        <v>17</v>
      </c>
      <c r="F51" s="17">
        <v>28</v>
      </c>
      <c r="G51" s="17">
        <v>3</v>
      </c>
      <c r="H51" s="17">
        <f>SUM(E51:F51)-(45*0)</f>
        <v>45</v>
      </c>
      <c r="I51" s="17">
        <v>7</v>
      </c>
      <c r="J51" s="34">
        <f>SUM(E51:I51)-(45*2)</f>
        <v>10</v>
      </c>
      <c r="K51" s="34">
        <f>SUM(E51:J51)-(45*2)</f>
        <v>20</v>
      </c>
      <c r="L51" s="34">
        <f>SUM(E51:K51)-(45*2)</f>
        <v>40</v>
      </c>
      <c r="M51" s="34">
        <f>SUM(E51:L51)-(45*3)</f>
        <v>35</v>
      </c>
      <c r="N51" s="34">
        <f>SUM(E51:M51)-(45*4)</f>
        <v>25</v>
      </c>
      <c r="O51" s="34">
        <f>SUM(E51:N51)-(45*5)</f>
        <v>5</v>
      </c>
      <c r="P51" s="34">
        <f>SUM(E51:O51)-(45*5)</f>
        <v>10</v>
      </c>
      <c r="Q51" s="34">
        <f>SUM(E51:P51)-(45*5)</f>
        <v>20</v>
      </c>
      <c r="R51" s="34">
        <f>SUM(E51:Q51)-(45*5)</f>
        <v>40</v>
      </c>
      <c r="S51" s="34">
        <f>SUM(E51:R51)-(45*6)</f>
        <v>35</v>
      </c>
      <c r="T51" s="34">
        <f>SUM(E51:S51)-(45*7)</f>
        <v>25</v>
      </c>
      <c r="U51" s="34">
        <f>SUM(E51:T51)-(45*8)</f>
        <v>5</v>
      </c>
      <c r="V51" s="34">
        <f>SUM(F51:U51)-(45*7)</f>
        <v>38</v>
      </c>
      <c r="W51" s="34">
        <f>SUM(G51:V51)-(45*8)</f>
        <v>3</v>
      </c>
      <c r="X51" s="34">
        <f>SUM(H51:W51)-(45*8)</f>
        <v>3</v>
      </c>
      <c r="Y51" s="34">
        <f>SUM(I51:X51)-(45*7)</f>
        <v>6</v>
      </c>
      <c r="Z51" s="34">
        <f>SUM(J51:Y51)-(45*7)</f>
        <v>5</v>
      </c>
      <c r="AA51" s="34">
        <f>SUM(K51:Z51)-(45*6)</f>
        <v>45</v>
      </c>
      <c r="AB51" s="34">
        <f>SUM(L51:AA51)-(45*7)</f>
        <v>25</v>
      </c>
      <c r="AC51" s="34">
        <f>SUM(M51:AB51)-(45*7)</f>
        <v>10</v>
      </c>
      <c r="AD51" s="34">
        <f>SUM(N51:AC51)-(45*6)</f>
        <v>30</v>
      </c>
      <c r="AE51" s="34">
        <f>SUM(O51:AD51)-(45*6)</f>
        <v>35</v>
      </c>
      <c r="AF51" s="34">
        <f>SUM(P51:AE51)-(45*7)</f>
        <v>20</v>
      </c>
      <c r="AG51" s="34">
        <f>SUM(Q51:AF51)-(45*7)</f>
        <v>30</v>
      </c>
      <c r="AH51" s="34">
        <f>SUM(R51:AG51)-(45*7)</f>
        <v>40</v>
      </c>
      <c r="AI51" s="34">
        <f>SUM(S51:AH51)-(45*7)</f>
        <v>40</v>
      </c>
      <c r="AJ51" s="34">
        <f>SUM(T51:AI51)-(45*7)</f>
        <v>45</v>
      </c>
      <c r="AK51" s="34">
        <f>SUM(U51:AJ51)-(45*8)</f>
        <v>20</v>
      </c>
      <c r="AL51" s="34">
        <f>SUM(V51:AK51)-(45*8)</f>
        <v>35</v>
      </c>
      <c r="AM51" s="34">
        <f>SUM(W51:AL51)-(45*8)</f>
        <v>32</v>
      </c>
      <c r="AN51" s="34">
        <f>SUM(X51:AM51)-(45*9)</f>
        <v>16</v>
      </c>
      <c r="AO51" s="34">
        <f>SUM(Y51:AN51)-(45*9)</f>
        <v>29</v>
      </c>
      <c r="AP51" s="34">
        <f>SUM(Z51:AO51)-(45*10)</f>
        <v>7</v>
      </c>
      <c r="AQ51" s="34">
        <f>SUM(AA51:AP51)-(45*10)</f>
        <v>9</v>
      </c>
      <c r="AR51" s="34">
        <f>SUM(AB51:AQ51)-(45*9)</f>
        <v>18</v>
      </c>
      <c r="AS51" s="34">
        <f>SUM(AC51:AR51)-(45*9)</f>
        <v>11</v>
      </c>
      <c r="AT51" s="34">
        <f>SUM(AD51:AS51)-(45*9)</f>
        <v>12</v>
      </c>
      <c r="AU51" s="34">
        <f>SUM(AE51:AT51)-(45*8)</f>
        <v>39</v>
      </c>
      <c r="AV51" s="34">
        <f>SUM(AF51:AU51)-(45*8)</f>
        <v>43</v>
      </c>
      <c r="AW51" s="34">
        <f>SUM(AG51:AV51)-(45*9)</f>
        <v>21</v>
      </c>
      <c r="AX51" s="34">
        <f>SUM(AH51:AW51)-(45*9)</f>
        <v>12</v>
      </c>
      <c r="AY51" s="34">
        <f>SUM(AI51:AX51)-(45*8)</f>
        <v>29</v>
      </c>
      <c r="AZ51" s="34">
        <f>SUM(AJ51:AY51)-(45*8)</f>
        <v>18</v>
      </c>
      <c r="BA51" s="34">
        <f>SUM(AK51:AZ51)-(45*7)</f>
        <v>36</v>
      </c>
      <c r="BB51" s="34">
        <f>SUM(AL51:BA51)-(45*8)</f>
        <v>7</v>
      </c>
      <c r="BC51" s="34">
        <f>SUM(AM51:BB51)-(45*7)</f>
        <v>24</v>
      </c>
      <c r="BD51" s="34">
        <f>SUM(AN51:BC51)-(45*7)</f>
        <v>16</v>
      </c>
      <c r="BE51" s="34">
        <f>SUM(AO51:BD51)-(45*7)</f>
        <v>16</v>
      </c>
      <c r="BF51" s="34">
        <f>SUM(AP51:BE51)-(45*7)</f>
        <v>3</v>
      </c>
      <c r="BG51" s="34">
        <f>SUM(AQ51:BF51)-(45*6)</f>
        <v>44</v>
      </c>
      <c r="BH51" s="34">
        <f>SUM(AR51:BG51)-(45*7)</f>
        <v>34</v>
      </c>
      <c r="BI51" s="34">
        <f>SUM(AS51:BH51)-(45*8)</f>
        <v>5</v>
      </c>
      <c r="BJ51" s="34">
        <f>SUM(AT51:BI51)-(45*7)</f>
        <v>44</v>
      </c>
      <c r="BK51" s="34">
        <f>SUM(AU51:BJ51)-(45*8)</f>
        <v>31</v>
      </c>
      <c r="BL51" s="34">
        <f>SUM(AV51:BK51)-(45*8)</f>
        <v>23</v>
      </c>
      <c r="BM51" s="34">
        <f>SUM(AW51:BL51)-(45*8)</f>
        <v>3</v>
      </c>
      <c r="BN51" s="34">
        <f>SUM(AX51:BM51)-(45*7)</f>
        <v>30</v>
      </c>
      <c r="BO51" s="34">
        <f>SUM(AY51:BN51)-(45*8)</f>
        <v>3</v>
      </c>
      <c r="BP51" s="34">
        <f t="shared" ref="BP51:BU51" si="63">SUM(AZ51:BO51)-(45*7)</f>
        <v>22</v>
      </c>
      <c r="BQ51" s="34">
        <f t="shared" si="63"/>
        <v>26</v>
      </c>
      <c r="BR51" s="34">
        <f t="shared" si="63"/>
        <v>16</v>
      </c>
      <c r="BS51" s="34">
        <f t="shared" si="63"/>
        <v>25</v>
      </c>
      <c r="BT51" s="34">
        <f t="shared" si="63"/>
        <v>26</v>
      </c>
      <c r="BU51" s="34">
        <f t="shared" si="63"/>
        <v>36</v>
      </c>
      <c r="BV51" s="34">
        <f>SUM(BF51:BU51)-(45*8)</f>
        <v>11</v>
      </c>
      <c r="BW51" s="34"/>
      <c r="BX51" s="190"/>
      <c r="BY51" s="34"/>
      <c r="BZ51" s="34"/>
      <c r="CA51" s="34"/>
      <c r="CB51" s="34"/>
      <c r="CC51" s="34"/>
      <c r="CD51" s="34"/>
      <c r="CE51" s="17">
        <v>520</v>
      </c>
      <c r="CF51" s="17">
        <v>4</v>
      </c>
      <c r="CG51" s="17">
        <v>22</v>
      </c>
      <c r="CH51" s="17">
        <v>27</v>
      </c>
      <c r="CI51" s="17">
        <v>28</v>
      </c>
      <c r="CJ51" s="17">
        <v>38</v>
      </c>
      <c r="CK51" s="17">
        <v>40</v>
      </c>
      <c r="CL51" s="17">
        <v>1</v>
      </c>
      <c r="CM51" s="19">
        <f>SUM(CF51:CK51)-(45*3)</f>
        <v>24</v>
      </c>
      <c r="CN51" s="20">
        <f>SUM(CF51:CL51)-(45*3)</f>
        <v>25</v>
      </c>
      <c r="CO51" s="17"/>
      <c r="CP51" s="17">
        <f t="shared" si="40"/>
        <v>18</v>
      </c>
      <c r="CQ51" s="17">
        <f t="shared" si="40"/>
        <v>5</v>
      </c>
      <c r="CR51" s="17">
        <f t="shared" si="40"/>
        <v>1</v>
      </c>
      <c r="CS51" s="17">
        <f t="shared" si="40"/>
        <v>10</v>
      </c>
      <c r="CT51" s="17">
        <f t="shared" si="40"/>
        <v>2</v>
      </c>
      <c r="CU51" s="17">
        <f t="shared" si="40"/>
        <v>39</v>
      </c>
      <c r="CV51" s="17">
        <v>6</v>
      </c>
      <c r="CW51" s="17">
        <v>37</v>
      </c>
      <c r="CX51" s="21"/>
      <c r="CY51" s="21"/>
      <c r="DA51" s="21"/>
      <c r="DB51" s="59">
        <v>6</v>
      </c>
      <c r="DC51" s="59">
        <f>COUNTIF(CY45:CY901,DB51)</f>
        <v>0</v>
      </c>
      <c r="DD51" s="168">
        <f>DC51/DC52</f>
        <v>0</v>
      </c>
      <c r="DE51" s="21"/>
      <c r="DF51" s="21"/>
      <c r="DG51" s="21"/>
      <c r="DH51" s="21"/>
      <c r="DI51" s="21"/>
      <c r="DJ51" s="21"/>
      <c r="DK51" s="21"/>
      <c r="DL51" s="21"/>
      <c r="DM51" s="21"/>
      <c r="DN51" s="21"/>
      <c r="DO51" s="21"/>
      <c r="DP51" s="21"/>
      <c r="DQ51" s="21"/>
      <c r="DR51" s="21"/>
      <c r="DS51" s="21"/>
      <c r="DT51" s="21"/>
      <c r="DU51" s="21"/>
      <c r="DV51" s="21"/>
      <c r="DW51" s="21"/>
      <c r="DX51" s="21"/>
      <c r="DY51" s="21"/>
    </row>
    <row r="52" spans="1:129" s="23" customFormat="1" ht="17.25">
      <c r="A52" s="77"/>
      <c r="B52" s="21"/>
      <c r="C52" s="44">
        <v>521</v>
      </c>
      <c r="D52" s="108" t="s">
        <v>60</v>
      </c>
      <c r="E52" s="17">
        <v>24</v>
      </c>
      <c r="F52" s="17">
        <v>35</v>
      </c>
      <c r="G52" s="44">
        <v>4</v>
      </c>
      <c r="H52" s="17">
        <f>SUM(E52:F52)-(45*1)</f>
        <v>14</v>
      </c>
      <c r="I52" s="17">
        <v>8</v>
      </c>
      <c r="J52" s="34">
        <f>SUM(E52:I52)-(45*1)</f>
        <v>40</v>
      </c>
      <c r="K52" s="34">
        <f>SUM(E52:J52)-(45*2)</f>
        <v>35</v>
      </c>
      <c r="L52" s="34">
        <f>SUM(E52:K52)-(45*3)</f>
        <v>25</v>
      </c>
      <c r="M52" s="34">
        <f>SUM(E52:L52)-(45*4)</f>
        <v>5</v>
      </c>
      <c r="N52" s="34">
        <f>SUM(E52:M52)-(45*4)</f>
        <v>10</v>
      </c>
      <c r="O52" s="34">
        <f>SUM(E52:N52)-(45*4)</f>
        <v>20</v>
      </c>
      <c r="P52" s="34">
        <f>SUM(E52:O52)-(45*4)</f>
        <v>40</v>
      </c>
      <c r="Q52" s="34">
        <f>SUM(E52:P52)-(45*5)</f>
        <v>35</v>
      </c>
      <c r="R52" s="34">
        <f>SUM(E52:Q52)-(45*6)</f>
        <v>25</v>
      </c>
      <c r="S52" s="34">
        <f>SUM(E52:R52)-(45*7)</f>
        <v>5</v>
      </c>
      <c r="T52" s="34">
        <f>SUM(E52:S52)-(45*7)</f>
        <v>10</v>
      </c>
      <c r="U52" s="34">
        <f>SUM(E52:T52)-(45*7)</f>
        <v>20</v>
      </c>
      <c r="V52" s="34">
        <f>SUM(F52:U52)-(45*7)</f>
        <v>16</v>
      </c>
      <c r="W52" s="34">
        <f>SUM(G52:V52)-(45*6)</f>
        <v>42</v>
      </c>
      <c r="X52" s="34">
        <f>SUM(H52:W52)-(45*7)</f>
        <v>35</v>
      </c>
      <c r="Y52" s="34">
        <f>SUM(I52:X52)-(45*8)</f>
        <v>11</v>
      </c>
      <c r="Z52" s="34">
        <f>SUM(J52:Y52)-(45*8)</f>
        <v>14</v>
      </c>
      <c r="AA52" s="34">
        <f>SUM(K52:Z52)-(45*7)</f>
        <v>33</v>
      </c>
      <c r="AB52" s="34">
        <f>SUM(L52:AA52)-(45*7)</f>
        <v>31</v>
      </c>
      <c r="AC52" s="34">
        <f>SUM(M52:AB52)-(45*7)</f>
        <v>37</v>
      </c>
      <c r="AD52" s="34">
        <f>SUM(N52:AC52)-(45*8)</f>
        <v>24</v>
      </c>
      <c r="AE52" s="34">
        <f>SUM(O52:AD52)-(45*8)</f>
        <v>38</v>
      </c>
      <c r="AF52" s="34">
        <f>SUM(P52:AE52)-(45*9)</f>
        <v>11</v>
      </c>
      <c r="AG52" s="34">
        <f t="shared" ref="AG52:AL52" si="64">SUM(Q52:AF52)-(45*8)</f>
        <v>27</v>
      </c>
      <c r="AH52" s="34">
        <f t="shared" si="64"/>
        <v>19</v>
      </c>
      <c r="AI52" s="34">
        <f t="shared" si="64"/>
        <v>13</v>
      </c>
      <c r="AJ52" s="34">
        <f t="shared" si="64"/>
        <v>21</v>
      </c>
      <c r="AK52" s="34">
        <f t="shared" si="64"/>
        <v>32</v>
      </c>
      <c r="AL52" s="34">
        <f t="shared" si="64"/>
        <v>44</v>
      </c>
      <c r="AM52" s="34">
        <f>SUM(W52:AL52)-(45*9)</f>
        <v>27</v>
      </c>
      <c r="AN52" s="34">
        <f>SUM(X52:AM52)-(45*9)</f>
        <v>12</v>
      </c>
      <c r="AO52" s="34">
        <f>SUM(Y52:AN52)-(45*8)</f>
        <v>34</v>
      </c>
      <c r="AP52" s="34">
        <f>SUM(Z52:AO52)-(45*9)</f>
        <v>12</v>
      </c>
      <c r="AQ52" s="34">
        <f>SUM(AA52:AP52)-(45*9)</f>
        <v>10</v>
      </c>
      <c r="AR52" s="34">
        <f>SUM(AB52:AQ52)-(45*8)</f>
        <v>32</v>
      </c>
      <c r="AS52" s="34">
        <f>SUM(AC52:AR52)-(45*8)</f>
        <v>33</v>
      </c>
      <c r="AT52" s="34">
        <f>SUM(AD52:AS52)-(45*8)</f>
        <v>29</v>
      </c>
      <c r="AU52" s="34">
        <f>SUM(AE52:AT52)-(45*8)</f>
        <v>34</v>
      </c>
      <c r="AV52" s="34">
        <f>SUM(AF52:AU52)-(45*8)</f>
        <v>30</v>
      </c>
      <c r="AW52" s="34">
        <f>SUM(AG52:AV52)-(45*9)</f>
        <v>4</v>
      </c>
      <c r="AX52" s="34">
        <f>SUM(AH52:AW52)-(45*8)</f>
        <v>26</v>
      </c>
      <c r="AY52" s="34">
        <f>SUM(AI52:AX52)-(45*8)</f>
        <v>33</v>
      </c>
      <c r="AZ52" s="34">
        <f>SUM(AJ52:AY52)-(45*9)</f>
        <v>8</v>
      </c>
      <c r="BA52" s="34">
        <f>SUM(AK52:AZ52)-(45*8)</f>
        <v>40</v>
      </c>
      <c r="BB52" s="34">
        <f>SUM(AL52:BA52)-(45*9)</f>
        <v>3</v>
      </c>
      <c r="BC52" s="34">
        <f>SUM(AM52:BB52)-(45*8)</f>
        <v>7</v>
      </c>
      <c r="BD52" s="34">
        <f>SUM(AN52:BC52)-(45*7)</f>
        <v>32</v>
      </c>
      <c r="BE52" s="34">
        <f>SUM(AO52:BD52)-(45*8)</f>
        <v>7</v>
      </c>
      <c r="BF52" s="34">
        <f>SUM(AP52:BE52)-(45*7)</f>
        <v>25</v>
      </c>
      <c r="BG52" s="34">
        <f>SUM(AQ52:BF52)-(45*7)</f>
        <v>38</v>
      </c>
      <c r="BH52" s="34">
        <f>SUM(AR52:BG52)-(45*8)</f>
        <v>21</v>
      </c>
      <c r="BI52" s="34">
        <f>SUM(AS52:BH52)-(45*8)</f>
        <v>10</v>
      </c>
      <c r="BJ52" s="34">
        <f>SUM(AT52:BI52)-(45*7)</f>
        <v>32</v>
      </c>
      <c r="BK52" s="34">
        <f>SUM(AU52:BJ52)-(45*7)</f>
        <v>35</v>
      </c>
      <c r="BL52" s="34">
        <f>SUM(AV52:BK52)-(45*7)</f>
        <v>36</v>
      </c>
      <c r="BM52" s="34">
        <f>SUM(AW52:BL52)-(45*7)</f>
        <v>42</v>
      </c>
      <c r="BN52" s="34">
        <f>SUM(AX52:BM52)-(45*8)</f>
        <v>35</v>
      </c>
      <c r="BO52" s="34">
        <f>SUM(AY52:BN52)-(45*8)</f>
        <v>44</v>
      </c>
      <c r="BP52" s="34">
        <f>SUM(AZ52:BO52)-(45*9)</f>
        <v>10</v>
      </c>
      <c r="BQ52" s="34">
        <f>SUM(BA52:BP52)-(45*9)</f>
        <v>12</v>
      </c>
      <c r="BR52" s="34">
        <f>SUM(BB52:BQ52)-(45*8)</f>
        <v>29</v>
      </c>
      <c r="BS52" s="34">
        <f>SUM(BC52:BR52)-(45*9)</f>
        <v>10</v>
      </c>
      <c r="BT52" s="34">
        <f>SUM(BD52:BS52)-(45*9)</f>
        <v>13</v>
      </c>
      <c r="BU52" s="34">
        <f>SUM(BE52:BT52)-(45*8)</f>
        <v>39</v>
      </c>
      <c r="BV52" s="34">
        <f>SUM(BF52:BU52)-(45*9)</f>
        <v>26</v>
      </c>
      <c r="BW52" s="21"/>
      <c r="BX52" s="190"/>
      <c r="BY52" s="21"/>
      <c r="BZ52" s="21"/>
      <c r="CA52" s="21"/>
      <c r="CB52" s="21"/>
      <c r="CC52" s="21"/>
      <c r="CD52" s="21"/>
      <c r="CE52" s="17">
        <v>521</v>
      </c>
      <c r="CF52" s="17">
        <v>3</v>
      </c>
      <c r="CG52" s="17">
        <v>7</v>
      </c>
      <c r="CH52" s="17">
        <v>18</v>
      </c>
      <c r="CI52" s="17">
        <v>29</v>
      </c>
      <c r="CJ52" s="17">
        <v>32</v>
      </c>
      <c r="CK52" s="17">
        <v>36</v>
      </c>
      <c r="CL52" s="44">
        <v>19</v>
      </c>
      <c r="CM52" s="19">
        <f>SUM(CF52:CK52)-(45*2)</f>
        <v>35</v>
      </c>
      <c r="CN52" s="20">
        <f>SUM(CF52:CL52)-(45*3)</f>
        <v>9</v>
      </c>
      <c r="CO52" s="17"/>
      <c r="CP52" s="17">
        <f t="shared" ref="CP52:CU67" si="65">ABS(CF52-CG52)</f>
        <v>4</v>
      </c>
      <c r="CQ52" s="17">
        <f t="shared" si="65"/>
        <v>11</v>
      </c>
      <c r="CR52" s="17">
        <f t="shared" si="65"/>
        <v>11</v>
      </c>
      <c r="CS52" s="17">
        <f t="shared" si="65"/>
        <v>3</v>
      </c>
      <c r="CT52" s="17">
        <f t="shared" si="65"/>
        <v>4</v>
      </c>
      <c r="CU52" s="17">
        <f t="shared" si="65"/>
        <v>17</v>
      </c>
      <c r="CV52" s="44">
        <v>8</v>
      </c>
      <c r="CW52" s="44">
        <f>53-45</f>
        <v>8</v>
      </c>
      <c r="CX52" s="53"/>
      <c r="CY52" s="53"/>
      <c r="DA52" s="53"/>
      <c r="DB52" s="59" t="s">
        <v>1</v>
      </c>
      <c r="DC52" s="59">
        <f>SUM(DC45:DC51)</f>
        <v>75</v>
      </c>
      <c r="DD52" s="168">
        <f>SUM(DD45:DD51)</f>
        <v>1</v>
      </c>
      <c r="DE52" s="53"/>
      <c r="DF52" s="53"/>
      <c r="DG52" s="53"/>
      <c r="DH52" s="53"/>
      <c r="DI52" s="53"/>
      <c r="DJ52" s="53"/>
      <c r="DK52" s="53"/>
      <c r="DL52" s="53"/>
      <c r="DM52" s="21"/>
      <c r="DN52" s="21"/>
      <c r="DO52" s="21"/>
      <c r="DP52" s="21"/>
      <c r="DQ52" s="21"/>
      <c r="DR52" s="21"/>
      <c r="DS52" s="21"/>
      <c r="DT52" s="21"/>
    </row>
    <row r="53" spans="1:129" s="23" customFormat="1" ht="17.25">
      <c r="A53" s="77"/>
      <c r="B53" s="21"/>
      <c r="C53" s="44">
        <v>522</v>
      </c>
      <c r="D53" s="108" t="s">
        <v>61</v>
      </c>
      <c r="E53" s="17">
        <v>1</v>
      </c>
      <c r="F53" s="44">
        <v>13</v>
      </c>
      <c r="G53" s="44">
        <v>1</v>
      </c>
      <c r="H53" s="17">
        <f>SUM(E53:F53)-(45*0)</f>
        <v>14</v>
      </c>
      <c r="I53" s="17">
        <v>9</v>
      </c>
      <c r="J53" s="34">
        <f>SUM(E53:I53)-(45*0)</f>
        <v>38</v>
      </c>
      <c r="K53" s="34">
        <f>SUM(E53:J53)-(45*1)</f>
        <v>31</v>
      </c>
      <c r="L53" s="34">
        <f>SUM(E53:K53)-(45*2)</f>
        <v>17</v>
      </c>
      <c r="M53" s="34">
        <f>SUM(E53:L53)-(45*2)</f>
        <v>34</v>
      </c>
      <c r="N53" s="34">
        <f>SUM(E53:M53)-(45*3)</f>
        <v>23</v>
      </c>
      <c r="O53" s="34">
        <f>SUM(E53:N53)-(45*4)</f>
        <v>1</v>
      </c>
      <c r="P53" s="34">
        <f>SUM(E53:O53)-(45*4)</f>
        <v>2</v>
      </c>
      <c r="Q53" s="34">
        <f>SUM(E53:P53)-(45*4)</f>
        <v>4</v>
      </c>
      <c r="R53" s="34">
        <f>SUM(E53:Q53)-(45*4)</f>
        <v>8</v>
      </c>
      <c r="S53" s="34">
        <f>SUM(E53:R53)-(45*4)</f>
        <v>16</v>
      </c>
      <c r="T53" s="34">
        <f>SUM(E53:S53)-(45*4)</f>
        <v>32</v>
      </c>
      <c r="U53" s="34">
        <f>SUM(E53:T53)-(45*5)</f>
        <v>19</v>
      </c>
      <c r="V53" s="34">
        <f>SUM(F53:U53)-(45*5)</f>
        <v>37</v>
      </c>
      <c r="W53" s="34">
        <f>SUM(G53:V53)-(45*6)</f>
        <v>16</v>
      </c>
      <c r="X53" s="34">
        <f>SUM(H53:W53)-(45*6)</f>
        <v>31</v>
      </c>
      <c r="Y53" s="34">
        <f>SUM(I53:X53)-(45*7)</f>
        <v>3</v>
      </c>
      <c r="Z53" s="34">
        <f>SUM(J53:Y53)-(45*6)</f>
        <v>42</v>
      </c>
      <c r="AA53" s="34">
        <f>SUM(K53:Z53)-(45*7)</f>
        <v>1</v>
      </c>
      <c r="AB53" s="34">
        <f t="shared" ref="AB53:AC55" si="66">SUM(L53:AA53)-(45*6)</f>
        <v>16</v>
      </c>
      <c r="AC53" s="34">
        <f t="shared" si="66"/>
        <v>15</v>
      </c>
      <c r="AD53" s="34">
        <f>SUM(N53:AC53)-(45*5)</f>
        <v>41</v>
      </c>
      <c r="AE53" s="34">
        <f>SUM(O53:AD53)-(45*6)</f>
        <v>14</v>
      </c>
      <c r="AF53" s="34">
        <f>SUM(P53:AE53)-(45*6)</f>
        <v>27</v>
      </c>
      <c r="AG53" s="34">
        <f>SUM(Q53:AF53)-(45*7)</f>
        <v>7</v>
      </c>
      <c r="AH53" s="34">
        <f>SUM(R53:AG53)-(45*7)</f>
        <v>10</v>
      </c>
      <c r="AI53" s="34">
        <f>SUM(S53:AH53)-(45*7)</f>
        <v>12</v>
      </c>
      <c r="AJ53" s="34">
        <f>SUM(T53:AI53)-(45*7)</f>
        <v>8</v>
      </c>
      <c r="AK53" s="34">
        <f>SUM(U53:AJ53)-(45*6)</f>
        <v>29</v>
      </c>
      <c r="AL53" s="34">
        <f>SUM(V53:AK53)-(45*6)</f>
        <v>39</v>
      </c>
      <c r="AM53" s="34">
        <f>SUM(W53:AL53)-(45*6)</f>
        <v>41</v>
      </c>
      <c r="AN53" s="34">
        <f>SUM(X53:AM53)-(45*7)</f>
        <v>21</v>
      </c>
      <c r="AO53" s="34">
        <f>SUM(Y53:AN53)-(45*7)</f>
        <v>11</v>
      </c>
      <c r="AP53" s="34">
        <f>SUM(Z53:AO53)-(45*7)</f>
        <v>19</v>
      </c>
      <c r="AQ53" s="34">
        <f>SUM(AA53:AP53)-(45*6)</f>
        <v>41</v>
      </c>
      <c r="AR53" s="34">
        <f>SUM(AB53:AQ53)-(45*7)</f>
        <v>36</v>
      </c>
      <c r="AS53" s="34">
        <f>SUM(AC53:AR53)-(45*8)</f>
        <v>11</v>
      </c>
      <c r="AT53" s="34">
        <f>SUM(AD53:AS53)-(45*8)</f>
        <v>7</v>
      </c>
      <c r="AU53" s="34">
        <f>SUM(AE53:AT53)-(45*7)</f>
        <v>18</v>
      </c>
      <c r="AV53" s="34">
        <f>SUM(AF53:AU53)-(45*7)</f>
        <v>22</v>
      </c>
      <c r="AW53" s="34">
        <f>SUM(AG53:AV53)-(45*7)</f>
        <v>17</v>
      </c>
      <c r="AX53" s="34">
        <f>SUM(AH53:AW53)-(45*7)</f>
        <v>27</v>
      </c>
      <c r="AY53" s="34">
        <f>SUM(AI53:AX53)-(45*7)</f>
        <v>44</v>
      </c>
      <c r="AZ53" s="34">
        <f>SUM(AJ53:AY53)-(45*8)</f>
        <v>31</v>
      </c>
      <c r="BA53" s="34">
        <f>SUM(AK53:AZ53)-(45*9)</f>
        <v>9</v>
      </c>
      <c r="BB53" s="34">
        <f>SUM(AL53:BA53)-(45*8)</f>
        <v>34</v>
      </c>
      <c r="BC53" s="34">
        <f>SUM(AM53:BB53)-(45*8)</f>
        <v>29</v>
      </c>
      <c r="BD53" s="34">
        <f>SUM(AN53:BC53)-(45*8)</f>
        <v>17</v>
      </c>
      <c r="BE53" s="34">
        <f>SUM(AO53:BD53)-(45*8)</f>
        <v>13</v>
      </c>
      <c r="BF53" s="34">
        <f>SUM(AP53:BE53)-(45*8)</f>
        <v>15</v>
      </c>
      <c r="BG53" s="34">
        <f>SUM(AQ53:BF53)-(45*8)</f>
        <v>11</v>
      </c>
      <c r="BH53" s="34">
        <f>SUM(AR53:BG53)-(45*7)</f>
        <v>26</v>
      </c>
      <c r="BI53" s="34">
        <f>SUM(AS53:BH53)-(45*7)</f>
        <v>16</v>
      </c>
      <c r="BJ53" s="34">
        <f>SUM(AT53:BI53)-(45*7)</f>
        <v>21</v>
      </c>
      <c r="BK53" s="34">
        <f>SUM(AU53:BJ53)-(45*7)</f>
        <v>35</v>
      </c>
      <c r="BL53" s="34">
        <f>SUM(AV53:BK53)-(45*8)</f>
        <v>7</v>
      </c>
      <c r="BM53" s="34">
        <f>SUM(AW53:BL53)-(45*7)</f>
        <v>37</v>
      </c>
      <c r="BN53" s="34">
        <f>SUM(AX53:BM53)-(45*8)</f>
        <v>12</v>
      </c>
      <c r="BO53" s="34">
        <f>SUM(AY53:BN53)-(45*7)</f>
        <v>42</v>
      </c>
      <c r="BP53" s="34">
        <f>SUM(AZ53:BO53)-(45*7)</f>
        <v>40</v>
      </c>
      <c r="BQ53" s="34">
        <f>SUM(BA53:BP53)-(45*8)</f>
        <v>4</v>
      </c>
      <c r="BR53" s="34">
        <f>SUM(BB53:BQ53)-(45*7)</f>
        <v>44</v>
      </c>
      <c r="BS53" s="34">
        <f>SUM(BC53:BR53)-(45*8)</f>
        <v>9</v>
      </c>
      <c r="BT53" s="34">
        <f>SUM(BD53:BS53)-(45*7)</f>
        <v>34</v>
      </c>
      <c r="BU53" s="34">
        <f>SUM(BE53:BT53)-(45*8)</f>
        <v>6</v>
      </c>
      <c r="BV53" s="34">
        <f>SUM(BF53:BU53)-(45*7)</f>
        <v>44</v>
      </c>
      <c r="BX53" s="190"/>
      <c r="CE53" s="17">
        <v>522</v>
      </c>
      <c r="CF53" s="17">
        <v>4</v>
      </c>
      <c r="CG53" s="17">
        <v>5</v>
      </c>
      <c r="CH53" s="171">
        <v>13</v>
      </c>
      <c r="CI53" s="17">
        <v>14</v>
      </c>
      <c r="CJ53" s="17">
        <v>37</v>
      </c>
      <c r="CK53" s="17">
        <v>41</v>
      </c>
      <c r="CL53" s="17">
        <v>11</v>
      </c>
      <c r="CM53" s="19">
        <f>SUM(CF53:CK53)-(45*2)</f>
        <v>24</v>
      </c>
      <c r="CN53" s="20">
        <f>SUM(CF53:CL53)-(45*2)</f>
        <v>35</v>
      </c>
      <c r="CO53" s="17"/>
      <c r="CP53" s="17">
        <f t="shared" si="65"/>
        <v>1</v>
      </c>
      <c r="CQ53" s="17">
        <f t="shared" si="65"/>
        <v>8</v>
      </c>
      <c r="CR53" s="17">
        <f t="shared" si="65"/>
        <v>1</v>
      </c>
      <c r="CS53" s="17">
        <f t="shared" si="65"/>
        <v>23</v>
      </c>
      <c r="CT53" s="17">
        <f t="shared" si="65"/>
        <v>4</v>
      </c>
      <c r="CU53" s="17">
        <f t="shared" si="65"/>
        <v>30</v>
      </c>
      <c r="CV53" s="17">
        <v>6</v>
      </c>
      <c r="CW53" s="17">
        <v>39</v>
      </c>
      <c r="CX53" s="21"/>
      <c r="CY53" s="21"/>
      <c r="DA53" s="21"/>
      <c r="DC53" s="21"/>
      <c r="DD53" s="21"/>
      <c r="DE53" s="21"/>
      <c r="DF53" s="21"/>
      <c r="DG53" s="21"/>
      <c r="DH53" s="21"/>
      <c r="DI53" s="21"/>
      <c r="DJ53" s="21"/>
      <c r="DK53" s="21"/>
      <c r="DL53" s="21"/>
      <c r="DM53" s="21"/>
      <c r="DN53" s="21"/>
      <c r="DO53" s="21"/>
      <c r="DP53" s="21"/>
      <c r="DQ53" s="21"/>
      <c r="DR53" s="21"/>
      <c r="DS53" s="21"/>
      <c r="DT53" s="21"/>
    </row>
    <row r="54" spans="1:129" s="23" customFormat="1" ht="17.25">
      <c r="A54" s="77"/>
      <c r="B54" s="21"/>
      <c r="C54" s="44">
        <v>523</v>
      </c>
      <c r="D54" s="108" t="s">
        <v>62</v>
      </c>
      <c r="E54" s="44">
        <v>8</v>
      </c>
      <c r="F54" s="44">
        <v>20</v>
      </c>
      <c r="G54" s="44">
        <v>2</v>
      </c>
      <c r="H54" s="17">
        <f>SUM(E54:F54)-(45*0)</f>
        <v>28</v>
      </c>
      <c r="I54" s="17">
        <v>10</v>
      </c>
      <c r="J54" s="34">
        <f>SUM(E54:I54)-(45*1)</f>
        <v>23</v>
      </c>
      <c r="K54" s="34">
        <f>SUM(E54:J54)-(45*2)</f>
        <v>1</v>
      </c>
      <c r="L54" s="34">
        <f>SUM(E54:K54)-(45*2)</f>
        <v>2</v>
      </c>
      <c r="M54" s="34">
        <f>SUM(E54:L54)-(45*2)</f>
        <v>4</v>
      </c>
      <c r="N54" s="34">
        <f>SUM(E54:M54)-(45*2)</f>
        <v>8</v>
      </c>
      <c r="O54" s="34">
        <f>SUM(E54:N54)-(45*2)</f>
        <v>16</v>
      </c>
      <c r="P54" s="34">
        <f>SUM(E54:O54)-(45*2)</f>
        <v>32</v>
      </c>
      <c r="Q54" s="34">
        <f>SUM(E54:P54)-(45*3)</f>
        <v>19</v>
      </c>
      <c r="R54" s="34">
        <f>SUM(E54:Q54)-(45*3)</f>
        <v>38</v>
      </c>
      <c r="S54" s="34">
        <f>SUM(E54:R54)-(45*4)</f>
        <v>31</v>
      </c>
      <c r="T54" s="34">
        <f>SUM(E54:S54)-(45*5)</f>
        <v>17</v>
      </c>
      <c r="U54" s="34">
        <f>SUM(E54:T54)-(45*5)</f>
        <v>34</v>
      </c>
      <c r="V54" s="34">
        <f>SUM(F54:U54)-(45*6)</f>
        <v>15</v>
      </c>
      <c r="W54" s="34">
        <f>SUM(G54:V54)-(45*6)</f>
        <v>10</v>
      </c>
      <c r="X54" s="34">
        <f>SUM(H54:W54)-(45*6)</f>
        <v>18</v>
      </c>
      <c r="Y54" s="34">
        <f>SUM(I54:X54)-(45*6)</f>
        <v>8</v>
      </c>
      <c r="Z54" s="34">
        <f>SUM(J54:Y54)-(45*6)</f>
        <v>6</v>
      </c>
      <c r="AA54" s="34">
        <f>SUM(K54:Z54)-(45*5)</f>
        <v>34</v>
      </c>
      <c r="AB54" s="34">
        <f t="shared" si="66"/>
        <v>22</v>
      </c>
      <c r="AC54" s="34">
        <f t="shared" si="66"/>
        <v>42</v>
      </c>
      <c r="AD54" s="34">
        <f>SUM(N54:AC54)-(45*7)</f>
        <v>35</v>
      </c>
      <c r="AE54" s="34">
        <f>SUM(O54:AD54)-(45*8)</f>
        <v>17</v>
      </c>
      <c r="AF54" s="34">
        <f>SUM(P54:AE54)-(45*8)</f>
        <v>18</v>
      </c>
      <c r="AG54" s="34">
        <f>SUM(Q54:AF54)-(45*8)</f>
        <v>4</v>
      </c>
      <c r="AH54" s="34">
        <f>SUM(R54:AG54)-(45*7)</f>
        <v>34</v>
      </c>
      <c r="AI54" s="34">
        <f>SUM(S54:AH54)-(45*7)</f>
        <v>30</v>
      </c>
      <c r="AJ54" s="34">
        <f>SUM(T54:AI54)-(45*7)</f>
        <v>29</v>
      </c>
      <c r="AK54" s="34">
        <f>SUM(U54:AJ54)-(45*7)</f>
        <v>41</v>
      </c>
      <c r="AL54" s="34">
        <f>SUM(V54:AK54)-(45*8)</f>
        <v>3</v>
      </c>
      <c r="AM54" s="34">
        <f>SUM(W54:AL54)-(45*7)</f>
        <v>36</v>
      </c>
      <c r="AN54" s="34">
        <f>SUM(X54:AM54)-(45*8)</f>
        <v>17</v>
      </c>
      <c r="AO54" s="34">
        <f>SUM(Y54:AN54)-(45*8)</f>
        <v>16</v>
      </c>
      <c r="AP54" s="34">
        <f>SUM(Z54:AO54)-(45*8)</f>
        <v>24</v>
      </c>
      <c r="AQ54" s="34">
        <f>SUM(AA54:AP54)-(45*8)</f>
        <v>42</v>
      </c>
      <c r="AR54" s="34">
        <f>SUM(AB54:AQ54)-(45*9)</f>
        <v>5</v>
      </c>
      <c r="AS54" s="34">
        <f>SUM(AC54:AR54)-(45*8)</f>
        <v>33</v>
      </c>
      <c r="AT54" s="34">
        <f>SUM(AD54:AS54)-(45*8)</f>
        <v>24</v>
      </c>
      <c r="AU54" s="34">
        <f>SUM(AE54:AT54)-(45*8)</f>
        <v>13</v>
      </c>
      <c r="AV54" s="34">
        <f>SUM(AF54:AU54)-(45*8)</f>
        <v>9</v>
      </c>
      <c r="AW54" s="34">
        <f>SUM(AG54:AV54)-(45*7)</f>
        <v>45</v>
      </c>
      <c r="AX54" s="34">
        <f>SUM(AH54:AW54)-(45*8)</f>
        <v>41</v>
      </c>
      <c r="AY54" s="34">
        <f>SUM(AI54:AX54)-(45*9)</f>
        <v>3</v>
      </c>
      <c r="AZ54" s="34">
        <f>SUM(AJ54:AY54)-(45*8)</f>
        <v>21</v>
      </c>
      <c r="BA54" s="34">
        <f>SUM(AK54:AZ54)-(45*8)</f>
        <v>13</v>
      </c>
      <c r="BB54" s="34">
        <f>SUM(AL54:BA54)-(45*7)</f>
        <v>30</v>
      </c>
      <c r="BC54" s="34">
        <f>SUM(AM54:BB54)-(45*8)</f>
        <v>12</v>
      </c>
      <c r="BD54" s="34">
        <f>SUM(AN54:BC54)-(45*7)</f>
        <v>33</v>
      </c>
      <c r="BE54" s="34">
        <f>SUM(AO54:BD54)-(45*8)</f>
        <v>4</v>
      </c>
      <c r="BF54" s="34">
        <f>SUM(AP54:BE54)-(45*7)</f>
        <v>37</v>
      </c>
      <c r="BG54" s="34">
        <f>SUM(AQ54:BF54)-(45*8)</f>
        <v>5</v>
      </c>
      <c r="BH54" s="34">
        <f>SUM(AR54:BG54)-(45*7)</f>
        <v>13</v>
      </c>
      <c r="BI54" s="34">
        <f>SUM(AS54:BH54)-(45*7)</f>
        <v>21</v>
      </c>
      <c r="BJ54" s="34">
        <f>SUM(AT54:BI54)-(45*7)</f>
        <v>9</v>
      </c>
      <c r="BK54" s="34">
        <f>SUM(AU54:BJ54)-(45*6)</f>
        <v>39</v>
      </c>
      <c r="BL54" s="34">
        <f>SUM(AV54:BK54)-(45*7)</f>
        <v>20</v>
      </c>
      <c r="BM54" s="34">
        <f>SUM(AW54:BL54)-(45*7)</f>
        <v>31</v>
      </c>
      <c r="BN54" s="34">
        <f>SUM(AX54:BM54)-(45*7)</f>
        <v>17</v>
      </c>
      <c r="BO54" s="34">
        <f>SUM(AY54:BN54)-(45*6)</f>
        <v>38</v>
      </c>
      <c r="BP54" s="34">
        <f>SUM(AZ54:BO54)-(45*7)</f>
        <v>28</v>
      </c>
      <c r="BQ54" s="34">
        <f>SUM(BA54:BP54)-(45*7)</f>
        <v>35</v>
      </c>
      <c r="BR54" s="34">
        <f>SUM(BB54:BQ54)-(45*8)</f>
        <v>12</v>
      </c>
      <c r="BS54" s="34">
        <f>SUM(BC54:BR54)-(45*7)</f>
        <v>39</v>
      </c>
      <c r="BT54" s="34">
        <f>SUM(BD54:BS54)-(45*8)</f>
        <v>21</v>
      </c>
      <c r="BU54" s="34">
        <f>SUM(BE54:BT54)-(45*8)</f>
        <v>9</v>
      </c>
      <c r="BV54" s="34">
        <f>SUM(BF54:BU54)-(45*8)</f>
        <v>14</v>
      </c>
      <c r="BW54" s="34"/>
      <c r="BX54" s="190"/>
      <c r="BY54" s="34"/>
      <c r="BZ54" s="34"/>
      <c r="CA54" s="34"/>
      <c r="CB54" s="34"/>
      <c r="CC54" s="34"/>
      <c r="CD54" s="34"/>
      <c r="CE54" s="17">
        <v>523</v>
      </c>
      <c r="CF54" s="17">
        <v>1</v>
      </c>
      <c r="CG54" s="17">
        <v>4</v>
      </c>
      <c r="CH54" s="17">
        <v>37</v>
      </c>
      <c r="CI54" s="17">
        <v>38</v>
      </c>
      <c r="CJ54" s="17">
        <v>40</v>
      </c>
      <c r="CK54" s="17">
        <v>45</v>
      </c>
      <c r="CL54" s="17">
        <v>7</v>
      </c>
      <c r="CM54" s="19">
        <f>SUM(CF54:CK54)-(45*3)</f>
        <v>30</v>
      </c>
      <c r="CN54" s="20">
        <f>SUM(CF54:CL54)-(45*3)</f>
        <v>37</v>
      </c>
      <c r="CO54" s="17"/>
      <c r="CP54" s="17">
        <f t="shared" si="65"/>
        <v>3</v>
      </c>
      <c r="CQ54" s="17">
        <f t="shared" si="65"/>
        <v>33</v>
      </c>
      <c r="CR54" s="17">
        <f t="shared" si="65"/>
        <v>1</v>
      </c>
      <c r="CS54" s="17">
        <f t="shared" si="65"/>
        <v>2</v>
      </c>
      <c r="CT54" s="17">
        <f t="shared" si="65"/>
        <v>5</v>
      </c>
      <c r="CU54" s="17">
        <f t="shared" si="65"/>
        <v>38</v>
      </c>
      <c r="CV54" s="17">
        <v>7</v>
      </c>
      <c r="CW54" s="17">
        <v>43</v>
      </c>
      <c r="CX54" s="21"/>
      <c r="CY54" s="21"/>
      <c r="DA54" s="21"/>
      <c r="DC54" s="21"/>
      <c r="DD54" s="21"/>
      <c r="DF54" s="21"/>
      <c r="DG54" s="21"/>
      <c r="DH54" s="21"/>
      <c r="DI54" s="21"/>
      <c r="DJ54" s="21"/>
      <c r="DK54" s="21"/>
      <c r="DL54" s="21"/>
      <c r="DM54" s="21"/>
      <c r="DN54" s="21"/>
      <c r="DO54" s="21"/>
      <c r="DP54" s="21"/>
      <c r="DQ54" s="21"/>
      <c r="DR54" s="21"/>
      <c r="DS54" s="21"/>
      <c r="DT54" s="21"/>
    </row>
    <row r="55" spans="1:129" s="23" customFormat="1" ht="17.25">
      <c r="A55" s="77"/>
      <c r="B55" s="21"/>
      <c r="C55" s="44">
        <v>524</v>
      </c>
      <c r="D55" s="108" t="s">
        <v>63</v>
      </c>
      <c r="E55" s="44">
        <v>15</v>
      </c>
      <c r="F55" s="44">
        <v>27</v>
      </c>
      <c r="G55" s="44">
        <v>3</v>
      </c>
      <c r="H55" s="17">
        <f>SUM(E55:F55)-(45*0)</f>
        <v>42</v>
      </c>
      <c r="I55" s="17">
        <v>11</v>
      </c>
      <c r="J55" s="34">
        <f>SUM(E55:I55)-(45*2)</f>
        <v>8</v>
      </c>
      <c r="K55" s="34">
        <f>SUM(E55:J55)-(45*2)</f>
        <v>16</v>
      </c>
      <c r="L55" s="34">
        <f>SUM(E55:K55)-(45*2)</f>
        <v>32</v>
      </c>
      <c r="M55" s="34">
        <f>SUM(E55:L55)-(45*3)</f>
        <v>19</v>
      </c>
      <c r="N55" s="34">
        <f>SUM(E55:M55)-(45*3)</f>
        <v>38</v>
      </c>
      <c r="O55" s="34">
        <f>SUM(E55:N55)-(45*4)</f>
        <v>31</v>
      </c>
      <c r="P55" s="34">
        <f>SUM(E55:O55)-(45*5)</f>
        <v>17</v>
      </c>
      <c r="Q55" s="34">
        <f>SUM(E55:P55)-(45*5)</f>
        <v>34</v>
      </c>
      <c r="R55" s="34">
        <f>SUM(E55:Q55)-(45*6)</f>
        <v>23</v>
      </c>
      <c r="S55" s="34">
        <f>SUM(E55:R55)-(45*7)</f>
        <v>1</v>
      </c>
      <c r="T55" s="34">
        <f>SUM(E55:S55)-(45*7)</f>
        <v>2</v>
      </c>
      <c r="U55" s="34">
        <f>SUM(E55:T55)-(45*7)</f>
        <v>4</v>
      </c>
      <c r="V55" s="34">
        <f>SUM(F55:U55)-(45*6)</f>
        <v>38</v>
      </c>
      <c r="W55" s="34">
        <f>SUM(G55:V55)-(45*7)</f>
        <v>4</v>
      </c>
      <c r="X55" s="34">
        <f>SUM(H55:W55)-(45*7)</f>
        <v>5</v>
      </c>
      <c r="Y55" s="34">
        <f>SUM(I55:X55)-(45*6)</f>
        <v>13</v>
      </c>
      <c r="Z55" s="34">
        <f>SUM(J55:Y55)-(45*6)</f>
        <v>15</v>
      </c>
      <c r="AA55" s="34">
        <f>SUM(K55:Z55)-(45*6)</f>
        <v>22</v>
      </c>
      <c r="AB55" s="34">
        <f t="shared" si="66"/>
        <v>28</v>
      </c>
      <c r="AC55" s="34">
        <f t="shared" si="66"/>
        <v>24</v>
      </c>
      <c r="AD55" s="34">
        <f>SUM(N55:AC55)-(45*6)</f>
        <v>29</v>
      </c>
      <c r="AE55" s="34">
        <f>SUM(O55:AD55)-(45*6)</f>
        <v>20</v>
      </c>
      <c r="AF55" s="34">
        <f>SUM(P55:AE55)-(45*6)</f>
        <v>9</v>
      </c>
      <c r="AG55" s="34">
        <f>SUM(Q55:AF55)-(45*6)</f>
        <v>1</v>
      </c>
      <c r="AH55" s="34">
        <f>SUM(R55:AG55)-(45*5)</f>
        <v>13</v>
      </c>
      <c r="AI55" s="34">
        <f>SUM(S55:AH55)-(45*5)</f>
        <v>3</v>
      </c>
      <c r="AJ55" s="34">
        <f>SUM(T55:AI55)-(45*5)</f>
        <v>5</v>
      </c>
      <c r="AK55" s="34">
        <f>SUM(U55:AJ55)-(45*5)</f>
        <v>8</v>
      </c>
      <c r="AL55" s="34">
        <f>SUM(V55:AK55)-(45*5)</f>
        <v>12</v>
      </c>
      <c r="AM55" s="34">
        <f>SUM(W55:AL55)-(45*4)</f>
        <v>31</v>
      </c>
      <c r="AN55" s="34">
        <f>SUM(X55:AM55)-(45*5)</f>
        <v>13</v>
      </c>
      <c r="AO55" s="34">
        <f>SUM(Y55:AN55)-(45*5)</f>
        <v>21</v>
      </c>
      <c r="AP55" s="34">
        <f>SUM(Z55:AO55)-(45*5)</f>
        <v>29</v>
      </c>
      <c r="AQ55" s="34">
        <f>SUM(AA55:AP55)-(45*5)</f>
        <v>43</v>
      </c>
      <c r="AR55" s="34">
        <f>SUM(AB55:AQ55)-(45*6)</f>
        <v>19</v>
      </c>
      <c r="AS55" s="34">
        <f>SUM(AC55:AR55)-(45*6)</f>
        <v>10</v>
      </c>
      <c r="AT55" s="34">
        <f>SUM(AD55:AS55)-(45*5)</f>
        <v>41</v>
      </c>
      <c r="AU55" s="34">
        <f>SUM(AE55:AT55)-(45*6)</f>
        <v>8</v>
      </c>
      <c r="AV55" s="34">
        <f>SUM(AF55:AU55)-(45*5)</f>
        <v>41</v>
      </c>
      <c r="AW55" s="34">
        <f>SUM(AG55:AV55)-(45*6)</f>
        <v>28</v>
      </c>
      <c r="AX55" s="34">
        <f>SUM(AH55:AW55)-(45*7)</f>
        <v>10</v>
      </c>
      <c r="AY55" s="34">
        <f>SUM(AI55:AX55)-(45*7)</f>
        <v>7</v>
      </c>
      <c r="AZ55" s="34">
        <f>SUM(AJ55:AY55)-(45*7)</f>
        <v>11</v>
      </c>
      <c r="BA55" s="34">
        <f>SUM(AK55:AZ55)-(45*7)</f>
        <v>17</v>
      </c>
      <c r="BB55" s="34">
        <f>SUM(AL55:BA55)-(45*7)</f>
        <v>26</v>
      </c>
      <c r="BC55" s="34">
        <f>SUM(AM55:BB55)-(45*7)</f>
        <v>40</v>
      </c>
      <c r="BD55" s="34">
        <f>SUM(AN55:BC55)-(45*8)</f>
        <v>4</v>
      </c>
      <c r="BE55" s="34">
        <f>SUM(AO55:BD55)-(45*7)</f>
        <v>40</v>
      </c>
      <c r="BF55" s="34">
        <f>SUM(AP55:BE55)-(45*8)</f>
        <v>14</v>
      </c>
      <c r="BG55" s="34">
        <f>SUM(AQ55:BF55)-(45*7)</f>
        <v>44</v>
      </c>
      <c r="BH55" s="34">
        <f>SUM(AR55:BG55)-(45*7)</f>
        <v>45</v>
      </c>
      <c r="BI55" s="34">
        <f>SUM(AS55:BH55)-(45*8)</f>
        <v>26</v>
      </c>
      <c r="BJ55" s="34">
        <f>SUM(AT55:BI55)-(45*8)</f>
        <v>42</v>
      </c>
      <c r="BK55" s="34">
        <f>SUM(AU55:BJ55)-(45*8)</f>
        <v>43</v>
      </c>
      <c r="BL55" s="34">
        <f>SUM(AV55:BK55)-(45*9)</f>
        <v>33</v>
      </c>
      <c r="BM55" s="34">
        <f>SUM(AW55:BL55)-(45*9)</f>
        <v>25</v>
      </c>
      <c r="BN55" s="34">
        <f>SUM(AX55:BM55)-(45*9)</f>
        <v>22</v>
      </c>
      <c r="BO55" s="34">
        <f>SUM(AY55:BN55)-(45*9)</f>
        <v>34</v>
      </c>
      <c r="BP55" s="34">
        <f t="shared" ref="BP55:BU55" si="67">SUM(AZ55:BO55)-(45*10)</f>
        <v>16</v>
      </c>
      <c r="BQ55" s="34">
        <f t="shared" si="67"/>
        <v>21</v>
      </c>
      <c r="BR55" s="34">
        <f t="shared" si="67"/>
        <v>25</v>
      </c>
      <c r="BS55" s="34">
        <f t="shared" si="67"/>
        <v>24</v>
      </c>
      <c r="BT55" s="34">
        <f t="shared" si="67"/>
        <v>8</v>
      </c>
      <c r="BU55" s="34">
        <f t="shared" si="67"/>
        <v>12</v>
      </c>
      <c r="BV55" s="34">
        <f>SUM(BF55:BU55)-(45*9)</f>
        <v>29</v>
      </c>
      <c r="BW55" s="22"/>
      <c r="BX55" s="190"/>
      <c r="BY55" s="22"/>
      <c r="BZ55" s="22"/>
      <c r="CA55" s="22"/>
      <c r="CB55" s="22"/>
      <c r="CC55" s="22"/>
      <c r="CD55" s="22"/>
      <c r="CE55" s="17">
        <v>524</v>
      </c>
      <c r="CF55" s="17">
        <v>10</v>
      </c>
      <c r="CG55" s="17">
        <v>11</v>
      </c>
      <c r="CH55" s="17">
        <v>29</v>
      </c>
      <c r="CI55" s="17">
        <v>38</v>
      </c>
      <c r="CJ55" s="17">
        <v>41</v>
      </c>
      <c r="CK55" s="17">
        <v>45</v>
      </c>
      <c r="CL55" s="17">
        <v>21</v>
      </c>
      <c r="CM55" s="19">
        <f>SUM(CF55:CK55)-(45*3)</f>
        <v>39</v>
      </c>
      <c r="CN55" s="20">
        <f>SUM(CF55:CL55)-(45*4)</f>
        <v>15</v>
      </c>
      <c r="CO55" s="17"/>
      <c r="CP55" s="17">
        <f t="shared" si="65"/>
        <v>1</v>
      </c>
      <c r="CQ55" s="17">
        <f t="shared" si="65"/>
        <v>18</v>
      </c>
      <c r="CR55" s="17">
        <f t="shared" si="65"/>
        <v>9</v>
      </c>
      <c r="CS55" s="17">
        <f t="shared" si="65"/>
        <v>3</v>
      </c>
      <c r="CT55" s="17">
        <f t="shared" si="65"/>
        <v>4</v>
      </c>
      <c r="CU55" s="17">
        <f t="shared" si="65"/>
        <v>24</v>
      </c>
      <c r="CV55" s="17">
        <v>4</v>
      </c>
      <c r="CW55" s="17">
        <v>36</v>
      </c>
      <c r="CX55" s="21"/>
      <c r="CY55" s="21"/>
      <c r="CZ55" s="21"/>
      <c r="DA55" s="21"/>
      <c r="DC55" s="21"/>
      <c r="DD55" s="21"/>
      <c r="DF55" s="21"/>
      <c r="DG55" s="21"/>
      <c r="DH55" s="21"/>
      <c r="DI55" s="21"/>
      <c r="DJ55" s="21"/>
      <c r="DK55" s="21"/>
      <c r="DL55" s="21"/>
      <c r="DM55" s="21"/>
      <c r="DN55" s="21"/>
      <c r="DO55" s="21"/>
      <c r="DP55" s="21"/>
      <c r="DQ55" s="21"/>
      <c r="DR55" s="21"/>
      <c r="DS55" s="21"/>
      <c r="DT55" s="21"/>
    </row>
    <row r="56" spans="1:129" s="23" customFormat="1" ht="17.25">
      <c r="A56" s="77"/>
      <c r="B56" s="21"/>
      <c r="C56" s="44">
        <v>525</v>
      </c>
      <c r="D56" s="108" t="s">
        <v>64</v>
      </c>
      <c r="E56" s="44">
        <v>22</v>
      </c>
      <c r="F56" s="44">
        <v>34</v>
      </c>
      <c r="G56" s="44">
        <v>4</v>
      </c>
      <c r="H56" s="17">
        <f>SUM(E56:F56)-(45*1)</f>
        <v>11</v>
      </c>
      <c r="I56" s="17">
        <v>12</v>
      </c>
      <c r="J56" s="34">
        <f>SUM(E56:I56)-(45*1)</f>
        <v>38</v>
      </c>
      <c r="K56" s="34">
        <f>SUM(E56:J56)-(45*2)</f>
        <v>31</v>
      </c>
      <c r="L56" s="34">
        <f>SUM(E56:K56)-(45*3)</f>
        <v>17</v>
      </c>
      <c r="M56" s="34">
        <f>SUM(E56:L56)-(45*3)</f>
        <v>34</v>
      </c>
      <c r="N56" s="34">
        <f>SUM(E56:M56)-(45*4)</f>
        <v>23</v>
      </c>
      <c r="O56" s="34">
        <f>SUM(E56:N56)-(45*5)</f>
        <v>1</v>
      </c>
      <c r="P56" s="34">
        <f>SUM(E56:O56)-(45*5)</f>
        <v>2</v>
      </c>
      <c r="Q56" s="34">
        <f>SUM(E56:P56)-(45*5)</f>
        <v>4</v>
      </c>
      <c r="R56" s="34">
        <f>SUM(E56:Q56)-(45*5)</f>
        <v>8</v>
      </c>
      <c r="S56" s="34">
        <f>SUM(E56:R56)-(45*5)</f>
        <v>16</v>
      </c>
      <c r="T56" s="34">
        <f>SUM(E56:S56)-(45*5)</f>
        <v>32</v>
      </c>
      <c r="U56" s="34">
        <f>SUM(E56:T56)-(45*6)</f>
        <v>19</v>
      </c>
      <c r="V56" s="34">
        <f>SUM(F56:U56)-(45*6)</f>
        <v>16</v>
      </c>
      <c r="W56" s="34">
        <f>SUM(G56:V56)-(45*5)</f>
        <v>43</v>
      </c>
      <c r="X56" s="34">
        <f>SUM(H56:W56)-(45*6)</f>
        <v>37</v>
      </c>
      <c r="Y56" s="34">
        <f t="shared" ref="Y56:AA57" si="68">SUM(I56:X56)-(45*7)</f>
        <v>18</v>
      </c>
      <c r="Z56" s="34">
        <f t="shared" si="68"/>
        <v>24</v>
      </c>
      <c r="AA56" s="34">
        <f t="shared" si="68"/>
        <v>10</v>
      </c>
      <c r="AB56" s="34">
        <f>SUM(L56:AA56)-(45*6)</f>
        <v>34</v>
      </c>
      <c r="AC56" s="34">
        <f>SUM(M56:AB56)-(45*7)</f>
        <v>6</v>
      </c>
      <c r="AD56" s="34">
        <f>SUM(N56:AC56)-(45*6)</f>
        <v>23</v>
      </c>
      <c r="AE56" s="34">
        <f>SUM(O56:AD56)-(45*6)</f>
        <v>23</v>
      </c>
      <c r="AF56" s="34">
        <f>SUM(P56:AE56)-(45*6)</f>
        <v>45</v>
      </c>
      <c r="AG56" s="34">
        <f>SUM(Q56:AF56)-(45*7)</f>
        <v>43</v>
      </c>
      <c r="AH56" s="34">
        <f>SUM(R56:AG56)-(45*8)</f>
        <v>37</v>
      </c>
      <c r="AI56" s="34">
        <f t="shared" ref="AI56:AN56" si="69">SUM(S56:AH56)-(45*9)</f>
        <v>21</v>
      </c>
      <c r="AJ56" s="34">
        <f t="shared" si="69"/>
        <v>26</v>
      </c>
      <c r="AK56" s="34">
        <f t="shared" si="69"/>
        <v>20</v>
      </c>
      <c r="AL56" s="34">
        <f t="shared" si="69"/>
        <v>21</v>
      </c>
      <c r="AM56" s="34">
        <f t="shared" si="69"/>
        <v>26</v>
      </c>
      <c r="AN56" s="34">
        <f t="shared" si="69"/>
        <v>9</v>
      </c>
      <c r="AO56" s="34">
        <f>SUM(Y56:AN56)-(45*8)</f>
        <v>26</v>
      </c>
      <c r="AP56" s="34">
        <f>SUM(Z56:AO56)-(45*8)</f>
        <v>34</v>
      </c>
      <c r="AQ56" s="34">
        <f>SUM(AA56:AP56)-(45*8)</f>
        <v>44</v>
      </c>
      <c r="AR56" s="34">
        <f>SUM(AB56:AQ56)-(45*9)</f>
        <v>33</v>
      </c>
      <c r="AS56" s="34">
        <f>SUM(AC56:AR56)-(45*9)</f>
        <v>32</v>
      </c>
      <c r="AT56" s="34">
        <f>SUM(AD56:AS56)-(45*10)</f>
        <v>13</v>
      </c>
      <c r="AU56" s="34">
        <f>SUM(AE56:AT56)-(45*10)</f>
        <v>3</v>
      </c>
      <c r="AV56" s="34">
        <f>SUM(AF56:AU56)-(45*9)</f>
        <v>28</v>
      </c>
      <c r="AW56" s="34">
        <f>SUM(AG56:AV56)-(45*9)</f>
        <v>11</v>
      </c>
      <c r="AX56" s="34">
        <f>SUM(AH56:AW56)-(45*8)</f>
        <v>24</v>
      </c>
      <c r="AY56" s="34">
        <f>SUM(AI56:AX56)-(45*8)</f>
        <v>11</v>
      </c>
      <c r="AZ56" s="34">
        <f>SUM(AJ56:AY56)-(45*8)</f>
        <v>1</v>
      </c>
      <c r="BA56" s="34">
        <f>SUM(AK56:AZ56)-(45*7)</f>
        <v>21</v>
      </c>
      <c r="BB56" s="34">
        <f>SUM(AL56:BA56)-(45*7)</f>
        <v>22</v>
      </c>
      <c r="BC56" s="34">
        <f>SUM(AM56:BB56)-(45*7)</f>
        <v>23</v>
      </c>
      <c r="BD56" s="34">
        <f>SUM(AN56:BC56)-(45*7)</f>
        <v>20</v>
      </c>
      <c r="BE56" s="34">
        <f>SUM(AO56:BD56)-(45*7)</f>
        <v>31</v>
      </c>
      <c r="BF56" s="34">
        <f>SUM(AP56:BE56)-(45*7)</f>
        <v>36</v>
      </c>
      <c r="BG56" s="34">
        <f>SUM(AQ56:BF56)-(45*7)</f>
        <v>38</v>
      </c>
      <c r="BH56" s="34">
        <f>SUM(AR56:BG56)-(45*7)</f>
        <v>32</v>
      </c>
      <c r="BI56" s="34">
        <f>SUM(AS56:BH56)-(45*7)</f>
        <v>31</v>
      </c>
      <c r="BJ56" s="34">
        <f>SUM(AT56:BI56)-(45*7)</f>
        <v>30</v>
      </c>
      <c r="BK56" s="34">
        <f>SUM(AU56:BJ56)-(45*8)</f>
        <v>2</v>
      </c>
      <c r="BL56" s="34">
        <f>SUM(AV56:BK56)-(45*8)</f>
        <v>1</v>
      </c>
      <c r="BM56" s="34">
        <f>SUM(AW56:BL56)-(45*7)</f>
        <v>19</v>
      </c>
      <c r="BN56" s="34">
        <f>SUM(AX56:BM56)-(45*7)</f>
        <v>27</v>
      </c>
      <c r="BO56" s="34">
        <f>SUM(AY56:BN56)-(45*7)</f>
        <v>30</v>
      </c>
      <c r="BP56" s="34">
        <f>SUM(AZ56:BO56)-(45*8)</f>
        <v>4</v>
      </c>
      <c r="BQ56" s="34">
        <f>SUM(BA56:BP56)-(45*8)</f>
        <v>7</v>
      </c>
      <c r="BR56" s="34">
        <f>SUM(BB56:BQ56)-(45*7)</f>
        <v>38</v>
      </c>
      <c r="BS56" s="34">
        <f>SUM(BC56:BR56)-(45*8)</f>
        <v>9</v>
      </c>
      <c r="BT56" s="34">
        <f>SUM(BD56:BS56)-(45*7)</f>
        <v>40</v>
      </c>
      <c r="BU56" s="34">
        <f>SUM(BE56:BT56)-(45*8)</f>
        <v>15</v>
      </c>
      <c r="BV56" s="34">
        <f>SUM(BF56:BU56)-(45*7)</f>
        <v>44</v>
      </c>
      <c r="BW56" s="34"/>
      <c r="BX56" s="190"/>
      <c r="BY56" s="34"/>
      <c r="BZ56" s="34"/>
      <c r="CA56" s="34"/>
      <c r="CB56" s="34"/>
      <c r="CC56" s="34"/>
      <c r="CD56" s="34"/>
      <c r="CE56" s="17">
        <v>525</v>
      </c>
      <c r="CF56" s="44">
        <v>11</v>
      </c>
      <c r="CG56" s="17">
        <v>23</v>
      </c>
      <c r="CH56" s="17">
        <v>26</v>
      </c>
      <c r="CI56" s="17">
        <v>29</v>
      </c>
      <c r="CJ56" s="17">
        <v>39</v>
      </c>
      <c r="CK56" s="17">
        <v>44</v>
      </c>
      <c r="CL56" s="17">
        <v>22</v>
      </c>
      <c r="CM56" s="19">
        <f>SUM(CF56:CK56)-(45*3)</f>
        <v>37</v>
      </c>
      <c r="CN56" s="20">
        <f>SUM(CF56:CL56)-(45*4)</f>
        <v>14</v>
      </c>
      <c r="CO56" s="17"/>
      <c r="CP56" s="17">
        <f t="shared" si="65"/>
        <v>12</v>
      </c>
      <c r="CQ56" s="17">
        <f t="shared" si="65"/>
        <v>3</v>
      </c>
      <c r="CR56" s="17">
        <f t="shared" si="65"/>
        <v>3</v>
      </c>
      <c r="CS56" s="17">
        <f t="shared" si="65"/>
        <v>10</v>
      </c>
      <c r="CT56" s="17">
        <f t="shared" si="65"/>
        <v>5</v>
      </c>
      <c r="CU56" s="17">
        <f t="shared" si="65"/>
        <v>22</v>
      </c>
      <c r="CV56" s="17">
        <v>9</v>
      </c>
      <c r="CW56" s="17">
        <v>41</v>
      </c>
      <c r="CX56" s="21"/>
      <c r="CY56" s="21"/>
      <c r="CZ56" s="21"/>
      <c r="DA56" s="21"/>
      <c r="DC56" s="21"/>
      <c r="DD56" s="21"/>
      <c r="DF56" s="21"/>
      <c r="DG56" s="21"/>
      <c r="DH56" s="21"/>
      <c r="DI56" s="21"/>
      <c r="DJ56" s="21"/>
      <c r="DK56" s="21"/>
      <c r="DL56" s="21"/>
      <c r="DM56" s="21"/>
      <c r="DN56" s="21"/>
      <c r="DO56" s="21"/>
      <c r="DP56" s="21"/>
      <c r="DQ56" s="21"/>
      <c r="DR56" s="21"/>
      <c r="DS56" s="21"/>
      <c r="DT56" s="21"/>
    </row>
    <row r="57" spans="1:129" s="23" customFormat="1" ht="17.25">
      <c r="A57" s="21"/>
      <c r="B57" s="53"/>
      <c r="C57" s="44">
        <v>526</v>
      </c>
      <c r="D57" s="108" t="s">
        <v>67</v>
      </c>
      <c r="E57" s="44">
        <v>29</v>
      </c>
      <c r="F57" s="44">
        <v>41</v>
      </c>
      <c r="G57" s="44">
        <v>5</v>
      </c>
      <c r="H57" s="17">
        <f>SUM(E57:F57)-(45*1)</f>
        <v>25</v>
      </c>
      <c r="I57" s="17">
        <v>13</v>
      </c>
      <c r="J57" s="34">
        <f>SUM(E57:I57)-(45*2)</f>
        <v>23</v>
      </c>
      <c r="K57" s="34">
        <f>SUM(E57:J57)-(45*3)</f>
        <v>1</v>
      </c>
      <c r="L57" s="34">
        <f>SUM(E57:K57)-(45*3)</f>
        <v>2</v>
      </c>
      <c r="M57" s="34">
        <f>SUM(E57:L57)-(45*3)</f>
        <v>4</v>
      </c>
      <c r="N57" s="34">
        <f>SUM(E57:M57)-(45*3)</f>
        <v>8</v>
      </c>
      <c r="O57" s="34">
        <f>SUM(E57:N57)-(45*3)</f>
        <v>16</v>
      </c>
      <c r="P57" s="34">
        <f>SUM(E57:O57)-(45*3)</f>
        <v>32</v>
      </c>
      <c r="Q57" s="34">
        <f>SUM(E57:P57)-(45*4)</f>
        <v>19</v>
      </c>
      <c r="R57" s="34">
        <f>SUM(E57:Q57)-(45*4)</f>
        <v>38</v>
      </c>
      <c r="S57" s="34">
        <f>SUM(E57:R57)-(45*5)</f>
        <v>31</v>
      </c>
      <c r="T57" s="34">
        <f>SUM(E57:S57)-(45*6)</f>
        <v>17</v>
      </c>
      <c r="U57" s="34">
        <f>SUM(E57:T57)-(45*6)</f>
        <v>34</v>
      </c>
      <c r="V57" s="34">
        <f>SUM(F57:U57)-(45*6)</f>
        <v>39</v>
      </c>
      <c r="W57" s="34">
        <f>SUM(G57:V57)-(45*6)</f>
        <v>37</v>
      </c>
      <c r="X57" s="34">
        <f>SUM(H57:W57)-(45*7)</f>
        <v>24</v>
      </c>
      <c r="Y57" s="34">
        <f t="shared" si="68"/>
        <v>23</v>
      </c>
      <c r="Z57" s="34">
        <f t="shared" si="68"/>
        <v>33</v>
      </c>
      <c r="AA57" s="34">
        <f t="shared" si="68"/>
        <v>43</v>
      </c>
      <c r="AB57" s="34">
        <f>SUM(L57:AA57)-(45*8)</f>
        <v>40</v>
      </c>
      <c r="AC57" s="34">
        <f>SUM(M57:AB57)-(45*9)</f>
        <v>33</v>
      </c>
      <c r="AD57" s="34">
        <f>SUM(N57:AC57)-(45*10)</f>
        <v>17</v>
      </c>
      <c r="AE57" s="34">
        <f>SUM(O57:AD57)-(45*10)</f>
        <v>26</v>
      </c>
      <c r="AF57" s="34">
        <f>SUM(P57:AE57)-(45*10)</f>
        <v>36</v>
      </c>
      <c r="AG57" s="34">
        <f>SUM(Q57:AF57)-(45*10)</f>
        <v>40</v>
      </c>
      <c r="AH57" s="34">
        <f>SUM(R57:AG57)-(45*11)</f>
        <v>16</v>
      </c>
      <c r="AI57" s="34">
        <f>SUM(S57:AH57)-(45*10)</f>
        <v>39</v>
      </c>
      <c r="AJ57" s="34">
        <f>SUM(T57:AI57)-(45*11)</f>
        <v>2</v>
      </c>
      <c r="AK57" s="34">
        <f>SUM(U57:AJ57)-(45*10)</f>
        <v>32</v>
      </c>
      <c r="AL57" s="34">
        <f>SUM(V57:AK57)-(45*10)</f>
        <v>30</v>
      </c>
      <c r="AM57" s="34">
        <f>SUM(W57:AL57)-(45*10)</f>
        <v>21</v>
      </c>
      <c r="AN57" s="34">
        <f>SUM(X57:AM57)-(45*10)</f>
        <v>5</v>
      </c>
      <c r="AO57" s="34">
        <f>SUM(Y57:AN57)-(45*9)</f>
        <v>31</v>
      </c>
      <c r="AP57" s="34">
        <f>SUM(Z57:AO57)-(45*9)</f>
        <v>39</v>
      </c>
      <c r="AQ57" s="34">
        <f>SUM(AA57:AP57)-(45*9)</f>
        <v>45</v>
      </c>
      <c r="AR57" s="34">
        <f>SUM(AB57:AQ57)-(45*10)</f>
        <v>2</v>
      </c>
      <c r="AS57" s="34">
        <f>SUM(AC57:AR57)-(45*9)</f>
        <v>9</v>
      </c>
      <c r="AT57" s="34">
        <f>SUM(AD57:AS57)-(45*8)</f>
        <v>30</v>
      </c>
      <c r="AU57" s="34">
        <f>SUM(AE57:AT57)-(45*8)</f>
        <v>43</v>
      </c>
      <c r="AV57" s="34">
        <f>SUM(AF57:AU57)-(45*9)</f>
        <v>15</v>
      </c>
      <c r="AW57" s="34">
        <f>SUM(AG57:AV57)-(45*8)</f>
        <v>39</v>
      </c>
      <c r="AX57" s="34">
        <f>SUM(AH57:AW57)-(45*8)</f>
        <v>38</v>
      </c>
      <c r="AY57" s="34">
        <f>SUM(AI57:AX57)-(45*9)</f>
        <v>15</v>
      </c>
      <c r="AZ57" s="34">
        <f>SUM(AJ57:AY57)-(45*8)</f>
        <v>36</v>
      </c>
      <c r="BA57" s="34">
        <f>SUM(AK57:AZ57)-(45*9)</f>
        <v>25</v>
      </c>
      <c r="BB57" s="34">
        <f>SUM(AL57:BA57)-(45*9)</f>
        <v>18</v>
      </c>
      <c r="BC57" s="34">
        <f>SUM(AM57:BB57)-(45*9)</f>
        <v>6</v>
      </c>
      <c r="BD57" s="34">
        <f>SUM(AN57:BC57)-(45*8)</f>
        <v>36</v>
      </c>
      <c r="BE57" s="34">
        <f>SUM(AO57:BD57)-(45*9)</f>
        <v>22</v>
      </c>
      <c r="BF57" s="34">
        <f>SUM(AP57:BE57)-(45*9)</f>
        <v>13</v>
      </c>
      <c r="BG57" s="34">
        <f>SUM(AQ57:BF57)-(45*8)</f>
        <v>32</v>
      </c>
      <c r="BH57" s="34">
        <f>SUM(AR57:BG57)-(45*8)</f>
        <v>19</v>
      </c>
      <c r="BI57" s="34">
        <f>SUM(AS57:BH57)-(45*8)</f>
        <v>36</v>
      </c>
      <c r="BJ57" s="34">
        <f>SUM(AT57:BI57)-(45*9)</f>
        <v>18</v>
      </c>
      <c r="BK57" s="34">
        <f>SUM(AU57:BJ57)-(45*9)</f>
        <v>6</v>
      </c>
      <c r="BL57" s="34">
        <f t="shared" ref="BL57:BM59" si="70">SUM(AV57:BK57)-(45*8)</f>
        <v>14</v>
      </c>
      <c r="BM57" s="34">
        <f t="shared" si="70"/>
        <v>13</v>
      </c>
      <c r="BN57" s="34">
        <f>SUM(AX57:BM57)-(45*7)</f>
        <v>32</v>
      </c>
      <c r="BO57" s="34">
        <f>SUM(AY57:BN57)-(45*7)</f>
        <v>26</v>
      </c>
      <c r="BP57" s="34">
        <f>SUM(AZ57:BO57)-(45*7)</f>
        <v>37</v>
      </c>
      <c r="BQ57" s="34">
        <f>SUM(BA57:BP57)-(45*7)</f>
        <v>38</v>
      </c>
      <c r="BR57" s="34">
        <f>SUM(BB57:BQ57)-(45*8)</f>
        <v>6</v>
      </c>
      <c r="BS57" s="34">
        <f>SUM(BC57:BR57)-(45*7)</f>
        <v>39</v>
      </c>
      <c r="BT57" s="34">
        <f>SUM(BD57:BS57)-(45*8)</f>
        <v>27</v>
      </c>
      <c r="BU57" s="34">
        <f>SUM(BE57:BT57)-(45*8)</f>
        <v>18</v>
      </c>
      <c r="BV57" s="34">
        <f>SUM(BF57:BU57)-(45*8)</f>
        <v>14</v>
      </c>
      <c r="BW57" s="17"/>
      <c r="BX57" s="190"/>
      <c r="BY57" s="17"/>
      <c r="BZ57" s="17"/>
      <c r="CA57" s="17"/>
      <c r="CB57" s="17"/>
      <c r="CC57" s="17"/>
      <c r="CD57" s="17"/>
      <c r="CE57" s="17">
        <v>526</v>
      </c>
      <c r="CF57" s="17">
        <v>7</v>
      </c>
      <c r="CG57" s="17">
        <v>14</v>
      </c>
      <c r="CH57" s="171">
        <v>17</v>
      </c>
      <c r="CI57" s="17">
        <v>20</v>
      </c>
      <c r="CJ57" s="17">
        <v>35</v>
      </c>
      <c r="CK57" s="17">
        <v>39</v>
      </c>
      <c r="CL57" s="17">
        <v>31</v>
      </c>
      <c r="CM57" s="19">
        <f>SUM(CF57:CK57)-(45*2)</f>
        <v>42</v>
      </c>
      <c r="CN57" s="20">
        <f>SUM(CF57:CL57)-(45*3)</f>
        <v>28</v>
      </c>
      <c r="CO57" s="17"/>
      <c r="CP57" s="17">
        <f t="shared" si="65"/>
        <v>7</v>
      </c>
      <c r="CQ57" s="17">
        <f t="shared" si="65"/>
        <v>3</v>
      </c>
      <c r="CR57" s="17">
        <f t="shared" si="65"/>
        <v>3</v>
      </c>
      <c r="CS57" s="17">
        <f t="shared" si="65"/>
        <v>15</v>
      </c>
      <c r="CT57" s="17">
        <f t="shared" si="65"/>
        <v>4</v>
      </c>
      <c r="CU57" s="17">
        <f t="shared" si="65"/>
        <v>8</v>
      </c>
      <c r="CV57" s="17">
        <v>9</v>
      </c>
      <c r="CW57" s="17">
        <f>49-45</f>
        <v>4</v>
      </c>
      <c r="CX57" s="21"/>
      <c r="CY57" s="21"/>
      <c r="CZ57" s="21"/>
      <c r="DA57" s="21"/>
      <c r="DC57" s="21"/>
      <c r="DD57" s="21"/>
    </row>
    <row r="58" spans="1:129" s="23" customFormat="1" ht="17.25">
      <c r="A58" s="21"/>
      <c r="B58" s="53"/>
      <c r="C58" s="44">
        <v>527</v>
      </c>
      <c r="D58" s="108" t="s">
        <v>92</v>
      </c>
      <c r="E58" s="44">
        <v>5</v>
      </c>
      <c r="F58" s="44">
        <v>6</v>
      </c>
      <c r="G58" s="44">
        <v>1</v>
      </c>
      <c r="H58" s="17">
        <f>SUM(E58:F58)-(45*0)</f>
        <v>11</v>
      </c>
      <c r="I58" s="17">
        <v>14</v>
      </c>
      <c r="J58" s="34">
        <f>SUM(E58:I58)-(45*0)</f>
        <v>37</v>
      </c>
      <c r="K58" s="34">
        <f>SUM(E58:J58)-(45*1)</f>
        <v>29</v>
      </c>
      <c r="L58" s="34">
        <f>SUM(E58:K58)-(45*2)</f>
        <v>13</v>
      </c>
      <c r="M58" s="34">
        <f>SUM(E58:L58)-(45*2)</f>
        <v>26</v>
      </c>
      <c r="N58" s="34">
        <f>SUM(E58:M58)-(45*3)</f>
        <v>7</v>
      </c>
      <c r="O58" s="34">
        <f>SUM(E58:N58)-(45*3)</f>
        <v>14</v>
      </c>
      <c r="P58" s="34">
        <f>SUM(E58:O58)-(45*3)</f>
        <v>28</v>
      </c>
      <c r="Q58" s="34">
        <f>SUM(E58:P58)-(45*4)</f>
        <v>11</v>
      </c>
      <c r="R58" s="34">
        <f>SUM(E58:Q58)-(45*4)</f>
        <v>22</v>
      </c>
      <c r="S58" s="34">
        <f>SUM(E58:R58)-(45*4)</f>
        <v>44</v>
      </c>
      <c r="T58" s="34">
        <f>SUM(E58:S58)-(45*5)</f>
        <v>43</v>
      </c>
      <c r="U58" s="34">
        <f>SUM(E58:T58)-(45*6)</f>
        <v>41</v>
      </c>
      <c r="V58" s="34">
        <f>SUM(F58:U58)-(45*7)</f>
        <v>32</v>
      </c>
      <c r="W58" s="34">
        <f>SUM(G58:V58)-(45*8)</f>
        <v>13</v>
      </c>
      <c r="X58" s="34">
        <f>SUM(H58:W58)-(45*8)</f>
        <v>25</v>
      </c>
      <c r="Y58" s="34">
        <f>SUM(I58:X58)-(45*8)</f>
        <v>39</v>
      </c>
      <c r="Z58" s="34">
        <f>SUM(J58:Y58)-(45*9)</f>
        <v>19</v>
      </c>
      <c r="AA58" s="34">
        <f>SUM(K58:Z58)-(45*9)</f>
        <v>1</v>
      </c>
      <c r="AB58" s="34">
        <f>SUM(L58:AA58)-(45*8)</f>
        <v>18</v>
      </c>
      <c r="AC58" s="34">
        <f>SUM(M58:AB58)-(45*8)</f>
        <v>23</v>
      </c>
      <c r="AD58" s="34">
        <f>SUM(N58:AC58)-(45*8)</f>
        <v>20</v>
      </c>
      <c r="AE58" s="34">
        <f>SUM(O58:AD58)-(45*8)</f>
        <v>33</v>
      </c>
      <c r="AF58" s="34">
        <f>SUM(P58:AE58)-(45*9)</f>
        <v>7</v>
      </c>
      <c r="AG58" s="34">
        <f>SUM(Q58:AF58)-(45*8)</f>
        <v>31</v>
      </c>
      <c r="AH58" s="34">
        <f>SUM(R58:AG58)-(45*9)</f>
        <v>6</v>
      </c>
      <c r="AI58" s="34">
        <f>SUM(S58:AH58)-(45*8)</f>
        <v>35</v>
      </c>
      <c r="AJ58" s="34">
        <f>SUM(T58:AI58)-(45*8)</f>
        <v>26</v>
      </c>
      <c r="AK58" s="34">
        <f>SUM(U58:AJ58)-(45*8)</f>
        <v>9</v>
      </c>
      <c r="AL58" s="34">
        <f>SUM(V58:AK58)-(45*7)</f>
        <v>22</v>
      </c>
      <c r="AM58" s="34">
        <f>SUM(W58:AL58)-(45*7)</f>
        <v>12</v>
      </c>
      <c r="AN58" s="34">
        <f>SUM(X58:AM58)-(45*7)</f>
        <v>11</v>
      </c>
      <c r="AO58" s="34">
        <f>SUM(Y58:AN58)-(45*6)</f>
        <v>42</v>
      </c>
      <c r="AP58" s="34">
        <f>SUM(Z58:AO58)-(45*6)</f>
        <v>45</v>
      </c>
      <c r="AQ58" s="34">
        <f>SUM(AA58:AP58)-(45*7)</f>
        <v>26</v>
      </c>
      <c r="AR58" s="34">
        <f>SUM(AB58:AQ58)-(45*8)</f>
        <v>6</v>
      </c>
      <c r="AS58" s="34">
        <f>SUM(AC58:AR58)-(45*7)</f>
        <v>39</v>
      </c>
      <c r="AT58" s="34">
        <f>SUM(AD58:AS58)-(45*8)</f>
        <v>10</v>
      </c>
      <c r="AU58" s="34">
        <f>SUM(AE58:AT58)-(45*7)</f>
        <v>45</v>
      </c>
      <c r="AV58" s="34">
        <f>SUM(AF58:AU58)-(45*8)</f>
        <v>12</v>
      </c>
      <c r="AW58" s="34">
        <f>SUM(AG58:AV58)-(45*8)</f>
        <v>17</v>
      </c>
      <c r="AX58" s="34">
        <f>SUM(AH58:AW58)-(45*8)</f>
        <v>3</v>
      </c>
      <c r="AY58" s="34">
        <f>SUM(AI58:AX58)-(45*7)</f>
        <v>45</v>
      </c>
      <c r="AZ58" s="34">
        <f>SUM(AJ58:AY58)-(45*8)</f>
        <v>10</v>
      </c>
      <c r="BA58" s="34">
        <f>SUM(AK58:AZ58)-(45*7)</f>
        <v>39</v>
      </c>
      <c r="BB58" s="34">
        <f>SUM(AL58:BA58)-(45*8)</f>
        <v>24</v>
      </c>
      <c r="BC58" s="34">
        <f>SUM(AM58:BB58)-(45*8)</f>
        <v>26</v>
      </c>
      <c r="BD58" s="34">
        <f>SUM(AN58:BC58)-(45*8)</f>
        <v>40</v>
      </c>
      <c r="BE58" s="34">
        <f>SUM(AO58:BD58)-(45*9)</f>
        <v>24</v>
      </c>
      <c r="BF58" s="34">
        <f>SUM(AP58:BE58)-(45*9)</f>
        <v>6</v>
      </c>
      <c r="BG58" s="34">
        <f>SUM(AQ58:BF58)-(45*8)</f>
        <v>12</v>
      </c>
      <c r="BH58" s="34">
        <f>SUM(AR58:BG58)-(45*7)</f>
        <v>43</v>
      </c>
      <c r="BI58" s="34">
        <f>SUM(AS58:BH58)-(45*8)</f>
        <v>35</v>
      </c>
      <c r="BJ58" s="34">
        <f>SUM(AT58:BI58)-(45*8)</f>
        <v>31</v>
      </c>
      <c r="BK58" s="34">
        <f>SUM(AU58:BJ58)-(45*9)</f>
        <v>7</v>
      </c>
      <c r="BL58" s="34">
        <f t="shared" si="70"/>
        <v>14</v>
      </c>
      <c r="BM58" s="34">
        <f t="shared" si="70"/>
        <v>16</v>
      </c>
      <c r="BN58" s="34">
        <f>SUM(AX58:BM58)-(45*8)</f>
        <v>15</v>
      </c>
      <c r="BO58" s="34">
        <f>SUM(AY58:BN58)-(45*8)</f>
        <v>27</v>
      </c>
      <c r="BP58" s="34">
        <f>SUM(AZ58:BO58)-(45*8)</f>
        <v>9</v>
      </c>
      <c r="BQ58" s="34">
        <f>SUM(BA58:BP58)-(45*8)</f>
        <v>8</v>
      </c>
      <c r="BR58" s="34">
        <f>SUM(BB58:BQ58)-(45*7)</f>
        <v>22</v>
      </c>
      <c r="BS58" s="34">
        <f>SUM(BC58:BR58)-(45*7)</f>
        <v>20</v>
      </c>
      <c r="BT58" s="34">
        <f>SUM(BD58:BS58)-(45*7)</f>
        <v>14</v>
      </c>
      <c r="BU58" s="34">
        <f>SUM(BE58:BT58)-(45*6)</f>
        <v>33</v>
      </c>
      <c r="BV58" s="34">
        <f>SUM(BF58:BU58)-(45*6)</f>
        <v>42</v>
      </c>
      <c r="BW58" s="17"/>
      <c r="BX58" s="190"/>
      <c r="BY58" s="17"/>
      <c r="BZ58" s="44"/>
      <c r="CA58" s="17"/>
      <c r="CB58" s="17"/>
      <c r="CC58" s="17"/>
      <c r="CD58" s="17"/>
      <c r="CE58" s="17">
        <v>527</v>
      </c>
      <c r="CF58" s="17">
        <v>1</v>
      </c>
      <c r="CG58" s="17">
        <v>12</v>
      </c>
      <c r="CH58" s="17">
        <v>22</v>
      </c>
      <c r="CI58" s="17">
        <v>32</v>
      </c>
      <c r="CJ58" s="17">
        <v>33</v>
      </c>
      <c r="CK58" s="17">
        <v>42</v>
      </c>
      <c r="CL58" s="17">
        <v>38</v>
      </c>
      <c r="CM58" s="19">
        <f>SUM(CF58:CK58)-(45*3)</f>
        <v>7</v>
      </c>
      <c r="CN58" s="20">
        <f>SUM(CF58:CL58)-(45*3)</f>
        <v>45</v>
      </c>
      <c r="CO58" s="17"/>
      <c r="CP58" s="17">
        <f t="shared" si="65"/>
        <v>11</v>
      </c>
      <c r="CQ58" s="17">
        <f t="shared" si="65"/>
        <v>10</v>
      </c>
      <c r="CR58" s="17">
        <f t="shared" si="65"/>
        <v>10</v>
      </c>
      <c r="CS58" s="17">
        <f t="shared" si="65"/>
        <v>1</v>
      </c>
      <c r="CT58" s="17">
        <f t="shared" si="65"/>
        <v>9</v>
      </c>
      <c r="CU58" s="17">
        <f t="shared" si="65"/>
        <v>4</v>
      </c>
      <c r="CV58" s="17">
        <v>13</v>
      </c>
      <c r="CW58" s="17">
        <v>29</v>
      </c>
      <c r="CX58" s="21"/>
      <c r="CY58" s="21"/>
      <c r="CZ58" s="21"/>
      <c r="DA58" s="21"/>
      <c r="DC58" s="21" t="s">
        <v>149</v>
      </c>
      <c r="DD58" s="21" t="s">
        <v>147</v>
      </c>
      <c r="DE58" s="21" t="s">
        <v>148</v>
      </c>
      <c r="DF58" s="21" t="s">
        <v>149</v>
      </c>
      <c r="DG58" s="21" t="s">
        <v>147</v>
      </c>
      <c r="DH58" s="21" t="s">
        <v>150</v>
      </c>
      <c r="DI58" s="21" t="s">
        <v>147</v>
      </c>
      <c r="DJ58" s="21" t="s">
        <v>153</v>
      </c>
    </row>
    <row r="59" spans="1:129" s="23" customFormat="1" ht="17.25">
      <c r="A59" s="21"/>
      <c r="B59" s="53"/>
      <c r="C59" s="44">
        <v>528</v>
      </c>
      <c r="D59" s="108" t="s">
        <v>93</v>
      </c>
      <c r="E59" s="44">
        <v>12</v>
      </c>
      <c r="F59" s="44">
        <v>13</v>
      </c>
      <c r="G59" s="44">
        <v>2</v>
      </c>
      <c r="H59" s="17">
        <f>SUM(E59:F59)-(45*0)</f>
        <v>25</v>
      </c>
      <c r="I59" s="17">
        <v>15</v>
      </c>
      <c r="J59" s="34">
        <f>SUM(E59:I59)-(45*1)</f>
        <v>22</v>
      </c>
      <c r="K59" s="34">
        <f>SUM(E59:J59)-(45*1)</f>
        <v>44</v>
      </c>
      <c r="L59" s="34">
        <f>SUM(E59:K59)-(45*2)</f>
        <v>43</v>
      </c>
      <c r="M59" s="34">
        <f>SUM(E59:L59)-(45*3)</f>
        <v>41</v>
      </c>
      <c r="N59" s="34">
        <f>SUM(E59:M59)-(45*4)</f>
        <v>37</v>
      </c>
      <c r="O59" s="34">
        <f>SUM(E59:N59)-(45*5)</f>
        <v>29</v>
      </c>
      <c r="P59" s="34">
        <f>SUM(E59:O59)-(45*6)</f>
        <v>13</v>
      </c>
      <c r="Q59" s="34">
        <f>SUM(E59:P59)-(45*6)</f>
        <v>26</v>
      </c>
      <c r="R59" s="34">
        <f>SUM(E59:Q59)-(45*7)</f>
        <v>7</v>
      </c>
      <c r="S59" s="34">
        <f>SUM(E59:R59)-(45*7)</f>
        <v>14</v>
      </c>
      <c r="T59" s="34">
        <f>SUM(E59:S59)-(45*7)</f>
        <v>28</v>
      </c>
      <c r="U59" s="34">
        <f>SUM(E59:T59)-(45*8)</f>
        <v>11</v>
      </c>
      <c r="V59" s="34">
        <f>SUM(F59:U59)-(45*8)</f>
        <v>10</v>
      </c>
      <c r="W59" s="34">
        <f>SUM(G59:V59)-(45*8)</f>
        <v>7</v>
      </c>
      <c r="X59" s="34">
        <f>SUM(H59:W59)-(45*8)</f>
        <v>12</v>
      </c>
      <c r="Y59" s="34">
        <f>SUM(I59:X59)-(45*7)</f>
        <v>44</v>
      </c>
      <c r="Z59" s="34">
        <f>SUM(J59:Y59)-(45*8)</f>
        <v>28</v>
      </c>
      <c r="AA59" s="34">
        <f>SUM(K59:Z59)-(45*8)</f>
        <v>34</v>
      </c>
      <c r="AB59" s="34">
        <f>SUM(L59:AA59)-(45*8)</f>
        <v>24</v>
      </c>
      <c r="AC59" s="34">
        <f>SUM(M59:AB59)-(45*8)</f>
        <v>5</v>
      </c>
      <c r="AD59" s="34">
        <f>SUM(N59:AC59)-(45*7)</f>
        <v>14</v>
      </c>
      <c r="AE59" s="34">
        <f>SUM(O59:AD59)-(45*6)</f>
        <v>36</v>
      </c>
      <c r="AF59" s="34">
        <f>SUM(P59:AE59)-(45*6)</f>
        <v>43</v>
      </c>
      <c r="AG59" s="34">
        <f>SUM(Q59:AF59)-(45*7)</f>
        <v>28</v>
      </c>
      <c r="AH59" s="34">
        <f>SUM(R59:AG59)-(45*7)</f>
        <v>30</v>
      </c>
      <c r="AI59" s="34">
        <f>SUM(S59:AH59)-(45*8)</f>
        <v>8</v>
      </c>
      <c r="AJ59" s="34">
        <f>SUM(T59:AI59)-(45*8)</f>
        <v>2</v>
      </c>
      <c r="AK59" s="34">
        <f>SUM(U59:AJ59)-(45*7)</f>
        <v>21</v>
      </c>
      <c r="AL59" s="34">
        <f>SUM(V59:AK59)-(45*7)</f>
        <v>31</v>
      </c>
      <c r="AM59" s="34">
        <f>SUM(W59:AL59)-(45*8)</f>
        <v>7</v>
      </c>
      <c r="AN59" s="34">
        <f>SUM(X59:AM59)-(45*8)</f>
        <v>7</v>
      </c>
      <c r="AO59" s="34">
        <f>SUM(Y59:AN59)-(45*8)</f>
        <v>2</v>
      </c>
      <c r="AP59" s="34">
        <f>SUM(Z59:AO59)-(45*7)</f>
        <v>5</v>
      </c>
      <c r="AQ59" s="34">
        <f t="shared" ref="AQ59:AW59" si="71">SUM(AA59:AP59)-(45*6)</f>
        <v>27</v>
      </c>
      <c r="AR59" s="34">
        <f t="shared" si="71"/>
        <v>20</v>
      </c>
      <c r="AS59" s="34">
        <f t="shared" si="71"/>
        <v>16</v>
      </c>
      <c r="AT59" s="34">
        <f t="shared" si="71"/>
        <v>27</v>
      </c>
      <c r="AU59" s="34">
        <f t="shared" si="71"/>
        <v>40</v>
      </c>
      <c r="AV59" s="34">
        <f t="shared" si="71"/>
        <v>44</v>
      </c>
      <c r="AW59" s="34">
        <f t="shared" si="71"/>
        <v>45</v>
      </c>
      <c r="AX59" s="34">
        <f>SUM(AH59:AW59)-(45*7)</f>
        <v>17</v>
      </c>
      <c r="AY59" s="34">
        <f>SUM(AI59:AX59)-(45*7)</f>
        <v>4</v>
      </c>
      <c r="AZ59" s="34">
        <f>SUM(AJ59:AY59)-(45*6)</f>
        <v>45</v>
      </c>
      <c r="BA59" s="34">
        <f>SUM(AK59:AZ59)-(45*7)</f>
        <v>43</v>
      </c>
      <c r="BB59" s="34">
        <f>SUM(AL59:BA59)-(45*8)</f>
        <v>20</v>
      </c>
      <c r="BC59" s="34">
        <f>SUM(AM59:BB59)-(45*8)</f>
        <v>9</v>
      </c>
      <c r="BD59" s="34">
        <f>SUM(AN59:BC59)-(45*8)</f>
        <v>11</v>
      </c>
      <c r="BE59" s="34">
        <f>SUM(AO59:BD59)-(45*8)</f>
        <v>15</v>
      </c>
      <c r="BF59" s="34">
        <f>SUM(AP59:BE59)-(45*8)</f>
        <v>28</v>
      </c>
      <c r="BG59" s="34">
        <f>SUM(AQ59:BF59)-(45*9)</f>
        <v>6</v>
      </c>
      <c r="BH59" s="34">
        <f>SUM(AR59:BG59)-(45*8)</f>
        <v>30</v>
      </c>
      <c r="BI59" s="34">
        <f>SUM(AS59:BH59)-(45*8)</f>
        <v>40</v>
      </c>
      <c r="BJ59" s="34">
        <f>SUM(AT59:BI59)-(45*9)</f>
        <v>19</v>
      </c>
      <c r="BK59" s="34">
        <f>SUM(AU59:BJ59)-(45*9)</f>
        <v>11</v>
      </c>
      <c r="BL59" s="34">
        <f t="shared" si="70"/>
        <v>27</v>
      </c>
      <c r="BM59" s="34">
        <f t="shared" si="70"/>
        <v>10</v>
      </c>
      <c r="BN59" s="34">
        <f t="shared" ref="BN59:BQ60" si="72">SUM(AX59:BM59)-(45*7)</f>
        <v>20</v>
      </c>
      <c r="BO59" s="34">
        <f t="shared" si="72"/>
        <v>23</v>
      </c>
      <c r="BP59" s="34">
        <f t="shared" si="72"/>
        <v>42</v>
      </c>
      <c r="BQ59" s="34">
        <f t="shared" si="72"/>
        <v>39</v>
      </c>
      <c r="BR59" s="34">
        <f>SUM(BB59:BQ59)-(45*7)</f>
        <v>35</v>
      </c>
      <c r="BS59" s="34">
        <f>SUM(BC59:BR59)-(45*8)</f>
        <v>5</v>
      </c>
      <c r="BT59" s="34">
        <f>SUM(BD59:BS59)-(45*8)</f>
        <v>1</v>
      </c>
      <c r="BU59" s="34">
        <f>SUM(BE59:BT59)-(45*7)</f>
        <v>36</v>
      </c>
      <c r="BV59" s="34">
        <f>SUM(BF59:BU59)-(45*8)</f>
        <v>12</v>
      </c>
      <c r="BW59" s="21"/>
      <c r="BX59" s="190"/>
      <c r="BY59" s="21"/>
      <c r="BZ59" s="21"/>
      <c r="CA59" s="21"/>
      <c r="CB59" s="21"/>
      <c r="CC59" s="21"/>
      <c r="CD59" s="21"/>
      <c r="CE59" s="17">
        <v>528</v>
      </c>
      <c r="CF59" s="17">
        <v>5</v>
      </c>
      <c r="CG59" s="17">
        <v>17</v>
      </c>
      <c r="CH59" s="17">
        <v>25</v>
      </c>
      <c r="CI59" s="17">
        <v>31</v>
      </c>
      <c r="CJ59" s="17">
        <v>39</v>
      </c>
      <c r="CK59" s="17">
        <v>40</v>
      </c>
      <c r="CL59" s="17">
        <v>10</v>
      </c>
      <c r="CM59" s="19">
        <f>SUM(CF59:CK59)-(45*3)</f>
        <v>22</v>
      </c>
      <c r="CN59" s="20">
        <f>SUM(CF59:CL59)-(45*3)</f>
        <v>32</v>
      </c>
      <c r="CO59" s="17"/>
      <c r="CP59" s="17">
        <f t="shared" si="65"/>
        <v>12</v>
      </c>
      <c r="CQ59" s="17">
        <f t="shared" si="65"/>
        <v>8</v>
      </c>
      <c r="CR59" s="17">
        <f t="shared" si="65"/>
        <v>6</v>
      </c>
      <c r="CS59" s="17">
        <f t="shared" si="65"/>
        <v>8</v>
      </c>
      <c r="CT59" s="17">
        <f t="shared" si="65"/>
        <v>1</v>
      </c>
      <c r="CU59" s="17">
        <f t="shared" si="65"/>
        <v>30</v>
      </c>
      <c r="CV59" s="17">
        <v>11</v>
      </c>
      <c r="CW59" s="17">
        <f>86-45</f>
        <v>41</v>
      </c>
      <c r="CX59" s="21"/>
      <c r="CY59" s="172"/>
      <c r="CZ59" s="21"/>
      <c r="DA59" s="172"/>
      <c r="DB59" s="172" t="s">
        <v>118</v>
      </c>
      <c r="DC59" s="172" t="s">
        <v>111</v>
      </c>
      <c r="DD59" s="172" t="s">
        <v>112</v>
      </c>
      <c r="DE59" s="172" t="s">
        <v>113</v>
      </c>
      <c r="DF59" s="172" t="s">
        <v>114</v>
      </c>
      <c r="DG59" s="172" t="s">
        <v>120</v>
      </c>
      <c r="DH59" s="172" t="s">
        <v>122</v>
      </c>
      <c r="DI59" s="172" t="s">
        <v>129</v>
      </c>
      <c r="DJ59" s="172" t="s">
        <v>152</v>
      </c>
    </row>
    <row r="60" spans="1:129" s="23" customFormat="1" ht="17.25">
      <c r="A60" s="21"/>
      <c r="B60" s="53"/>
      <c r="C60" s="44">
        <v>529</v>
      </c>
      <c r="D60" s="108" t="s">
        <v>94</v>
      </c>
      <c r="E60" s="44">
        <v>19</v>
      </c>
      <c r="F60" s="44">
        <v>20</v>
      </c>
      <c r="G60" s="44">
        <v>3</v>
      </c>
      <c r="H60" s="17">
        <f>SUM(E60:F60)-(45*0)</f>
        <v>39</v>
      </c>
      <c r="I60" s="17">
        <v>16</v>
      </c>
      <c r="J60" s="34">
        <f>SUM(E60:I60)-(45*2)</f>
        <v>7</v>
      </c>
      <c r="K60" s="34">
        <f>SUM(E60:J60)-(45*2)</f>
        <v>14</v>
      </c>
      <c r="L60" s="34">
        <f>SUM(E60:K60)-(45*2)</f>
        <v>28</v>
      </c>
      <c r="M60" s="34">
        <f>SUM(E60:L60)-(45*3)</f>
        <v>11</v>
      </c>
      <c r="N60" s="34">
        <f>SUM(E60:M60)-(45*3)</f>
        <v>22</v>
      </c>
      <c r="O60" s="34">
        <f>SUM(E60:N60)-(45*3)</f>
        <v>44</v>
      </c>
      <c r="P60" s="34">
        <f>SUM(E60:O60)-(45*4)</f>
        <v>43</v>
      </c>
      <c r="Q60" s="34">
        <f>SUM(E60:P60)-(45*5)</f>
        <v>41</v>
      </c>
      <c r="R60" s="34">
        <f>SUM(E60:Q60)-(45*6)</f>
        <v>37</v>
      </c>
      <c r="S60" s="34">
        <f>SUM(E60:R60)-(45*7)</f>
        <v>29</v>
      </c>
      <c r="T60" s="34">
        <f>SUM(E60:S60)-(45*8)</f>
        <v>13</v>
      </c>
      <c r="U60" s="34">
        <f>SUM(E60:T60)-(45*8)</f>
        <v>26</v>
      </c>
      <c r="V60" s="34">
        <f>SUM(F60:U60)-(45*8)</f>
        <v>33</v>
      </c>
      <c r="W60" s="34">
        <f>SUM(G60:V60)-(45*9)</f>
        <v>1</v>
      </c>
      <c r="X60" s="34">
        <f>SUM(H60:W60)-(45*8)</f>
        <v>44</v>
      </c>
      <c r="Y60" s="34">
        <f>SUM(I60:X60)-(45*9)</f>
        <v>4</v>
      </c>
      <c r="Z60" s="34">
        <f>SUM(J60:Y60)-(45*8)</f>
        <v>37</v>
      </c>
      <c r="AA60" s="34">
        <f>SUM(K60:Z60)-(45*9)</f>
        <v>22</v>
      </c>
      <c r="AB60" s="34">
        <f>SUM(L60:AA60)-(45*9)</f>
        <v>30</v>
      </c>
      <c r="AC60" s="34">
        <f>SUM(M60:AB60)-(45*9)</f>
        <v>32</v>
      </c>
      <c r="AD60" s="34">
        <f>SUM(N60:AC60)-(45*10)</f>
        <v>8</v>
      </c>
      <c r="AE60" s="34">
        <f>SUM(O60:AD60)-(45*9)</f>
        <v>39</v>
      </c>
      <c r="AF60" s="34">
        <f>SUM(P60:AE60)-(45*9)</f>
        <v>34</v>
      </c>
      <c r="AG60" s="34">
        <f>SUM(Q60:AF60)-(45*9)</f>
        <v>25</v>
      </c>
      <c r="AH60" s="34">
        <f>SUM(R60:AG60)-(45*9)</f>
        <v>9</v>
      </c>
      <c r="AI60" s="34">
        <f>SUM(S60:AH60)-(45*8)</f>
        <v>26</v>
      </c>
      <c r="AJ60" s="34">
        <f>SUM(T60:AI60)-(45*8)</f>
        <v>23</v>
      </c>
      <c r="AK60" s="34">
        <f>SUM(U60:AJ60)-(45*8)</f>
        <v>33</v>
      </c>
      <c r="AL60" s="34">
        <f>SUM(V60:AK60)-(45*8)</f>
        <v>40</v>
      </c>
      <c r="AM60" s="34">
        <f>SUM(W60:AL60)-(45*9)</f>
        <v>2</v>
      </c>
      <c r="AN60" s="34">
        <f>SUM(X60:AM60)-(45*9)</f>
        <v>3</v>
      </c>
      <c r="AO60" s="34">
        <f>SUM(Y60:AN60)-(45*8)</f>
        <v>7</v>
      </c>
      <c r="AP60" s="34">
        <f>SUM(Z60:AO60)-(45*8)</f>
        <v>10</v>
      </c>
      <c r="AQ60" s="34">
        <f>SUM(AA60:AP60)-(45*7)</f>
        <v>28</v>
      </c>
      <c r="AR60" s="34">
        <f>SUM(AB60:AQ60)-(45*7)</f>
        <v>34</v>
      </c>
      <c r="AS60" s="34">
        <f>SUM(AC60:AR60)-(45*7)</f>
        <v>38</v>
      </c>
      <c r="AT60" s="34">
        <f>SUM(AD60:AS60)-(45*7)</f>
        <v>44</v>
      </c>
      <c r="AU60" s="34">
        <f>SUM(AE60:AT60)-(45*8)</f>
        <v>35</v>
      </c>
      <c r="AV60" s="34">
        <f>SUM(AF60:AU60)-(45*8)</f>
        <v>31</v>
      </c>
      <c r="AW60" s="34">
        <f>SUM(AG60:AV60)-(45*8)</f>
        <v>28</v>
      </c>
      <c r="AX60" s="34">
        <f>SUM(AH60:AW60)-(45*8)</f>
        <v>31</v>
      </c>
      <c r="AY60" s="34">
        <f>SUM(AI60:AX60)-(45*9)</f>
        <v>8</v>
      </c>
      <c r="AZ60" s="34">
        <f>SUM(AJ60:AY60)-(45*8)</f>
        <v>35</v>
      </c>
      <c r="BA60" s="34">
        <f>SUM(AK60:AZ60)-(45*9)</f>
        <v>2</v>
      </c>
      <c r="BB60" s="34">
        <f>SUM(AL60:BA60)-(45*8)</f>
        <v>16</v>
      </c>
      <c r="BC60" s="34">
        <f>SUM(AM60:BB60)-(45*7)</f>
        <v>37</v>
      </c>
      <c r="BD60" s="34">
        <f>SUM(AN60:BC60)-(45*8)</f>
        <v>27</v>
      </c>
      <c r="BE60" s="34">
        <f>SUM(AO60:BD60)-(45*9)</f>
        <v>6</v>
      </c>
      <c r="BF60" s="34">
        <f>SUM(AP60:BE60)-(45*9)</f>
        <v>5</v>
      </c>
      <c r="BG60" s="34">
        <f>SUM(AQ60:BF60)-(45*8)</f>
        <v>45</v>
      </c>
      <c r="BH60" s="34">
        <f>SUM(AR60:BG60)-(45*9)</f>
        <v>17</v>
      </c>
      <c r="BI60" s="34">
        <f>SUM(AS60:BH60)-(45*8)</f>
        <v>45</v>
      </c>
      <c r="BJ60" s="34">
        <f>SUM(AT60:BI60)-(45*9)</f>
        <v>7</v>
      </c>
      <c r="BK60" s="34">
        <f>SUM(AU60:BJ60)-(45*8)</f>
        <v>15</v>
      </c>
      <c r="BL60" s="34">
        <f>SUM(AV60:BK60)-(45*7)</f>
        <v>40</v>
      </c>
      <c r="BM60" s="34">
        <f>SUM(AW60:BL60)-(45*8)</f>
        <v>4</v>
      </c>
      <c r="BN60" s="34">
        <f t="shared" si="72"/>
        <v>25</v>
      </c>
      <c r="BO60" s="34">
        <f t="shared" si="72"/>
        <v>19</v>
      </c>
      <c r="BP60" s="34">
        <f t="shared" si="72"/>
        <v>30</v>
      </c>
      <c r="BQ60" s="34">
        <f t="shared" si="72"/>
        <v>25</v>
      </c>
      <c r="BR60" s="34">
        <f>SUM(BB60:BQ60)-(45*8)</f>
        <v>3</v>
      </c>
      <c r="BS60" s="34">
        <f>SUM(BC60:BR60)-(45*7)</f>
        <v>35</v>
      </c>
      <c r="BT60" s="34">
        <f>SUM(BD60:BS60)-(45*7)</f>
        <v>33</v>
      </c>
      <c r="BU60" s="34">
        <f>SUM(BE60:BT60)-(45*7)</f>
        <v>39</v>
      </c>
      <c r="BV60" s="34">
        <f>SUM(BF60:BU60)-(45*8)</f>
        <v>27</v>
      </c>
      <c r="BW60" s="21"/>
      <c r="BX60" s="190"/>
      <c r="BY60" s="21"/>
      <c r="BZ60" s="21"/>
      <c r="CA60" s="21"/>
      <c r="CB60" s="21"/>
      <c r="CC60" s="21"/>
      <c r="CD60" s="21"/>
      <c r="CE60" s="17">
        <v>529</v>
      </c>
      <c r="CF60" s="17">
        <v>18</v>
      </c>
      <c r="CG60" s="17">
        <v>20</v>
      </c>
      <c r="CH60" s="17">
        <v>24</v>
      </c>
      <c r="CI60" s="17">
        <v>27</v>
      </c>
      <c r="CJ60" s="17">
        <v>31</v>
      </c>
      <c r="CK60" s="17">
        <v>42</v>
      </c>
      <c r="CL60" s="17">
        <v>39</v>
      </c>
      <c r="CM60" s="19">
        <f>SUM(CF60:CK60)-(45*3)</f>
        <v>27</v>
      </c>
      <c r="CN60" s="20">
        <f>SUM(CF60:CL60)-(45*4)</f>
        <v>21</v>
      </c>
      <c r="CO60" s="21"/>
      <c r="CP60" s="17">
        <f t="shared" si="65"/>
        <v>2</v>
      </c>
      <c r="CQ60" s="17">
        <f>ABS(CG60-CH60)</f>
        <v>4</v>
      </c>
      <c r="CR60" s="17">
        <f>ABS(CH60-CI60)</f>
        <v>3</v>
      </c>
      <c r="CS60" s="17">
        <f>ABS(CI60-CJ60)</f>
        <v>4</v>
      </c>
      <c r="CT60" s="17">
        <f>ABS(CJ60-CK60)</f>
        <v>11</v>
      </c>
      <c r="CU60" s="17">
        <f>ABS(CK60-CL60)</f>
        <v>3</v>
      </c>
      <c r="CV60" s="17">
        <v>8</v>
      </c>
      <c r="CW60" s="17">
        <v>33</v>
      </c>
      <c r="CX60" s="21"/>
      <c r="CY60" s="21"/>
      <c r="CZ60" s="21"/>
      <c r="DA60" s="30"/>
      <c r="DB60" s="21"/>
      <c r="DC60" s="21">
        <v>2</v>
      </c>
      <c r="DD60" s="21">
        <v>1</v>
      </c>
      <c r="DE60" s="60">
        <v>1</v>
      </c>
      <c r="DF60" s="21">
        <v>1</v>
      </c>
      <c r="DG60" s="60">
        <v>1</v>
      </c>
      <c r="DH60" s="21">
        <v>1</v>
      </c>
      <c r="DI60" s="21">
        <v>1</v>
      </c>
      <c r="DJ60" s="30">
        <v>1</v>
      </c>
    </row>
    <row r="61" spans="1:129" s="23" customFormat="1" ht="17.25">
      <c r="A61" s="21"/>
      <c r="B61" s="53"/>
      <c r="C61" s="44">
        <v>530</v>
      </c>
      <c r="D61" s="108" t="s">
        <v>106</v>
      </c>
      <c r="E61" s="44">
        <v>26</v>
      </c>
      <c r="F61" s="44">
        <v>27</v>
      </c>
      <c r="G61" s="44">
        <v>4</v>
      </c>
      <c r="H61" s="17">
        <f>SUM(E61:F61)-(45*1)</f>
        <v>8</v>
      </c>
      <c r="I61" s="17">
        <v>8</v>
      </c>
      <c r="J61" s="34">
        <f>SUM(E61:I61)-(45*1)</f>
        <v>28</v>
      </c>
      <c r="K61" s="34">
        <f>SUM(E61:J61)-(45*2)</f>
        <v>11</v>
      </c>
      <c r="L61" s="34">
        <f>SUM(E61:K61)-(45*2)</f>
        <v>22</v>
      </c>
      <c r="M61" s="34">
        <f>SUM(E61:L61)-(45*2)</f>
        <v>44</v>
      </c>
      <c r="N61" s="34">
        <f>SUM(E61:M61)-(45*3)</f>
        <v>43</v>
      </c>
      <c r="O61" s="34">
        <f>SUM(E61:N61)-(45*4)</f>
        <v>41</v>
      </c>
      <c r="P61" s="34">
        <f>SUM(E61:O61)-(45*5)</f>
        <v>37</v>
      </c>
      <c r="Q61" s="34">
        <f>SUM(E61:P61)-(45*6)</f>
        <v>29</v>
      </c>
      <c r="R61" s="34">
        <f>SUM(E61:Q61)-(45*7)</f>
        <v>13</v>
      </c>
      <c r="S61" s="34">
        <f>SUM(E61:R61)-(45*7)</f>
        <v>26</v>
      </c>
      <c r="T61" s="34">
        <f>SUM(E61:S61)-(45*8)</f>
        <v>7</v>
      </c>
      <c r="U61" s="34">
        <f>SUM(E61:T61)-(45*8)</f>
        <v>14</v>
      </c>
      <c r="V61" s="34">
        <f>SUM(F61:U61)-(45*8)</f>
        <v>2</v>
      </c>
      <c r="W61" s="34">
        <f>SUM(G61:V61)-(45*7)</f>
        <v>22</v>
      </c>
      <c r="X61" s="34">
        <f>SUM(H61:W61)-(45*7)</f>
        <v>40</v>
      </c>
      <c r="Y61" s="34">
        <f>SUM(I61:X61)-(45*8)</f>
        <v>27</v>
      </c>
      <c r="Z61" s="34">
        <f>SUM(J61:Y61)-(45*9)</f>
        <v>1</v>
      </c>
      <c r="AA61" s="34">
        <f>SUM(K61:Z61)-(45*8)</f>
        <v>19</v>
      </c>
      <c r="AB61" s="34">
        <f>SUM(L61:AA61)-(45*8)</f>
        <v>27</v>
      </c>
      <c r="AC61" s="34">
        <f>SUM(M61:AB61)-(45*8)</f>
        <v>32</v>
      </c>
      <c r="AD61" s="34">
        <f>SUM(N61:AC61)-(45*8)</f>
        <v>20</v>
      </c>
      <c r="AE61" s="34">
        <f>SUM(O61:AD61)-(45*7)</f>
        <v>42</v>
      </c>
      <c r="AF61" s="34">
        <f>SUM(P61:AE61)-(45*7)</f>
        <v>43</v>
      </c>
      <c r="AG61" s="34">
        <f>SUM(Q61:AF61)-(45*8)</f>
        <v>4</v>
      </c>
      <c r="AH61" s="34">
        <f>SUM(R61:AG61)-(45*7)</f>
        <v>24</v>
      </c>
      <c r="AI61" s="34">
        <f>SUM(S61:AH61)-(45*7)</f>
        <v>35</v>
      </c>
      <c r="AJ61" s="34">
        <f>SUM(T61:AI61)-(45*7)</f>
        <v>44</v>
      </c>
      <c r="AK61" s="34">
        <f>SUM(U61:AJ61)-(45*8)</f>
        <v>36</v>
      </c>
      <c r="AL61" s="34">
        <f>SUM(V61:AK61)-(45*9)</f>
        <v>13</v>
      </c>
      <c r="AM61" s="34">
        <f>SUM(W61:AL61)-(45*9)</f>
        <v>24</v>
      </c>
      <c r="AN61" s="34">
        <f>SUM(X61:AM61)-(45*9)</f>
        <v>26</v>
      </c>
      <c r="AO61" s="34">
        <f>SUM(Y61:AN61)-(45*9)</f>
        <v>12</v>
      </c>
      <c r="AP61" s="34">
        <f>SUM(Z61:AO61)-(45*8)</f>
        <v>42</v>
      </c>
      <c r="AQ61" s="34">
        <f>SUM(AA61:AP61)-(45*9)</f>
        <v>38</v>
      </c>
      <c r="AR61" s="34">
        <f>SUM(AB61:AQ61)-(45*10)</f>
        <v>12</v>
      </c>
      <c r="AS61" s="34">
        <f>SUM(AC61:AR61)-(45*9)</f>
        <v>42</v>
      </c>
      <c r="AT61" s="34">
        <f>SUM(AD61:AS61)-(45*10)</f>
        <v>7</v>
      </c>
      <c r="AU61" s="34">
        <f>SUM(AE61:AT61)-(45*9)</f>
        <v>39</v>
      </c>
      <c r="AV61" s="34">
        <f>SUM(AF61:AU61)-(45*9)</f>
        <v>36</v>
      </c>
      <c r="AW61" s="34">
        <f>SUM(AG61:AV61)-(45*9)</f>
        <v>29</v>
      </c>
      <c r="AX61" s="34">
        <f>SUM(AH61:AW61)-(45*10)</f>
        <v>9</v>
      </c>
      <c r="AY61" s="34">
        <f>SUM(AI61:AX61)-(45*9)</f>
        <v>39</v>
      </c>
      <c r="AZ61" s="34">
        <f>SUM(AJ61:AY61)-(45*9)</f>
        <v>43</v>
      </c>
      <c r="BA61" s="34">
        <f>SUM(AK61:AZ61)-(45*9)</f>
        <v>42</v>
      </c>
      <c r="BB61" s="34">
        <f>SUM(AL61:BA61)-(45*10)</f>
        <v>3</v>
      </c>
      <c r="BC61" s="34">
        <f>SUM(AM61:BB61)-(45*9)</f>
        <v>38</v>
      </c>
      <c r="BD61" s="34">
        <f>SUM(AN61:BC61)-(45*10)</f>
        <v>7</v>
      </c>
      <c r="BE61" s="34">
        <f>SUM(AO61:BD61)-(45*9)</f>
        <v>33</v>
      </c>
      <c r="BF61" s="34">
        <f>SUM(AP61:BE61)-(45*10)</f>
        <v>9</v>
      </c>
      <c r="BG61" s="34">
        <f>SUM(AQ61:BF61)-(45*9)</f>
        <v>21</v>
      </c>
      <c r="BH61" s="34">
        <f>SUM(AR61:BG61)-(45*9)</f>
        <v>4</v>
      </c>
      <c r="BI61" s="34">
        <f>SUM(AS61:BH61)-(45*8)</f>
        <v>41</v>
      </c>
      <c r="BJ61" s="34">
        <f>SUM(AT61:BI61)-(45*8)</f>
        <v>40</v>
      </c>
      <c r="BK61" s="34">
        <f>SUM(AU61:BJ61)-(45*9)</f>
        <v>28</v>
      </c>
      <c r="BL61" s="34">
        <f>SUM(AV61:BK61)-(45*9)</f>
        <v>17</v>
      </c>
      <c r="BM61" s="34">
        <f>SUM(AW61:BL61)-(45*8)</f>
        <v>43</v>
      </c>
      <c r="BN61" s="34">
        <f>SUM(AX61:BM61)-(45*9)</f>
        <v>12</v>
      </c>
      <c r="BO61" s="34">
        <f>SUM(AY61:BN61)-(45*9)</f>
        <v>15</v>
      </c>
      <c r="BP61" s="34">
        <f>SUM(AZ61:BO61)-(45*8)</f>
        <v>36</v>
      </c>
      <c r="BQ61" s="34">
        <f>SUM(BA61:BP61)-(45*8)</f>
        <v>29</v>
      </c>
      <c r="BR61" s="34">
        <f>SUM(BB61:BQ61)-(45*8)</f>
        <v>16</v>
      </c>
      <c r="BS61" s="34">
        <f>SUM(BC61:BR61)-(45*8)</f>
        <v>29</v>
      </c>
      <c r="BT61" s="34">
        <f>SUM(BD61:BS61)-(45*8)</f>
        <v>20</v>
      </c>
      <c r="BU61" s="34">
        <f>SUM(BE61:BT61)-(45*8)</f>
        <v>33</v>
      </c>
      <c r="BV61" s="34">
        <f>SUM(BF61:BU61)-(45*8)</f>
        <v>33</v>
      </c>
      <c r="BW61" s="21"/>
      <c r="BX61" s="190"/>
      <c r="BY61" s="53"/>
      <c r="BZ61" s="53"/>
      <c r="CA61" s="53"/>
      <c r="CB61" s="21"/>
      <c r="CC61" s="21"/>
      <c r="CD61" s="21"/>
      <c r="CE61" s="17">
        <v>530</v>
      </c>
      <c r="CF61" s="17">
        <v>16</v>
      </c>
      <c r="CG61" s="17">
        <v>23</v>
      </c>
      <c r="CH61" s="17">
        <v>27</v>
      </c>
      <c r="CI61" s="17">
        <v>29</v>
      </c>
      <c r="CJ61" s="17">
        <v>33</v>
      </c>
      <c r="CK61" s="17">
        <v>41</v>
      </c>
      <c r="CL61" s="17">
        <v>22</v>
      </c>
      <c r="CM61" s="19">
        <f>SUM(CF61:CK61)-(45*3)</f>
        <v>34</v>
      </c>
      <c r="CN61" s="20">
        <f>SUM(CF61:CL61)-(45*4)</f>
        <v>11</v>
      </c>
      <c r="CO61" s="17"/>
      <c r="CP61" s="17">
        <f t="shared" si="65"/>
        <v>7</v>
      </c>
      <c r="CQ61" s="17">
        <f t="shared" si="65"/>
        <v>4</v>
      </c>
      <c r="CR61" s="17">
        <f t="shared" si="65"/>
        <v>2</v>
      </c>
      <c r="CS61" s="17">
        <f t="shared" si="65"/>
        <v>4</v>
      </c>
      <c r="CT61" s="17">
        <f t="shared" si="65"/>
        <v>8</v>
      </c>
      <c r="CU61" s="17">
        <f t="shared" si="65"/>
        <v>19</v>
      </c>
      <c r="CV61" s="17">
        <v>11</v>
      </c>
      <c r="CW61" s="17">
        <v>40</v>
      </c>
      <c r="CX61" s="21"/>
      <c r="CY61" s="21"/>
      <c r="CZ61" s="21"/>
      <c r="DA61" s="60"/>
      <c r="DB61" s="60"/>
      <c r="DC61" s="21">
        <v>4</v>
      </c>
      <c r="DD61" s="21">
        <v>2</v>
      </c>
      <c r="DE61" s="21">
        <v>3</v>
      </c>
      <c r="DF61" s="60">
        <v>2</v>
      </c>
      <c r="DG61" s="21">
        <v>3</v>
      </c>
      <c r="DH61" s="21">
        <v>5</v>
      </c>
      <c r="DI61" s="21">
        <v>2</v>
      </c>
      <c r="DJ61" s="21">
        <v>2</v>
      </c>
    </row>
    <row r="62" spans="1:129" s="23" customFormat="1" ht="17.25">
      <c r="A62" s="21"/>
      <c r="B62" s="53"/>
      <c r="C62" s="44">
        <v>531</v>
      </c>
      <c r="D62" s="108" t="s">
        <v>108</v>
      </c>
      <c r="E62" s="44">
        <v>2</v>
      </c>
      <c r="F62" s="44">
        <v>4</v>
      </c>
      <c r="G62" s="44">
        <v>1</v>
      </c>
      <c r="H62" s="17">
        <f>SUM(E62:F62)-(45*0)</f>
        <v>6</v>
      </c>
      <c r="I62" s="17">
        <v>9</v>
      </c>
      <c r="J62" s="34">
        <f>SUM(E62:I62)-(45*0)</f>
        <v>22</v>
      </c>
      <c r="K62" s="34">
        <f>SUM(E62:J62)-(45*0)</f>
        <v>44</v>
      </c>
      <c r="L62" s="34">
        <f>SUM(E62:K62)-(45*1)</f>
        <v>43</v>
      </c>
      <c r="M62" s="34">
        <f>SUM(E62:L62)-(45*2)</f>
        <v>41</v>
      </c>
      <c r="N62" s="34">
        <f>SUM(E62:M62)-(45*3)</f>
        <v>37</v>
      </c>
      <c r="O62" s="34">
        <f>SUM(E62:N62)-(45*4)</f>
        <v>29</v>
      </c>
      <c r="P62" s="34">
        <f>SUM(E62:O62)-(45*5)</f>
        <v>13</v>
      </c>
      <c r="Q62" s="34">
        <f>SUM(E62:P62)-(45*5)</f>
        <v>26</v>
      </c>
      <c r="R62" s="34">
        <f>SUM(E62:Q62)-(45*6)</f>
        <v>7</v>
      </c>
      <c r="S62" s="34">
        <f>SUM(E62:R62)-(45*6)</f>
        <v>14</v>
      </c>
      <c r="T62" s="34">
        <f>SUM(E62:S62)-(45*6)</f>
        <v>28</v>
      </c>
      <c r="U62" s="34">
        <f>SUM(E62:T62)-(45*7)</f>
        <v>11</v>
      </c>
      <c r="V62" s="34">
        <f>SUM(F62:U62)-(45*7)</f>
        <v>20</v>
      </c>
      <c r="W62" s="34">
        <f>SUM(G62:V62)-(45*7)</f>
        <v>36</v>
      </c>
      <c r="X62" s="34">
        <f>SUM(H62:W62)-(45*8)</f>
        <v>26</v>
      </c>
      <c r="Y62" s="34">
        <f>SUM(I62:X62)-(45*9)</f>
        <v>1</v>
      </c>
      <c r="Z62" s="34">
        <f>SUM(J62:Y62)-(45*8)</f>
        <v>38</v>
      </c>
      <c r="AA62" s="34">
        <f>SUM(K62:Z62)-(45*9)</f>
        <v>9</v>
      </c>
      <c r="AB62" s="34">
        <f>SUM(L62:AA62)-(45*8)</f>
        <v>19</v>
      </c>
      <c r="AC62" s="34">
        <f>SUM(M62:AB62)-(45*7)</f>
        <v>40</v>
      </c>
      <c r="AD62" s="34">
        <f>SUM(N62:AC62)-(45*7)</f>
        <v>39</v>
      </c>
      <c r="AE62" s="34">
        <f>SUM(O62:AD62)-(45*7)</f>
        <v>41</v>
      </c>
      <c r="AF62" s="34">
        <f>SUM(P62:AE62)-(45*8)</f>
        <v>8</v>
      </c>
      <c r="AG62" s="34">
        <f>SUM(Q62:AF62)-(45*8)</f>
        <v>3</v>
      </c>
      <c r="AH62" s="34">
        <f>SUM(R62:AG62)-(45*7)</f>
        <v>25</v>
      </c>
      <c r="AI62" s="34">
        <f>SUM(S62:AH62)-(45*7)</f>
        <v>43</v>
      </c>
      <c r="AJ62" s="34">
        <f>SUM(T62:AI62)-(45*8)</f>
        <v>27</v>
      </c>
      <c r="AK62" s="34">
        <f>SUM(U62:AJ62)-(45*8)</f>
        <v>26</v>
      </c>
      <c r="AL62" s="34">
        <f>SUM(V62:AK62)-(45*8)</f>
        <v>41</v>
      </c>
      <c r="AM62" s="34">
        <f>SUM(W62:AL62)-(45*9)</f>
        <v>17</v>
      </c>
      <c r="AN62" s="34">
        <f>SUM(X62:AM62)-(45*8)</f>
        <v>43</v>
      </c>
      <c r="AO62" s="34">
        <f>SUM(Y62:AN62)-(45*9)</f>
        <v>15</v>
      </c>
      <c r="AP62" s="34">
        <f>SUM(Z62:AO62)-(45*9)</f>
        <v>29</v>
      </c>
      <c r="AQ62" s="34">
        <f>SUM(AA62:AP62)-(45*9)</f>
        <v>20</v>
      </c>
      <c r="AR62" s="34">
        <f>SUM(AB62:AQ62)-(45*9)</f>
        <v>31</v>
      </c>
      <c r="AS62" s="34">
        <f>SUM(AC62:AR62)-(45*9)</f>
        <v>43</v>
      </c>
      <c r="AT62" s="34">
        <f>SUM(AD62:AS62)-(45*10)</f>
        <v>1</v>
      </c>
      <c r="AU62" s="34">
        <f>SUM(AE62:AT62)-(45*9)</f>
        <v>8</v>
      </c>
      <c r="AV62" s="34">
        <f>SUM(AF62:AU62)-(45*8)</f>
        <v>20</v>
      </c>
      <c r="AW62" s="34">
        <f>SUM(AG62:AV62)-(45*8)</f>
        <v>32</v>
      </c>
      <c r="AX62" s="34">
        <f>SUM(AH62:AW62)-(45*9)</f>
        <v>16</v>
      </c>
      <c r="AY62" s="34">
        <f>SUM(AI62:AX62)-(45*9)</f>
        <v>7</v>
      </c>
      <c r="AZ62" s="34">
        <f>SUM(AJ62:AY62)-(45*8)</f>
        <v>16</v>
      </c>
      <c r="BA62" s="34">
        <f>SUM(AK62:AZ62)-(45*8)</f>
        <v>5</v>
      </c>
      <c r="BB62" s="34">
        <f>SUM(AL62:BA62)-(45*7)</f>
        <v>29</v>
      </c>
      <c r="BC62" s="34">
        <f>SUM(AM62:BB62)-(45*7)</f>
        <v>17</v>
      </c>
      <c r="BD62" s="34">
        <f>SUM(AN62:BC62)-(45*7)</f>
        <v>17</v>
      </c>
      <c r="BE62" s="34">
        <f>SUM(AO62:BD62)-(45*6)</f>
        <v>36</v>
      </c>
      <c r="BF62" s="34">
        <f>SUM(AP62:BE62)-(45*7)</f>
        <v>12</v>
      </c>
      <c r="BG62" s="34">
        <f>SUM(AQ62:BF62)-(45*6)</f>
        <v>40</v>
      </c>
      <c r="BH62" s="34">
        <f>SUM(AR62:BG62)-(45*7)</f>
        <v>15</v>
      </c>
      <c r="BI62" s="34">
        <f>SUM(AS62:BH62)-(45*6)</f>
        <v>44</v>
      </c>
      <c r="BJ62" s="34">
        <f>SUM(AT62:BI62)-(45*6)</f>
        <v>45</v>
      </c>
      <c r="BK62" s="34">
        <f>SUM(AU62:BJ62)-(45*7)</f>
        <v>44</v>
      </c>
      <c r="BL62" s="34">
        <f>SUM(AV62:BK62)-(45*8)</f>
        <v>35</v>
      </c>
      <c r="BM62" s="34">
        <f>SUM(AW62:BL62)-(45*9)</f>
        <v>5</v>
      </c>
      <c r="BN62" s="34">
        <f>SUM(AX62:BM62)-(45*8)</f>
        <v>23</v>
      </c>
      <c r="BO62" s="34">
        <f>SUM(AY62:BN62)-(45*8)</f>
        <v>30</v>
      </c>
      <c r="BP62" s="34">
        <f>SUM(AZ62:BO62)-(45*9)</f>
        <v>8</v>
      </c>
      <c r="BQ62" s="34">
        <f>SUM(BA62:BP62)-(45*8)</f>
        <v>45</v>
      </c>
      <c r="BR62" s="34">
        <f>SUM(BB62:BQ62)-(45*9)</f>
        <v>40</v>
      </c>
      <c r="BS62" s="34">
        <f>SUM(BC62:BR62)-(45*10)</f>
        <v>6</v>
      </c>
      <c r="BT62" s="34">
        <f>SUM(BD62:BS62)-(45*9)</f>
        <v>40</v>
      </c>
      <c r="BU62" s="34">
        <f>SUM(BE62:BT62)-(45*10)</f>
        <v>18</v>
      </c>
      <c r="BV62" s="34">
        <f>SUM(BF62:BU62)-(45*9)</f>
        <v>45</v>
      </c>
      <c r="BW62" s="21"/>
      <c r="BX62" s="190"/>
      <c r="BY62" s="21"/>
      <c r="BZ62" s="21"/>
      <c r="CA62" s="21"/>
      <c r="CB62" s="21"/>
      <c r="CC62" s="21"/>
      <c r="CD62" s="21"/>
      <c r="CE62" s="17">
        <v>531</v>
      </c>
      <c r="CF62" s="17">
        <v>1</v>
      </c>
      <c r="CG62" s="17">
        <v>5</v>
      </c>
      <c r="CH62" s="17">
        <v>9</v>
      </c>
      <c r="CI62" s="17">
        <v>21</v>
      </c>
      <c r="CJ62" s="17">
        <v>27</v>
      </c>
      <c r="CK62" s="17">
        <v>35</v>
      </c>
      <c r="CL62" s="17">
        <v>45</v>
      </c>
      <c r="CM62" s="19">
        <f>SUM(CF62:CK62)-(45*2)</f>
        <v>8</v>
      </c>
      <c r="CN62" s="20">
        <f>SUM(CF62:CL62)-(45*3)</f>
        <v>8</v>
      </c>
      <c r="CO62" s="17"/>
      <c r="CP62" s="17">
        <f t="shared" si="65"/>
        <v>4</v>
      </c>
      <c r="CQ62" s="17">
        <f t="shared" si="65"/>
        <v>4</v>
      </c>
      <c r="CR62" s="17">
        <f t="shared" si="65"/>
        <v>12</v>
      </c>
      <c r="CS62" s="17">
        <f t="shared" si="65"/>
        <v>6</v>
      </c>
      <c r="CT62" s="17">
        <f t="shared" si="65"/>
        <v>8</v>
      </c>
      <c r="CU62" s="17">
        <f t="shared" si="65"/>
        <v>10</v>
      </c>
      <c r="CV62" s="17">
        <v>9</v>
      </c>
      <c r="CW62" s="17">
        <v>42</v>
      </c>
      <c r="CY62" s="21"/>
      <c r="CZ62" s="21"/>
      <c r="DA62" s="60"/>
      <c r="DB62" s="21"/>
      <c r="DC62" s="21">
        <v>5</v>
      </c>
      <c r="DD62" s="21">
        <v>3</v>
      </c>
      <c r="DE62" s="21">
        <v>6</v>
      </c>
      <c r="DF62" s="60">
        <v>3</v>
      </c>
      <c r="DG62" s="21">
        <v>4</v>
      </c>
      <c r="DH62" s="60">
        <v>6</v>
      </c>
      <c r="DI62" s="21">
        <v>3</v>
      </c>
      <c r="DJ62" s="21">
        <v>3</v>
      </c>
    </row>
    <row r="63" spans="1:129" s="23" customFormat="1" ht="17.25">
      <c r="A63" s="21"/>
      <c r="B63" s="53"/>
      <c r="C63" s="44">
        <v>532</v>
      </c>
      <c r="D63" s="108" t="s">
        <v>115</v>
      </c>
      <c r="E63" s="173">
        <v>9</v>
      </c>
      <c r="F63" s="44">
        <v>11</v>
      </c>
      <c r="G63" s="44">
        <v>2</v>
      </c>
      <c r="H63" s="17">
        <f>SUM(E63:F63)-(45*0)</f>
        <v>20</v>
      </c>
      <c r="I63" s="17">
        <v>10</v>
      </c>
      <c r="J63" s="34">
        <f>SUM(E63:I63)-(45*1)</f>
        <v>7</v>
      </c>
      <c r="K63" s="34">
        <f>SUM(E63:J63)-(45*1)</f>
        <v>14</v>
      </c>
      <c r="L63" s="34">
        <f>SUM(E63:K63)-(45*1)</f>
        <v>28</v>
      </c>
      <c r="M63" s="34">
        <f>SUM(E63:L63)-(45*2)</f>
        <v>11</v>
      </c>
      <c r="N63" s="34">
        <f>SUM(E63:M63)-(45*2)</f>
        <v>22</v>
      </c>
      <c r="O63" s="34">
        <f>SUM(E63:N63)-(45*2)</f>
        <v>44</v>
      </c>
      <c r="P63" s="34">
        <f>SUM(E63:O63)-(45*3)</f>
        <v>43</v>
      </c>
      <c r="Q63" s="34">
        <f>SUM(E63:P63)-(45*4)</f>
        <v>41</v>
      </c>
      <c r="R63" s="34">
        <f>SUM(E63:Q63)-(45*5)</f>
        <v>37</v>
      </c>
      <c r="S63" s="34">
        <f>SUM(E63:R63)-(45*6)</f>
        <v>29</v>
      </c>
      <c r="T63" s="34">
        <f>SUM(E63:S63)-(45*7)</f>
        <v>13</v>
      </c>
      <c r="U63" s="34">
        <f>SUM(E63:T63)-(45*7)</f>
        <v>26</v>
      </c>
      <c r="V63" s="34">
        <f>SUM(F63:U63)-(45*7)</f>
        <v>43</v>
      </c>
      <c r="W63" s="34">
        <f>SUM(G63:V63)-(45*8)</f>
        <v>30</v>
      </c>
      <c r="X63" s="34">
        <f>SUM(H63:W63)-(45*9)</f>
        <v>13</v>
      </c>
      <c r="Y63" s="34">
        <f>SUM(I63:X63)-(45*9)</f>
        <v>6</v>
      </c>
      <c r="Z63" s="34">
        <f>SUM(J63:Y63)-(45*9)</f>
        <v>2</v>
      </c>
      <c r="AA63" s="34">
        <f>SUM(K63:Z63)-(45*8)</f>
        <v>42</v>
      </c>
      <c r="AB63" s="34">
        <f t="shared" ref="AB63:AG63" si="73">SUM(L63:AA63)-(45*9)</f>
        <v>25</v>
      </c>
      <c r="AC63" s="34">
        <f t="shared" si="73"/>
        <v>22</v>
      </c>
      <c r="AD63" s="34">
        <f t="shared" si="73"/>
        <v>33</v>
      </c>
      <c r="AE63" s="34">
        <f t="shared" si="73"/>
        <v>44</v>
      </c>
      <c r="AF63" s="34">
        <f t="shared" si="73"/>
        <v>44</v>
      </c>
      <c r="AG63" s="34">
        <f t="shared" si="73"/>
        <v>45</v>
      </c>
      <c r="AH63" s="34">
        <f>SUM(R63:AG63)-(45*10)</f>
        <v>4</v>
      </c>
      <c r="AI63" s="34">
        <f>SUM(S63:AH63)-(45*9)</f>
        <v>16</v>
      </c>
      <c r="AJ63" s="34">
        <f>SUM(T63:AI63)-(45*9)</f>
        <v>3</v>
      </c>
      <c r="AK63" s="34">
        <f>SUM(U63:AJ63)-(45*8)</f>
        <v>38</v>
      </c>
      <c r="AL63" s="34">
        <f>SUM(V63:AK63)-(45*9)</f>
        <v>5</v>
      </c>
      <c r="AM63" s="34">
        <f>SUM(W63:AL63)-(45*8)</f>
        <v>12</v>
      </c>
      <c r="AN63" s="34">
        <f>SUM(X63:AM63)-(45*7)</f>
        <v>39</v>
      </c>
      <c r="AO63" s="34">
        <f>SUM(Y63:AN63)-(45*8)</f>
        <v>20</v>
      </c>
      <c r="AP63" s="34">
        <f>SUM(Z63:AO63)-(45*8)</f>
        <v>34</v>
      </c>
      <c r="AQ63" s="34">
        <f>SUM(AA63:AP63)-(45*9)</f>
        <v>21</v>
      </c>
      <c r="AR63" s="34">
        <f>SUM(AB63:AQ63)-(45*8)</f>
        <v>45</v>
      </c>
      <c r="AS63" s="34">
        <f>SUM(AC63:AR63)-(45*9)</f>
        <v>20</v>
      </c>
      <c r="AT63" s="34">
        <f>SUM(AD63:AS63)-(45*9)</f>
        <v>18</v>
      </c>
      <c r="AU63" s="34">
        <f>SUM(AE63:AT63)-(45*9)</f>
        <v>3</v>
      </c>
      <c r="AV63" s="34">
        <f>SUM(AF63:AU63)-(45*8)</f>
        <v>7</v>
      </c>
      <c r="AW63" s="34">
        <f>SUM(AG63:AV63)-(45*7)</f>
        <v>15</v>
      </c>
      <c r="AX63" s="34">
        <f>SUM(AH63:AW63)-(45*6)</f>
        <v>30</v>
      </c>
      <c r="AY63" s="34">
        <f>SUM(AI63:AX63)-(45*7)</f>
        <v>11</v>
      </c>
      <c r="AZ63" s="34">
        <f>SUM(AJ63:AY63)-(45*7)</f>
        <v>6</v>
      </c>
      <c r="BA63" s="34">
        <f>SUM(AK63:AZ63)-(45*7)</f>
        <v>9</v>
      </c>
      <c r="BB63" s="34">
        <f>SUM(AL63:BA63)-(45*6)</f>
        <v>25</v>
      </c>
      <c r="BC63" s="34">
        <f>SUM(AM63:BB63)-(45*6)</f>
        <v>45</v>
      </c>
      <c r="BD63" s="34">
        <f>SUM(AN63:BC63)-(45*7)</f>
        <v>33</v>
      </c>
      <c r="BE63" s="34">
        <f>SUM(AO63:BD63)-(45*7)</f>
        <v>27</v>
      </c>
      <c r="BF63" s="34">
        <f>SUM(AP63:BE63)-(45*7)</f>
        <v>34</v>
      </c>
      <c r="BG63" s="34">
        <f>SUM(AQ63:BF63)-(45*7)</f>
        <v>34</v>
      </c>
      <c r="BH63" s="34">
        <f>SUM(AR63:BG63)-(45*8)</f>
        <v>2</v>
      </c>
      <c r="BI63" s="34">
        <f>SUM(AS63:BH63)-(45*7)</f>
        <v>4</v>
      </c>
      <c r="BJ63" s="34">
        <f>SUM(AT63:BI63)-(45*6)</f>
        <v>33</v>
      </c>
      <c r="BK63" s="34">
        <f>SUM(AU63:BJ63)-(45*7)</f>
        <v>3</v>
      </c>
      <c r="BL63" s="34">
        <f>SUM(AV63:BK63)-(45*7)</f>
        <v>3</v>
      </c>
      <c r="BM63" s="34">
        <f>SUM(AW63:BL63)-(45*6)</f>
        <v>44</v>
      </c>
      <c r="BN63" s="34">
        <f t="shared" ref="BN63:BV64" si="74">SUM(AX63:BM63)-(45*7)</f>
        <v>28</v>
      </c>
      <c r="BO63" s="34">
        <f t="shared" si="74"/>
        <v>26</v>
      </c>
      <c r="BP63" s="34">
        <f t="shared" si="74"/>
        <v>41</v>
      </c>
      <c r="BQ63" s="34">
        <f>SUM(BA63:BP63)-(45*8)</f>
        <v>31</v>
      </c>
      <c r="BR63" s="34">
        <f>SUM(BB63:BQ63)-(45*9)</f>
        <v>8</v>
      </c>
      <c r="BS63" s="34">
        <f>SUM(BC63:BR63)-(45*8)</f>
        <v>36</v>
      </c>
      <c r="BT63" s="34">
        <f>SUM(BD63:BS63)-(45*8)</f>
        <v>27</v>
      </c>
      <c r="BU63" s="34">
        <f>SUM(BE63:BT63)-(45*8)</f>
        <v>21</v>
      </c>
      <c r="BV63" s="34">
        <f>SUM(BF63:BU63)-(45*8)</f>
        <v>15</v>
      </c>
      <c r="BW63" s="21"/>
      <c r="BX63" s="190"/>
      <c r="BY63" s="21"/>
      <c r="BZ63" s="21"/>
      <c r="CA63" s="21"/>
      <c r="CB63" s="21"/>
      <c r="CC63" s="21"/>
      <c r="CD63" s="21"/>
      <c r="CE63" s="17">
        <v>532</v>
      </c>
      <c r="CF63" s="17">
        <v>16</v>
      </c>
      <c r="CG63" s="17">
        <v>17</v>
      </c>
      <c r="CH63" s="17">
        <v>23</v>
      </c>
      <c r="CI63" s="17">
        <v>24</v>
      </c>
      <c r="CJ63" s="17">
        <v>29</v>
      </c>
      <c r="CK63" s="17">
        <v>44</v>
      </c>
      <c r="CL63" s="17">
        <v>3</v>
      </c>
      <c r="CM63" s="19">
        <f>SUM(CF63:CK63)-(45*3)</f>
        <v>18</v>
      </c>
      <c r="CN63" s="20">
        <f>SUM(CF63:CL63)-(45*3)</f>
        <v>21</v>
      </c>
      <c r="CO63" s="17"/>
      <c r="CP63" s="17">
        <f t="shared" si="65"/>
        <v>1</v>
      </c>
      <c r="CQ63" s="17">
        <f t="shared" si="65"/>
        <v>6</v>
      </c>
      <c r="CR63" s="17">
        <f t="shared" si="65"/>
        <v>1</v>
      </c>
      <c r="CS63" s="17">
        <f t="shared" si="65"/>
        <v>5</v>
      </c>
      <c r="CT63" s="17">
        <f t="shared" si="65"/>
        <v>15</v>
      </c>
      <c r="CU63" s="17">
        <f t="shared" si="65"/>
        <v>41</v>
      </c>
      <c r="CV63" s="17">
        <v>7</v>
      </c>
      <c r="CW63" s="17">
        <v>26</v>
      </c>
      <c r="CX63" s="21"/>
      <c r="CY63" s="21"/>
      <c r="CZ63" s="21"/>
      <c r="DA63" s="21"/>
      <c r="DB63" s="21"/>
      <c r="DC63" s="21">
        <v>6</v>
      </c>
      <c r="DD63" s="60">
        <v>7</v>
      </c>
      <c r="DE63" s="21">
        <v>9</v>
      </c>
      <c r="DF63" s="21">
        <v>4</v>
      </c>
      <c r="DG63" s="21">
        <v>6</v>
      </c>
      <c r="DH63" s="21">
        <v>7</v>
      </c>
      <c r="DI63" s="60">
        <v>5</v>
      </c>
      <c r="DJ63" s="21">
        <v>6</v>
      </c>
    </row>
    <row r="64" spans="1:129" s="23" customFormat="1" ht="17.25">
      <c r="A64" s="21"/>
      <c r="B64" s="53"/>
      <c r="C64" s="44">
        <v>533</v>
      </c>
      <c r="D64" s="108" t="s">
        <v>123</v>
      </c>
      <c r="E64" s="47">
        <v>16</v>
      </c>
      <c r="F64" s="44">
        <v>18</v>
      </c>
      <c r="G64" s="44">
        <v>3</v>
      </c>
      <c r="H64" s="48">
        <f>SUM(E64:F64)-(45*0)</f>
        <v>34</v>
      </c>
      <c r="I64" s="48">
        <v>11</v>
      </c>
      <c r="J64" s="49">
        <f>SUM(E64:I64)-(45*1)</f>
        <v>37</v>
      </c>
      <c r="K64" s="49">
        <f>SUM(E64:J64)-(45*2)</f>
        <v>29</v>
      </c>
      <c r="L64" s="49">
        <f>SUM(E64:K64)-(45*3)</f>
        <v>13</v>
      </c>
      <c r="M64" s="49">
        <f>SUM(E64:L64)-(45*3)</f>
        <v>26</v>
      </c>
      <c r="N64" s="49">
        <f>SUM(E64:M64)-(45*4)</f>
        <v>7</v>
      </c>
      <c r="O64" s="49">
        <f>SUM(E64:N64)-(45*4)</f>
        <v>14</v>
      </c>
      <c r="P64" s="49">
        <f>SUM(E64:O64)-(45*4)</f>
        <v>28</v>
      </c>
      <c r="Q64" s="49">
        <f>SUM(E64:P64)-(45*5)</f>
        <v>11</v>
      </c>
      <c r="R64" s="49">
        <f>SUM(E64:Q64)-(45*5)</f>
        <v>22</v>
      </c>
      <c r="S64" s="49">
        <f>SUM(E64:R64)-(45*5)</f>
        <v>44</v>
      </c>
      <c r="T64" s="49">
        <f>SUM(E64:S64)-(45*6)</f>
        <v>43</v>
      </c>
      <c r="U64" s="49">
        <f>SUM(E64:T64)-(45*7)</f>
        <v>41</v>
      </c>
      <c r="V64" s="49">
        <f>SUM(F64:U64)-(45*8)</f>
        <v>21</v>
      </c>
      <c r="W64" s="49">
        <f>SUM(G64:V64)-(45*8)</f>
        <v>24</v>
      </c>
      <c r="X64" s="49">
        <f>SUM(H64:W64)-(45*8)</f>
        <v>45</v>
      </c>
      <c r="Y64" s="49">
        <f>SUM(I64:X64)-(45*9)</f>
        <v>11</v>
      </c>
      <c r="Z64" s="49">
        <f>SUM(J64:Y64)-(45*9)</f>
        <v>11</v>
      </c>
      <c r="AA64" s="49">
        <f>SUM(K64:Z64)-(45*8)</f>
        <v>30</v>
      </c>
      <c r="AB64" s="49">
        <f>SUM(L64:AA64)-(45*8)</f>
        <v>31</v>
      </c>
      <c r="AC64" s="49">
        <f>SUM(M64:AB64)-(45*9)</f>
        <v>4</v>
      </c>
      <c r="AD64" s="49">
        <f>SUM(N64:AC64)-(45*8)</f>
        <v>27</v>
      </c>
      <c r="AE64" s="49">
        <f>SUM(O64:AD64)-(45*9)</f>
        <v>2</v>
      </c>
      <c r="AF64" s="49">
        <f>SUM(P64:AE64)-(45*8)</f>
        <v>35</v>
      </c>
      <c r="AG64" s="49">
        <f>SUM(Q64:AF64)-(45*8)</f>
        <v>42</v>
      </c>
      <c r="AH64" s="49">
        <f>SUM(R64:AG64)-(45*9)</f>
        <v>28</v>
      </c>
      <c r="AI64" s="49">
        <f>SUM(S64:AH64)-(45*9)</f>
        <v>34</v>
      </c>
      <c r="AJ64" s="49">
        <f>SUM(T64:AI64)-(45*9)</f>
        <v>24</v>
      </c>
      <c r="AK64" s="49">
        <f>SUM(U64:AJ64)-(45*9)</f>
        <v>5</v>
      </c>
      <c r="AL64" s="49">
        <f>SUM(V64:AK64)-(45*8)</f>
        <v>14</v>
      </c>
      <c r="AM64" s="49">
        <f>SUM(W64:AL64)-(45*8)</f>
        <v>7</v>
      </c>
      <c r="AN64" s="49">
        <f>SUM(X64:AM64)-(45*7)</f>
        <v>35</v>
      </c>
      <c r="AO64" s="49">
        <f>SUM(Y64:AN64)-(45*7)</f>
        <v>25</v>
      </c>
      <c r="AP64" s="49">
        <f>SUM(Z64:AO64)-(45*7)</f>
        <v>39</v>
      </c>
      <c r="AQ64" s="49">
        <f>SUM(AA64:AP64)-(45*8)</f>
        <v>22</v>
      </c>
      <c r="AR64" s="49">
        <f>SUM(AB64:AQ64)-(45*8)</f>
        <v>14</v>
      </c>
      <c r="AS64" s="49">
        <f>SUM(AC64:AR64)-(45*7)</f>
        <v>42</v>
      </c>
      <c r="AT64" s="49">
        <f>SUM(AD64:AS64)-(45*8)</f>
        <v>35</v>
      </c>
      <c r="AU64" s="49">
        <f>SUM(AE64:AT64)-(45*8)</f>
        <v>43</v>
      </c>
      <c r="AV64" s="49">
        <f>SUM(AF64:AU64)-(45*9)</f>
        <v>39</v>
      </c>
      <c r="AW64" s="49">
        <f>SUM(AG64:AV64)-(45*9)</f>
        <v>43</v>
      </c>
      <c r="AX64" s="49">
        <f>SUM(AH64:AW64)-(45*9)</f>
        <v>44</v>
      </c>
      <c r="AY64" s="49">
        <f>SUM(AI64:AX64)-(45*10)</f>
        <v>15</v>
      </c>
      <c r="AZ64" s="49">
        <f>SUM(AJ64:AY64)-(45*9)</f>
        <v>41</v>
      </c>
      <c r="BA64" s="49">
        <f>SUM(AK64:AZ64)-(45*10)</f>
        <v>13</v>
      </c>
      <c r="BB64" s="49">
        <f>SUM(AL64:BA64)-(45*10)</f>
        <v>21</v>
      </c>
      <c r="BC64" s="49">
        <f>SUM(AM64:BB64)-(45*10)</f>
        <v>28</v>
      </c>
      <c r="BD64" s="49">
        <f>SUM(AN64:BC64)-(45*11)</f>
        <v>4</v>
      </c>
      <c r="BE64" s="49">
        <f>SUM(AO64:BD64)-(45*10)</f>
        <v>18</v>
      </c>
      <c r="BF64" s="49">
        <f>SUM(AP64:BE64)-(45*10)</f>
        <v>11</v>
      </c>
      <c r="BG64" s="49">
        <f>SUM(AQ64:BF64)-(45*9)</f>
        <v>28</v>
      </c>
      <c r="BH64" s="49">
        <f>SUM(AR64:BG64)-(45*9)</f>
        <v>34</v>
      </c>
      <c r="BI64" s="49">
        <f>SUM(AS64:BH64)-(45*10)</f>
        <v>9</v>
      </c>
      <c r="BJ64" s="49">
        <f>SUM(AT64:BI64)-(45*9)</f>
        <v>21</v>
      </c>
      <c r="BK64" s="49">
        <f>SUM(AU64:BJ64)-(45*9)</f>
        <v>7</v>
      </c>
      <c r="BL64" s="49">
        <f>SUM(AV64:BK64)-(45*8)</f>
        <v>16</v>
      </c>
      <c r="BM64" s="49">
        <f>SUM(AW64:BL64)-(45*7)</f>
        <v>38</v>
      </c>
      <c r="BN64" s="49">
        <f t="shared" si="74"/>
        <v>33</v>
      </c>
      <c r="BO64" s="49">
        <f t="shared" si="74"/>
        <v>22</v>
      </c>
      <c r="BP64" s="49">
        <f t="shared" si="74"/>
        <v>29</v>
      </c>
      <c r="BQ64" s="49">
        <f t="shared" si="74"/>
        <v>17</v>
      </c>
      <c r="BR64" s="49">
        <f t="shared" si="74"/>
        <v>21</v>
      </c>
      <c r="BS64" s="49">
        <f t="shared" si="74"/>
        <v>21</v>
      </c>
      <c r="BT64" s="49">
        <f t="shared" si="74"/>
        <v>14</v>
      </c>
      <c r="BU64" s="49">
        <f t="shared" si="74"/>
        <v>24</v>
      </c>
      <c r="BV64" s="49">
        <f t="shared" si="74"/>
        <v>30</v>
      </c>
      <c r="BW64" s="21"/>
      <c r="BX64" s="190"/>
      <c r="BY64" s="21"/>
      <c r="BZ64" s="21"/>
      <c r="CA64" s="21"/>
      <c r="CB64" s="21"/>
      <c r="CC64" s="21"/>
      <c r="CD64" s="21"/>
      <c r="CE64" s="17">
        <v>533</v>
      </c>
      <c r="CF64" s="17">
        <v>9</v>
      </c>
      <c r="CG64" s="17">
        <v>14</v>
      </c>
      <c r="CH64" s="17">
        <v>15</v>
      </c>
      <c r="CI64" s="17">
        <v>17</v>
      </c>
      <c r="CJ64" s="17">
        <v>31</v>
      </c>
      <c r="CK64" s="17">
        <v>33</v>
      </c>
      <c r="CL64" s="17">
        <v>23</v>
      </c>
      <c r="CM64" s="19">
        <f>SUM(CF64:CK64)-(45*2)</f>
        <v>29</v>
      </c>
      <c r="CN64" s="20">
        <f>SUM(CF64:CL64)-(45*3)</f>
        <v>7</v>
      </c>
      <c r="CO64" s="17"/>
      <c r="CP64" s="17">
        <f t="shared" si="65"/>
        <v>5</v>
      </c>
      <c r="CQ64" s="17">
        <f t="shared" si="65"/>
        <v>1</v>
      </c>
      <c r="CR64" s="17">
        <f t="shared" si="65"/>
        <v>2</v>
      </c>
      <c r="CS64" s="17">
        <f t="shared" si="65"/>
        <v>14</v>
      </c>
      <c r="CT64" s="17">
        <f t="shared" si="65"/>
        <v>2</v>
      </c>
      <c r="CU64" s="17">
        <f t="shared" si="65"/>
        <v>10</v>
      </c>
      <c r="CV64" s="17">
        <v>8</v>
      </c>
      <c r="CW64" s="17">
        <v>44</v>
      </c>
      <c r="CX64" s="21"/>
      <c r="CY64" s="21"/>
      <c r="CZ64" s="21"/>
      <c r="DA64" s="21"/>
      <c r="DB64" s="21"/>
      <c r="DC64" s="21">
        <v>8</v>
      </c>
      <c r="DD64" s="21">
        <v>9</v>
      </c>
      <c r="DE64" s="21">
        <v>11</v>
      </c>
      <c r="DF64" s="21">
        <v>6</v>
      </c>
      <c r="DG64" s="60">
        <v>7</v>
      </c>
      <c r="DH64" s="21">
        <v>8</v>
      </c>
      <c r="DI64" s="21">
        <v>8</v>
      </c>
      <c r="DJ64" s="30">
        <v>8</v>
      </c>
    </row>
    <row r="65" spans="1:122" s="23" customFormat="1" ht="17.25">
      <c r="A65" s="21"/>
      <c r="B65" s="53"/>
      <c r="C65" s="44">
        <v>534</v>
      </c>
      <c r="D65" s="108" t="s">
        <v>124</v>
      </c>
      <c r="E65" s="47">
        <v>23</v>
      </c>
      <c r="F65" s="44">
        <v>25</v>
      </c>
      <c r="G65" s="44">
        <v>4</v>
      </c>
      <c r="H65" s="48">
        <f>SUM(E65:F65)-(45*1)</f>
        <v>3</v>
      </c>
      <c r="I65" s="48">
        <v>12</v>
      </c>
      <c r="J65" s="49">
        <f>SUM(E65:I65)-(45*1)</f>
        <v>22</v>
      </c>
      <c r="K65" s="49">
        <f>SUM(E65:J65)-(45*1)</f>
        <v>44</v>
      </c>
      <c r="L65" s="49">
        <f>SUM(E65:K65)-(45*2)</f>
        <v>43</v>
      </c>
      <c r="M65" s="49">
        <f>SUM(E65:L65)-(45*3)</f>
        <v>41</v>
      </c>
      <c r="N65" s="49">
        <f>SUM(E65:M65)-(45*4)</f>
        <v>37</v>
      </c>
      <c r="O65" s="50">
        <f>SUM(E65:N65)-(45*5)</f>
        <v>29</v>
      </c>
      <c r="P65" s="50">
        <f>SUM(E65:O65)-(45*6)</f>
        <v>13</v>
      </c>
      <c r="Q65" s="50">
        <f>SUM(E65:P65)-(45*6)</f>
        <v>26</v>
      </c>
      <c r="R65" s="50">
        <f>SUM(E65:Q65)-(45*7)</f>
        <v>7</v>
      </c>
      <c r="S65" s="50">
        <f>SUM(E65:R65)-(45*7)</f>
        <v>14</v>
      </c>
      <c r="T65" s="50">
        <f>SUM(E65:S65)-(45*7)</f>
        <v>28</v>
      </c>
      <c r="U65" s="50">
        <f>SUM(E65:T65)-(45*8)</f>
        <v>11</v>
      </c>
      <c r="V65" s="50">
        <f>SUM(F65:U65)-(45*7)</f>
        <v>44</v>
      </c>
      <c r="W65" s="50">
        <f>SUM(G65:V65)-(45*8)</f>
        <v>18</v>
      </c>
      <c r="X65" s="50">
        <f>SUM(H65:W65)-(45*8)</f>
        <v>32</v>
      </c>
      <c r="Y65" s="50">
        <f>SUM(I65:X65)-(45*9)</f>
        <v>16</v>
      </c>
      <c r="Z65" s="50">
        <f>SUM(J65:Y65)-(45*9)</f>
        <v>20</v>
      </c>
      <c r="AA65" s="50">
        <f>SUM(K65:Z65)-(45*9)</f>
        <v>18</v>
      </c>
      <c r="AB65" s="50">
        <f>SUM(L65:AA65)-(45*8)</f>
        <v>37</v>
      </c>
      <c r="AC65" s="50">
        <f>SUM(M65:AB65)-(45*8)</f>
        <v>31</v>
      </c>
      <c r="AD65" s="50">
        <f>SUM(N65:AC65)-(45*8)</f>
        <v>21</v>
      </c>
      <c r="AE65" s="50">
        <f>SUM(O65:AD65)-(45*8)</f>
        <v>5</v>
      </c>
      <c r="AF65" s="50">
        <f>SUM(P65:AE65)-(45*7)</f>
        <v>26</v>
      </c>
      <c r="AG65" s="50">
        <f>SUM(Q65:AF65)-(45*7)</f>
        <v>39</v>
      </c>
      <c r="AH65" s="50">
        <f>SUM(R65:AG65)-(45*8)</f>
        <v>7</v>
      </c>
      <c r="AI65" s="50">
        <f>SUM(S65:AH65)-(45*8)</f>
        <v>7</v>
      </c>
      <c r="AJ65" s="50">
        <f>SUM(T65:AI65)-(45*7)</f>
        <v>45</v>
      </c>
      <c r="AK65" s="50">
        <f>SUM(U65:AJ65)-(45*8)</f>
        <v>17</v>
      </c>
      <c r="AL65" s="50">
        <f>SUM(V65:AK65)-(45*8)</f>
        <v>23</v>
      </c>
      <c r="AM65" s="50">
        <f>SUM(W65:AL65)-(45*8)</f>
        <v>2</v>
      </c>
      <c r="AN65" s="50">
        <f>SUM(X65:AM65)-(45*7)</f>
        <v>31</v>
      </c>
      <c r="AO65" s="50">
        <f>SUM(Y65:AN65)-(45*7)</f>
        <v>30</v>
      </c>
      <c r="AP65" s="50">
        <f>SUM(Z65:AO65)-(45*7)</f>
        <v>44</v>
      </c>
      <c r="AQ65" s="50">
        <f>SUM(AA65:AP65)-(45*8)</f>
        <v>23</v>
      </c>
      <c r="AR65" s="50">
        <f>SUM(AB65:AQ65)-(45*8)</f>
        <v>28</v>
      </c>
      <c r="AS65" s="50">
        <f>SUM(AC65:AR65)-(45*8)</f>
        <v>19</v>
      </c>
      <c r="AT65" s="50">
        <f>SUM(AD65:AS65)-(45*8)</f>
        <v>7</v>
      </c>
      <c r="AU65" s="50">
        <f>SUM(AE65:AT65)-(45*7)</f>
        <v>38</v>
      </c>
      <c r="AV65" s="50">
        <f>SUM(AF65:AU65)-(45*8)</f>
        <v>26</v>
      </c>
      <c r="AW65" s="50">
        <f t="shared" ref="AW65:BE65" si="75">SUM(AG65:AV65)-(45*8)</f>
        <v>26</v>
      </c>
      <c r="AX65" s="50">
        <f t="shared" si="75"/>
        <v>13</v>
      </c>
      <c r="AY65" s="50">
        <f t="shared" si="75"/>
        <v>19</v>
      </c>
      <c r="AZ65" s="50">
        <f t="shared" si="75"/>
        <v>31</v>
      </c>
      <c r="BA65" s="50">
        <f t="shared" si="75"/>
        <v>17</v>
      </c>
      <c r="BB65" s="50">
        <f t="shared" si="75"/>
        <v>17</v>
      </c>
      <c r="BC65" s="50">
        <f t="shared" si="75"/>
        <v>11</v>
      </c>
      <c r="BD65" s="50">
        <f t="shared" si="75"/>
        <v>20</v>
      </c>
      <c r="BE65" s="50">
        <f t="shared" si="75"/>
        <v>9</v>
      </c>
      <c r="BF65" s="50">
        <f t="shared" ref="BF65:BK65" si="76">SUM(AP65:BE65)-(45*7)</f>
        <v>33</v>
      </c>
      <c r="BG65" s="50">
        <f t="shared" si="76"/>
        <v>22</v>
      </c>
      <c r="BH65" s="50">
        <f t="shared" si="76"/>
        <v>21</v>
      </c>
      <c r="BI65" s="50">
        <f t="shared" si="76"/>
        <v>14</v>
      </c>
      <c r="BJ65" s="50">
        <f t="shared" si="76"/>
        <v>9</v>
      </c>
      <c r="BK65" s="50">
        <f t="shared" si="76"/>
        <v>11</v>
      </c>
      <c r="BL65" s="50">
        <f>SUM(AV65:BK65)-(45*6)</f>
        <v>29</v>
      </c>
      <c r="BM65" s="50">
        <f>SUM(AW65:BL65)-(45*6)</f>
        <v>32</v>
      </c>
      <c r="BN65" s="50">
        <f>SUM(AX65:BM65)-(45*6)</f>
        <v>38</v>
      </c>
      <c r="BO65" s="50">
        <f>SUM(AY65:BN65)-(45*7)</f>
        <v>18</v>
      </c>
      <c r="BP65" s="50">
        <f>SUM(AZ65:BO65)-(45*7)</f>
        <v>17</v>
      </c>
      <c r="BQ65" s="50">
        <f>SUM(BA65:BP65)-(45*7)</f>
        <v>3</v>
      </c>
      <c r="BR65" s="50">
        <f>SUM(BB65:BQ65)-(45*6)</f>
        <v>34</v>
      </c>
      <c r="BS65" s="50">
        <f>SUM(BC65:BR65)-(45*7)</f>
        <v>6</v>
      </c>
      <c r="BT65" s="50">
        <f>SUM(BD65:BS65)-(45*7)</f>
        <v>1</v>
      </c>
      <c r="BU65" s="50">
        <f>SUM(BE65:BT65)-(45*6)</f>
        <v>27</v>
      </c>
      <c r="BV65" s="50">
        <f>SUM(BF65:BU65)-(45*6)</f>
        <v>45</v>
      </c>
      <c r="BW65" s="21"/>
      <c r="BX65" s="190"/>
      <c r="BY65" s="21"/>
      <c r="BZ65" s="21"/>
      <c r="CA65" s="21"/>
      <c r="CB65" s="21"/>
      <c r="CC65" s="21"/>
      <c r="CD65" s="21"/>
      <c r="CE65" s="17">
        <v>534</v>
      </c>
      <c r="CF65" s="17">
        <v>10</v>
      </c>
      <c r="CG65" s="17">
        <v>24</v>
      </c>
      <c r="CH65" s="17">
        <v>26</v>
      </c>
      <c r="CI65" s="17">
        <v>29</v>
      </c>
      <c r="CJ65" s="17">
        <v>37</v>
      </c>
      <c r="CK65" s="17">
        <v>38</v>
      </c>
      <c r="CL65" s="17">
        <v>32</v>
      </c>
      <c r="CM65" s="19">
        <f>SUM(CF65:CK65)-(45*3)</f>
        <v>29</v>
      </c>
      <c r="CN65" s="20">
        <f>SUM(CF65:CL65)-(45*4)</f>
        <v>16</v>
      </c>
      <c r="CO65" s="17"/>
      <c r="CP65" s="17">
        <f t="shared" si="65"/>
        <v>14</v>
      </c>
      <c r="CQ65" s="17">
        <f t="shared" si="65"/>
        <v>2</v>
      </c>
      <c r="CR65" s="17">
        <f t="shared" si="65"/>
        <v>3</v>
      </c>
      <c r="CS65" s="17">
        <f t="shared" si="65"/>
        <v>8</v>
      </c>
      <c r="CT65" s="17">
        <f t="shared" si="65"/>
        <v>1</v>
      </c>
      <c r="CU65" s="17">
        <f t="shared" si="65"/>
        <v>6</v>
      </c>
      <c r="CV65" s="17">
        <v>1</v>
      </c>
      <c r="CW65" s="17">
        <v>55</v>
      </c>
      <c r="CX65" s="21"/>
      <c r="CY65" s="21"/>
      <c r="CZ65" s="21"/>
      <c r="DA65" s="30"/>
      <c r="DB65" s="21"/>
      <c r="DC65" s="21">
        <v>9</v>
      </c>
      <c r="DD65" s="21">
        <v>12</v>
      </c>
      <c r="DE65" s="60">
        <v>16</v>
      </c>
      <c r="DF65" s="21">
        <v>7</v>
      </c>
      <c r="DG65" s="21">
        <v>11</v>
      </c>
      <c r="DH65" s="21">
        <v>10</v>
      </c>
      <c r="DI65" s="21">
        <v>11</v>
      </c>
      <c r="DJ65" s="21">
        <v>10</v>
      </c>
    </row>
    <row r="66" spans="1:122" s="30" customFormat="1" ht="17.25">
      <c r="A66" s="21"/>
      <c r="B66" s="53"/>
      <c r="C66" s="44">
        <v>535</v>
      </c>
      <c r="D66" s="108" t="s">
        <v>127</v>
      </c>
      <c r="E66" s="47">
        <v>2</v>
      </c>
      <c r="F66" s="44">
        <v>5</v>
      </c>
      <c r="G66" s="44">
        <v>1</v>
      </c>
      <c r="H66" s="48">
        <f>SUM(E66:F66)-(45*0)</f>
        <v>7</v>
      </c>
      <c r="I66" s="48">
        <v>13</v>
      </c>
      <c r="J66" s="49">
        <f>SUM(E66:I66)-(45*0)</f>
        <v>28</v>
      </c>
      <c r="K66" s="49">
        <f>SUM(E66:J66)-(45*1)</f>
        <v>11</v>
      </c>
      <c r="L66" s="49">
        <f>SUM(E66:K66)-(45*1)</f>
        <v>22</v>
      </c>
      <c r="M66" s="49">
        <f>SUM(E66:L66)-(45*1)</f>
        <v>44</v>
      </c>
      <c r="N66" s="49">
        <f>SUM(E66:M66)-(45*2)</f>
        <v>43</v>
      </c>
      <c r="O66" s="49">
        <f>SUM(E66:N66)-(45*3)</f>
        <v>41</v>
      </c>
      <c r="P66" s="49">
        <f>SUM(E66:O66)-(45*4)</f>
        <v>37</v>
      </c>
      <c r="Q66" s="49">
        <f>SUM(E66:P66)-(45*5)</f>
        <v>29</v>
      </c>
      <c r="R66" s="49">
        <f>SUM(E66:Q66)-(45*6)</f>
        <v>13</v>
      </c>
      <c r="S66" s="49">
        <f>SUM(E66:R66)-(45*6)</f>
        <v>26</v>
      </c>
      <c r="T66" s="49">
        <f>SUM(E66:S66)-(45*7)</f>
        <v>7</v>
      </c>
      <c r="U66" s="49">
        <f>SUM(E66:T66)-(45*7)</f>
        <v>14</v>
      </c>
      <c r="V66" s="49">
        <f>SUM(F66:U66)-(45*7)</f>
        <v>26</v>
      </c>
      <c r="W66" s="49">
        <f>SUM(G66:V66)-(45*8)</f>
        <v>2</v>
      </c>
      <c r="X66" s="49">
        <f>SUM(H66:W66)-(45*8)</f>
        <v>3</v>
      </c>
      <c r="Y66" s="49">
        <f>SUM(I66:X66)-(45*7)</f>
        <v>44</v>
      </c>
      <c r="Z66" s="49">
        <f>SUM(J66:Y66)-(45*8)</f>
        <v>30</v>
      </c>
      <c r="AA66" s="49">
        <f>SUM(K66:Z66)-(45*8)</f>
        <v>32</v>
      </c>
      <c r="AB66" s="49">
        <f>SUM(L66:AA66)-(45*9)</f>
        <v>8</v>
      </c>
      <c r="AC66" s="49">
        <f>SUM(M66:AB66)-(45*8)</f>
        <v>39</v>
      </c>
      <c r="AD66" s="49">
        <f>SUM(N66:AC66)-(45*8)</f>
        <v>34</v>
      </c>
      <c r="AE66" s="49">
        <f>SUM(O66:AD66)-(45*8)</f>
        <v>25</v>
      </c>
      <c r="AF66" s="49">
        <f>SUM(P66:AE66)-(45*8)</f>
        <v>9</v>
      </c>
      <c r="AG66" s="49">
        <f>SUM(Q66:AF66)-(45*7)</f>
        <v>26</v>
      </c>
      <c r="AH66" s="49">
        <f>SUM(R66:AG66)-(45*7)</f>
        <v>23</v>
      </c>
      <c r="AI66" s="49">
        <f>SUM(S66:AH66)-(45*7)</f>
        <v>33</v>
      </c>
      <c r="AJ66" s="49">
        <f>SUM(T66:AI66)-(45*7)</f>
        <v>40</v>
      </c>
      <c r="AK66" s="49">
        <f>SUM(U66:AJ66)-(45*8)</f>
        <v>28</v>
      </c>
      <c r="AL66" s="49">
        <f>SUM(V66:AK66)-(45*8)</f>
        <v>42</v>
      </c>
      <c r="AM66" s="49">
        <f>SUM(W66:AL66)-(45*9)</f>
        <v>13</v>
      </c>
      <c r="AN66" s="49">
        <f>SUM(X66:AM66)-(45*9)</f>
        <v>24</v>
      </c>
      <c r="AO66" s="49">
        <f>SUM(Y66:AN66)-(45*9)</f>
        <v>45</v>
      </c>
      <c r="AP66" s="49">
        <f>SUM(Z66:AO66)-(45*10)</f>
        <v>1</v>
      </c>
      <c r="AQ66" s="49">
        <f>SUM(AA66:AP66)-(45*9)</f>
        <v>17</v>
      </c>
      <c r="AR66" s="49">
        <f>SUM(AB66:AQ66)-(45*9)</f>
        <v>2</v>
      </c>
      <c r="AS66" s="49">
        <f>SUM(AC66:AR66)-(45*8)</f>
        <v>41</v>
      </c>
      <c r="AT66" s="49">
        <f>SUM(AD66:AS66)-(45*8)</f>
        <v>43</v>
      </c>
      <c r="AU66" s="49">
        <f>SUM(AE66:AT66)-(45*9)</f>
        <v>7</v>
      </c>
      <c r="AV66" s="49">
        <f>SUM(AF66:AU66)-(45*8)</f>
        <v>34</v>
      </c>
      <c r="AW66" s="49">
        <f>SUM(AG66:AV66)-(45*9)</f>
        <v>14</v>
      </c>
      <c r="AX66" s="49">
        <f>SUM(AH66:AW66)-(45*9)</f>
        <v>2</v>
      </c>
      <c r="AY66" s="49">
        <f>SUM(AI66:AX66)-(45*8)</f>
        <v>26</v>
      </c>
      <c r="AZ66" s="49">
        <f>SUM(AJ66:AY66)-(45*8)</f>
        <v>19</v>
      </c>
      <c r="BA66" s="49">
        <f>SUM(AK66:AZ66)-(45*7)</f>
        <v>43</v>
      </c>
      <c r="BB66" s="49">
        <f>SUM(AL66:BA66)-(45*8)</f>
        <v>13</v>
      </c>
      <c r="BC66" s="49">
        <f>SUM(AM66:BB66)-(45*7)</f>
        <v>29</v>
      </c>
      <c r="BD66" s="49">
        <f>SUM(AN66:BC66)-(45*7)</f>
        <v>45</v>
      </c>
      <c r="BE66" s="49">
        <f>SUM(AO66:BD66)-(45*8)</f>
        <v>21</v>
      </c>
      <c r="BF66" s="49">
        <f>SUM(AP66:BE66)-(45*7)</f>
        <v>42</v>
      </c>
      <c r="BG66" s="49">
        <f>SUM(AQ66:BF66)-(45*8)</f>
        <v>38</v>
      </c>
      <c r="BH66" s="49">
        <f>SUM(AR66:BG66)-(45*9)</f>
        <v>14</v>
      </c>
      <c r="BI66" s="49">
        <f>SUM(AS66:BH66)-(45*9)</f>
        <v>26</v>
      </c>
      <c r="BJ66" s="49">
        <f>SUM(AT66:BI66)-(45*9)</f>
        <v>11</v>
      </c>
      <c r="BK66" s="49">
        <f>SUM(AU66:BJ66)-(45*8)</f>
        <v>24</v>
      </c>
      <c r="BL66" s="49">
        <f>SUM(AV66:BK66)-(45*8)</f>
        <v>41</v>
      </c>
      <c r="BM66" s="49">
        <f>SUM(AW66:BL66)-(45*9)</f>
        <v>3</v>
      </c>
      <c r="BN66" s="49">
        <f>SUM(AX66:BM66)-(45*8)</f>
        <v>37</v>
      </c>
      <c r="BO66" s="49">
        <f>SUM(AY66:BN66)-(45*9)</f>
        <v>27</v>
      </c>
      <c r="BP66" s="49">
        <f>SUM(AZ66:BO66)-(45*9)</f>
        <v>28</v>
      </c>
      <c r="BQ66" s="49">
        <f>SUM(BA66:BP66)-(45*9)</f>
        <v>37</v>
      </c>
      <c r="BR66" s="49">
        <f>SUM(BB66:BQ66)-(45*9)</f>
        <v>31</v>
      </c>
      <c r="BS66" s="49">
        <f>SUM(BC66:BR66)-(45*10)</f>
        <v>4</v>
      </c>
      <c r="BT66" s="49">
        <f>SUM(BD66:BS66)-(45*9)</f>
        <v>24</v>
      </c>
      <c r="BU66" s="49">
        <f>SUM(BE66:BT66)-(45*9)</f>
        <v>3</v>
      </c>
      <c r="BV66" s="49">
        <f>SUM(BF66:BU66)-(45*8)</f>
        <v>30</v>
      </c>
      <c r="BW66" s="21"/>
      <c r="BX66" s="190"/>
      <c r="BY66" s="21"/>
      <c r="BZ66" s="21"/>
      <c r="CA66" s="21"/>
      <c r="CB66" s="21"/>
      <c r="CC66" s="21"/>
      <c r="CD66" s="21"/>
      <c r="CE66" s="17">
        <v>535</v>
      </c>
      <c r="CF66" s="17">
        <v>11</v>
      </c>
      <c r="CG66" s="17">
        <v>12</v>
      </c>
      <c r="CH66" s="17">
        <v>14</v>
      </c>
      <c r="CI66" s="17">
        <v>15</v>
      </c>
      <c r="CJ66" s="17">
        <v>18</v>
      </c>
      <c r="CK66" s="17">
        <v>39</v>
      </c>
      <c r="CL66" s="17">
        <v>34</v>
      </c>
      <c r="CM66" s="19">
        <f>SUM(CF66:CK66)-(45*2)</f>
        <v>19</v>
      </c>
      <c r="CN66" s="20">
        <f>SUM(CF66:CL66)-(45*3)</f>
        <v>8</v>
      </c>
      <c r="CO66" s="17"/>
      <c r="CP66" s="17">
        <f t="shared" si="65"/>
        <v>1</v>
      </c>
      <c r="CQ66" s="17">
        <f t="shared" si="65"/>
        <v>2</v>
      </c>
      <c r="CR66" s="17">
        <f t="shared" si="65"/>
        <v>1</v>
      </c>
      <c r="CS66" s="17">
        <f t="shared" si="65"/>
        <v>3</v>
      </c>
      <c r="CT66" s="17">
        <f t="shared" si="65"/>
        <v>21</v>
      </c>
      <c r="CU66" s="17">
        <f t="shared" si="65"/>
        <v>5</v>
      </c>
      <c r="CV66" s="17">
        <v>3</v>
      </c>
      <c r="CW66" s="17">
        <v>31</v>
      </c>
      <c r="CX66" s="21"/>
      <c r="CY66" s="21"/>
      <c r="CZ66" s="21"/>
      <c r="DA66" s="60"/>
      <c r="DB66" s="21"/>
      <c r="DC66" s="21">
        <v>11</v>
      </c>
      <c r="DD66" s="21">
        <v>13</v>
      </c>
      <c r="DE66" s="21">
        <v>17</v>
      </c>
      <c r="DF66" s="21">
        <v>8</v>
      </c>
      <c r="DG66" s="21">
        <v>12</v>
      </c>
      <c r="DH66" s="21">
        <v>11</v>
      </c>
      <c r="DI66" s="21">
        <v>12</v>
      </c>
      <c r="DJ66" s="30">
        <v>14</v>
      </c>
    </row>
    <row r="67" spans="1:122" s="23" customFormat="1" ht="17.25">
      <c r="A67" s="21"/>
      <c r="B67" s="53"/>
      <c r="C67" s="44">
        <v>536</v>
      </c>
      <c r="D67" s="108" t="s">
        <v>130</v>
      </c>
      <c r="E67" s="47">
        <v>9</v>
      </c>
      <c r="F67" s="44">
        <v>12</v>
      </c>
      <c r="G67" s="44">
        <v>2</v>
      </c>
      <c r="H67" s="48">
        <f>SUM(E67:F67)-(45*0)</f>
        <v>21</v>
      </c>
      <c r="I67" s="48">
        <v>14</v>
      </c>
      <c r="J67" s="49">
        <f>SUM(E67:I67)-(45*1)</f>
        <v>13</v>
      </c>
      <c r="K67" s="49">
        <f>SUM(E67:J67)-(45*1)</f>
        <v>26</v>
      </c>
      <c r="L67" s="49">
        <f>SUM(E67:K67)-(45*2)</f>
        <v>7</v>
      </c>
      <c r="M67" s="49">
        <f>SUM(E67:L67)-(45*2)</f>
        <v>14</v>
      </c>
      <c r="N67" s="49">
        <f>SUM(E67:M67)-(45*2)</f>
        <v>28</v>
      </c>
      <c r="O67" s="49">
        <f>SUM(E67:N67)-(45*3)</f>
        <v>11</v>
      </c>
      <c r="P67" s="49">
        <f>SUM(E67:O67)-(45*3)</f>
        <v>22</v>
      </c>
      <c r="Q67" s="49">
        <f>SUM(E67:P67)-(45*3)</f>
        <v>44</v>
      </c>
      <c r="R67" s="49">
        <f>SUM(E67:Q67)-(45*4)</f>
        <v>43</v>
      </c>
      <c r="S67" s="49">
        <f>SUM(E67:R67)-(45*5)</f>
        <v>41</v>
      </c>
      <c r="T67" s="49">
        <f>SUM(E67:S67)-(45*6)</f>
        <v>37</v>
      </c>
      <c r="U67" s="49">
        <f>SUM(E67:T67)-(45*7)</f>
        <v>29</v>
      </c>
      <c r="V67" s="49">
        <f>SUM(F67:U67)-(45*8)</f>
        <v>4</v>
      </c>
      <c r="W67" s="49">
        <f>SUM(G67:V67)-(45*7)</f>
        <v>41</v>
      </c>
      <c r="X67" s="49">
        <f>SUM(H67:W67)-(45*8)</f>
        <v>35</v>
      </c>
      <c r="Y67" s="49">
        <f>SUM(I67:X67)-(45*9)</f>
        <v>4</v>
      </c>
      <c r="Z67" s="49">
        <f>SUM(J67:Y67)-(45*8)</f>
        <v>39</v>
      </c>
      <c r="AA67" s="49">
        <f>SUM(K67:Z67)-(45*9)</f>
        <v>20</v>
      </c>
      <c r="AB67" s="49">
        <f>SUM(L67:AA67)-(45*9)</f>
        <v>14</v>
      </c>
      <c r="AC67" s="49">
        <f>SUM(M67:AB67)-(45*9)</f>
        <v>21</v>
      </c>
      <c r="AD67" s="49">
        <f>SUM(N67:AC67)-(45*9)</f>
        <v>28</v>
      </c>
      <c r="AE67" s="49">
        <f>SUM(O67:AD67)-(45*9)</f>
        <v>28</v>
      </c>
      <c r="AF67" s="49">
        <f>SUM(P67:AE67)-(45*9)</f>
        <v>45</v>
      </c>
      <c r="AG67" s="49">
        <f>SUM(Q67:AF67)-(45*10)</f>
        <v>23</v>
      </c>
      <c r="AH67" s="49">
        <f>SUM(R67:AG67)-(45*10)</f>
        <v>2</v>
      </c>
      <c r="AI67" s="49">
        <f>SUM(S67:AH67)-(45*9)</f>
        <v>6</v>
      </c>
      <c r="AJ67" s="49">
        <f>SUM(T67:AI67)-(45*8)</f>
        <v>16</v>
      </c>
      <c r="AK67" s="49">
        <f>SUM(U67:AJ67)-(45*7)</f>
        <v>40</v>
      </c>
      <c r="AL67" s="49">
        <f>SUM(V67:AK67)-(45*8)</f>
        <v>6</v>
      </c>
      <c r="AM67" s="49">
        <f>SUM(W67:AL67)-(45*8)</f>
        <v>8</v>
      </c>
      <c r="AN67" s="49">
        <f>SUM(X67:AM67)-(45*7)</f>
        <v>20</v>
      </c>
      <c r="AO67" s="49">
        <f>SUM(Y67:AN67)-(45*7)</f>
        <v>5</v>
      </c>
      <c r="AP67" s="49">
        <f>SUM(Z67:AO67)-(45*7)</f>
        <v>6</v>
      </c>
      <c r="AQ67" s="49">
        <f>SUM(AA67:AP67)-(45*6)</f>
        <v>18</v>
      </c>
      <c r="AR67" s="49">
        <f>SUM(AB67:AQ67)-(45*6)</f>
        <v>16</v>
      </c>
      <c r="AS67" s="49">
        <f>SUM(AC67:AR67)-(45*6)</f>
        <v>18</v>
      </c>
      <c r="AT67" s="49">
        <f>SUM(AD67:AS67)-(45*6)</f>
        <v>15</v>
      </c>
      <c r="AU67" s="49">
        <f>SUM(AE67:AT67)-(45*6)</f>
        <v>2</v>
      </c>
      <c r="AV67" s="49">
        <f>SUM(AF67:AU67)-(45*5)</f>
        <v>21</v>
      </c>
      <c r="AW67" s="49">
        <f>SUM(AG67:AV67)-(45*4)</f>
        <v>42</v>
      </c>
      <c r="AX67" s="49">
        <f>SUM(AH67:AW67)-(45*5)</f>
        <v>16</v>
      </c>
      <c r="AY67" s="49">
        <f>SUM(AI67:AX67)-(45*5)</f>
        <v>30</v>
      </c>
      <c r="AZ67" s="49">
        <f>SUM(AJ67:AY67)-(45*6)</f>
        <v>9</v>
      </c>
      <c r="BA67" s="49">
        <f>SUM(AK67:AZ67)-(45*6)</f>
        <v>2</v>
      </c>
      <c r="BB67" s="49">
        <f t="shared" ref="BB67:BG67" si="77">SUM(AL67:BA67)-(45*5)</f>
        <v>9</v>
      </c>
      <c r="BC67" s="49">
        <f t="shared" si="77"/>
        <v>12</v>
      </c>
      <c r="BD67" s="49">
        <f t="shared" si="77"/>
        <v>16</v>
      </c>
      <c r="BE67" s="49">
        <f t="shared" si="77"/>
        <v>12</v>
      </c>
      <c r="BF67" s="49">
        <f t="shared" si="77"/>
        <v>19</v>
      </c>
      <c r="BG67" s="49">
        <f t="shared" si="77"/>
        <v>32</v>
      </c>
      <c r="BH67" s="49">
        <f>SUM(AR67:BG67)-(45*6)</f>
        <v>1</v>
      </c>
      <c r="BI67" s="49">
        <f>SUM(AS67:BH67)-(45*5)</f>
        <v>31</v>
      </c>
      <c r="BJ67" s="49">
        <f>SUM(AT67:BI67)-(45*5)</f>
        <v>44</v>
      </c>
      <c r="BK67" s="49">
        <f>SUM(AU67:BJ67)-(45*6)</f>
        <v>28</v>
      </c>
      <c r="BL67" s="49">
        <f>SUM(AV67:BK67)-(45*7)</f>
        <v>9</v>
      </c>
      <c r="BM67" s="49">
        <f>SUM(AW67:BL67)-(45*6)</f>
        <v>42</v>
      </c>
      <c r="BN67" s="49">
        <f>SUM(AX67:BM67)-(45*6)</f>
        <v>42</v>
      </c>
      <c r="BO67" s="49">
        <f>SUM(AY67:BN67)-(45*7)</f>
        <v>23</v>
      </c>
      <c r="BP67" s="49">
        <f>SUM(AZ67:BO67)-(45*7)</f>
        <v>16</v>
      </c>
      <c r="BQ67" s="49">
        <f>SUM(BA67:BP67)-(45*7)</f>
        <v>23</v>
      </c>
      <c r="BR67" s="49">
        <f>SUM(BB67:BQ67)-(45*7)</f>
        <v>44</v>
      </c>
      <c r="BS67" s="49">
        <f>SUM(BC67:BR67)-(45*8)</f>
        <v>34</v>
      </c>
      <c r="BT67" s="49">
        <f>SUM(BD67:BS67)-(45*9)</f>
        <v>11</v>
      </c>
      <c r="BU67" s="49">
        <f>SUM(BE67:BT67)-(45*9)</f>
        <v>6</v>
      </c>
      <c r="BV67" s="49">
        <f>SUM(BF67:BU67)-(45*8)</f>
        <v>45</v>
      </c>
      <c r="BX67" s="190"/>
      <c r="CE67" s="17">
        <v>536</v>
      </c>
      <c r="CF67" s="17">
        <v>7</v>
      </c>
      <c r="CG67" s="17">
        <v>8</v>
      </c>
      <c r="CH67" s="17">
        <v>18</v>
      </c>
      <c r="CI67" s="17">
        <v>32</v>
      </c>
      <c r="CJ67" s="17">
        <v>37</v>
      </c>
      <c r="CK67" s="17">
        <v>43</v>
      </c>
      <c r="CL67" s="17">
        <v>12</v>
      </c>
      <c r="CM67" s="19">
        <f>SUM(CF67:CK67)-(45*3)</f>
        <v>10</v>
      </c>
      <c r="CN67" s="20">
        <f>SUM(CF67:CL67)-(45*3)</f>
        <v>22</v>
      </c>
      <c r="CO67" s="17"/>
      <c r="CP67" s="17">
        <f t="shared" si="65"/>
        <v>1</v>
      </c>
      <c r="CQ67" s="17">
        <f t="shared" si="65"/>
        <v>10</v>
      </c>
      <c r="CR67" s="17">
        <f t="shared" si="65"/>
        <v>14</v>
      </c>
      <c r="CS67" s="17">
        <f t="shared" si="65"/>
        <v>5</v>
      </c>
      <c r="CT67" s="17">
        <f t="shared" si="65"/>
        <v>6</v>
      </c>
      <c r="CU67" s="17">
        <f t="shared" si="65"/>
        <v>31</v>
      </c>
      <c r="CV67" s="17">
        <v>11</v>
      </c>
      <c r="CW67" s="17">
        <v>40</v>
      </c>
      <c r="CY67" s="21"/>
      <c r="CZ67" s="21"/>
      <c r="DA67" s="30"/>
      <c r="DB67" s="21"/>
      <c r="DC67" s="60">
        <v>13</v>
      </c>
      <c r="DD67" s="21">
        <v>14</v>
      </c>
      <c r="DE67" s="21">
        <v>19</v>
      </c>
      <c r="DF67" s="21">
        <v>10</v>
      </c>
      <c r="DG67" s="21">
        <v>23</v>
      </c>
      <c r="DH67" s="21">
        <v>12</v>
      </c>
      <c r="DI67" s="60">
        <v>14</v>
      </c>
      <c r="DJ67" s="30">
        <v>16</v>
      </c>
    </row>
    <row r="68" spans="1:122" s="30" customFormat="1" ht="17.25">
      <c r="A68" s="21"/>
      <c r="B68" s="53"/>
      <c r="C68" s="44">
        <v>537</v>
      </c>
      <c r="D68" s="108" t="s">
        <v>134</v>
      </c>
      <c r="E68" s="47">
        <v>16</v>
      </c>
      <c r="F68" s="44">
        <v>19</v>
      </c>
      <c r="G68" s="44">
        <v>3</v>
      </c>
      <c r="H68" s="48">
        <f>SUM(E68:F68)-(45*0)</f>
        <v>35</v>
      </c>
      <c r="I68" s="48">
        <v>15</v>
      </c>
      <c r="J68" s="49">
        <f>SUM(E68:I68)-(45*1)</f>
        <v>43</v>
      </c>
      <c r="K68" s="49">
        <f>SUM(E68:J68)-(45*2)</f>
        <v>41</v>
      </c>
      <c r="L68" s="49">
        <f>SUM(E68:K68)-(45*3)</f>
        <v>37</v>
      </c>
      <c r="M68" s="49">
        <f>SUM(E68:L68)-(45*4)</f>
        <v>29</v>
      </c>
      <c r="N68" s="49">
        <f>SUM(E68:M68)-(45*5)</f>
        <v>13</v>
      </c>
      <c r="O68" s="49">
        <f>SUM(E68:N68)-(45*5)</f>
        <v>26</v>
      </c>
      <c r="P68" s="49">
        <f>SUM(E68:O68)-(45*6)</f>
        <v>7</v>
      </c>
      <c r="Q68" s="49">
        <f>SUM(E68:P68)-(45*6)</f>
        <v>14</v>
      </c>
      <c r="R68" s="49">
        <f>SUM(E68:Q68)-(45*6)</f>
        <v>28</v>
      </c>
      <c r="S68" s="49">
        <f>SUM(E68:R68)-(45*7)</f>
        <v>11</v>
      </c>
      <c r="T68" s="49">
        <f>SUM(E68:S68)-(45*7)</f>
        <v>22</v>
      </c>
      <c r="U68" s="49">
        <f>SUM(E68:T68)-(45*7)</f>
        <v>44</v>
      </c>
      <c r="V68" s="49">
        <f>SUM(F68:U68)-(45*8)</f>
        <v>27</v>
      </c>
      <c r="W68" s="49">
        <f>SUM(G68:V68)-(45*8)</f>
        <v>35</v>
      </c>
      <c r="X68" s="49">
        <f>SUM(H68:W68)-(45*9)</f>
        <v>22</v>
      </c>
      <c r="Y68" s="49">
        <f>SUM(I68:X68)-(45*9)</f>
        <v>9</v>
      </c>
      <c r="Z68" s="49">
        <f>SUM(J68:Y68)-(45*9)</f>
        <v>3</v>
      </c>
      <c r="AA68" s="49">
        <f>SUM(K68:Z68)-(45*8)</f>
        <v>8</v>
      </c>
      <c r="AB68" s="49">
        <f>SUM(L68:AA68)-(45*7)</f>
        <v>20</v>
      </c>
      <c r="AC68" s="49">
        <f>SUM(M68:AB68)-(45*7)</f>
        <v>3</v>
      </c>
      <c r="AD68" s="49">
        <f>SUM(N68:AC68)-(45*6)</f>
        <v>22</v>
      </c>
      <c r="AE68" s="49">
        <f>SUM(O68:AD68)-(45*6)</f>
        <v>31</v>
      </c>
      <c r="AF68" s="49">
        <f>SUM(P68:AE68)-(45*6)</f>
        <v>36</v>
      </c>
      <c r="AG68" s="49">
        <f>SUM(Q68:AF68)-(45*7)</f>
        <v>20</v>
      </c>
      <c r="AH68" s="49">
        <f>SUM(R68:AG68)-(45*7)</f>
        <v>26</v>
      </c>
      <c r="AI68" s="49">
        <f>SUM(S68:AH68)-(45*7)</f>
        <v>24</v>
      </c>
      <c r="AJ68" s="49">
        <f>SUM(T68:AI68)-(45*7)</f>
        <v>37</v>
      </c>
      <c r="AK68" s="49">
        <f>SUM(U68:AJ68)-(45*8)</f>
        <v>7</v>
      </c>
      <c r="AL68" s="49">
        <f>SUM(V68:AK68)-(45*7)</f>
        <v>15</v>
      </c>
      <c r="AM68" s="49">
        <f>SUM(W68:AL68)-(45*7)</f>
        <v>3</v>
      </c>
      <c r="AN68" s="49">
        <f t="shared" ref="AN68:AS68" si="78">SUM(X68:AM68)-(45*6)</f>
        <v>16</v>
      </c>
      <c r="AO68" s="49">
        <f t="shared" si="78"/>
        <v>10</v>
      </c>
      <c r="AP68" s="49">
        <f t="shared" si="78"/>
        <v>11</v>
      </c>
      <c r="AQ68" s="49">
        <f t="shared" si="78"/>
        <v>19</v>
      </c>
      <c r="AR68" s="49">
        <f t="shared" si="78"/>
        <v>30</v>
      </c>
      <c r="AS68" s="49">
        <f t="shared" si="78"/>
        <v>40</v>
      </c>
      <c r="AT68" s="49">
        <f>SUM(AD68:AS68)-(45*7)</f>
        <v>32</v>
      </c>
      <c r="AU68" s="49">
        <f>SUM(AE68:AT68)-(45*7)</f>
        <v>42</v>
      </c>
      <c r="AV68" s="49">
        <f>SUM(AF68:AU68)-(45*8)</f>
        <v>8</v>
      </c>
      <c r="AW68" s="49">
        <f>SUM(AG68:AV68)-(45*7)</f>
        <v>25</v>
      </c>
      <c r="AX68" s="49">
        <f>SUM(AH68:AW68)-(45*7)</f>
        <v>30</v>
      </c>
      <c r="AY68" s="49">
        <f>SUM(AI68:AX68)-(45*7)</f>
        <v>34</v>
      </c>
      <c r="AZ68" s="49">
        <f>SUM(AJ68:AY68)-(45*7)</f>
        <v>44</v>
      </c>
      <c r="BA68" s="49">
        <f>SUM(AK68:AZ68)-(45*8)</f>
        <v>6</v>
      </c>
      <c r="BB68" s="49">
        <f>SUM(AL68:BA68)-(45*8)</f>
        <v>5</v>
      </c>
      <c r="BC68" s="49">
        <f>SUM(AM68:BB68)-(45*7)</f>
        <v>40</v>
      </c>
      <c r="BD68" s="49">
        <f>SUM(AN68:BC68)-(45*8)</f>
        <v>32</v>
      </c>
      <c r="BE68" s="49">
        <f>SUM(AO68:BD68)-(45*9)</f>
        <v>3</v>
      </c>
      <c r="BF68" s="49">
        <f>SUM(AP68:BE68)-(45*8)</f>
        <v>41</v>
      </c>
      <c r="BG68" s="49">
        <f t="shared" ref="BG68:BM68" si="79">SUM(AQ68:BF68)-(45*9)</f>
        <v>26</v>
      </c>
      <c r="BH68" s="49">
        <f t="shared" si="79"/>
        <v>33</v>
      </c>
      <c r="BI68" s="49">
        <f t="shared" si="79"/>
        <v>36</v>
      </c>
      <c r="BJ68" s="49">
        <f t="shared" si="79"/>
        <v>32</v>
      </c>
      <c r="BK68" s="49">
        <f t="shared" si="79"/>
        <v>32</v>
      </c>
      <c r="BL68" s="49">
        <f t="shared" si="79"/>
        <v>22</v>
      </c>
      <c r="BM68" s="49">
        <f t="shared" si="79"/>
        <v>36</v>
      </c>
      <c r="BN68" s="49">
        <f>SUM(AX68:BM68)-(45*10)</f>
        <v>2</v>
      </c>
      <c r="BO68" s="49">
        <f>SUM(AY68:BN68)-(45*9)</f>
        <v>19</v>
      </c>
      <c r="BP68" s="49">
        <f>SUM(AZ68:BO68)-(45*9)</f>
        <v>4</v>
      </c>
      <c r="BQ68" s="49">
        <f>SUM(BA68:BP68)-(45*8)</f>
        <v>9</v>
      </c>
      <c r="BR68" s="49">
        <f>SUM(BB68:BQ68)-(45*8)</f>
        <v>12</v>
      </c>
      <c r="BS68" s="49">
        <f>SUM(BC68:BR68)-(45*8)</f>
        <v>19</v>
      </c>
      <c r="BT68" s="49">
        <f>SUM(BD68:BS68)-(45*7)</f>
        <v>43</v>
      </c>
      <c r="BU68" s="49">
        <f>SUM(BE68:BT68)-(45*8)</f>
        <v>9</v>
      </c>
      <c r="BV68" s="49">
        <f>SUM(BF68:BU68)-(45*8)</f>
        <v>15</v>
      </c>
      <c r="BW68" s="21"/>
      <c r="BX68" s="190"/>
      <c r="BY68" s="21"/>
      <c r="BZ68" s="21"/>
      <c r="CA68" s="21"/>
      <c r="CB68" s="21"/>
      <c r="CC68" s="21"/>
      <c r="CD68" s="21"/>
      <c r="CE68" s="17">
        <v>537</v>
      </c>
      <c r="CF68" s="17">
        <v>12</v>
      </c>
      <c r="CG68" s="17">
        <v>23</v>
      </c>
      <c r="CH68" s="17">
        <v>26</v>
      </c>
      <c r="CI68" s="17">
        <v>30</v>
      </c>
      <c r="CJ68" s="17">
        <v>36</v>
      </c>
      <c r="CK68" s="17">
        <v>43</v>
      </c>
      <c r="CL68" s="17">
        <v>11</v>
      </c>
      <c r="CM68" s="19">
        <f>SUM(CF68:CK68)-(45*3)</f>
        <v>35</v>
      </c>
      <c r="CN68" s="20">
        <f>SUM(CF68:CL68)-(45*4)</f>
        <v>1</v>
      </c>
      <c r="CO68" s="17"/>
      <c r="CP68" s="17">
        <f t="shared" ref="CP68:CU83" si="80">ABS(CF68-CG68)</f>
        <v>11</v>
      </c>
      <c r="CQ68" s="17">
        <f t="shared" si="80"/>
        <v>3</v>
      </c>
      <c r="CR68" s="17">
        <f t="shared" si="80"/>
        <v>4</v>
      </c>
      <c r="CS68" s="17">
        <f t="shared" si="80"/>
        <v>6</v>
      </c>
      <c r="CT68" s="17">
        <f t="shared" si="80"/>
        <v>7</v>
      </c>
      <c r="CU68" s="17">
        <f t="shared" si="80"/>
        <v>32</v>
      </c>
      <c r="CV68" s="17">
        <v>7</v>
      </c>
      <c r="CW68" s="17">
        <v>35</v>
      </c>
      <c r="CX68" s="21"/>
      <c r="CY68" s="21"/>
      <c r="CZ68" s="21"/>
      <c r="DB68" s="21"/>
      <c r="DC68" s="21">
        <v>26</v>
      </c>
      <c r="DD68" s="60">
        <v>15</v>
      </c>
      <c r="DE68" s="21">
        <v>22</v>
      </c>
      <c r="DF68" s="21">
        <v>11</v>
      </c>
      <c r="DG68" s="21">
        <v>26</v>
      </c>
      <c r="DH68" s="21">
        <v>14</v>
      </c>
      <c r="DI68" s="21">
        <v>15</v>
      </c>
      <c r="DJ68" s="60">
        <v>24</v>
      </c>
    </row>
    <row r="69" spans="1:122" s="30" customFormat="1" ht="17.25">
      <c r="A69" s="21"/>
      <c r="B69" s="53"/>
      <c r="C69" s="44">
        <v>538</v>
      </c>
      <c r="D69" s="108" t="s">
        <v>135</v>
      </c>
      <c r="E69" s="47">
        <v>23</v>
      </c>
      <c r="F69" s="44">
        <v>26</v>
      </c>
      <c r="G69" s="44">
        <v>4</v>
      </c>
      <c r="H69" s="48">
        <f>SUM(E69:F69)-(45*1)</f>
        <v>4</v>
      </c>
      <c r="I69" s="48">
        <v>16</v>
      </c>
      <c r="J69" s="49">
        <f>SUM(E69:I69)-(45*1)</f>
        <v>28</v>
      </c>
      <c r="K69" s="49">
        <f>SUM(E69:J69)-(45*2)</f>
        <v>11</v>
      </c>
      <c r="L69" s="49">
        <f>SUM(E69:K69)-(45*2)</f>
        <v>22</v>
      </c>
      <c r="M69" s="49">
        <f>SUM(E69:L69)-(45*2)</f>
        <v>44</v>
      </c>
      <c r="N69" s="49">
        <f>SUM(E69:M69)-(45*3)</f>
        <v>43</v>
      </c>
      <c r="O69" s="49">
        <f>SUM(E69:N69)-(45*4)</f>
        <v>41</v>
      </c>
      <c r="P69" s="49">
        <f>SUM(E69:O69)-(45*5)</f>
        <v>37</v>
      </c>
      <c r="Q69" s="49">
        <f>SUM(E69:P69)-(45*6)</f>
        <v>29</v>
      </c>
      <c r="R69" s="49">
        <f>SUM(E69:Q69)-(45*7)</f>
        <v>13</v>
      </c>
      <c r="S69" s="49">
        <f>SUM(E69:R69)-(45*7)</f>
        <v>26</v>
      </c>
      <c r="T69" s="49">
        <f>SUM(E69:S69)-(45*8)</f>
        <v>7</v>
      </c>
      <c r="U69" s="49">
        <f>SUM(E69:T69)-(45*8)</f>
        <v>14</v>
      </c>
      <c r="V69" s="49">
        <f>SUM(F69:U69)-(45*8)</f>
        <v>5</v>
      </c>
      <c r="W69" s="49">
        <f>SUM(G69:V69)-(45*7)</f>
        <v>29</v>
      </c>
      <c r="X69" s="49">
        <f>SUM(H69:W69)-(45*8)</f>
        <v>9</v>
      </c>
      <c r="Y69" s="49">
        <f>SUM(I69:X69)-(45*8)</f>
        <v>14</v>
      </c>
      <c r="Z69" s="49">
        <f>SUM(J69:Y69)-(45*8)</f>
        <v>12</v>
      </c>
      <c r="AA69" s="49">
        <f>SUM(K69:Z69)-(45*7)</f>
        <v>41</v>
      </c>
      <c r="AB69" s="49">
        <f>SUM(L69:AA69)-(45*8)</f>
        <v>26</v>
      </c>
      <c r="AC69" s="49">
        <f>SUM(M69:AB69)-(45*8)</f>
        <v>30</v>
      </c>
      <c r="AD69" s="49">
        <f>SUM(N69:AC69)-(45*8)</f>
        <v>16</v>
      </c>
      <c r="AE69" s="49">
        <f>SUM(O69:AD69)-(45*7)</f>
        <v>34</v>
      </c>
      <c r="AF69" s="49">
        <f>SUM(P69:AE69)-(45*7)</f>
        <v>27</v>
      </c>
      <c r="AG69" s="49">
        <f>SUM(Q69:AF69)-(45*7)</f>
        <v>17</v>
      </c>
      <c r="AH69" s="49">
        <f>SUM(R69:AG69)-(45*7)</f>
        <v>5</v>
      </c>
      <c r="AI69" s="49">
        <f>SUM(S69:AH69)-(45*6)</f>
        <v>42</v>
      </c>
      <c r="AJ69" s="49">
        <f>SUM(T69:AI69)-(45*7)</f>
        <v>13</v>
      </c>
      <c r="AK69" s="49">
        <f>SUM(U69:AJ69)-(45*7)</f>
        <v>19</v>
      </c>
      <c r="AL69" s="49">
        <f>SUM(V69:AK69)-(45*7)</f>
        <v>24</v>
      </c>
      <c r="AM69" s="49">
        <f>SUM(W69:AL69)-(45*7)</f>
        <v>43</v>
      </c>
      <c r="AN69" s="49">
        <f>SUM(X69:AM69)-(45*8)</f>
        <v>12</v>
      </c>
      <c r="AO69" s="49">
        <f>SUM(Y69:AN69)-(45*8)</f>
        <v>15</v>
      </c>
      <c r="AP69" s="49">
        <f>SUM(Z69:AO69)-(45*8)</f>
        <v>16</v>
      </c>
      <c r="AQ69" s="49">
        <f>SUM(AA69:AP69)-(45*8)</f>
        <v>20</v>
      </c>
      <c r="AR69" s="49">
        <f>SUM(AB69:AQ69)-(45*7)</f>
        <v>44</v>
      </c>
      <c r="AS69" s="49">
        <f>SUM(AC69:AR69)-(45*8)</f>
        <v>17</v>
      </c>
      <c r="AT69" s="49">
        <f>SUM(AD69:AS69)-(45*8)</f>
        <v>4</v>
      </c>
      <c r="AU69" s="49">
        <f>SUM(AE69:AT69)-(45*7)</f>
        <v>37</v>
      </c>
      <c r="AV69" s="49">
        <f>SUM(AF69:AU69)-(45*7)</f>
        <v>40</v>
      </c>
      <c r="AW69" s="49">
        <f>SUM(AG69:AV69)-(45*8)</f>
        <v>8</v>
      </c>
      <c r="AX69" s="49">
        <f>SUM(AH69:AW69)-(45*7)</f>
        <v>44</v>
      </c>
      <c r="AY69" s="49">
        <f>SUM(AI69:AX69)-(45*8)</f>
        <v>38</v>
      </c>
      <c r="AZ69" s="49">
        <f>SUM(AJ69:AY69)-(45*8)</f>
        <v>34</v>
      </c>
      <c r="BA69" s="49">
        <f>SUM(AK69:AZ69)-(45*9)</f>
        <v>10</v>
      </c>
      <c r="BB69" s="49">
        <f>SUM(AL69:BA69)-(45*9)</f>
        <v>1</v>
      </c>
      <c r="BC69" s="49">
        <f>SUM(AM69:BB69)-(45*8)</f>
        <v>23</v>
      </c>
      <c r="BD69" s="49">
        <f>SUM(AN69:BC69)-(45*8)</f>
        <v>3</v>
      </c>
      <c r="BE69" s="49">
        <f>SUM(AO69:BD69)-(45*7)</f>
        <v>39</v>
      </c>
      <c r="BF69" s="49">
        <f>SUM(AP69:BE69)-(45*8)</f>
        <v>18</v>
      </c>
      <c r="BG69" s="49">
        <f>SUM(AQ69:BF69)-(45*8)</f>
        <v>20</v>
      </c>
      <c r="BH69" s="49">
        <f>SUM(AR69:BG69)-(45*8)</f>
        <v>20</v>
      </c>
      <c r="BI69" s="49">
        <f>SUM(AS69:BH69)-(45*7)</f>
        <v>41</v>
      </c>
      <c r="BJ69" s="49">
        <f>SUM(AT69:BI69)-(45*8)</f>
        <v>20</v>
      </c>
      <c r="BK69" s="49">
        <f>SUM(AU69:BJ69)-(45*8)</f>
        <v>36</v>
      </c>
      <c r="BL69" s="49">
        <f>SUM(AV69:BK69)-(45*8)</f>
        <v>35</v>
      </c>
      <c r="BM69" s="49">
        <f>SUM(AW69:BL69)-(45*8)</f>
        <v>30</v>
      </c>
      <c r="BN69" s="49">
        <f>SUM(AX69:BM69)-(45*9)</f>
        <v>7</v>
      </c>
      <c r="BO69" s="49">
        <f>SUM(AY69:BN69)-(45*8)</f>
        <v>15</v>
      </c>
      <c r="BP69" s="49">
        <f>SUM(AZ69:BO69)-(45*7)</f>
        <v>37</v>
      </c>
      <c r="BQ69" s="49">
        <f>SUM(BA69:BP69)-(45*7)</f>
        <v>40</v>
      </c>
      <c r="BR69" s="49">
        <f>SUM(BB69:BQ69)-(45*8)</f>
        <v>25</v>
      </c>
      <c r="BS69" s="49">
        <f>SUM(BC69:BR69)-(45*9)</f>
        <v>4</v>
      </c>
      <c r="BT69" s="49">
        <f>SUM(BD69:BS69)-(45*8)</f>
        <v>30</v>
      </c>
      <c r="BU69" s="49">
        <f>SUM(BE69:BT69)-(45*9)</f>
        <v>12</v>
      </c>
      <c r="BV69" s="49">
        <f>SUM(BF69:BU69)-(45*8)</f>
        <v>30</v>
      </c>
      <c r="BW69" s="21"/>
      <c r="BX69" s="190"/>
      <c r="BY69" s="21"/>
      <c r="BZ69" s="21"/>
      <c r="CA69" s="21"/>
      <c r="CB69" s="21"/>
      <c r="CC69" s="21"/>
      <c r="CD69" s="21"/>
      <c r="CE69" s="17">
        <v>538</v>
      </c>
      <c r="CF69" s="17">
        <v>6</v>
      </c>
      <c r="CG69" s="17">
        <v>10</v>
      </c>
      <c r="CH69" s="17">
        <v>18</v>
      </c>
      <c r="CI69" s="17">
        <v>31</v>
      </c>
      <c r="CJ69" s="17">
        <v>32</v>
      </c>
      <c r="CK69" s="17">
        <v>34</v>
      </c>
      <c r="CL69" s="17">
        <v>11</v>
      </c>
      <c r="CM69" s="19">
        <f>SUM(CF69:CK69)-(45*2)</f>
        <v>41</v>
      </c>
      <c r="CN69" s="20">
        <f>SUM(CF69:CL69)-(45*3)</f>
        <v>7</v>
      </c>
      <c r="CO69" s="17"/>
      <c r="CP69" s="17">
        <f t="shared" si="80"/>
        <v>4</v>
      </c>
      <c r="CQ69" s="17">
        <f t="shared" si="80"/>
        <v>8</v>
      </c>
      <c r="CR69" s="17">
        <f t="shared" si="80"/>
        <v>13</v>
      </c>
      <c r="CS69" s="17">
        <f t="shared" si="80"/>
        <v>1</v>
      </c>
      <c r="CT69" s="17">
        <f t="shared" si="80"/>
        <v>2</v>
      </c>
      <c r="CU69" s="17">
        <f t="shared" si="80"/>
        <v>23</v>
      </c>
      <c r="CV69" s="17">
        <v>3</v>
      </c>
      <c r="CW69" s="17">
        <v>48</v>
      </c>
      <c r="CX69" s="21"/>
      <c r="CY69" s="21"/>
      <c r="CZ69" s="23"/>
      <c r="DA69" s="23"/>
      <c r="DB69" s="21"/>
      <c r="DC69" s="21">
        <v>28</v>
      </c>
      <c r="DD69" s="21">
        <v>19</v>
      </c>
      <c r="DE69" s="21">
        <v>25</v>
      </c>
      <c r="DF69" s="21">
        <v>13</v>
      </c>
      <c r="DG69" s="21">
        <v>30</v>
      </c>
      <c r="DH69" s="21">
        <v>18</v>
      </c>
      <c r="DI69" s="21">
        <v>18</v>
      </c>
      <c r="DJ69" s="30">
        <v>26</v>
      </c>
    </row>
    <row r="70" spans="1:122" s="23" customFormat="1" ht="17.25">
      <c r="A70" s="21"/>
      <c r="B70" s="53"/>
      <c r="C70" s="44">
        <v>539</v>
      </c>
      <c r="D70" s="108" t="s">
        <v>137</v>
      </c>
      <c r="E70" s="47">
        <v>30</v>
      </c>
      <c r="F70" s="44">
        <v>33</v>
      </c>
      <c r="G70" s="44">
        <v>5</v>
      </c>
      <c r="H70" s="48">
        <f>SUM(E70:F70)-(45*1)</f>
        <v>18</v>
      </c>
      <c r="I70" s="48">
        <v>17</v>
      </c>
      <c r="J70" s="49">
        <f>SUM(E70:I70)-(45*2)</f>
        <v>13</v>
      </c>
      <c r="K70" s="49">
        <f>SUM(E70:J70)-(45*2)</f>
        <v>26</v>
      </c>
      <c r="L70" s="49">
        <f>SUM(E70:K70)-(45*3)</f>
        <v>7</v>
      </c>
      <c r="M70" s="49">
        <f>SUM(E70:L70)-(45*3)</f>
        <v>14</v>
      </c>
      <c r="N70" s="49">
        <f>SUM(E70:M70)-(45*3)</f>
        <v>28</v>
      </c>
      <c r="O70" s="49">
        <f>SUM(E70:N70)-(45*4)</f>
        <v>11</v>
      </c>
      <c r="P70" s="49">
        <f>SUM(E70:O70)-(45*4)</f>
        <v>22</v>
      </c>
      <c r="Q70" s="49">
        <f>SUM(E70:P70)-(45*4)</f>
        <v>44</v>
      </c>
      <c r="R70" s="49">
        <f>SUM(E70:Q70)-(45*5)</f>
        <v>43</v>
      </c>
      <c r="S70" s="49">
        <f>SUM(E70:R70)-(45*6)</f>
        <v>41</v>
      </c>
      <c r="T70" s="49">
        <f>SUM(E70:S70)-(45*7)</f>
        <v>37</v>
      </c>
      <c r="U70" s="49">
        <f>SUM(E70:T70)-(45*8)</f>
        <v>29</v>
      </c>
      <c r="V70" s="49">
        <f>SUM(F70:U70)-(45*8)</f>
        <v>28</v>
      </c>
      <c r="W70" s="49">
        <f>SUM(G70:V70)-(45*8)</f>
        <v>23</v>
      </c>
      <c r="X70" s="49">
        <f>SUM(H70:W70)-(45*8)</f>
        <v>41</v>
      </c>
      <c r="Y70" s="49">
        <f>SUM(I70:X70)-(45*9)</f>
        <v>19</v>
      </c>
      <c r="Z70" s="49">
        <f>SUM(J70:Y70)-(45*9)</f>
        <v>21</v>
      </c>
      <c r="AA70" s="49">
        <f>SUM(K70:Z70)-(45*9)</f>
        <v>29</v>
      </c>
      <c r="AB70" s="49">
        <f>SUM(L70:AA70)-(45*9)</f>
        <v>32</v>
      </c>
      <c r="AC70" s="49">
        <f>SUM(M70:AB70)-(45*10)</f>
        <v>12</v>
      </c>
      <c r="AD70" s="49">
        <f>SUM(N70:AC70)-(45*10)</f>
        <v>10</v>
      </c>
      <c r="AE70" s="49">
        <f>SUM(O70:AD70)-(45*9)</f>
        <v>37</v>
      </c>
      <c r="AF70" s="49">
        <f>SUM(P70:AE70)-(45*10)</f>
        <v>18</v>
      </c>
      <c r="AG70" s="49">
        <f>SUM(Q70:AF70)-(45*10)</f>
        <v>14</v>
      </c>
      <c r="AH70" s="49">
        <f>SUM(R70:AG70)-(45*9)</f>
        <v>29</v>
      </c>
      <c r="AI70" s="49">
        <f>SUM(S70:AH70)-(45*9)</f>
        <v>15</v>
      </c>
      <c r="AJ70" s="49">
        <f>SUM(T70:AI70)-(45*8)</f>
        <v>34</v>
      </c>
      <c r="AK70" s="49">
        <f>SUM(U70:AJ70)-(45*8)</f>
        <v>31</v>
      </c>
      <c r="AL70" s="49">
        <f>SUM(V70:AK70)-(45*8)</f>
        <v>33</v>
      </c>
      <c r="AM70" s="49">
        <f>SUM(W70:AL70)-(45*8)</f>
        <v>38</v>
      </c>
      <c r="AN70" s="49">
        <f>SUM(X70:AM70)-(45*9)</f>
        <v>8</v>
      </c>
      <c r="AO70" s="49">
        <f>SUM(Y70:AN70)-(45*8)</f>
        <v>20</v>
      </c>
      <c r="AP70" s="49">
        <f>SUM(Z70:AO70)-(45*8)</f>
        <v>21</v>
      </c>
      <c r="AQ70" s="49">
        <f>SUM(AA70:AP70)-(45*8)</f>
        <v>21</v>
      </c>
      <c r="AR70" s="49">
        <f>SUM(AB70:AQ70)-(45*8)</f>
        <v>13</v>
      </c>
      <c r="AS70" s="49">
        <f>SUM(AC70:AR70)-(45*7)</f>
        <v>39</v>
      </c>
      <c r="AT70" s="49">
        <f>SUM(AD70:AS70)-(45*8)</f>
        <v>21</v>
      </c>
      <c r="AU70" s="49">
        <f>SUM(AE70:AT70)-(45*8)</f>
        <v>32</v>
      </c>
      <c r="AV70" s="49">
        <f>SUM(AF70:AU70)-(45*8)</f>
        <v>27</v>
      </c>
      <c r="AW70" s="49">
        <f>SUM(AG70:AV70)-(45*8)</f>
        <v>36</v>
      </c>
      <c r="AX70" s="49">
        <f>SUM(AH70:AW70)-(45*9)</f>
        <v>13</v>
      </c>
      <c r="AY70" s="49">
        <f>SUM(AI70:AX70)-(45*8)</f>
        <v>42</v>
      </c>
      <c r="AZ70" s="49">
        <f>SUM(AJ70:AY70)-(45*9)</f>
        <v>24</v>
      </c>
      <c r="BA70" s="49">
        <f>SUM(AK70:AZ70)-(45*9)</f>
        <v>14</v>
      </c>
      <c r="BB70" s="49">
        <f>SUM(AL70:BA70)-(45*8)</f>
        <v>42</v>
      </c>
      <c r="BC70" s="49">
        <f>SUM(AM70:BB70)-(45*9)</f>
        <v>6</v>
      </c>
      <c r="BD70" s="49">
        <f>SUM(AN70:BC70)-(45*8)</f>
        <v>19</v>
      </c>
      <c r="BE70" s="49">
        <f>SUM(AO70:BD70)-(45*8)</f>
        <v>30</v>
      </c>
      <c r="BF70" s="49">
        <f>SUM(AP70:BE70)-(45*8)</f>
        <v>40</v>
      </c>
      <c r="BG70" s="49">
        <f>SUM(AQ70:BF70)-(45*9)</f>
        <v>14</v>
      </c>
      <c r="BH70" s="49">
        <f>SUM(AR70:BG70)-(45*9)</f>
        <v>7</v>
      </c>
      <c r="BI70" s="49">
        <f>SUM(AS70:BH70)-(45*9)</f>
        <v>1</v>
      </c>
      <c r="BJ70" s="49">
        <f>SUM(AT70:BI70)-(45*8)</f>
        <v>8</v>
      </c>
      <c r="BK70" s="49">
        <f>SUM(AU70:BJ70)-(45*7)</f>
        <v>40</v>
      </c>
      <c r="BL70" s="49">
        <f>SUM(AV70:BK70)-(45*8)</f>
        <v>3</v>
      </c>
      <c r="BM70" s="49">
        <f>SUM(AW70:BL70)-(45*7)</f>
        <v>24</v>
      </c>
      <c r="BN70" s="49">
        <f>SUM(AX70:BM70)-(45*7)</f>
        <v>12</v>
      </c>
      <c r="BO70" s="49">
        <f>SUM(AY70:BN70)-(45*7)</f>
        <v>11</v>
      </c>
      <c r="BP70" s="49">
        <f>SUM(AZ70:BO70)-(45*6)</f>
        <v>25</v>
      </c>
      <c r="BQ70" s="49">
        <f>SUM(BA70:BP70)-(45*6)</f>
        <v>26</v>
      </c>
      <c r="BR70" s="49">
        <f>SUM(BB70:BQ70)-(45*6)</f>
        <v>38</v>
      </c>
      <c r="BS70" s="49">
        <f>SUM(BC70:BR70)-(45*6)</f>
        <v>34</v>
      </c>
      <c r="BT70" s="49">
        <f>SUM(BD70:BS70)-(45*7)</f>
        <v>17</v>
      </c>
      <c r="BU70" s="49">
        <f>SUM(BE70:BT70)-(45*7)</f>
        <v>15</v>
      </c>
      <c r="BV70" s="49">
        <f>SUM(BF70:BU70)-(45*6)</f>
        <v>45</v>
      </c>
      <c r="BW70" s="21"/>
      <c r="BX70" s="190"/>
      <c r="BY70" s="21"/>
      <c r="BZ70" s="21"/>
      <c r="CA70" s="21"/>
      <c r="CB70" s="21"/>
      <c r="CC70" s="21"/>
      <c r="CD70" s="21"/>
      <c r="CE70" s="17">
        <v>539</v>
      </c>
      <c r="CF70" s="17">
        <v>3</v>
      </c>
      <c r="CG70" s="17">
        <v>19</v>
      </c>
      <c r="CH70" s="17">
        <v>22</v>
      </c>
      <c r="CI70" s="17">
        <v>31</v>
      </c>
      <c r="CJ70" s="17">
        <v>42</v>
      </c>
      <c r="CK70" s="17">
        <v>43</v>
      </c>
      <c r="CL70" s="17">
        <v>26</v>
      </c>
      <c r="CM70" s="19">
        <f>SUM(CF70:CK70)-(45*3)</f>
        <v>25</v>
      </c>
      <c r="CN70" s="20">
        <f>SUM(CF70:CL70)-(45*4)</f>
        <v>6</v>
      </c>
      <c r="CO70" s="17"/>
      <c r="CP70" s="17">
        <f t="shared" si="80"/>
        <v>16</v>
      </c>
      <c r="CQ70" s="17">
        <f t="shared" si="80"/>
        <v>3</v>
      </c>
      <c r="CR70" s="17">
        <f t="shared" si="80"/>
        <v>9</v>
      </c>
      <c r="CS70" s="17">
        <f t="shared" si="80"/>
        <v>11</v>
      </c>
      <c r="CT70" s="17">
        <f t="shared" si="80"/>
        <v>1</v>
      </c>
      <c r="CU70" s="17">
        <f t="shared" si="80"/>
        <v>17</v>
      </c>
      <c r="CV70" s="17">
        <v>9</v>
      </c>
      <c r="CW70" s="17">
        <v>42</v>
      </c>
      <c r="CX70" s="21"/>
      <c r="CY70" s="21"/>
      <c r="CZ70" s="30"/>
      <c r="DA70" s="30"/>
      <c r="DB70" s="21"/>
      <c r="DC70" s="21">
        <v>32</v>
      </c>
      <c r="DD70" s="60">
        <v>22</v>
      </c>
      <c r="DE70" s="21">
        <v>26</v>
      </c>
      <c r="DF70" s="60">
        <v>18</v>
      </c>
      <c r="DG70" s="21">
        <v>32</v>
      </c>
      <c r="DH70" s="21">
        <v>22</v>
      </c>
      <c r="DI70" s="21">
        <v>19</v>
      </c>
      <c r="DJ70" s="30">
        <v>29</v>
      </c>
    </row>
    <row r="71" spans="1:122" s="30" customFormat="1" ht="17.25">
      <c r="A71" s="21"/>
      <c r="B71" s="53"/>
      <c r="C71" s="44">
        <v>540</v>
      </c>
      <c r="D71" s="108" t="s">
        <v>144</v>
      </c>
      <c r="E71" s="47">
        <v>6</v>
      </c>
      <c r="F71" s="44">
        <v>10</v>
      </c>
      <c r="G71" s="44">
        <v>1</v>
      </c>
      <c r="H71" s="48">
        <f>SUM(E71:F71)-(45*0)</f>
        <v>16</v>
      </c>
      <c r="I71" s="48">
        <v>18</v>
      </c>
      <c r="J71" s="49">
        <f>SUM(E71:I71)-(45*1)</f>
        <v>6</v>
      </c>
      <c r="K71" s="49">
        <f>SUM(E71:J71)-(45*1)</f>
        <v>12</v>
      </c>
      <c r="L71" s="49">
        <f>SUM(E71:K71)-(45*1)</f>
        <v>24</v>
      </c>
      <c r="M71" s="49">
        <f>SUM(E71:L71)-(45*2)</f>
        <v>3</v>
      </c>
      <c r="N71" s="49">
        <f>SUM(E71:M71)-(45*2)</f>
        <v>6</v>
      </c>
      <c r="O71" s="49">
        <f>SUM(E71:N71)-(45*2)</f>
        <v>12</v>
      </c>
      <c r="P71" s="49">
        <f>SUM(E71:O71)-(45*2)</f>
        <v>24</v>
      </c>
      <c r="Q71" s="49">
        <f>SUM(E71:P71)-(45*3)</f>
        <v>3</v>
      </c>
      <c r="R71" s="49">
        <f>SUM(E71:Q71)-(45*3)</f>
        <v>6</v>
      </c>
      <c r="S71" s="49">
        <f>SUM(E71:R71)-(45*3)</f>
        <v>12</v>
      </c>
      <c r="T71" s="49">
        <f>SUM(E71:S71)-(45*3)</f>
        <v>24</v>
      </c>
      <c r="U71" s="49">
        <f>SUM(E71:T71)-(45*4)</f>
        <v>3</v>
      </c>
      <c r="V71" s="49">
        <f>SUM(F71:U71)-(45*3)</f>
        <v>45</v>
      </c>
      <c r="W71" s="49">
        <f>SUM(G71:V71)-(45*4)</f>
        <v>35</v>
      </c>
      <c r="X71" s="49">
        <f>SUM(H71:W71)-(45*5)</f>
        <v>24</v>
      </c>
      <c r="Y71" s="49">
        <f>SUM(I71:X71)-(45*5)</f>
        <v>32</v>
      </c>
      <c r="Z71" s="49">
        <f>SUM(J71:Y71)-(45*6)</f>
        <v>1</v>
      </c>
      <c r="AA71" s="49">
        <f>SUM(K71:Z71)-(45*5)</f>
        <v>41</v>
      </c>
      <c r="AB71" s="49">
        <f>SUM(L71:AA71)-(45*6)</f>
        <v>25</v>
      </c>
      <c r="AC71" s="49">
        <f>SUM(M71:AB71)-(45*6)</f>
        <v>26</v>
      </c>
      <c r="AD71" s="49">
        <f>SUM(N71:AC71)-(45*7)</f>
        <v>4</v>
      </c>
      <c r="AE71" s="49">
        <f>SUM(O71:AD71)-(45*7)</f>
        <v>2</v>
      </c>
      <c r="AF71" s="49">
        <f>SUM(P71:AE71)-(45*6)</f>
        <v>37</v>
      </c>
      <c r="AG71" s="49">
        <f>SUM(Q71:AF71)-(45*7)</f>
        <v>5</v>
      </c>
      <c r="AH71" s="49">
        <f>SUM(R71:AG71)-(45*7)</f>
        <v>7</v>
      </c>
      <c r="AI71" s="49">
        <f>SUM(S71:AH71)-(45*7)</f>
        <v>8</v>
      </c>
      <c r="AJ71" s="49">
        <f>SUM(T71:AI71)-(45*7)</f>
        <v>4</v>
      </c>
      <c r="AK71" s="49">
        <f>SUM(U71:AJ71)-(45*6)</f>
        <v>29</v>
      </c>
      <c r="AL71" s="49">
        <f>SUM(V71:AK71)-(45*7)</f>
        <v>10</v>
      </c>
      <c r="AM71" s="49">
        <f>SUM(W71:AL71)-(45*6)</f>
        <v>20</v>
      </c>
      <c r="AN71" s="49">
        <f>SUM(X71:AM71)-(45*6)</f>
        <v>5</v>
      </c>
      <c r="AO71" s="49">
        <f>SUM(Y71:AN71)-(45*5)</f>
        <v>31</v>
      </c>
      <c r="AP71" s="49">
        <f>SUM(Z71:AO71)-(45*5)</f>
        <v>30</v>
      </c>
      <c r="AQ71" s="49">
        <f>SUM(AA71:AP71)-(45*6)</f>
        <v>14</v>
      </c>
      <c r="AR71" s="49">
        <f>SUM(AB71:AQ71)-(45*5)</f>
        <v>32</v>
      </c>
      <c r="AS71" s="49">
        <f>SUM(AC71:AR71)-(45*5)</f>
        <v>39</v>
      </c>
      <c r="AT71" s="49">
        <f>SUM(AD71:AS71)-(45*6)</f>
        <v>7</v>
      </c>
      <c r="AU71" s="49">
        <f>SUM(AE71:AT71)-(45*6)</f>
        <v>10</v>
      </c>
      <c r="AV71" s="49">
        <f>SUM(AF71:AU71)-(45*6)</f>
        <v>18</v>
      </c>
      <c r="AW71" s="49">
        <f>SUM(AG71:AV71)-(45*5)</f>
        <v>44</v>
      </c>
      <c r="AX71" s="49">
        <f>SUM(AH71:AW71)-(45*6)</f>
        <v>38</v>
      </c>
      <c r="AY71" s="49">
        <f>SUM(AI71:AX71)-(45*7)</f>
        <v>24</v>
      </c>
      <c r="AZ71" s="49">
        <f>SUM(AJ71:AY71)-(45*7)</f>
        <v>40</v>
      </c>
      <c r="BA71" s="49">
        <f>SUM(AK71:AZ71)-(45*8)</f>
        <v>31</v>
      </c>
      <c r="BB71" s="49">
        <f>SUM(AL71:BA71)-(45*8)</f>
        <v>33</v>
      </c>
      <c r="BC71" s="49">
        <f>SUM(AM71:BB71)-(45*9)</f>
        <v>11</v>
      </c>
      <c r="BD71" s="49">
        <f>SUM(AN71:BC71)-(45*9)</f>
        <v>2</v>
      </c>
      <c r="BE71" s="49">
        <f>SUM(AO71:BD71)-(45*8)</f>
        <v>44</v>
      </c>
      <c r="BF71" s="49">
        <f>SUM(AP71:BE71)-(45*9)</f>
        <v>12</v>
      </c>
      <c r="BG71" s="49">
        <f>SUM(AQ71:BF71)-(45*8)</f>
        <v>39</v>
      </c>
      <c r="BH71" s="49">
        <f>SUM(AR71:BG71)-(45*9)</f>
        <v>19</v>
      </c>
      <c r="BI71" s="49">
        <f>SUM(AS71:BH71)-(45*9)</f>
        <v>6</v>
      </c>
      <c r="BJ71" s="49">
        <f>SUM(AT71:BI71)-(45*8)</f>
        <v>18</v>
      </c>
      <c r="BK71" s="49">
        <f>SUM(AU71:BJ71)-(45*8)</f>
        <v>29</v>
      </c>
      <c r="BL71" s="49">
        <f>SUM(AV71:BK71)-(45*9)</f>
        <v>3</v>
      </c>
      <c r="BM71" s="49">
        <f>SUM(AW71:BL71)-(45*8)</f>
        <v>33</v>
      </c>
      <c r="BN71" s="49">
        <f>SUM(AX71:BM71)-(45*8)</f>
        <v>22</v>
      </c>
      <c r="BO71" s="49">
        <f>SUM(AY71:BN71)-(45*8)</f>
        <v>6</v>
      </c>
      <c r="BP71" s="49">
        <f>SUM(AZ71:BO71)-(45*7)</f>
        <v>33</v>
      </c>
      <c r="BQ71" s="49">
        <f>SUM(BA71:BP71)-(45*7)</f>
        <v>26</v>
      </c>
      <c r="BR71" s="49">
        <f>SUM(BB71:BQ71)-(45*7)</f>
        <v>21</v>
      </c>
      <c r="BS71" s="49">
        <f>SUM(BC71:BR71)-(45*7)</f>
        <v>9</v>
      </c>
      <c r="BT71" s="49">
        <f>SUM(BD71:BS71)-(45*7)</f>
        <v>7</v>
      </c>
      <c r="BU71" s="49">
        <f>SUM(BE71:BT71)-(45*7)</f>
        <v>12</v>
      </c>
      <c r="BV71" s="49">
        <f>SUM(BF71:BU71)-(45*6)</f>
        <v>25</v>
      </c>
      <c r="BW71" s="21"/>
      <c r="BX71" s="190"/>
      <c r="BY71" s="21"/>
      <c r="BZ71" s="21"/>
      <c r="CA71" s="21"/>
      <c r="CB71" s="21"/>
      <c r="CC71" s="21"/>
      <c r="CD71" s="21"/>
      <c r="CE71" s="48">
        <v>540</v>
      </c>
      <c r="CF71" s="48">
        <v>3</v>
      </c>
      <c r="CG71" s="48">
        <v>12</v>
      </c>
      <c r="CH71" s="48">
        <v>13</v>
      </c>
      <c r="CI71" s="48">
        <v>15</v>
      </c>
      <c r="CJ71" s="48">
        <v>34</v>
      </c>
      <c r="CK71" s="48">
        <v>36</v>
      </c>
      <c r="CL71" s="48">
        <v>14</v>
      </c>
      <c r="CM71" s="58">
        <f>SUM(CF71:CK71)-(45*2)</f>
        <v>23</v>
      </c>
      <c r="CN71" s="55">
        <f>SUM(CF71:CL71)-(45*2)</f>
        <v>37</v>
      </c>
      <c r="CO71" s="48"/>
      <c r="CP71" s="48">
        <f t="shared" si="80"/>
        <v>9</v>
      </c>
      <c r="CQ71" s="48">
        <f t="shared" si="80"/>
        <v>1</v>
      </c>
      <c r="CR71" s="48">
        <f t="shared" si="80"/>
        <v>2</v>
      </c>
      <c r="CS71" s="48">
        <f t="shared" si="80"/>
        <v>19</v>
      </c>
      <c r="CT71" s="48">
        <f t="shared" si="80"/>
        <v>2</v>
      </c>
      <c r="CU71" s="48">
        <f t="shared" si="80"/>
        <v>22</v>
      </c>
      <c r="CV71" s="48">
        <v>7</v>
      </c>
      <c r="CW71" s="48">
        <v>26</v>
      </c>
      <c r="CX71" s="21"/>
      <c r="CY71" s="60"/>
      <c r="CZ71" s="21"/>
      <c r="DA71" s="60"/>
      <c r="DB71" s="21"/>
      <c r="DC71" s="21">
        <v>34</v>
      </c>
      <c r="DD71" s="21">
        <v>23</v>
      </c>
      <c r="DE71" s="21">
        <v>31</v>
      </c>
      <c r="DF71" s="60">
        <v>23</v>
      </c>
      <c r="DG71" s="21">
        <v>35</v>
      </c>
      <c r="DH71" s="21">
        <v>31</v>
      </c>
      <c r="DI71" s="60">
        <v>21</v>
      </c>
      <c r="DJ71" s="30">
        <v>32</v>
      </c>
    </row>
    <row r="72" spans="1:122" s="23" customFormat="1" ht="17.25">
      <c r="A72" s="21"/>
      <c r="B72" s="53"/>
      <c r="C72" s="44">
        <v>541</v>
      </c>
      <c r="D72" s="108" t="s">
        <v>151</v>
      </c>
      <c r="E72" s="48">
        <v>13</v>
      </c>
      <c r="F72" s="63">
        <v>17</v>
      </c>
      <c r="G72" s="63">
        <v>2</v>
      </c>
      <c r="H72" s="48">
        <f>SUM(E72:F72)-(45*0)</f>
        <v>30</v>
      </c>
      <c r="I72" s="48">
        <v>10</v>
      </c>
      <c r="J72" s="49">
        <f>SUM(E72:I72)-(45*1)</f>
        <v>27</v>
      </c>
      <c r="K72" s="49">
        <f>SUM(E72:J72)-(45*2)</f>
        <v>9</v>
      </c>
      <c r="L72" s="49">
        <f>SUM(E72:K72)-(45*2)</f>
        <v>18</v>
      </c>
      <c r="M72" s="49">
        <f>SUM(E72:L72)-(45*2)</f>
        <v>36</v>
      </c>
      <c r="N72" s="49">
        <f>SUM(E72:M72)-(45*3)</f>
        <v>27</v>
      </c>
      <c r="O72" s="49">
        <f>SUM(E72:N72)-(45*4)</f>
        <v>9</v>
      </c>
      <c r="P72" s="49">
        <f>SUM(E72:O72)-(45*4)</f>
        <v>18</v>
      </c>
      <c r="Q72" s="49">
        <f>SUM(E72:P72)-(45*4)</f>
        <v>36</v>
      </c>
      <c r="R72" s="49">
        <f>SUM(E72:Q72)-(45*5)</f>
        <v>27</v>
      </c>
      <c r="S72" s="49">
        <f>SUM(E72:R72)-(45*6)</f>
        <v>9</v>
      </c>
      <c r="T72" s="49">
        <f>SUM(E72:S72)-(45*6)</f>
        <v>18</v>
      </c>
      <c r="U72" s="49">
        <f>SUM(E72:T72)-(45*6)</f>
        <v>36</v>
      </c>
      <c r="V72" s="49">
        <f>SUM(F72:U72)-(45*7)</f>
        <v>14</v>
      </c>
      <c r="W72" s="49">
        <f>SUM(G72:V72)-(45*7)</f>
        <v>11</v>
      </c>
      <c r="X72" s="49">
        <f>SUM(H72:W72)-(45*7)</f>
        <v>20</v>
      </c>
      <c r="Y72" s="49">
        <f>SUM(I72:X72)-(45*7)</f>
        <v>10</v>
      </c>
      <c r="Z72" s="49">
        <f>SUM(J72:Y72)-(45*7)</f>
        <v>10</v>
      </c>
      <c r="AA72" s="49">
        <f>SUM(K72:Z72)-(45*6)</f>
        <v>38</v>
      </c>
      <c r="AB72" s="49">
        <f>SUM(L72:AA72)-(45*7)</f>
        <v>22</v>
      </c>
      <c r="AC72" s="49">
        <f>SUM(M72:AB72)-(45*7)</f>
        <v>26</v>
      </c>
      <c r="AD72" s="49">
        <f>SUM(N72:AC72)-(45*7)</f>
        <v>16</v>
      </c>
      <c r="AE72" s="49">
        <f>SUM(O72:AD72)-(45*7)</f>
        <v>5</v>
      </c>
      <c r="AF72" s="49">
        <f>SUM(P72:AE72)-(45*7)</f>
        <v>1</v>
      </c>
      <c r="AG72" s="49">
        <f>SUM(Q72:AF72)-(45*6)</f>
        <v>29</v>
      </c>
      <c r="AH72" s="49">
        <f>SUM(R72:AG72)-(45*6)</f>
        <v>22</v>
      </c>
      <c r="AI72" s="49">
        <f>SUM(S72:AH72)-(45*6)</f>
        <v>17</v>
      </c>
      <c r="AJ72" s="49">
        <f>SUM(T72:AI72)-(45*6)</f>
        <v>25</v>
      </c>
      <c r="AK72" s="49">
        <f>SUM(U72:AJ72)-(45*6)</f>
        <v>32</v>
      </c>
      <c r="AL72" s="49">
        <f>SUM(V72:AK72)-(45*6)</f>
        <v>28</v>
      </c>
      <c r="AM72" s="49">
        <f>SUM(W72:AL72)-(45*6)</f>
        <v>42</v>
      </c>
      <c r="AN72" s="49">
        <f t="shared" ref="AN72:AO74" si="81">SUM(X72:AM72)-(45*7)</f>
        <v>28</v>
      </c>
      <c r="AO72" s="49">
        <f t="shared" si="81"/>
        <v>36</v>
      </c>
      <c r="AP72" s="49">
        <f t="shared" ref="AP72:AR73" si="82">SUM(Z72:AO72)-(45*8)</f>
        <v>17</v>
      </c>
      <c r="AQ72" s="49">
        <f t="shared" si="82"/>
        <v>24</v>
      </c>
      <c r="AR72" s="49">
        <f t="shared" si="82"/>
        <v>10</v>
      </c>
      <c r="AS72" s="49">
        <f>SUM(AC72:AR72)-(45*7)</f>
        <v>43</v>
      </c>
      <c r="AT72" s="49">
        <f>SUM(AD72:AS72)-(45*8)</f>
        <v>15</v>
      </c>
      <c r="AU72" s="49">
        <f>SUM(AE72:AT72)-(45*8)</f>
        <v>14</v>
      </c>
      <c r="AV72" s="49">
        <f>SUM(AF72:AU72)-(45*8)</f>
        <v>23</v>
      </c>
      <c r="AW72" s="49">
        <f>SUM(AG72:AV72)-(45*8)</f>
        <v>45</v>
      </c>
      <c r="AX72" s="49">
        <f>SUM(AH72:AW72)-(45*9)</f>
        <v>16</v>
      </c>
      <c r="AY72" s="49">
        <f>SUM(AI72:AX72)-(45*9)</f>
        <v>10</v>
      </c>
      <c r="AZ72" s="49">
        <f>SUM(AJ72:AY72)-(45*9)</f>
        <v>3</v>
      </c>
      <c r="BA72" s="49">
        <f>SUM(AK72:AZ72)-(45*8)</f>
        <v>26</v>
      </c>
      <c r="BB72" s="49">
        <f>SUM(AL72:BA72)-(45*8)</f>
        <v>20</v>
      </c>
      <c r="BC72" s="49">
        <f>SUM(AM72:BB72)-(45*8)</f>
        <v>12</v>
      </c>
      <c r="BD72" s="49">
        <f t="shared" ref="BD72:BI72" si="83">SUM(AN72:BC72)-(45*7)</f>
        <v>27</v>
      </c>
      <c r="BE72" s="49">
        <f t="shared" si="83"/>
        <v>26</v>
      </c>
      <c r="BF72" s="49">
        <f t="shared" si="83"/>
        <v>16</v>
      </c>
      <c r="BG72" s="49">
        <f t="shared" si="83"/>
        <v>15</v>
      </c>
      <c r="BH72" s="49">
        <f t="shared" si="83"/>
        <v>6</v>
      </c>
      <c r="BI72" s="49">
        <f t="shared" si="83"/>
        <v>2</v>
      </c>
      <c r="BJ72" s="49">
        <f>SUM(AT72:BI72)-(45*6)</f>
        <v>6</v>
      </c>
      <c r="BK72" s="49">
        <f>SUM(AU72:BJ72)-(45*5)</f>
        <v>42</v>
      </c>
      <c r="BL72" s="49">
        <f>SUM(AV72:BK72)-(45*6)</f>
        <v>25</v>
      </c>
      <c r="BM72" s="49">
        <f>SUM(AW72:BL72)-(45*6)</f>
        <v>27</v>
      </c>
      <c r="BN72" s="49">
        <f>SUM(AX72:BM72)-(45*6)</f>
        <v>9</v>
      </c>
      <c r="BO72" s="49">
        <f>SUM(AY72:BN72)-(45*6)</f>
        <v>2</v>
      </c>
      <c r="BP72" s="49">
        <f>SUM(AZ72:BO72)-(45*5)</f>
        <v>39</v>
      </c>
      <c r="BQ72" s="49">
        <f>SUM(BA72:BP72)-(45*6)</f>
        <v>30</v>
      </c>
      <c r="BR72" s="49">
        <f>SUM(BB72:BQ72)-(45*6)</f>
        <v>34</v>
      </c>
      <c r="BS72" s="49">
        <f>SUM(BC72:BR72)-(45*7)</f>
        <v>3</v>
      </c>
      <c r="BT72" s="49">
        <f>SUM(BD72:BS72)-(45*6)</f>
        <v>39</v>
      </c>
      <c r="BU72" s="49">
        <f>SUM(BE72:BT72)-(45*7)</f>
        <v>6</v>
      </c>
      <c r="BV72" s="49">
        <f>SUM(BF72:BU72)-(45*6)</f>
        <v>31</v>
      </c>
      <c r="BW72" s="21"/>
      <c r="BX72" s="190"/>
      <c r="BY72" s="21"/>
      <c r="BZ72" s="21"/>
      <c r="CA72" s="21"/>
      <c r="CB72" s="21"/>
      <c r="CC72" s="21"/>
      <c r="CD72" s="21"/>
      <c r="CE72" s="48">
        <v>541</v>
      </c>
      <c r="CF72" s="48">
        <v>8</v>
      </c>
      <c r="CG72" s="48">
        <v>13</v>
      </c>
      <c r="CH72" s="48">
        <v>26</v>
      </c>
      <c r="CI72" s="48">
        <v>28</v>
      </c>
      <c r="CJ72" s="48">
        <v>32</v>
      </c>
      <c r="CK72" s="48">
        <v>34</v>
      </c>
      <c r="CL72" s="48">
        <v>43</v>
      </c>
      <c r="CM72" s="58">
        <f t="shared" ref="CM72:CM77" si="84">SUM(CF72:CK72)-(45*3)</f>
        <v>6</v>
      </c>
      <c r="CN72" s="55">
        <f>SUM(CF72:CL72)-(45*4)</f>
        <v>4</v>
      </c>
      <c r="CO72" s="48"/>
      <c r="CP72" s="48">
        <f t="shared" si="80"/>
        <v>5</v>
      </c>
      <c r="CQ72" s="48">
        <f t="shared" si="80"/>
        <v>13</v>
      </c>
      <c r="CR72" s="48">
        <f t="shared" si="80"/>
        <v>2</v>
      </c>
      <c r="CS72" s="48">
        <f t="shared" si="80"/>
        <v>4</v>
      </c>
      <c r="CT72" s="48">
        <f t="shared" si="80"/>
        <v>2</v>
      </c>
      <c r="CU72" s="48">
        <f t="shared" si="80"/>
        <v>9</v>
      </c>
      <c r="CV72" s="48">
        <v>11</v>
      </c>
      <c r="CW72" s="48">
        <v>40</v>
      </c>
      <c r="CX72" s="21"/>
      <c r="CY72" s="21"/>
      <c r="CZ72" s="21"/>
      <c r="DA72" s="21"/>
      <c r="DB72" s="21"/>
      <c r="DC72" s="21">
        <v>40</v>
      </c>
      <c r="DD72" s="60">
        <v>26</v>
      </c>
      <c r="DE72" s="21">
        <v>42</v>
      </c>
      <c r="DF72" s="21">
        <v>31</v>
      </c>
      <c r="DG72" s="21">
        <v>36</v>
      </c>
      <c r="DH72" s="21">
        <v>32</v>
      </c>
      <c r="DI72" s="60">
        <v>31</v>
      </c>
      <c r="DJ72" s="21">
        <v>37</v>
      </c>
    </row>
    <row r="73" spans="1:122" s="23" customFormat="1" ht="17.25">
      <c r="C73" s="44">
        <v>542</v>
      </c>
      <c r="D73" s="108" t="s">
        <v>154</v>
      </c>
      <c r="E73" s="48">
        <v>20</v>
      </c>
      <c r="F73" s="63">
        <v>24</v>
      </c>
      <c r="G73" s="63">
        <v>3</v>
      </c>
      <c r="H73" s="48">
        <f>SUM(E73:F73)-(45*0)</f>
        <v>44</v>
      </c>
      <c r="I73" s="48">
        <v>11</v>
      </c>
      <c r="J73" s="49">
        <f>SUM(E73:I73)-(45*2)</f>
        <v>12</v>
      </c>
      <c r="K73" s="49">
        <f>SUM(E73:J73)-(45*2)</f>
        <v>24</v>
      </c>
      <c r="L73" s="49">
        <f>SUM(E73:K73)-(45*3)</f>
        <v>3</v>
      </c>
      <c r="M73" s="49">
        <f>SUM(E73:L73)-(45*3)</f>
        <v>6</v>
      </c>
      <c r="N73" s="49">
        <f>SUM(E73:M73)-(45*3)</f>
        <v>12</v>
      </c>
      <c r="O73" s="49">
        <f>SUM(E73:N73)-(45*3)</f>
        <v>24</v>
      </c>
      <c r="P73" s="49">
        <f>SUM(E73:O73)-(45*4)</f>
        <v>3</v>
      </c>
      <c r="Q73" s="49">
        <f>SUM(E73:P73)-(45*4)</f>
        <v>6</v>
      </c>
      <c r="R73" s="49">
        <f>SUM(E73:Q73)-(45*4)</f>
        <v>12</v>
      </c>
      <c r="S73" s="49">
        <f>SUM(E73:R73)-(45*4)</f>
        <v>24</v>
      </c>
      <c r="T73" s="49">
        <f>SUM(E73:S73)-(45*5)</f>
        <v>3</v>
      </c>
      <c r="U73" s="49">
        <f>SUM(E73:T73)-(45*5)</f>
        <v>6</v>
      </c>
      <c r="V73" s="49">
        <f>SUM(F73:U73)-(45*4)</f>
        <v>37</v>
      </c>
      <c r="W73" s="49">
        <f>SUM(G73:V73)-(45*5)</f>
        <v>5</v>
      </c>
      <c r="X73" s="49">
        <f>SUM(H73:W73)-(45*5)</f>
        <v>7</v>
      </c>
      <c r="Y73" s="49">
        <f>SUM(I73:X73)-(45*4)</f>
        <v>15</v>
      </c>
      <c r="Z73" s="49">
        <f>SUM(J73:Y73)-(45*4)</f>
        <v>19</v>
      </c>
      <c r="AA73" s="49">
        <f>SUM(K73:Z73)-(45*4)</f>
        <v>26</v>
      </c>
      <c r="AB73" s="49">
        <f>SUM(L73:AA73)-(45*4)</f>
        <v>28</v>
      </c>
      <c r="AC73" s="49">
        <f>SUM(M73:AB73)-(45*5)</f>
        <v>8</v>
      </c>
      <c r="AD73" s="49">
        <f>SUM(N73:AC73)-(45*5)</f>
        <v>10</v>
      </c>
      <c r="AE73" s="49">
        <f>SUM(O73:AD73)-(45*5)</f>
        <v>8</v>
      </c>
      <c r="AF73" s="49">
        <f>SUM(P73:AE73)-(45*4)</f>
        <v>37</v>
      </c>
      <c r="AG73" s="49">
        <f>SUM(Q73:AF73)-(45*5)</f>
        <v>26</v>
      </c>
      <c r="AH73" s="49">
        <f>SUM(R73:AG73)-(45*6)</f>
        <v>1</v>
      </c>
      <c r="AI73" s="49">
        <f>SUM(S73:AH73)-(45*5)</f>
        <v>35</v>
      </c>
      <c r="AJ73" s="49">
        <f>SUM(T73:AI73)-(45*6)</f>
        <v>1</v>
      </c>
      <c r="AK73" s="49">
        <f>SUM(U73:AJ73)-(45*5)</f>
        <v>44</v>
      </c>
      <c r="AL73" s="49">
        <f>SUM(V73:AK73)-(45*6)</f>
        <v>37</v>
      </c>
      <c r="AM73" s="49">
        <f>SUM(W73:AL73)-(45*6)</f>
        <v>37</v>
      </c>
      <c r="AN73" s="49">
        <f t="shared" si="81"/>
        <v>24</v>
      </c>
      <c r="AO73" s="49">
        <f t="shared" si="81"/>
        <v>41</v>
      </c>
      <c r="AP73" s="49">
        <f t="shared" si="82"/>
        <v>22</v>
      </c>
      <c r="AQ73" s="49">
        <f t="shared" si="82"/>
        <v>25</v>
      </c>
      <c r="AR73" s="49">
        <f t="shared" si="82"/>
        <v>24</v>
      </c>
      <c r="AS73" s="49">
        <f>SUM(AC73:AR73)-(45*8)</f>
        <v>20</v>
      </c>
      <c r="AT73" s="49">
        <f>SUM(AD73:AS73)-(45*8)</f>
        <v>32</v>
      </c>
      <c r="AU73" s="49">
        <f>SUM(AE73:AT73)-(45*9)</f>
        <v>9</v>
      </c>
      <c r="AV73" s="49">
        <f>SUM(AF73:AU73)-(45*9)</f>
        <v>10</v>
      </c>
      <c r="AW73" s="49">
        <f>SUM(AG73:AV73)-(45*8)</f>
        <v>28</v>
      </c>
      <c r="AX73" s="49">
        <f>SUM(AH73:AW73)-(45*8)</f>
        <v>30</v>
      </c>
      <c r="AY73" s="49">
        <f>SUM(AI73:AX73)-(45*9)</f>
        <v>14</v>
      </c>
      <c r="AZ73" s="49">
        <f>SUM(AJ73:AY73)-(45*8)</f>
        <v>38</v>
      </c>
      <c r="BA73" s="49">
        <f>SUM(AK73:AZ73)-(45*9)</f>
        <v>30</v>
      </c>
      <c r="BB73" s="49">
        <f>SUM(AL73:BA73)-(45*9)</f>
        <v>16</v>
      </c>
      <c r="BC73" s="49">
        <f>SUM(AM73:BB73)-(45*8)</f>
        <v>40</v>
      </c>
      <c r="BD73" s="49">
        <f>SUM(AN73:BC73)-(45*8)</f>
        <v>43</v>
      </c>
      <c r="BE73" s="49">
        <f>SUM(AO73:BD73)-(45*9)</f>
        <v>17</v>
      </c>
      <c r="BF73" s="49">
        <f>SUM(AP73:BE73)-(45*8)</f>
        <v>38</v>
      </c>
      <c r="BG73" s="49">
        <f>SUM(AQ73:BF73)-(45*9)</f>
        <v>9</v>
      </c>
      <c r="BH73" s="49">
        <f>SUM(AR73:BG73)-(45*8)</f>
        <v>38</v>
      </c>
      <c r="BI73" s="49">
        <f>SUM(AS73:BH73)-(45*9)</f>
        <v>7</v>
      </c>
      <c r="BJ73" s="49">
        <f>SUM(AT73:BI73)-(45*8)</f>
        <v>39</v>
      </c>
      <c r="BK73" s="49">
        <f>SUM(AU73:BJ73)-(45*9)</f>
        <v>1</v>
      </c>
      <c r="BL73" s="49">
        <f>SUM(AV73:BK73)-(45*8)</f>
        <v>38</v>
      </c>
      <c r="BM73" s="49">
        <f>SUM(AW73:BL73)-(45*9)</f>
        <v>21</v>
      </c>
      <c r="BN73" s="49">
        <f>SUM(AX73:BM73)-(45*9)</f>
        <v>14</v>
      </c>
      <c r="BO73" s="49">
        <f>SUM(AY73:BN73)-(45*8)</f>
        <v>43</v>
      </c>
      <c r="BP73" s="49">
        <f>SUM(AZ73:BO73)-(45*9)</f>
        <v>27</v>
      </c>
      <c r="BQ73" s="49">
        <f>SUM(BA73:BP73)-(45*9)</f>
        <v>16</v>
      </c>
      <c r="BR73" s="49">
        <f>SUM(BB73:BQ73)-(45*9)</f>
        <v>2</v>
      </c>
      <c r="BS73" s="49">
        <f>SUM(BC73:BR73)-(45*8)</f>
        <v>33</v>
      </c>
      <c r="BT73" s="49">
        <f>SUM(BD73:BS73)-(45*8)</f>
        <v>26</v>
      </c>
      <c r="BU73" s="49">
        <f>SUM(BE73:BT73)-(45*8)</f>
        <v>9</v>
      </c>
      <c r="BV73" s="49">
        <f>SUM(BF73:BU73)-(45*8)</f>
        <v>1</v>
      </c>
      <c r="BX73" s="190"/>
      <c r="CE73" s="48">
        <v>542</v>
      </c>
      <c r="CF73" s="17">
        <v>5</v>
      </c>
      <c r="CG73" s="17">
        <v>6</v>
      </c>
      <c r="CH73" s="17">
        <v>19</v>
      </c>
      <c r="CI73" s="17">
        <v>26</v>
      </c>
      <c r="CJ73" s="17">
        <v>41</v>
      </c>
      <c r="CK73" s="17">
        <v>45</v>
      </c>
      <c r="CL73" s="17">
        <v>34</v>
      </c>
      <c r="CM73" s="58">
        <f t="shared" si="84"/>
        <v>7</v>
      </c>
      <c r="CN73" s="55">
        <f t="shared" ref="CN73:CN78" si="85">SUM(CF73:CL73)-(45*3)</f>
        <v>41</v>
      </c>
      <c r="CO73" s="48"/>
      <c r="CP73" s="48">
        <f t="shared" si="80"/>
        <v>1</v>
      </c>
      <c r="CQ73" s="48">
        <f t="shared" si="80"/>
        <v>13</v>
      </c>
      <c r="CR73" s="48">
        <f t="shared" si="80"/>
        <v>7</v>
      </c>
      <c r="CS73" s="48">
        <f t="shared" si="80"/>
        <v>15</v>
      </c>
      <c r="CT73" s="48">
        <f t="shared" si="80"/>
        <v>4</v>
      </c>
      <c r="CU73" s="48">
        <f t="shared" si="80"/>
        <v>11</v>
      </c>
      <c r="CV73" s="48">
        <v>6</v>
      </c>
      <c r="CW73" s="48">
        <v>26</v>
      </c>
      <c r="CY73" s="60"/>
      <c r="CZ73" s="60"/>
      <c r="DA73" s="60"/>
      <c r="DB73" s="60"/>
      <c r="DC73" s="21">
        <v>43</v>
      </c>
      <c r="DD73" s="21">
        <v>34</v>
      </c>
      <c r="DE73" s="21">
        <v>43</v>
      </c>
      <c r="DF73" s="21">
        <v>32</v>
      </c>
      <c r="DG73" s="21">
        <v>43</v>
      </c>
      <c r="DH73" s="21">
        <v>37</v>
      </c>
      <c r="DI73" s="21">
        <v>34</v>
      </c>
      <c r="DJ73" s="30">
        <v>38</v>
      </c>
      <c r="DO73" s="30"/>
      <c r="DP73" s="30"/>
      <c r="DQ73" s="30"/>
      <c r="DR73" s="30"/>
    </row>
    <row r="74" spans="1:122" s="23" customFormat="1" ht="17.25">
      <c r="C74" s="44">
        <v>543</v>
      </c>
      <c r="D74" s="108" t="s">
        <v>157</v>
      </c>
      <c r="E74" s="48">
        <v>27</v>
      </c>
      <c r="F74" s="63">
        <v>31</v>
      </c>
      <c r="G74" s="63">
        <v>4</v>
      </c>
      <c r="H74" s="48">
        <f>SUM(E74:F74)-(45*1)</f>
        <v>13</v>
      </c>
      <c r="I74" s="48">
        <v>12</v>
      </c>
      <c r="J74" s="49">
        <f>SUM(E74:I74)-(45*1)</f>
        <v>42</v>
      </c>
      <c r="K74" s="49">
        <f>SUM(E74:J74)-(45*2)</f>
        <v>39</v>
      </c>
      <c r="L74" s="49">
        <f>SUM(E74:K74)-(45*3)</f>
        <v>33</v>
      </c>
      <c r="M74" s="49">
        <f>SUM(E74:L74)-(45*4)</f>
        <v>21</v>
      </c>
      <c r="N74" s="49">
        <f>SUM(E74:M74)-(45*4)</f>
        <v>42</v>
      </c>
      <c r="O74" s="49">
        <f>SUM(E74:N74)-(45*5)</f>
        <v>39</v>
      </c>
      <c r="P74" s="49">
        <f>SUM(E74:O74)-(45*6)</f>
        <v>33</v>
      </c>
      <c r="Q74" s="49">
        <f>SUM(E74:P74)-(45*7)</f>
        <v>21</v>
      </c>
      <c r="R74" s="49">
        <f>SUM(E74:Q74)-(45*7)</f>
        <v>42</v>
      </c>
      <c r="S74" s="49">
        <f>SUM(E74:R74)-(45*8)</f>
        <v>39</v>
      </c>
      <c r="T74" s="49">
        <f>SUM(E74:S74)-(45*9)</f>
        <v>33</v>
      </c>
      <c r="U74" s="49">
        <f>SUM(E74:T74)-(45*10)</f>
        <v>21</v>
      </c>
      <c r="V74" s="49">
        <f>SUM(F74:U74)-(45*10)</f>
        <v>15</v>
      </c>
      <c r="W74" s="49">
        <f>SUM(G74:V74)-(45*9)</f>
        <v>44</v>
      </c>
      <c r="X74" s="49">
        <f>SUM(H74:W74)-(45*10)</f>
        <v>39</v>
      </c>
      <c r="Y74" s="49">
        <f>SUM(I74:X74)-(45*11)</f>
        <v>20</v>
      </c>
      <c r="Z74" s="49">
        <f>SUM(J74:Y74)-(45*11)</f>
        <v>28</v>
      </c>
      <c r="AA74" s="49">
        <f>SUM(K74:Z74)-(45*11)</f>
        <v>14</v>
      </c>
      <c r="AB74" s="49">
        <f>SUM(L74:AA74)-(45*10)</f>
        <v>34</v>
      </c>
      <c r="AC74" s="49">
        <f>SUM(M74:AB74)-(45*10)</f>
        <v>35</v>
      </c>
      <c r="AD74" s="49">
        <f>SUM(N74:AC74)-(45*11)</f>
        <v>4</v>
      </c>
      <c r="AE74" s="49">
        <f>SUM(O74:AD74)-(45*10)</f>
        <v>11</v>
      </c>
      <c r="AF74" s="49">
        <f>SUM(P74:AE74)-(45*9)</f>
        <v>28</v>
      </c>
      <c r="AG74" s="49">
        <f>SUM(Q74:AF74)-(45*9)</f>
        <v>23</v>
      </c>
      <c r="AH74" s="49">
        <f>SUM(R74:AG74)-(45*9)</f>
        <v>25</v>
      </c>
      <c r="AI74" s="49">
        <f>SUM(S74:AH74)-(45*9)</f>
        <v>8</v>
      </c>
      <c r="AJ74" s="49">
        <f>SUM(T74:AI74)-(45*8)</f>
        <v>22</v>
      </c>
      <c r="AK74" s="49">
        <f>SUM(U74:AJ74)-(45*8)</f>
        <v>11</v>
      </c>
      <c r="AL74" s="49">
        <f>SUM(V74:AK74)-(45*8)</f>
        <v>1</v>
      </c>
      <c r="AM74" s="49">
        <f>SUM(W74:AL74)-(45*7)</f>
        <v>32</v>
      </c>
      <c r="AN74" s="49">
        <f t="shared" si="81"/>
        <v>20</v>
      </c>
      <c r="AO74" s="49">
        <f t="shared" si="81"/>
        <v>1</v>
      </c>
      <c r="AP74" s="49">
        <f>SUM(Z74:AO74)-(45*6)</f>
        <v>27</v>
      </c>
      <c r="AQ74" s="49">
        <f>SUM(AA74:AP74)-(45*6)</f>
        <v>26</v>
      </c>
      <c r="AR74" s="49">
        <f>SUM(AB74:AQ74)-(45*6)</f>
        <v>38</v>
      </c>
      <c r="AS74" s="49">
        <f>SUM(AC74:AR74)-(45*6)</f>
        <v>42</v>
      </c>
      <c r="AT74" s="49">
        <f>SUM(AD74:AS74)-(45*7)</f>
        <v>4</v>
      </c>
      <c r="AU74" s="49">
        <f>SUM(AE74:AT74)-(45*7)</f>
        <v>4</v>
      </c>
      <c r="AV74" s="49">
        <f>SUM(AF74:AU74)-(45*6)</f>
        <v>42</v>
      </c>
      <c r="AW74" s="49">
        <f>SUM(AG74:AV74)-(45*7)</f>
        <v>11</v>
      </c>
      <c r="AX74" s="49">
        <f>SUM(AH74:AW74)-(45*6)</f>
        <v>44</v>
      </c>
      <c r="AY74" s="49">
        <f>SUM(AI74:AX74)-(45*7)</f>
        <v>18</v>
      </c>
      <c r="AZ74" s="49">
        <f>SUM(AJ74:AY74)-(45*7)</f>
        <v>28</v>
      </c>
      <c r="BA74" s="49">
        <f>SUM(AK74:AZ74)-(45*7)</f>
        <v>34</v>
      </c>
      <c r="BB74" s="49">
        <f>SUM(AL74:BA74)-(45*8)</f>
        <v>12</v>
      </c>
      <c r="BC74" s="49">
        <f>SUM(AM74:BB74)-(45*8)</f>
        <v>23</v>
      </c>
      <c r="BD74" s="49">
        <f>SUM(AN74:BC74)-(45*8)</f>
        <v>14</v>
      </c>
      <c r="BE74" s="49">
        <f>SUM(AO74:BD74)-(45*8)</f>
        <v>8</v>
      </c>
      <c r="BF74" s="49">
        <f>SUM(AP74:BE74)-(45*8)</f>
        <v>15</v>
      </c>
      <c r="BG74" s="49">
        <f>SUM(AQ74:BF74)-(45*8)</f>
        <v>3</v>
      </c>
      <c r="BH74" s="49">
        <f>SUM(AR74:BG74)-(45*7)</f>
        <v>25</v>
      </c>
      <c r="BI74" s="49">
        <f>SUM(AS74:BH74)-(45*7)</f>
        <v>12</v>
      </c>
      <c r="BJ74" s="49">
        <f>SUM(AT74:BI74)-(45*6)</f>
        <v>27</v>
      </c>
      <c r="BK74" s="49">
        <f>SUM(AU74:BJ74)-(45*7)</f>
        <v>5</v>
      </c>
      <c r="BL74" s="49">
        <f>SUM(AV74:BK74)-(45*7)</f>
        <v>6</v>
      </c>
      <c r="BM74" s="49">
        <f>SUM(AW74:BL74)-(45*6)</f>
        <v>15</v>
      </c>
      <c r="BN74" s="49">
        <f>SUM(AX74:BM74)-(45*6)</f>
        <v>19</v>
      </c>
      <c r="BO74" s="49">
        <f>SUM(AY74:BN74)-(45*5)</f>
        <v>39</v>
      </c>
      <c r="BP74" s="49">
        <f>SUM(AZ74:BO74)-(45*6)</f>
        <v>15</v>
      </c>
      <c r="BQ74" s="49">
        <f>SUM(BA74:BP74)-(45*6)</f>
        <v>2</v>
      </c>
      <c r="BR74" s="49">
        <f>SUM(BB74:BQ74)-(45*5)</f>
        <v>15</v>
      </c>
      <c r="BS74" s="49">
        <f>SUM(BC74:BR74)-(45*5)</f>
        <v>18</v>
      </c>
      <c r="BT74" s="49">
        <f>SUM(BD74:BS74)-(45*5)</f>
        <v>13</v>
      </c>
      <c r="BU74" s="49">
        <f>SUM(BE74:BT74)-(45*5)</f>
        <v>12</v>
      </c>
      <c r="BV74" s="49">
        <f>SUM(BF74:BU74)-(45*5)</f>
        <v>16</v>
      </c>
      <c r="BX74" s="190" t="s">
        <v>335</v>
      </c>
      <c r="BY74" s="23">
        <v>4</v>
      </c>
      <c r="BZ74" s="23">
        <v>1</v>
      </c>
      <c r="CE74" s="48">
        <v>543</v>
      </c>
      <c r="CF74" s="17">
        <v>13</v>
      </c>
      <c r="CG74" s="17">
        <v>18</v>
      </c>
      <c r="CH74" s="17">
        <v>26</v>
      </c>
      <c r="CI74" s="17">
        <v>31</v>
      </c>
      <c r="CJ74" s="17">
        <v>34</v>
      </c>
      <c r="CK74" s="17">
        <v>44</v>
      </c>
      <c r="CL74" s="17">
        <v>12</v>
      </c>
      <c r="CM74" s="58">
        <f t="shared" si="84"/>
        <v>31</v>
      </c>
      <c r="CN74" s="55">
        <f t="shared" si="85"/>
        <v>43</v>
      </c>
      <c r="CO74" s="48"/>
      <c r="CP74" s="48">
        <f t="shared" si="80"/>
        <v>5</v>
      </c>
      <c r="CQ74" s="48">
        <f t="shared" si="80"/>
        <v>8</v>
      </c>
      <c r="CR74" s="48">
        <f t="shared" si="80"/>
        <v>5</v>
      </c>
      <c r="CS74" s="48">
        <f t="shared" si="80"/>
        <v>3</v>
      </c>
      <c r="CT74" s="48">
        <f t="shared" si="80"/>
        <v>10</v>
      </c>
      <c r="CU74" s="48">
        <f t="shared" si="80"/>
        <v>32</v>
      </c>
      <c r="CV74" s="48">
        <v>12</v>
      </c>
      <c r="CW74" s="48">
        <f>47-45</f>
        <v>2</v>
      </c>
      <c r="CY74" s="21">
        <v>3</v>
      </c>
      <c r="DA74" s="60"/>
      <c r="DB74" s="21"/>
      <c r="DD74" s="21">
        <v>36</v>
      </c>
      <c r="DF74" s="21">
        <v>34</v>
      </c>
      <c r="DG74" s="21"/>
      <c r="DH74" s="21">
        <v>40</v>
      </c>
      <c r="DI74" s="21">
        <v>39</v>
      </c>
    </row>
    <row r="75" spans="1:122" s="23" customFormat="1" ht="17.25">
      <c r="C75" s="44">
        <v>544</v>
      </c>
      <c r="D75" s="108" t="s">
        <v>161</v>
      </c>
      <c r="E75" s="48">
        <v>4</v>
      </c>
      <c r="F75" s="63">
        <v>9</v>
      </c>
      <c r="G75" s="63">
        <v>1</v>
      </c>
      <c r="H75" s="48">
        <f>SUM(E75:F75)-(45*0)</f>
        <v>13</v>
      </c>
      <c r="I75" s="48">
        <v>13</v>
      </c>
      <c r="J75" s="49">
        <f>SUM(E75:I75)-(45*0)</f>
        <v>40</v>
      </c>
      <c r="K75" s="49">
        <f>SUM(E75:J75)-(45*1)</f>
        <v>35</v>
      </c>
      <c r="L75" s="49">
        <f>SUM(E75:K75)-(45*2)</f>
        <v>25</v>
      </c>
      <c r="M75" s="49">
        <f>SUM(E75:L75)-(45*3)</f>
        <v>5</v>
      </c>
      <c r="N75" s="49">
        <f>SUM(E75:M75)-(45*3)</f>
        <v>10</v>
      </c>
      <c r="O75" s="49">
        <f>SUM(E75:N75)-(45*3)</f>
        <v>20</v>
      </c>
      <c r="P75" s="49">
        <f>SUM(E75:O75)-(45*3)</f>
        <v>40</v>
      </c>
      <c r="Q75" s="49">
        <f>SUM(E75:P75)-(45*4)</f>
        <v>35</v>
      </c>
      <c r="R75" s="49">
        <f>SUM(E75:Q75)-(45*5)</f>
        <v>25</v>
      </c>
      <c r="S75" s="49">
        <f>SUM(E75:R75)-(45*6)</f>
        <v>5</v>
      </c>
      <c r="T75" s="49">
        <f>SUM(E75:S75)-(45*6)</f>
        <v>10</v>
      </c>
      <c r="U75" s="49">
        <f>SUM(E75:T75)-(45*6)</f>
        <v>20</v>
      </c>
      <c r="V75" s="49">
        <f>SUM(F75:U75)-(45*6)</f>
        <v>36</v>
      </c>
      <c r="W75" s="49">
        <f>SUM(G75:V75)-(45*7)</f>
        <v>18</v>
      </c>
      <c r="X75" s="49">
        <f>SUM(H75:W75)-(45*7)</f>
        <v>35</v>
      </c>
      <c r="Y75" s="49">
        <f>SUM(I75:X75)-(45*8)</f>
        <v>12</v>
      </c>
      <c r="Z75" s="49">
        <f>SUM(J75:Y75)-(45*8)</f>
        <v>11</v>
      </c>
      <c r="AA75" s="49">
        <f t="shared" ref="AA75:AF75" si="86">SUM(K75:Z75)-(45*7)</f>
        <v>27</v>
      </c>
      <c r="AB75" s="49">
        <f t="shared" si="86"/>
        <v>19</v>
      </c>
      <c r="AC75" s="49">
        <f t="shared" si="86"/>
        <v>13</v>
      </c>
      <c r="AD75" s="49">
        <f t="shared" si="86"/>
        <v>21</v>
      </c>
      <c r="AE75" s="49">
        <f t="shared" si="86"/>
        <v>32</v>
      </c>
      <c r="AF75" s="49">
        <f t="shared" si="86"/>
        <v>44</v>
      </c>
      <c r="AG75" s="49">
        <f>SUM(Q75:AF75)-(45*8)</f>
        <v>3</v>
      </c>
      <c r="AH75" s="49">
        <f>SUM(R75:AG75)-(45*7)</f>
        <v>16</v>
      </c>
      <c r="AI75" s="49">
        <f>SUM(S75:AH75)-(45*7)</f>
        <v>7</v>
      </c>
      <c r="AJ75" s="49">
        <f>SUM(T75:AI75)-(45*7)</f>
        <v>9</v>
      </c>
      <c r="AK75" s="49">
        <f>SUM(U75:AJ75)-(45*7)</f>
        <v>8</v>
      </c>
      <c r="AL75" s="49">
        <f>SUM(V75:AK75)-(45*6)</f>
        <v>41</v>
      </c>
      <c r="AM75" s="49">
        <f>SUM(W75:AL75)-(45*7)</f>
        <v>1</v>
      </c>
      <c r="AN75" s="49">
        <f>SUM(X75:AM75)-(45*6)</f>
        <v>29</v>
      </c>
      <c r="AO75" s="49">
        <f>SUM(Y75:AN75)-(45*6)</f>
        <v>23</v>
      </c>
      <c r="AP75" s="49">
        <f>SUM(Z75:AO75)-(45*6)</f>
        <v>34</v>
      </c>
      <c r="AQ75" s="49">
        <f>SUM(AA75:AP75)-(45*7)</f>
        <v>12</v>
      </c>
      <c r="AR75" s="49">
        <f>SUM(AB75:AQ75)-(45*6)</f>
        <v>42</v>
      </c>
      <c r="AS75" s="49">
        <f>SUM(AC75:AR75)-(45*7)</f>
        <v>20</v>
      </c>
      <c r="AT75" s="49">
        <f>SUM(AD75:AS75)-(45*7)</f>
        <v>27</v>
      </c>
      <c r="AU75" s="49">
        <f>SUM(AE75:AT75)-(45*7)</f>
        <v>33</v>
      </c>
      <c r="AV75" s="49">
        <f>SUM(AF75:AU75)-(45*7)</f>
        <v>34</v>
      </c>
      <c r="AW75" s="49">
        <f>SUM(AG75:AV75)-(45*7)</f>
        <v>24</v>
      </c>
      <c r="AX75" s="49">
        <f>SUM(AH75:AW75)-(45*7)</f>
        <v>45</v>
      </c>
      <c r="AY75" s="49">
        <f>SUM(AI75:AX75)-(45*8)</f>
        <v>29</v>
      </c>
      <c r="AZ75" s="49">
        <f>SUM(AJ75:AY75)-(45*9)</f>
        <v>6</v>
      </c>
      <c r="BA75" s="49">
        <f>SUM(AK75:AZ75)-(45*9)</f>
        <v>3</v>
      </c>
      <c r="BB75" s="49">
        <f>SUM(AL75:BA75)-(45*8)</f>
        <v>43</v>
      </c>
      <c r="BC75" s="49">
        <f>SUM(AM75:BB75)-(45*8)</f>
        <v>45</v>
      </c>
      <c r="BD75" s="49">
        <f>SUM(AN75:BC75)-(45*9)</f>
        <v>44</v>
      </c>
      <c r="BE75" s="49">
        <f>SUM(AO75:BD75)-(45*10)</f>
        <v>14</v>
      </c>
      <c r="BF75" s="49">
        <f>SUM(AP75:BE75)-(45*10)</f>
        <v>5</v>
      </c>
      <c r="BG75" s="49">
        <f>SUM(AQ75:BF75)-(45*9)</f>
        <v>21</v>
      </c>
      <c r="BH75" s="49">
        <f>SUM(AR75:BG75)-(45*9)</f>
        <v>30</v>
      </c>
      <c r="BI75" s="49">
        <f>SUM(AS75:BH75)-(45*9)</f>
        <v>18</v>
      </c>
      <c r="BJ75" s="49">
        <f>SUM(AT75:BI75)-(45*9)</f>
        <v>16</v>
      </c>
      <c r="BK75" s="49">
        <f>SUM(AU75:BJ75)-(45*9)</f>
        <v>5</v>
      </c>
      <c r="BL75" s="49">
        <f>SUM(AV75:BK75)-(45*8)</f>
        <v>22</v>
      </c>
      <c r="BM75" s="49">
        <f>SUM(AW75:BL75)-(45*8)</f>
        <v>10</v>
      </c>
      <c r="BN75" s="49">
        <f>SUM(AX75:BM75)-(45*7)</f>
        <v>41</v>
      </c>
      <c r="BO75" s="49">
        <f>SUM(AY75:BN75)-(45*7)</f>
        <v>37</v>
      </c>
      <c r="BP75" s="49">
        <f>SUM(AZ75:BO75)-(45*7)</f>
        <v>45</v>
      </c>
      <c r="BQ75" s="49">
        <f>SUM(BA75:BP75)-(45*8)</f>
        <v>39</v>
      </c>
      <c r="BR75" s="49">
        <f>SUM(BB75:BQ75)-(45*9)</f>
        <v>30</v>
      </c>
      <c r="BS75" s="49">
        <f>SUM(BC75:BR75)-(45*9)</f>
        <v>17</v>
      </c>
      <c r="BT75" s="49">
        <f>SUM(BD75:BS75)-(45*8)</f>
        <v>34</v>
      </c>
      <c r="BU75" s="49">
        <f>SUM(BE75:BT75)-(45*8)</f>
        <v>24</v>
      </c>
      <c r="BV75" s="49">
        <f>SUM(BF75:BU75)-(45*8)</f>
        <v>34</v>
      </c>
      <c r="BX75" s="190" t="s">
        <v>335</v>
      </c>
      <c r="BY75" s="23">
        <v>4</v>
      </c>
      <c r="BZ75" s="23">
        <v>1</v>
      </c>
      <c r="CE75" s="48">
        <v>544</v>
      </c>
      <c r="CF75" s="17">
        <v>5</v>
      </c>
      <c r="CG75" s="17">
        <v>17</v>
      </c>
      <c r="CH75" s="17">
        <v>21</v>
      </c>
      <c r="CI75" s="17">
        <v>25</v>
      </c>
      <c r="CJ75" s="17">
        <v>36</v>
      </c>
      <c r="CK75" s="17">
        <v>44</v>
      </c>
      <c r="CL75" s="17">
        <v>10</v>
      </c>
      <c r="CM75" s="58">
        <f t="shared" si="84"/>
        <v>13</v>
      </c>
      <c r="CN75" s="55">
        <f t="shared" si="85"/>
        <v>23</v>
      </c>
      <c r="CO75" s="48"/>
      <c r="CP75" s="48">
        <f t="shared" si="80"/>
        <v>12</v>
      </c>
      <c r="CQ75" s="48">
        <f t="shared" si="80"/>
        <v>4</v>
      </c>
      <c r="CR75" s="48">
        <f t="shared" si="80"/>
        <v>4</v>
      </c>
      <c r="CS75" s="48">
        <f t="shared" si="80"/>
        <v>11</v>
      </c>
      <c r="CT75" s="48">
        <f t="shared" si="80"/>
        <v>8</v>
      </c>
      <c r="CU75" s="48">
        <f t="shared" si="80"/>
        <v>34</v>
      </c>
      <c r="CV75" s="48">
        <v>13</v>
      </c>
      <c r="CW75" s="48">
        <f>47-45</f>
        <v>2</v>
      </c>
      <c r="CY75" s="21">
        <v>3</v>
      </c>
      <c r="DA75" s="21"/>
      <c r="DB75" s="21"/>
      <c r="DD75" s="21">
        <v>37</v>
      </c>
      <c r="DE75" s="21"/>
      <c r="DF75" s="21">
        <v>41</v>
      </c>
      <c r="DH75" s="21">
        <v>43</v>
      </c>
    </row>
    <row r="76" spans="1:122" s="23" customFormat="1" ht="17.25">
      <c r="C76" s="44">
        <v>545</v>
      </c>
      <c r="D76" s="108" t="s">
        <v>162</v>
      </c>
      <c r="E76" s="48">
        <v>11</v>
      </c>
      <c r="F76" s="63">
        <v>16</v>
      </c>
      <c r="G76" s="63">
        <v>2</v>
      </c>
      <c r="H76" s="48">
        <f>SUM(E76:F76)-(45*0)</f>
        <v>27</v>
      </c>
      <c r="I76" s="48">
        <v>14</v>
      </c>
      <c r="J76" s="49">
        <f>SUM(E76:I76)-(45*1)</f>
        <v>25</v>
      </c>
      <c r="K76" s="49">
        <f>SUM(E76:J76)-(45*2)</f>
        <v>5</v>
      </c>
      <c r="L76" s="49">
        <f>SUM(E76:K76)-(45*2)</f>
        <v>10</v>
      </c>
      <c r="M76" s="49">
        <f>SUM(E76:L76)-(45*2)</f>
        <v>20</v>
      </c>
      <c r="N76" s="49">
        <f>SUM(E76:M76)-(45*2)</f>
        <v>40</v>
      </c>
      <c r="O76" s="49">
        <f>SUM(E76:N76)-(45*3)</f>
        <v>35</v>
      </c>
      <c r="P76" s="49">
        <f>SUM(E76:O76)-(45*4)</f>
        <v>25</v>
      </c>
      <c r="Q76" s="49">
        <f>SUM(E76:P76)-(45*5)</f>
        <v>5</v>
      </c>
      <c r="R76" s="49">
        <f>SUM(E76:Q76)-(45*5)</f>
        <v>10</v>
      </c>
      <c r="S76" s="49">
        <f>SUM(E76:R76)-(45*5)</f>
        <v>20</v>
      </c>
      <c r="T76" s="49">
        <f>SUM(E76:S76)-(45*5)</f>
        <v>40</v>
      </c>
      <c r="U76" s="49">
        <f>SUM(E76:T76)-(45*6)</f>
        <v>35</v>
      </c>
      <c r="V76" s="49">
        <f>SUM(F76:U76)-(45*7)</f>
        <v>14</v>
      </c>
      <c r="W76" s="49">
        <f>SUM(G76:V76)-(45*7)</f>
        <v>12</v>
      </c>
      <c r="X76" s="49">
        <f>SUM(H76:W76)-(45*7)</f>
        <v>22</v>
      </c>
      <c r="Y76" s="49">
        <f>SUM(I76:X76)-(45*7)</f>
        <v>17</v>
      </c>
      <c r="Z76" s="49">
        <f>SUM(J76:Y76)-(45*7)</f>
        <v>20</v>
      </c>
      <c r="AA76" s="49">
        <f>SUM(K76:Z76)-(45*7)</f>
        <v>15</v>
      </c>
      <c r="AB76" s="49">
        <f>SUM(L76:AA76)-(45*7)</f>
        <v>25</v>
      </c>
      <c r="AC76" s="49">
        <f>SUM(M76:AB76)-(45*7)</f>
        <v>40</v>
      </c>
      <c r="AD76" s="49">
        <f>SUM(N76:AC76)-(45*8)</f>
        <v>15</v>
      </c>
      <c r="AE76" s="49">
        <f>SUM(O76:AD76)-(45*7)</f>
        <v>35</v>
      </c>
      <c r="AF76" s="49">
        <f>SUM(P76:AE76)-(45*7)</f>
        <v>35</v>
      </c>
      <c r="AG76" s="49">
        <f>SUM(Q76:AF76)-(45*7)</f>
        <v>45</v>
      </c>
      <c r="AH76" s="49">
        <f>SUM(R76:AG76)-(45*8)</f>
        <v>40</v>
      </c>
      <c r="AI76" s="49">
        <f>SUM(S76:AH76)-(45*9)</f>
        <v>25</v>
      </c>
      <c r="AJ76" s="49">
        <f>SUM(T76:AI76)-(45*9)</f>
        <v>30</v>
      </c>
      <c r="AK76" s="49">
        <f>SUM(U76:AJ76)-(45*9)</f>
        <v>20</v>
      </c>
      <c r="AL76" s="49">
        <f>SUM(V76:AK76)-(45*9)</f>
        <v>5</v>
      </c>
      <c r="AM76" s="49">
        <f>SUM(W76:AL76)-(45*8)</f>
        <v>41</v>
      </c>
      <c r="AN76" s="49">
        <f>SUM(X76:AM76)-(45*9)</f>
        <v>25</v>
      </c>
      <c r="AO76" s="49">
        <f>SUM(Y76:AN76)-(45*9)</f>
        <v>28</v>
      </c>
      <c r="AP76" s="49">
        <f>SUM(Z76:AO76)-(45*9)</f>
        <v>39</v>
      </c>
      <c r="AQ76" s="49">
        <f>SUM(AA76:AP76)-(45*10)</f>
        <v>13</v>
      </c>
      <c r="AR76" s="49">
        <f>SUM(AB76:AQ76)-(45*10)</f>
        <v>11</v>
      </c>
      <c r="AS76" s="49">
        <f>SUM(AC76:AR76)-(45*9)</f>
        <v>42</v>
      </c>
      <c r="AT76" s="49">
        <f>SUM(AD76:AS76)-(45*9)</f>
        <v>44</v>
      </c>
      <c r="AU76" s="49">
        <f>SUM(AE76:AT76)-(45*10)</f>
        <v>28</v>
      </c>
      <c r="AV76" s="49">
        <f>SUM(AF76:AU76)-(45*10)</f>
        <v>21</v>
      </c>
      <c r="AW76" s="49">
        <f>SUM(AG76:AV76)-(45*10)</f>
        <v>7</v>
      </c>
      <c r="AX76" s="49">
        <f>SUM(AH76:AW76)-(45*9)</f>
        <v>14</v>
      </c>
      <c r="AY76" s="49">
        <f>SUM(AI76:AX76)-(45*8)</f>
        <v>33</v>
      </c>
      <c r="AZ76" s="49">
        <f>SUM(AJ76:AY76)-(45*8)</f>
        <v>41</v>
      </c>
      <c r="BA76" s="49">
        <f>SUM(AK76:AZ76)-(45*9)</f>
        <v>7</v>
      </c>
      <c r="BB76" s="49">
        <f>SUM(AL76:BA76)-(45*8)</f>
        <v>39</v>
      </c>
      <c r="BC76" s="49">
        <f>SUM(AM76:BB76)-(45*9)</f>
        <v>28</v>
      </c>
      <c r="BD76" s="49">
        <f>SUM(AN76:BC76)-(45*9)</f>
        <v>15</v>
      </c>
      <c r="BE76" s="49">
        <f>SUM(AO76:BD76)-(45*9)</f>
        <v>5</v>
      </c>
      <c r="BF76" s="49">
        <f>SUM(AP76:BE76)-(45*8)</f>
        <v>27</v>
      </c>
      <c r="BG76" s="49">
        <f>SUM(AQ76:BF76)-(45*8)</f>
        <v>15</v>
      </c>
      <c r="BH76" s="49">
        <f>SUM(AR76:BG76)-(45*8)</f>
        <v>17</v>
      </c>
      <c r="BI76" s="49">
        <f>SUM(AS76:BH76)-(45*8)</f>
        <v>23</v>
      </c>
      <c r="BJ76" s="49">
        <f>SUM(AT76:BI76)-(45*8)</f>
        <v>4</v>
      </c>
      <c r="BK76" s="49">
        <f>SUM(AU76:BJ76)-(45*7)</f>
        <v>9</v>
      </c>
      <c r="BL76" s="49">
        <f>SUM(AV76:BK76)-(45*6)</f>
        <v>35</v>
      </c>
      <c r="BM76" s="49">
        <f>SUM(AW76:BL76)-(45*7)</f>
        <v>4</v>
      </c>
      <c r="BN76" s="49">
        <f>SUM(AX76:BM76)-(45*7)</f>
        <v>1</v>
      </c>
      <c r="BO76" s="49">
        <f>SUM(AY76:BN76)-(45*6)</f>
        <v>33</v>
      </c>
      <c r="BP76" s="49">
        <f>SUM(AZ76:BO76)-(45*6)</f>
        <v>33</v>
      </c>
      <c r="BQ76" s="49">
        <f>SUM(BA76:BP76)-(45*6)</f>
        <v>25</v>
      </c>
      <c r="BR76" s="49">
        <f>SUM(BB76:BQ76)-(45*6)</f>
        <v>43</v>
      </c>
      <c r="BS76" s="49">
        <f>SUM(BC76:BR76)-(45*7)</f>
        <v>2</v>
      </c>
      <c r="BT76" s="49">
        <f>SUM(BD76:BS76)-(45*6)</f>
        <v>21</v>
      </c>
      <c r="BU76" s="49">
        <f>SUM(BE76:BT76)-(45*6)</f>
        <v>27</v>
      </c>
      <c r="BV76" s="49">
        <f>SUM(BF76:BU76)-(45*7)</f>
        <v>4</v>
      </c>
      <c r="BX76" s="190" t="s">
        <v>335</v>
      </c>
      <c r="BY76" s="150">
        <v>3</v>
      </c>
      <c r="BZ76" s="23">
        <v>2</v>
      </c>
      <c r="CE76" s="48">
        <v>545</v>
      </c>
      <c r="CF76" s="17">
        <v>4</v>
      </c>
      <c r="CG76" s="17">
        <v>24</v>
      </c>
      <c r="CH76" s="17">
        <v>25</v>
      </c>
      <c r="CI76" s="17">
        <v>27</v>
      </c>
      <c r="CJ76" s="17">
        <v>34</v>
      </c>
      <c r="CK76" s="17">
        <v>35</v>
      </c>
      <c r="CL76" s="17">
        <v>2</v>
      </c>
      <c r="CM76" s="58">
        <f t="shared" si="84"/>
        <v>14</v>
      </c>
      <c r="CN76" s="55">
        <f t="shared" si="85"/>
        <v>16</v>
      </c>
      <c r="CO76" s="48"/>
      <c r="CP76" s="48">
        <f t="shared" si="80"/>
        <v>20</v>
      </c>
      <c r="CQ76" s="48">
        <f t="shared" si="80"/>
        <v>1</v>
      </c>
      <c r="CR76" s="48">
        <f t="shared" si="80"/>
        <v>2</v>
      </c>
      <c r="CS76" s="48">
        <f t="shared" si="80"/>
        <v>7</v>
      </c>
      <c r="CT76" s="48">
        <f t="shared" si="80"/>
        <v>1</v>
      </c>
      <c r="CU76" s="48">
        <f t="shared" si="80"/>
        <v>33</v>
      </c>
      <c r="CV76" s="48">
        <v>11</v>
      </c>
      <c r="CW76" s="48">
        <v>42</v>
      </c>
      <c r="CY76" s="23">
        <v>5</v>
      </c>
    </row>
    <row r="77" spans="1:122" s="23" customFormat="1" ht="17.25">
      <c r="C77" s="44">
        <v>546</v>
      </c>
      <c r="D77" s="108" t="s">
        <v>166</v>
      </c>
      <c r="E77" s="48">
        <v>18</v>
      </c>
      <c r="F77" s="63">
        <v>23</v>
      </c>
      <c r="G77" s="63">
        <v>3</v>
      </c>
      <c r="H77" s="48">
        <f>SUM(E77:F77)-(45*0)</f>
        <v>41</v>
      </c>
      <c r="I77" s="48">
        <v>15</v>
      </c>
      <c r="J77" s="49">
        <f>SUM(E77:I77)-(45*2)</f>
        <v>10</v>
      </c>
      <c r="K77" s="49">
        <f>SUM(E77:J77)-(45*2)</f>
        <v>20</v>
      </c>
      <c r="L77" s="49">
        <f>SUM(E77:K77)-(45*2)</f>
        <v>40</v>
      </c>
      <c r="M77" s="49">
        <f>SUM(E77:L77)-(45*3)</f>
        <v>35</v>
      </c>
      <c r="N77" s="49">
        <f>SUM(E77:M77)-(45*4)</f>
        <v>25</v>
      </c>
      <c r="O77" s="49">
        <f>SUM(E77:N77)-(45*5)</f>
        <v>5</v>
      </c>
      <c r="P77" s="49">
        <f>SUM(E77:O77)-(45*5)</f>
        <v>10</v>
      </c>
      <c r="Q77" s="49">
        <f>SUM(E77:P77)-(45*5)</f>
        <v>20</v>
      </c>
      <c r="R77" s="49">
        <f>SUM(E77:Q77)-(45*5)</f>
        <v>40</v>
      </c>
      <c r="S77" s="49">
        <f>SUM(E77:R77)-(45*6)</f>
        <v>35</v>
      </c>
      <c r="T77" s="49">
        <f>SUM(E77:S77)-(45*7)</f>
        <v>25</v>
      </c>
      <c r="U77" s="49">
        <f>SUM(E77:T77)-(45*8)</f>
        <v>5</v>
      </c>
      <c r="V77" s="49">
        <f>SUM(F77:U77)-(45*7)</f>
        <v>37</v>
      </c>
      <c r="W77" s="49">
        <f>SUM(G77:V77)-(45*8)</f>
        <v>6</v>
      </c>
      <c r="X77" s="49">
        <f>SUM(H77:W77)-(45*8)</f>
        <v>9</v>
      </c>
      <c r="Y77" s="49">
        <f>SUM(I77:X77)-(45*7)</f>
        <v>22</v>
      </c>
      <c r="Z77" s="49">
        <f>SUM(J77:Y77)-(45*7)</f>
        <v>29</v>
      </c>
      <c r="AA77" s="49">
        <f>SUM(K77:Z77)-(45*8)</f>
        <v>3</v>
      </c>
      <c r="AB77" s="49">
        <f>SUM(L77:AA77)-(45*7)</f>
        <v>31</v>
      </c>
      <c r="AC77" s="49">
        <f>SUM(M77:AB77)-(45*7)</f>
        <v>22</v>
      </c>
      <c r="AD77" s="49">
        <f>SUM(N77:AC77)-(45*7)</f>
        <v>9</v>
      </c>
      <c r="AE77" s="49">
        <f>SUM(O77:AD77)-(45*6)</f>
        <v>38</v>
      </c>
      <c r="AF77" s="49">
        <f>SUM(P77:AE77)-(45*7)</f>
        <v>26</v>
      </c>
      <c r="AG77" s="49">
        <f>SUM(Q77:AF77)-(45*7)</f>
        <v>42</v>
      </c>
      <c r="AH77" s="49">
        <f>SUM(R77:AG77)-(45*8)</f>
        <v>19</v>
      </c>
      <c r="AI77" s="49">
        <f>SUM(S77:AH77)-(45*7)</f>
        <v>43</v>
      </c>
      <c r="AJ77" s="49">
        <f>SUM(T77:AI77)-(45*8)</f>
        <v>6</v>
      </c>
      <c r="AK77" s="49">
        <f>SUM(U77:AJ77)-(45*7)</f>
        <v>32</v>
      </c>
      <c r="AL77" s="49">
        <f>SUM(V77:AK77)-(45*8)</f>
        <v>14</v>
      </c>
      <c r="AM77" s="49">
        <f>SUM(W77:AL77)-(45*7)</f>
        <v>36</v>
      </c>
      <c r="AN77" s="49">
        <f>SUM(X77:AM77)-(45*8)</f>
        <v>21</v>
      </c>
      <c r="AO77" s="49">
        <f>SUM(Y77:AN77)-(45*8)</f>
        <v>33</v>
      </c>
      <c r="AP77" s="49">
        <f>SUM(Z77:AO77)-(45*8)</f>
        <v>44</v>
      </c>
      <c r="AQ77" s="49">
        <f>SUM(AA77:AP77)-(45*9)</f>
        <v>14</v>
      </c>
      <c r="AR77" s="49">
        <f>SUM(AB77:AQ77)-(45*9)</f>
        <v>25</v>
      </c>
      <c r="AS77" s="49">
        <f>SUM(AC77:AR77)-(45*9)</f>
        <v>19</v>
      </c>
      <c r="AT77" s="49">
        <f>SUM(AD77:AS77)-(45*9)</f>
        <v>16</v>
      </c>
      <c r="AU77" s="49">
        <f>SUM(AE77:AT77)-(45*9)</f>
        <v>23</v>
      </c>
      <c r="AV77" s="49">
        <f>SUM(AF77:AU77)-(45*9)</f>
        <v>8</v>
      </c>
      <c r="AW77" s="49">
        <f>SUM(AG77:AV77)-(45*8)</f>
        <v>35</v>
      </c>
      <c r="AX77" s="49">
        <f>SUM(AH77:AW77)-(45*8)</f>
        <v>28</v>
      </c>
      <c r="AY77" s="49">
        <f>SUM(AI77:AX77)-(45*8)</f>
        <v>37</v>
      </c>
      <c r="AZ77" s="49">
        <f>SUM(AJ77:AY77)-(45*8)</f>
        <v>31</v>
      </c>
      <c r="BA77" s="49">
        <f>SUM(AK77:AZ77)-(45*9)</f>
        <v>11</v>
      </c>
      <c r="BB77" s="49">
        <f>SUM(AL77:BA77)-(45*8)</f>
        <v>35</v>
      </c>
      <c r="BC77" s="49">
        <f>SUM(AM77:BB77)-(45*9)</f>
        <v>11</v>
      </c>
      <c r="BD77" s="49">
        <f>SUM(AN77:BC77)-(45*8)</f>
        <v>31</v>
      </c>
      <c r="BE77" s="49">
        <f>SUM(AO77:BD77)-(45*8)</f>
        <v>41</v>
      </c>
      <c r="BF77" s="49">
        <f>SUM(AP77:BE77)-(45*9)</f>
        <v>4</v>
      </c>
      <c r="BG77" s="49">
        <f>SUM(AQ77:BF77)-(45*8)</f>
        <v>9</v>
      </c>
      <c r="BH77" s="49">
        <f>SUM(AR77:BG77)-(45*8)</f>
        <v>4</v>
      </c>
      <c r="BI77" s="49">
        <f>SUM(AS77:BH77)-(45*7)</f>
        <v>28</v>
      </c>
      <c r="BJ77" s="49">
        <f>SUM(AT77:BI77)-(45*7)</f>
        <v>37</v>
      </c>
      <c r="BK77" s="49">
        <f>SUM(AU77:BJ77)-(45*8)</f>
        <v>13</v>
      </c>
      <c r="BL77" s="49">
        <f>SUM(AV77:BK77)-(45*8)</f>
        <v>3</v>
      </c>
      <c r="BM77" s="49">
        <f>SUM(AW77:BL77)-(45*7)</f>
        <v>43</v>
      </c>
      <c r="BN77" s="49">
        <f>SUM(AX77:BM77)-(45*8)</f>
        <v>6</v>
      </c>
      <c r="BO77" s="49">
        <f>SUM(AY77:BN77)-(45*7)</f>
        <v>29</v>
      </c>
      <c r="BP77" s="49">
        <f>SUM(AZ77:BO77)-(45*7)</f>
        <v>21</v>
      </c>
      <c r="BQ77" s="49">
        <f>SUM(BA77:BP77)-(45*7)</f>
        <v>11</v>
      </c>
      <c r="BR77" s="49">
        <f>SUM(BB77:BQ77)-(45*7)</f>
        <v>11</v>
      </c>
      <c r="BS77" s="49">
        <f>SUM(BC77:BR77)-(45*6)</f>
        <v>32</v>
      </c>
      <c r="BT77" s="49">
        <f>SUM(BD77:BS77)-(45*7)</f>
        <v>8</v>
      </c>
      <c r="BU77" s="49">
        <f>SUM(BE77:BT77)-(45*6)</f>
        <v>30</v>
      </c>
      <c r="BV77" s="49">
        <f>SUM(BF77:BU77)-(45*6)</f>
        <v>19</v>
      </c>
      <c r="BX77" s="190" t="s">
        <v>334</v>
      </c>
      <c r="BY77" s="23">
        <v>3</v>
      </c>
      <c r="BZ77" s="23">
        <v>1</v>
      </c>
      <c r="CE77" s="48">
        <v>546</v>
      </c>
      <c r="CF77" s="17">
        <v>8</v>
      </c>
      <c r="CG77" s="17">
        <v>17</v>
      </c>
      <c r="CH77" s="17">
        <v>20</v>
      </c>
      <c r="CI77" s="17">
        <v>27</v>
      </c>
      <c r="CJ77" s="17">
        <v>37</v>
      </c>
      <c r="CK77" s="17">
        <v>43</v>
      </c>
      <c r="CL77" s="17">
        <v>6</v>
      </c>
      <c r="CM77" s="58">
        <f t="shared" si="84"/>
        <v>17</v>
      </c>
      <c r="CN77" s="55">
        <f t="shared" si="85"/>
        <v>23</v>
      </c>
      <c r="CO77" s="17"/>
      <c r="CP77" s="48">
        <f t="shared" si="80"/>
        <v>9</v>
      </c>
      <c r="CQ77" s="48">
        <f t="shared" si="80"/>
        <v>3</v>
      </c>
      <c r="CR77" s="48">
        <f t="shared" si="80"/>
        <v>7</v>
      </c>
      <c r="CS77" s="48">
        <f t="shared" si="80"/>
        <v>10</v>
      </c>
      <c r="CT77" s="48">
        <f t="shared" si="80"/>
        <v>6</v>
      </c>
      <c r="CU77" s="48">
        <f t="shared" si="80"/>
        <v>37</v>
      </c>
      <c r="CV77" s="48">
        <v>30</v>
      </c>
      <c r="CW77" s="48">
        <f>55-45</f>
        <v>10</v>
      </c>
      <c r="CY77" s="23">
        <v>2</v>
      </c>
    </row>
    <row r="78" spans="1:122" s="23" customFormat="1" ht="17.25">
      <c r="C78" s="44">
        <v>547</v>
      </c>
      <c r="D78" s="108" t="s">
        <v>167</v>
      </c>
      <c r="E78" s="48">
        <v>25</v>
      </c>
      <c r="F78" s="63">
        <v>30</v>
      </c>
      <c r="G78" s="63">
        <v>4</v>
      </c>
      <c r="H78" s="48">
        <f>SUM(E78:F78)-(45*1)</f>
        <v>10</v>
      </c>
      <c r="I78" s="48">
        <v>16</v>
      </c>
      <c r="J78" s="49">
        <f>SUM(E78:I78)-(45*1)</f>
        <v>40</v>
      </c>
      <c r="K78" s="49">
        <f>SUM(E78:J78)-(45*2)</f>
        <v>35</v>
      </c>
      <c r="L78" s="49">
        <f>SUM(E78:K78)-(45*3)</f>
        <v>25</v>
      </c>
      <c r="M78" s="49">
        <f>SUM(E78:L78)-(45*4)</f>
        <v>5</v>
      </c>
      <c r="N78" s="49">
        <f>SUM(E78:M78)-(45*4)</f>
        <v>10</v>
      </c>
      <c r="O78" s="49">
        <f>SUM(E78:N78)-(45*4)</f>
        <v>20</v>
      </c>
      <c r="P78" s="49">
        <f>SUM(E78:O78)-(45*4)</f>
        <v>40</v>
      </c>
      <c r="Q78" s="49">
        <f>SUM(E78:P78)-(45*5)</f>
        <v>35</v>
      </c>
      <c r="R78" s="49">
        <f>SUM(E78:Q78)-(45*6)</f>
        <v>25</v>
      </c>
      <c r="S78" s="49">
        <f>SUM(E78:R78)-(45*7)</f>
        <v>5</v>
      </c>
      <c r="T78" s="49">
        <f>SUM(E78:S78)-(45*7)</f>
        <v>10</v>
      </c>
      <c r="U78" s="49">
        <f>SUM(E78:T78)-(45*7)</f>
        <v>20</v>
      </c>
      <c r="V78" s="49">
        <f>SUM(F78:U78)-(45*7)</f>
        <v>15</v>
      </c>
      <c r="W78" s="49">
        <f>SUM(G78:V78)-(45*6)</f>
        <v>45</v>
      </c>
      <c r="X78" s="49">
        <f>SUM(H78:W78)-(45*7)</f>
        <v>41</v>
      </c>
      <c r="Y78" s="49">
        <f>SUM(I78:X78)-(45*8)</f>
        <v>27</v>
      </c>
      <c r="Z78" s="49">
        <f>SUM(J78:Y78)-(45*8)</f>
        <v>38</v>
      </c>
      <c r="AA78" s="49">
        <f>SUM(K78:Z78)-(45*8)</f>
        <v>36</v>
      </c>
      <c r="AB78" s="49">
        <f>SUM(L78:AA78)-(45*8)</f>
        <v>37</v>
      </c>
      <c r="AC78" s="49">
        <f>SUM(M78:AB78)-(45*9)</f>
        <v>4</v>
      </c>
      <c r="AD78" s="49">
        <f>SUM(N78:AC78)-(45*9)</f>
        <v>3</v>
      </c>
      <c r="AE78" s="49">
        <f>SUM(O78:AD78)-(45*8)</f>
        <v>41</v>
      </c>
      <c r="AF78" s="49">
        <f>SUM(P78:AE78)-(45*9)</f>
        <v>17</v>
      </c>
      <c r="AG78" s="49">
        <f>SUM(Q78:AF78)-(45*8)</f>
        <v>39</v>
      </c>
      <c r="AH78" s="49">
        <f>SUM(R78:AG78)-(45*8)</f>
        <v>43</v>
      </c>
      <c r="AI78" s="49">
        <f>SUM(S78:AH78)-(45*9)</f>
        <v>16</v>
      </c>
      <c r="AJ78" s="49">
        <f>SUM(T78:AI78)-(45*9)</f>
        <v>27</v>
      </c>
      <c r="AK78" s="49">
        <f>SUM(U78:AJ78)-(45*9)</f>
        <v>44</v>
      </c>
      <c r="AL78" s="49">
        <f>SUM(V78:AK78)-(45*10)</f>
        <v>23</v>
      </c>
      <c r="AM78" s="49">
        <f>SUM(W78:AL78)-(45*10)</f>
        <v>31</v>
      </c>
      <c r="AN78" s="49">
        <f>SUM(X78:AM78)-(45*10)</f>
        <v>17</v>
      </c>
      <c r="AO78" s="49">
        <f>SUM(Y78:AN78)-(45*9)</f>
        <v>38</v>
      </c>
      <c r="AP78" s="49">
        <f>SUM(Z78:AO78)-(45*10)</f>
        <v>4</v>
      </c>
      <c r="AQ78" s="49">
        <f>SUM(AA78:AP78)-(45*9)</f>
        <v>15</v>
      </c>
      <c r="AR78" s="49">
        <f>SUM(AB78:AQ78)-(45*8)</f>
        <v>39</v>
      </c>
      <c r="AS78" s="49">
        <f>SUM(AC78:AR78)-(45*8)</f>
        <v>41</v>
      </c>
      <c r="AT78" s="49">
        <f>SUM(AD78:AS78)-(45*9)</f>
        <v>33</v>
      </c>
      <c r="AU78" s="49">
        <f>SUM(AE78:AT78)-(45*10)</f>
        <v>18</v>
      </c>
      <c r="AV78" s="49">
        <f>SUM(AF78:AU78)-(45*9)</f>
        <v>40</v>
      </c>
      <c r="AW78" s="49">
        <f>SUM(AG78:AV78)-(45*10)</f>
        <v>18</v>
      </c>
      <c r="AX78" s="49">
        <f>SUM(AH78:AW78)-(45*9)</f>
        <v>42</v>
      </c>
      <c r="AY78" s="49">
        <f>SUM(AI78:AX78)-(45*9)</f>
        <v>41</v>
      </c>
      <c r="AZ78" s="49">
        <f>SUM(AJ78:AY78)-(45*10)</f>
        <v>21</v>
      </c>
      <c r="BA78" s="49">
        <f>SUM(AK78:AZ78)-(45*10)</f>
        <v>15</v>
      </c>
      <c r="BB78" s="49">
        <f>SUM(AL78:BA78)-(45*9)</f>
        <v>31</v>
      </c>
      <c r="BC78" s="49">
        <f>SUM(AM78:BB78)-(45*9)</f>
        <v>39</v>
      </c>
      <c r="BD78" s="49">
        <f>SUM(AN78:BC78)-(45*10)</f>
        <v>2</v>
      </c>
      <c r="BE78" s="49">
        <f>SUM(AO78:BD78)-(45*9)</f>
        <v>32</v>
      </c>
      <c r="BF78" s="49">
        <f>SUM(AP78:BE78)-(45*9)</f>
        <v>26</v>
      </c>
      <c r="BG78" s="49">
        <f>SUM(AQ78:BF78)-(45*10)</f>
        <v>3</v>
      </c>
      <c r="BH78" s="49">
        <f>SUM(AR78:BG78)-(45*9)</f>
        <v>36</v>
      </c>
      <c r="BI78" s="49">
        <f>SUM(AS78:BH78)-(45*9)</f>
        <v>33</v>
      </c>
      <c r="BJ78" s="49">
        <f>SUM(AT78:BI78)-(45*9)</f>
        <v>25</v>
      </c>
      <c r="BK78" s="49">
        <f>SUM(AU78:BJ78)-(45*9)</f>
        <v>17</v>
      </c>
      <c r="BL78" s="49">
        <f>SUM(AV78:BK78)-(45*9)</f>
        <v>16</v>
      </c>
      <c r="BM78" s="49">
        <f>SUM(AW78:BL78)-(45*8)</f>
        <v>37</v>
      </c>
      <c r="BN78" s="49">
        <f>SUM(AX78:BM78)-(45*9)</f>
        <v>11</v>
      </c>
      <c r="BO78" s="49">
        <f>SUM(AY78:BN78)-(45*8)</f>
        <v>25</v>
      </c>
      <c r="BP78" s="49">
        <f>SUM(AZ78:BO78)-(45*8)</f>
        <v>9</v>
      </c>
      <c r="BQ78" s="49">
        <f>SUM(BA78:BP78)-(45*7)</f>
        <v>42</v>
      </c>
      <c r="BR78" s="49">
        <f>SUM(BB78:BQ78)-(45*8)</f>
        <v>24</v>
      </c>
      <c r="BS78" s="49">
        <f>SUM(BC78:BR78)-(45*8)</f>
        <v>17</v>
      </c>
      <c r="BT78" s="49">
        <f>SUM(BD78:BS78)-(45*7)</f>
        <v>40</v>
      </c>
      <c r="BU78" s="49">
        <f>SUM(BE78:BT78)-(45*8)</f>
        <v>33</v>
      </c>
      <c r="BV78" s="49">
        <f>SUM(BF78:BU78)-(45*8)</f>
        <v>34</v>
      </c>
      <c r="BX78" s="190" t="s">
        <v>339</v>
      </c>
      <c r="BY78" s="23">
        <v>6</v>
      </c>
      <c r="BZ78" s="23">
        <v>0</v>
      </c>
      <c r="CE78" s="48">
        <v>547</v>
      </c>
      <c r="CF78" s="17">
        <v>6</v>
      </c>
      <c r="CG78" s="17">
        <v>7</v>
      </c>
      <c r="CH78" s="17">
        <v>15</v>
      </c>
      <c r="CI78" s="17">
        <v>22</v>
      </c>
      <c r="CJ78" s="17">
        <v>34</v>
      </c>
      <c r="CK78" s="17">
        <v>39</v>
      </c>
      <c r="CL78" s="17">
        <v>28</v>
      </c>
      <c r="CM78" s="58">
        <f>SUM(CF78:CK78)-(45*2)</f>
        <v>33</v>
      </c>
      <c r="CN78" s="55">
        <f t="shared" si="85"/>
        <v>16</v>
      </c>
      <c r="CO78" s="17"/>
      <c r="CP78" s="48">
        <f t="shared" si="80"/>
        <v>1</v>
      </c>
      <c r="CQ78" s="48">
        <f t="shared" si="80"/>
        <v>8</v>
      </c>
      <c r="CR78" s="48">
        <f t="shared" si="80"/>
        <v>7</v>
      </c>
      <c r="CS78" s="48">
        <f t="shared" si="80"/>
        <v>12</v>
      </c>
      <c r="CT78" s="48">
        <f t="shared" si="80"/>
        <v>5</v>
      </c>
      <c r="CU78" s="48">
        <f t="shared" si="80"/>
        <v>11</v>
      </c>
      <c r="CV78" s="48">
        <v>5</v>
      </c>
      <c r="CW78" s="48">
        <f>54-45</f>
        <v>9</v>
      </c>
      <c r="CY78" s="23">
        <v>1</v>
      </c>
    </row>
    <row r="79" spans="1:122" s="23" customFormat="1" ht="17.25">
      <c r="C79" s="44">
        <v>548</v>
      </c>
      <c r="D79" s="108" t="s">
        <v>169</v>
      </c>
      <c r="E79" s="48">
        <v>1</v>
      </c>
      <c r="F79" s="63">
        <v>7</v>
      </c>
      <c r="G79" s="63">
        <v>1</v>
      </c>
      <c r="H79" s="48">
        <f>SUM(E79:F79)-(45*0)</f>
        <v>8</v>
      </c>
      <c r="I79" s="48">
        <v>17</v>
      </c>
      <c r="J79" s="49">
        <f>SUM(E79:I79)-(45*0)</f>
        <v>34</v>
      </c>
      <c r="K79" s="49">
        <f>SUM(E79:J79)-(45*1)</f>
        <v>23</v>
      </c>
      <c r="L79" s="49">
        <f>SUM(E79:K79)-(45*2)</f>
        <v>1</v>
      </c>
      <c r="M79" s="49">
        <f>SUM(E79:L79)-(45*2)</f>
        <v>2</v>
      </c>
      <c r="N79" s="49">
        <f>SUM(E79:M79)-(45*2)</f>
        <v>4</v>
      </c>
      <c r="O79" s="49">
        <f>SUM(E79:N79)-(45*2)</f>
        <v>8</v>
      </c>
      <c r="P79" s="49">
        <f>SUM(E79:O79)-(45*2)</f>
        <v>16</v>
      </c>
      <c r="Q79" s="49">
        <f>SUM(E79:P79)-(45*2)</f>
        <v>32</v>
      </c>
      <c r="R79" s="49">
        <f>SUM(E79:Q79)-(45*3)</f>
        <v>19</v>
      </c>
      <c r="S79" s="49">
        <f>SUM(E79:R79)-(45*3)</f>
        <v>38</v>
      </c>
      <c r="T79" s="49">
        <f>SUM(E79:S79)-(45*4)</f>
        <v>31</v>
      </c>
      <c r="U79" s="49">
        <f>SUM(E79:T79)-(45*5)</f>
        <v>17</v>
      </c>
      <c r="V79" s="49">
        <f>SUM(F79:U79)-(45*5)</f>
        <v>33</v>
      </c>
      <c r="W79" s="49">
        <f>SUM(G79:V79)-(45*6)</f>
        <v>14</v>
      </c>
      <c r="X79" s="49">
        <f>SUM(H79:W79)-(45*6)</f>
        <v>27</v>
      </c>
      <c r="Y79" s="49">
        <f>SUM(I79:X79)-(45*7)</f>
        <v>1</v>
      </c>
      <c r="Z79" s="49">
        <f>SUM(J79:Y79)-(45*6)</f>
        <v>30</v>
      </c>
      <c r="AA79" s="49">
        <f>SUM(K79:Z79)-(45*6)</f>
        <v>26</v>
      </c>
      <c r="AB79" s="49">
        <f>SUM(L79:AA79)-(45*6)</f>
        <v>29</v>
      </c>
      <c r="AC79" s="49">
        <f>SUM(M79:AB79)-(45*7)</f>
        <v>12</v>
      </c>
      <c r="AD79" s="49">
        <f>SUM(N79:AC79)-(45*7)</f>
        <v>22</v>
      </c>
      <c r="AE79" s="49">
        <f>SUM(O79:AD79)-(45*7)</f>
        <v>40</v>
      </c>
      <c r="AF79" s="49">
        <f>SUM(P79:AE79)-(45*8)</f>
        <v>27</v>
      </c>
      <c r="AG79" s="49">
        <f>SUM(Q79:AF79)-(45*8)</f>
        <v>38</v>
      </c>
      <c r="AH79" s="49">
        <f>SUM(R79:AG79)-(45*8)</f>
        <v>44</v>
      </c>
      <c r="AI79" s="49">
        <f>SUM(S79:AH79)-(45*9)</f>
        <v>24</v>
      </c>
      <c r="AJ79" s="49">
        <f>SUM(T79:AI79)-(45*9)</f>
        <v>10</v>
      </c>
      <c r="AK79" s="49">
        <f>SUM(U79:AJ79)-(45*8)</f>
        <v>34</v>
      </c>
      <c r="AL79" s="49">
        <f>SUM(V79:AK79)-(45*9)</f>
        <v>6</v>
      </c>
      <c r="AM79" s="49">
        <f>SUM(W79:AL79)-(45*8)</f>
        <v>24</v>
      </c>
      <c r="AN79" s="49">
        <f>SUM(X79:AM79)-(45*8)</f>
        <v>34</v>
      </c>
      <c r="AO79" s="49">
        <f>SUM(Y79:AN79)-(45*8)</f>
        <v>41</v>
      </c>
      <c r="AP79" s="49">
        <f>SUM(Z79:AO79)-(45*9)</f>
        <v>36</v>
      </c>
      <c r="AQ79" s="49">
        <f>SUM(AA79:AP79)-(45*9)</f>
        <v>42</v>
      </c>
      <c r="AR79" s="49">
        <f>SUM(AB79:AQ79)-(45*10)</f>
        <v>13</v>
      </c>
      <c r="AS79" s="49">
        <f>SUM(AC79:AR79)-(45*9)</f>
        <v>42</v>
      </c>
      <c r="AT79" s="49">
        <f>SUM(AD79:AS79)-(45*10)</f>
        <v>27</v>
      </c>
      <c r="AU79" s="49">
        <f>SUM(AE79:AT79)-(45*10)</f>
        <v>32</v>
      </c>
      <c r="AV79" s="49">
        <f>SUM(AF79:AU79)-(45*10)</f>
        <v>24</v>
      </c>
      <c r="AW79" s="49">
        <f>SUM(AG79:AV79)-(45*10)</f>
        <v>21</v>
      </c>
      <c r="AX79" s="49">
        <f>SUM(AH79:AW79)-(45*10)</f>
        <v>4</v>
      </c>
      <c r="AY79" s="49">
        <f>SUM(AI79:AX79)-(45*9)</f>
        <v>9</v>
      </c>
      <c r="AZ79" s="49">
        <f>SUM(AJ79:AY79)-(45*8)</f>
        <v>39</v>
      </c>
      <c r="BA79" s="49">
        <f>SUM(AK79:AZ79)-(45*9)</f>
        <v>23</v>
      </c>
      <c r="BB79" s="49">
        <f>SUM(AL79:BA79)-(45*9)</f>
        <v>12</v>
      </c>
      <c r="BC79" s="49">
        <f>SUM(AM79:BB79)-(45*9)</f>
        <v>18</v>
      </c>
      <c r="BD79" s="49">
        <f>SUM(AN79:BC79)-(45*9)</f>
        <v>12</v>
      </c>
      <c r="BE79" s="49">
        <f>SUM(AO79:BD79)-(45*8)</f>
        <v>35</v>
      </c>
      <c r="BF79" s="49">
        <f>SUM(AP79:BE79)-(45*8)</f>
        <v>29</v>
      </c>
      <c r="BG79" s="49">
        <f>SUM(AQ79:BF79)-(45*8)</f>
        <v>22</v>
      </c>
      <c r="BH79" s="49">
        <f>SUM(AR79:BG79)-(45*8)</f>
        <v>2</v>
      </c>
      <c r="BI79" s="49">
        <f>SUM(AS79:BH79)-(45*7)</f>
        <v>36</v>
      </c>
      <c r="BJ79" s="49">
        <f>SUM(AT79:BI79)-(45*7)</f>
        <v>30</v>
      </c>
      <c r="BK79" s="49">
        <f>SUM(AU79:BJ79)-(45*7)</f>
        <v>33</v>
      </c>
      <c r="BL79" s="49">
        <f>SUM(AV79:BK79)-(45*7)</f>
        <v>34</v>
      </c>
      <c r="BM79" s="49">
        <f>SUM(AW79:BL79)-(45*7)</f>
        <v>44</v>
      </c>
      <c r="BN79" s="49">
        <f>SUM(AX79:BM79)-(45*8)</f>
        <v>22</v>
      </c>
      <c r="BO79" s="49">
        <f>SUM(AY79:BN79)-(45*8)</f>
        <v>40</v>
      </c>
      <c r="BP79" s="49">
        <f>SUM(AZ79:BO79)-(45*9)</f>
        <v>26</v>
      </c>
      <c r="BQ79" s="49">
        <f>SUM(BA79:BP79)-(45*9)</f>
        <v>13</v>
      </c>
      <c r="BR79" s="49">
        <f>SUM(BB79:BQ79)-(45*9)</f>
        <v>3</v>
      </c>
      <c r="BS79" s="49">
        <f>SUM(BC79:BR79)-(45*8)</f>
        <v>39</v>
      </c>
      <c r="BT79" s="49">
        <f>SUM(BD79:BS79)-(45*9)</f>
        <v>15</v>
      </c>
      <c r="BU79" s="49">
        <f>SUM(BE79:BT79)-(45*9)</f>
        <v>18</v>
      </c>
      <c r="BV79" s="49">
        <f>SUM(BF79:BU79)-(45*9)</f>
        <v>1</v>
      </c>
      <c r="BX79" s="190" t="s">
        <v>334</v>
      </c>
      <c r="BY79" s="23">
        <v>3</v>
      </c>
      <c r="BZ79" s="23">
        <v>1</v>
      </c>
      <c r="CE79" s="48">
        <v>548</v>
      </c>
      <c r="CF79" s="17">
        <v>1</v>
      </c>
      <c r="CG79" s="17">
        <v>12</v>
      </c>
      <c r="CH79" s="17">
        <v>13</v>
      </c>
      <c r="CI79" s="17">
        <v>21</v>
      </c>
      <c r="CJ79" s="17">
        <v>32</v>
      </c>
      <c r="CK79" s="17">
        <v>45</v>
      </c>
      <c r="CL79" s="17">
        <v>14</v>
      </c>
      <c r="CM79" s="58">
        <f>SUM(CF79:CK79)-(45*2)</f>
        <v>34</v>
      </c>
      <c r="CN79" s="55">
        <f>SUM(CF79:CL79)-(45*3)</f>
        <v>3</v>
      </c>
      <c r="CO79" s="17"/>
      <c r="CP79" s="48">
        <f t="shared" si="80"/>
        <v>11</v>
      </c>
      <c r="CQ79" s="48">
        <f t="shared" si="80"/>
        <v>1</v>
      </c>
      <c r="CR79" s="48">
        <f t="shared" si="80"/>
        <v>8</v>
      </c>
      <c r="CS79" s="48">
        <f t="shared" si="80"/>
        <v>11</v>
      </c>
      <c r="CT79" s="48">
        <f t="shared" si="80"/>
        <v>13</v>
      </c>
      <c r="CU79" s="48">
        <f t="shared" si="80"/>
        <v>31</v>
      </c>
      <c r="CV79" s="48">
        <v>8</v>
      </c>
      <c r="CW79" s="48">
        <v>46</v>
      </c>
      <c r="CY79" s="23">
        <v>1</v>
      </c>
    </row>
    <row r="80" spans="1:122" s="23" customFormat="1" ht="17.25">
      <c r="B80" s="150"/>
      <c r="C80" s="44">
        <v>549</v>
      </c>
      <c r="D80" s="108" t="s">
        <v>170</v>
      </c>
      <c r="E80" s="48">
        <v>8</v>
      </c>
      <c r="F80" s="63">
        <v>14</v>
      </c>
      <c r="G80" s="63">
        <v>2</v>
      </c>
      <c r="H80" s="48">
        <f>SUM(E80:F80)-(45*0)</f>
        <v>22</v>
      </c>
      <c r="I80" s="48">
        <v>18</v>
      </c>
      <c r="J80" s="49">
        <f>SUM(E80:I80)-(45*1)</f>
        <v>19</v>
      </c>
      <c r="K80" s="49">
        <f>SUM(E80:J80)-(45*1)</f>
        <v>38</v>
      </c>
      <c r="L80" s="49">
        <f>SUM(E80:K80)-(45*2)</f>
        <v>31</v>
      </c>
      <c r="M80" s="49">
        <f>SUM(E80:L80)-(45*3)</f>
        <v>17</v>
      </c>
      <c r="N80" s="49">
        <f>SUM(E80:M80)-(45*3)</f>
        <v>34</v>
      </c>
      <c r="O80" s="49">
        <f>SUM(E80:N80)-(45*4)</f>
        <v>23</v>
      </c>
      <c r="P80" s="49">
        <f>SUM(E80:O80)-(45*5)</f>
        <v>1</v>
      </c>
      <c r="Q80" s="49">
        <f>SUM(E80:P80)-(45*5)</f>
        <v>2</v>
      </c>
      <c r="R80" s="49">
        <f>SUM(E80:Q80)-(45*5)</f>
        <v>4</v>
      </c>
      <c r="S80" s="49">
        <f>SUM(E80:R80)-(45*5)</f>
        <v>8</v>
      </c>
      <c r="T80" s="49">
        <f>SUM(E80:S80)-(45*5)</f>
        <v>16</v>
      </c>
      <c r="U80" s="49">
        <f>SUM(E80:T80)-(45*5)</f>
        <v>32</v>
      </c>
      <c r="V80" s="49">
        <f>SUM(F80:U80)-(45*6)</f>
        <v>11</v>
      </c>
      <c r="W80" s="49">
        <f>SUM(G80:V80)-(45*6)</f>
        <v>8</v>
      </c>
      <c r="X80" s="49">
        <f>SUM(H80:W80)-(45*6)</f>
        <v>14</v>
      </c>
      <c r="Y80" s="49">
        <f>SUM(I80:X80)-(45*6)</f>
        <v>6</v>
      </c>
      <c r="Z80" s="49">
        <f>SUM(J80:Y80)-(45*5)</f>
        <v>39</v>
      </c>
      <c r="AA80" s="49">
        <f>SUM(K80:Z80)-(45*6)</f>
        <v>14</v>
      </c>
      <c r="AB80" s="49">
        <f>SUM(L80:AA80)-(45*5)</f>
        <v>35</v>
      </c>
      <c r="AC80" s="49">
        <f>SUM(M80:AB80)-(45*5)</f>
        <v>39</v>
      </c>
      <c r="AD80" s="49">
        <f>SUM(N80:AC80)-(45*6)</f>
        <v>16</v>
      </c>
      <c r="AE80" s="49">
        <f>SUM(O80:AD80)-(45*5)</f>
        <v>43</v>
      </c>
      <c r="AF80" s="49">
        <f>SUM(P80:AE80)-(45*6)</f>
        <v>18</v>
      </c>
      <c r="AG80" s="49">
        <f>SUM(Q80:AF80)-(45*6)</f>
        <v>35</v>
      </c>
      <c r="AH80" s="49">
        <f>SUM(R80:AG80)-(45*7)</f>
        <v>23</v>
      </c>
      <c r="AI80" s="49">
        <f>SUM(S80:AH80)-(45*7)</f>
        <v>42</v>
      </c>
      <c r="AJ80" s="49">
        <f>SUM(T80:AI80)-(45*8)</f>
        <v>31</v>
      </c>
      <c r="AK80" s="49">
        <f>SUM(U80:AJ80)-(45*9)</f>
        <v>1</v>
      </c>
      <c r="AL80" s="49">
        <f>SUM(V80:AK80)-(45*8)</f>
        <v>15</v>
      </c>
      <c r="AM80" s="49">
        <f>SUM(W80:AL80)-(45*8)</f>
        <v>19</v>
      </c>
      <c r="AN80" s="49">
        <f>SUM(X80:AM80)-(45*8)</f>
        <v>30</v>
      </c>
      <c r="AO80" s="49">
        <f>SUM(Y80:AN80)-(45*9)</f>
        <v>1</v>
      </c>
      <c r="AP80" s="49">
        <f>SUM(Z80:AO80)-(45*8)</f>
        <v>41</v>
      </c>
      <c r="AQ80" s="49">
        <f>SUM(AA80:AP80)-(45*8)</f>
        <v>43</v>
      </c>
      <c r="AR80" s="49">
        <f>SUM(AB80:AQ80)-(45*9)</f>
        <v>27</v>
      </c>
      <c r="AS80" s="49">
        <f>SUM(AC80:AR80)-(45*9)</f>
        <v>19</v>
      </c>
      <c r="AT80" s="49">
        <f>SUM(AD80:AS80)-(45*8)</f>
        <v>44</v>
      </c>
      <c r="AU80" s="49">
        <f>SUM(AE80:AT80)-(45*9)</f>
        <v>27</v>
      </c>
      <c r="AV80" s="49">
        <f>SUM(AF80:AU80)-(45*9)</f>
        <v>11</v>
      </c>
      <c r="AW80" s="49">
        <f>SUM(AG80:AV80)-(45*9)</f>
        <v>4</v>
      </c>
      <c r="AX80" s="49">
        <f>SUM(AH80:AW80)-(45*8)</f>
        <v>18</v>
      </c>
      <c r="AY80" s="49">
        <f>SUM(AI80:AX80)-(45*8)</f>
        <v>13</v>
      </c>
      <c r="AZ80" s="49">
        <f>SUM(AJ80:AY80)-(45*7)</f>
        <v>29</v>
      </c>
      <c r="BA80" s="49">
        <f>SUM(AK80:AZ80)-(45*7)</f>
        <v>27</v>
      </c>
      <c r="BB80" s="49">
        <f>SUM(AL80:BA80)-(45*8)</f>
        <v>8</v>
      </c>
      <c r="BC80" s="49">
        <f>SUM(AM80:BB80)-(45*8)</f>
        <v>1</v>
      </c>
      <c r="BD80" s="49">
        <f t="shared" ref="BD80:BE82" si="87">SUM(AN80:BC80)-(45*7)</f>
        <v>28</v>
      </c>
      <c r="BE80" s="49">
        <f t="shared" si="87"/>
        <v>26</v>
      </c>
      <c r="BF80" s="49">
        <f>SUM(AP80:BE80)-(45*8)</f>
        <v>6</v>
      </c>
      <c r="BG80" s="49">
        <f>SUM(AQ80:BF80)-(45*7)</f>
        <v>16</v>
      </c>
      <c r="BH80" s="49">
        <f>SUM(AR80:BG80)-(45*6)</f>
        <v>34</v>
      </c>
      <c r="BI80" s="49">
        <f>SUM(AS80:BH80)-(45*6)</f>
        <v>41</v>
      </c>
      <c r="BJ80" s="49">
        <f>SUM(AT80:BI80)-(45*7)</f>
        <v>18</v>
      </c>
      <c r="BK80" s="49">
        <f>SUM(AU80:BJ80)-(45*6)</f>
        <v>37</v>
      </c>
      <c r="BL80" s="49">
        <f>SUM(AV80:BK80)-(45*7)</f>
        <v>2</v>
      </c>
      <c r="BM80" s="49">
        <f>SUM(AW80:BL80)-(45*6)</f>
        <v>38</v>
      </c>
      <c r="BN80" s="49">
        <f>SUM(AX80:BM80)-(45*7)</f>
        <v>27</v>
      </c>
      <c r="BO80" s="49">
        <f>SUM(AY80:BN80)-(45*7)</f>
        <v>36</v>
      </c>
      <c r="BP80" s="49">
        <f>SUM(AZ80:BO80)-(45*8)</f>
        <v>14</v>
      </c>
      <c r="BQ80" s="49">
        <f>SUM(BA80:BP80)-(45*7)</f>
        <v>44</v>
      </c>
      <c r="BR80" s="49">
        <f>SUM(BB80:BQ80)-(45*8)</f>
        <v>16</v>
      </c>
      <c r="BS80" s="49">
        <f>SUM(BC80:BR80)-(45*8)</f>
        <v>24</v>
      </c>
      <c r="BT80" s="49">
        <f>SUM(BD80:BS80)-(45*9)</f>
        <v>2</v>
      </c>
      <c r="BU80" s="49">
        <f>SUM(BE80:BT80)-(45*8)</f>
        <v>21</v>
      </c>
      <c r="BV80" s="49">
        <f>SUM(BF80:BU80)-(45*8)</f>
        <v>16</v>
      </c>
      <c r="BX80" s="190" t="s">
        <v>335</v>
      </c>
      <c r="BY80" s="23">
        <v>4</v>
      </c>
      <c r="BZ80" s="23">
        <v>1</v>
      </c>
      <c r="CE80" s="48">
        <v>549</v>
      </c>
      <c r="CF80" s="17">
        <v>29</v>
      </c>
      <c r="CG80" s="17">
        <v>31</v>
      </c>
      <c r="CH80" s="17">
        <v>35</v>
      </c>
      <c r="CI80" s="17">
        <v>38</v>
      </c>
      <c r="CJ80" s="17">
        <v>40</v>
      </c>
      <c r="CK80" s="17">
        <v>44</v>
      </c>
      <c r="CL80" s="17">
        <v>17</v>
      </c>
      <c r="CM80" s="58">
        <f>SUM(CF80:CK80)-(45*4)</f>
        <v>37</v>
      </c>
      <c r="CN80" s="55">
        <f>SUM(CF80:CL80)-(45*5)</f>
        <v>9</v>
      </c>
      <c r="CO80" s="17"/>
      <c r="CP80" s="48">
        <f t="shared" si="80"/>
        <v>2</v>
      </c>
      <c r="CQ80" s="48">
        <f t="shared" si="80"/>
        <v>4</v>
      </c>
      <c r="CR80" s="48">
        <f t="shared" si="80"/>
        <v>3</v>
      </c>
      <c r="CS80" s="48">
        <f t="shared" si="80"/>
        <v>2</v>
      </c>
      <c r="CT80" s="48">
        <f t="shared" si="80"/>
        <v>4</v>
      </c>
      <c r="CU80" s="48">
        <f t="shared" si="80"/>
        <v>27</v>
      </c>
      <c r="CV80" s="48">
        <v>8</v>
      </c>
      <c r="CW80" s="48">
        <v>35</v>
      </c>
      <c r="CY80" s="23">
        <v>3</v>
      </c>
    </row>
    <row r="81" spans="2:103" s="23" customFormat="1" ht="17.25">
      <c r="B81" s="22"/>
      <c r="C81" s="44">
        <v>550</v>
      </c>
      <c r="D81" s="108" t="s">
        <v>171</v>
      </c>
      <c r="E81" s="48">
        <v>15</v>
      </c>
      <c r="F81" s="63">
        <v>21</v>
      </c>
      <c r="G81" s="63">
        <v>3</v>
      </c>
      <c r="H81" s="48">
        <f>SUM(E81:F81)-(45*0)</f>
        <v>36</v>
      </c>
      <c r="I81" s="48">
        <v>10</v>
      </c>
      <c r="J81" s="49">
        <f>SUM(E81:I81)-(45*1)</f>
        <v>40</v>
      </c>
      <c r="K81" s="49">
        <f>SUM(E81:J81)-(45*2)</f>
        <v>35</v>
      </c>
      <c r="L81" s="49">
        <f>SUM(E81:K81)-(45*3)</f>
        <v>25</v>
      </c>
      <c r="M81" s="49">
        <f>SUM(E81:L81)-(45*4)</f>
        <v>5</v>
      </c>
      <c r="N81" s="49">
        <f>SUM(E81:M81)-(45*4)</f>
        <v>10</v>
      </c>
      <c r="O81" s="49">
        <f>SUM(E81:N81)-(45*4)</f>
        <v>20</v>
      </c>
      <c r="P81" s="49">
        <f>SUM(E81:O81)-(45*4)</f>
        <v>40</v>
      </c>
      <c r="Q81" s="49">
        <f>SUM(E81:P81)-(45*5)</f>
        <v>35</v>
      </c>
      <c r="R81" s="49">
        <f>SUM(E81:Q81)-(45*6)</f>
        <v>25</v>
      </c>
      <c r="S81" s="49">
        <f>SUM(E81:R81)-(45*7)</f>
        <v>5</v>
      </c>
      <c r="T81" s="49">
        <f>SUM(E81:S81)-(45*7)</f>
        <v>10</v>
      </c>
      <c r="U81" s="49">
        <f>SUM(E81:T81)-(45*7)</f>
        <v>20</v>
      </c>
      <c r="V81" s="49">
        <f>SUM(F81:U81)-(45*7)</f>
        <v>25</v>
      </c>
      <c r="W81" s="49">
        <f>SUM(G81:V81)-(45*7)</f>
        <v>29</v>
      </c>
      <c r="X81" s="49">
        <f>SUM(H81:W81)-(45*8)</f>
        <v>10</v>
      </c>
      <c r="Y81" s="49">
        <f>SUM(I81:X81)-(45*7)</f>
        <v>29</v>
      </c>
      <c r="Z81" s="49">
        <f>SUM(J81:Y81)-(45*8)</f>
        <v>3</v>
      </c>
      <c r="AA81" s="49">
        <f>SUM(K81:Z81)-(45*7)</f>
        <v>11</v>
      </c>
      <c r="AB81" s="49">
        <f>SUM(L81:AA81)-(45*6)</f>
        <v>32</v>
      </c>
      <c r="AC81" s="49">
        <f>SUM(M81:AB81)-(45*6)</f>
        <v>39</v>
      </c>
      <c r="AD81" s="49">
        <f>SUM(N81:AC81)-(45*7)</f>
        <v>28</v>
      </c>
      <c r="AE81" s="49">
        <f>SUM(O81:AD81)-(45*8)</f>
        <v>1</v>
      </c>
      <c r="AF81" s="49">
        <f>SUM(P81:AE81)-(45*7)</f>
        <v>27</v>
      </c>
      <c r="AG81" s="49">
        <f>SUM(Q81:AF81)-(45*7)</f>
        <v>14</v>
      </c>
      <c r="AH81" s="49">
        <f>SUM(R81:AG81)-(45*6)</f>
        <v>38</v>
      </c>
      <c r="AI81" s="49">
        <f>SUM(S81:AH81)-(45*7)</f>
        <v>6</v>
      </c>
      <c r="AJ81" s="49">
        <f>SUM(T81:AI81)-(45*7)</f>
        <v>7</v>
      </c>
      <c r="AK81" s="49">
        <f>SUM(U81:AJ81)-(45*7)</f>
        <v>4</v>
      </c>
      <c r="AL81" s="49">
        <f>SUM(V81:AK81)-(45*6)</f>
        <v>33</v>
      </c>
      <c r="AM81" s="49">
        <f>SUM(W81:AL81)-(45*6)</f>
        <v>41</v>
      </c>
      <c r="AN81" s="49">
        <f>SUM(X81:AM81)-(45*7)</f>
        <v>8</v>
      </c>
      <c r="AO81" s="49">
        <f>SUM(Y81:AN81)-(45*7)</f>
        <v>6</v>
      </c>
      <c r="AP81" s="49">
        <f>SUM(Z81:AO81)-(45*6)</f>
        <v>28</v>
      </c>
      <c r="AQ81" s="49">
        <f>SUM(AA81:AP81)-(45*7)</f>
        <v>8</v>
      </c>
      <c r="AR81" s="49">
        <f>SUM(AB81:AQ81)-(45*7)</f>
        <v>5</v>
      </c>
      <c r="AS81" s="49">
        <f>SUM(AC81:AR81)-(45*6)</f>
        <v>23</v>
      </c>
      <c r="AT81" s="49">
        <f>SUM(AD81:AS81)-(45*6)</f>
        <v>7</v>
      </c>
      <c r="AU81" s="49">
        <f>SUM(AE81:AT81)-(45*5)</f>
        <v>31</v>
      </c>
      <c r="AV81" s="49">
        <f>SUM(AF81:AU81)-(45*6)</f>
        <v>16</v>
      </c>
      <c r="AW81" s="49">
        <f>SUM(AG81:AV81)-(45*6)</f>
        <v>5</v>
      </c>
      <c r="AX81" s="49">
        <f>SUM(AH81:AW81)-(45*5)</f>
        <v>41</v>
      </c>
      <c r="AY81" s="49">
        <f>SUM(AI81:AX81)-(45*5)</f>
        <v>44</v>
      </c>
      <c r="AZ81" s="49">
        <f>SUM(AJ81:AY81)-(45*6)</f>
        <v>37</v>
      </c>
      <c r="BA81" s="49">
        <f>SUM(AK81:AZ81)-(45*7)</f>
        <v>22</v>
      </c>
      <c r="BB81" s="49">
        <f>SUM(AL81:BA81)-(45*7)</f>
        <v>40</v>
      </c>
      <c r="BC81" s="49">
        <f>SUM(AM81:BB81)-(45*8)</f>
        <v>2</v>
      </c>
      <c r="BD81" s="49">
        <f t="shared" si="87"/>
        <v>8</v>
      </c>
      <c r="BE81" s="49">
        <f t="shared" si="87"/>
        <v>8</v>
      </c>
      <c r="BF81" s="49">
        <f>SUM(AP81:BE81)-(45*7)</f>
        <v>10</v>
      </c>
      <c r="BG81" s="49">
        <f>SUM(AQ81:BF81)-(45*6)</f>
        <v>37</v>
      </c>
      <c r="BH81" s="49">
        <f>SUM(AR81:BG81)-(45*7)</f>
        <v>21</v>
      </c>
      <c r="BI81" s="49">
        <f>SUM(AS81:BH81)-(45*7)</f>
        <v>37</v>
      </c>
      <c r="BJ81" s="49">
        <f>SUM(AT81:BI81)-(45*8)</f>
        <v>6</v>
      </c>
      <c r="BK81" s="49">
        <f>SUM(AU81:BJ81)-(45*8)</f>
        <v>5</v>
      </c>
      <c r="BL81" s="49">
        <f>SUM(AV81:BK81)-(45*7)</f>
        <v>24</v>
      </c>
      <c r="BM81" s="49">
        <f>SUM(AW81:BL81)-(45*7)</f>
        <v>32</v>
      </c>
      <c r="BN81" s="49">
        <f>SUM(AX81:BM81)-(45*8)</f>
        <v>14</v>
      </c>
      <c r="BO81" s="49">
        <f>SUM(AY81:BN81)-(45*7)</f>
        <v>32</v>
      </c>
      <c r="BP81" s="49">
        <f>SUM(AZ81:BO81)-(45*7)</f>
        <v>20</v>
      </c>
      <c r="BQ81" s="49">
        <f>SUM(BA81:BP81)-(45*7)</f>
        <v>3</v>
      </c>
      <c r="BR81" s="49">
        <f>SUM(BB81:BQ81)-(45*6)</f>
        <v>29</v>
      </c>
      <c r="BS81" s="49">
        <f>SUM(BC81:BR81)-(45*6)</f>
        <v>18</v>
      </c>
      <c r="BT81" s="49">
        <f>SUM(BD81:BS81)-(45*6)</f>
        <v>34</v>
      </c>
      <c r="BU81" s="49">
        <f>SUM(BE81:BT81)-(45*7)</f>
        <v>15</v>
      </c>
      <c r="BV81" s="49">
        <f>SUM(BF81:BU81)-(45*7)</f>
        <v>22</v>
      </c>
      <c r="BX81" s="190" t="s">
        <v>335</v>
      </c>
      <c r="BY81" s="23">
        <v>5</v>
      </c>
      <c r="BZ81" s="23">
        <v>0</v>
      </c>
      <c r="CE81" s="48">
        <v>550</v>
      </c>
      <c r="CF81" s="17">
        <v>1</v>
      </c>
      <c r="CG81" s="17">
        <v>7</v>
      </c>
      <c r="CH81" s="17">
        <v>14</v>
      </c>
      <c r="CI81" s="17">
        <v>20</v>
      </c>
      <c r="CJ81" s="17">
        <v>34</v>
      </c>
      <c r="CK81" s="17">
        <v>37</v>
      </c>
      <c r="CL81" s="17">
        <v>41</v>
      </c>
      <c r="CM81" s="58">
        <f>SUM(CF81:CK81)-(45*2)</f>
        <v>23</v>
      </c>
      <c r="CN81" s="55">
        <f>SUM(CF81:CL81)-(45*3)</f>
        <v>19</v>
      </c>
      <c r="CO81" s="17"/>
      <c r="CP81" s="48">
        <f t="shared" si="80"/>
        <v>6</v>
      </c>
      <c r="CQ81" s="48">
        <f t="shared" si="80"/>
        <v>7</v>
      </c>
      <c r="CR81" s="48">
        <f t="shared" si="80"/>
        <v>6</v>
      </c>
      <c r="CS81" s="48">
        <f t="shared" si="80"/>
        <v>14</v>
      </c>
      <c r="CT81" s="48">
        <f t="shared" si="80"/>
        <v>3</v>
      </c>
      <c r="CU81" s="48">
        <f t="shared" si="80"/>
        <v>4</v>
      </c>
      <c r="CV81" s="48">
        <v>11</v>
      </c>
      <c r="CW81" s="48">
        <f>58-45</f>
        <v>13</v>
      </c>
      <c r="CY81" s="23">
        <v>3</v>
      </c>
    </row>
    <row r="82" spans="2:103" s="23" customFormat="1" ht="17.25">
      <c r="B82" s="22"/>
      <c r="C82" s="44">
        <v>551</v>
      </c>
      <c r="D82" s="108" t="s">
        <v>180</v>
      </c>
      <c r="E82" s="48">
        <v>22</v>
      </c>
      <c r="F82" s="63">
        <v>28</v>
      </c>
      <c r="G82" s="63">
        <v>4</v>
      </c>
      <c r="H82" s="48">
        <f>SUM(E82:F82)-(45*1)</f>
        <v>5</v>
      </c>
      <c r="I82" s="48">
        <v>11</v>
      </c>
      <c r="J82" s="49">
        <f>SUM(E82:I82)-(45*1)</f>
        <v>25</v>
      </c>
      <c r="K82" s="49">
        <f>SUM(E82:J82)-(45*2)</f>
        <v>5</v>
      </c>
      <c r="L82" s="49">
        <f>SUM(E82:K82)-(45*2)</f>
        <v>10</v>
      </c>
      <c r="M82" s="49">
        <f>SUM(E82:L82)-(45*2)</f>
        <v>20</v>
      </c>
      <c r="N82" s="49">
        <f>SUM(E82:M82)-(45*2)</f>
        <v>40</v>
      </c>
      <c r="O82" s="49">
        <f>SUM(E82:N82)-(45*3)</f>
        <v>35</v>
      </c>
      <c r="P82" s="49">
        <f>SUM(E82:O82)-(45*4)</f>
        <v>25</v>
      </c>
      <c r="Q82" s="49">
        <f>SUM(E82:P82)-(45*5)</f>
        <v>5</v>
      </c>
      <c r="R82" s="49">
        <f>SUM(E82:Q82)-(45*5)</f>
        <v>10</v>
      </c>
      <c r="S82" s="49">
        <f>SUM(E82:R82)-(45*5)</f>
        <v>20</v>
      </c>
      <c r="T82" s="49">
        <f>SUM(E82:S82)-(45*5)</f>
        <v>40</v>
      </c>
      <c r="U82" s="49">
        <f>SUM(E82:T82)-(45*6)</f>
        <v>35</v>
      </c>
      <c r="V82" s="49">
        <f>SUM(F82:U82)-(45*7)</f>
        <v>3</v>
      </c>
      <c r="W82" s="49">
        <f>SUM(G82:V82)-(45*6)</f>
        <v>23</v>
      </c>
      <c r="X82" s="49">
        <f>SUM(H82:W82)-(45*6)</f>
        <v>42</v>
      </c>
      <c r="Y82" s="49">
        <f>SUM(I82:X82)-(45*7)</f>
        <v>34</v>
      </c>
      <c r="Z82" s="49">
        <f>SUM(J82:Y82)-(45*8)</f>
        <v>12</v>
      </c>
      <c r="AA82" s="49">
        <f>SUM(K82:Z82)-(45*7)</f>
        <v>44</v>
      </c>
      <c r="AB82" s="49">
        <f>SUM(L82:AA82)-(45*8)</f>
        <v>38</v>
      </c>
      <c r="AC82" s="49">
        <f>SUM(M82:AB82)-(45*9)</f>
        <v>21</v>
      </c>
      <c r="AD82" s="49">
        <f>SUM(N82:AC82)-(45*9)</f>
        <v>22</v>
      </c>
      <c r="AE82" s="49">
        <f>SUM(O82:AD82)-(45*9)</f>
        <v>4</v>
      </c>
      <c r="AF82" s="49">
        <f t="shared" ref="AF82:AK82" si="88">SUM(P82:AE82)-(45*8)</f>
        <v>18</v>
      </c>
      <c r="AG82" s="49">
        <f t="shared" si="88"/>
        <v>11</v>
      </c>
      <c r="AH82" s="49">
        <f t="shared" si="88"/>
        <v>17</v>
      </c>
      <c r="AI82" s="49">
        <f t="shared" si="88"/>
        <v>24</v>
      </c>
      <c r="AJ82" s="49">
        <f t="shared" si="88"/>
        <v>28</v>
      </c>
      <c r="AK82" s="49">
        <f t="shared" si="88"/>
        <v>16</v>
      </c>
      <c r="AL82" s="49">
        <f>SUM(V82:AK82)-(45*7)</f>
        <v>42</v>
      </c>
      <c r="AM82" s="49">
        <f>SUM(W82:AL82)-(45*8)</f>
        <v>36</v>
      </c>
      <c r="AN82" s="49">
        <f>SUM(X82:AM82)-(45*9)</f>
        <v>4</v>
      </c>
      <c r="AO82" s="49">
        <f>SUM(Y82:AN82)-(45*8)</f>
        <v>11</v>
      </c>
      <c r="AP82" s="49">
        <f>SUM(Z82:AO82)-(45*7)</f>
        <v>33</v>
      </c>
      <c r="AQ82" s="49">
        <f>SUM(AA82:AP82)-(45*8)</f>
        <v>9</v>
      </c>
      <c r="AR82" s="49">
        <f>SUM(AB82:AQ82)-(45*7)</f>
        <v>19</v>
      </c>
      <c r="AS82" s="49">
        <f>SUM(AC82:AR82)-(45*6)</f>
        <v>45</v>
      </c>
      <c r="AT82" s="49">
        <f>SUM(AD82:AS82)-(45*7)</f>
        <v>24</v>
      </c>
      <c r="AU82" s="49">
        <f>SUM(AE82:AT82)-(45*7)</f>
        <v>26</v>
      </c>
      <c r="AV82" s="49">
        <f>SUM(AF82:AU82)-(45*8)</f>
        <v>3</v>
      </c>
      <c r="AW82" s="49">
        <f>SUM(AG82:AV82)-(45*7)</f>
        <v>33</v>
      </c>
      <c r="AX82" s="49">
        <f>SUM(AH82:AW82)-(45*8)</f>
        <v>10</v>
      </c>
      <c r="AY82" s="49">
        <f>SUM(AI82:AX82)-(45*8)</f>
        <v>3</v>
      </c>
      <c r="AZ82" s="49">
        <f>SUM(AJ82:AY82)-(45*7)</f>
        <v>27</v>
      </c>
      <c r="BA82" s="49">
        <f>SUM(AK82:AZ82)-(45*7)</f>
        <v>26</v>
      </c>
      <c r="BB82" s="49">
        <f>SUM(AL82:BA82)-(45*7)</f>
        <v>36</v>
      </c>
      <c r="BC82" s="49">
        <f>SUM(AM82:BB82)-(45*7)</f>
        <v>30</v>
      </c>
      <c r="BD82" s="49">
        <f t="shared" si="87"/>
        <v>24</v>
      </c>
      <c r="BE82" s="49">
        <f t="shared" si="87"/>
        <v>44</v>
      </c>
      <c r="BF82" s="49">
        <f>SUM(AP82:BE82)-(45*8)</f>
        <v>32</v>
      </c>
      <c r="BG82" s="49">
        <f>SUM(AQ82:BF82)-(45*8)</f>
        <v>31</v>
      </c>
      <c r="BH82" s="49">
        <f>SUM(AR82:BG82)-(45*9)</f>
        <v>8</v>
      </c>
      <c r="BI82" s="49">
        <f>SUM(AS82:BH82)-(45*8)</f>
        <v>42</v>
      </c>
      <c r="BJ82" s="49">
        <f>SUM(AT82:BI82)-(45*8)</f>
        <v>39</v>
      </c>
      <c r="BK82" s="49">
        <f>SUM(AU82:BJ82)-(45*9)</f>
        <v>9</v>
      </c>
      <c r="BL82" s="49">
        <f>SUM(AV82:BK82)-(45*8)</f>
        <v>37</v>
      </c>
      <c r="BM82" s="49">
        <f>SUM(AW82:BL82)-(45*9)</f>
        <v>26</v>
      </c>
      <c r="BN82" s="49">
        <f>SUM(AX82:BM82)-(45*9)</f>
        <v>19</v>
      </c>
      <c r="BO82" s="49">
        <f>SUM(AY82:BN82)-(45*9)</f>
        <v>28</v>
      </c>
      <c r="BP82" s="49">
        <f>SUM(AZ82:BO82)-(45*10)</f>
        <v>8</v>
      </c>
      <c r="BQ82" s="49">
        <f>SUM(BA82:BP82)-(45*9)</f>
        <v>34</v>
      </c>
      <c r="BR82" s="49">
        <f>SUM(BB82:BQ82)-(45*9)</f>
        <v>42</v>
      </c>
      <c r="BS82" s="49">
        <f>SUM(BC82:BR82)-(45*10)</f>
        <v>3</v>
      </c>
      <c r="BT82" s="49">
        <f>SUM(BD82:BS82)-(45*9)</f>
        <v>21</v>
      </c>
      <c r="BU82" s="49">
        <f>SUM(BE82:BT82)-(45*9)</f>
        <v>18</v>
      </c>
      <c r="BV82" s="49">
        <f>SUM(BF82:BU82)-(45*8)</f>
        <v>37</v>
      </c>
      <c r="BX82" s="190" t="s">
        <v>334</v>
      </c>
      <c r="BY82" s="23">
        <v>4</v>
      </c>
      <c r="BZ82" s="23">
        <v>0</v>
      </c>
      <c r="CE82" s="48">
        <v>551</v>
      </c>
      <c r="CF82" s="17">
        <v>3</v>
      </c>
      <c r="CG82" s="17">
        <v>6</v>
      </c>
      <c r="CH82" s="17">
        <v>20</v>
      </c>
      <c r="CI82" s="17">
        <v>24</v>
      </c>
      <c r="CJ82" s="17">
        <v>27</v>
      </c>
      <c r="CK82" s="17">
        <v>44</v>
      </c>
      <c r="CL82" s="17">
        <v>25</v>
      </c>
      <c r="CM82" s="58">
        <f>SUM(CF82:CK82)-(45*2)</f>
        <v>34</v>
      </c>
      <c r="CN82" s="55">
        <f>SUM(CF82:CL82)-(45*3)</f>
        <v>14</v>
      </c>
      <c r="CO82" s="17"/>
      <c r="CP82" s="48">
        <f t="shared" si="80"/>
        <v>3</v>
      </c>
      <c r="CQ82" s="48">
        <f t="shared" si="80"/>
        <v>14</v>
      </c>
      <c r="CR82" s="48">
        <f t="shared" si="80"/>
        <v>4</v>
      </c>
      <c r="CS82" s="48">
        <f t="shared" si="80"/>
        <v>3</v>
      </c>
      <c r="CT82" s="48">
        <f t="shared" si="80"/>
        <v>17</v>
      </c>
      <c r="CU82" s="48">
        <f t="shared" si="80"/>
        <v>19</v>
      </c>
      <c r="CV82" s="48">
        <v>1</v>
      </c>
      <c r="CW82" s="48">
        <v>32</v>
      </c>
      <c r="CY82" s="23">
        <v>3</v>
      </c>
    </row>
    <row r="83" spans="2:103" s="23" customFormat="1" ht="17.25">
      <c r="B83" s="22"/>
      <c r="C83" s="44">
        <v>552</v>
      </c>
      <c r="D83" s="108" t="s">
        <v>185</v>
      </c>
      <c r="E83" s="48">
        <v>27</v>
      </c>
      <c r="F83" s="63">
        <v>33</v>
      </c>
      <c r="G83" s="63">
        <v>5</v>
      </c>
      <c r="H83" s="48">
        <f>SUM(E83:F83)-(45*1)</f>
        <v>15</v>
      </c>
      <c r="I83" s="48">
        <v>12</v>
      </c>
      <c r="J83" s="49">
        <f>SUM(E83:I83)-(45*2)</f>
        <v>2</v>
      </c>
      <c r="K83" s="49">
        <f>SUM(E83:J83)-(45*2)</f>
        <v>4</v>
      </c>
      <c r="L83" s="49">
        <f>SUM(E83:K83)-(45*2)</f>
        <v>8</v>
      </c>
      <c r="M83" s="49">
        <f>SUM(E83:L83)-(45*2)</f>
        <v>16</v>
      </c>
      <c r="N83" s="49">
        <f>SUM(E83:M83)-(45*2)</f>
        <v>32</v>
      </c>
      <c r="O83" s="49">
        <f>SUM(E83:N83)-(45*3)</f>
        <v>19</v>
      </c>
      <c r="P83" s="49">
        <f>SUM(E83:O83)-(45*3)</f>
        <v>38</v>
      </c>
      <c r="Q83" s="49">
        <f>SUM(E83:P83)-(45*4)</f>
        <v>31</v>
      </c>
      <c r="R83" s="49">
        <f>SUM(E83:Q83)-(45*5)</f>
        <v>17</v>
      </c>
      <c r="S83" s="49">
        <f>SUM(E83:R83)-(45*5)</f>
        <v>34</v>
      </c>
      <c r="T83" s="49">
        <f>SUM(E83:S83)-(45*6)</f>
        <v>23</v>
      </c>
      <c r="U83" s="49">
        <f>SUM(E83:T83)-(45*7)</f>
        <v>1</v>
      </c>
      <c r="V83" s="49">
        <f>SUM(F83:U83)-(45*6)</f>
        <v>20</v>
      </c>
      <c r="W83" s="49">
        <f>SUM(G83:V83)-(45*6)</f>
        <v>7</v>
      </c>
      <c r="X83" s="49">
        <f>SUM(H83:W83)-(45*6)</f>
        <v>9</v>
      </c>
      <c r="Y83" s="49">
        <f>SUM(I83:X83)-(45*6)</f>
        <v>3</v>
      </c>
      <c r="Z83" s="49">
        <f>SUM(J83:Y83)-(45*5)</f>
        <v>39</v>
      </c>
      <c r="AA83" s="49">
        <f>SUM(K83:Z83)-(45*6)</f>
        <v>31</v>
      </c>
      <c r="AB83" s="49">
        <f>SUM(L83:AA83)-(45*7)</f>
        <v>13</v>
      </c>
      <c r="AC83" s="49">
        <f>SUM(M83:AB83)-(45*7)</f>
        <v>18</v>
      </c>
      <c r="AD83" s="49">
        <f>SUM(N83:AC83)-(45*7)</f>
        <v>20</v>
      </c>
      <c r="AE83" s="49">
        <f>SUM(O83:AD83)-(45*7)</f>
        <v>8</v>
      </c>
      <c r="AF83" s="49">
        <f>SUM(P83:AE83)-(45*6)</f>
        <v>42</v>
      </c>
      <c r="AG83" s="49">
        <f>SUM(Q83:AF83)-(45*7)</f>
        <v>1</v>
      </c>
      <c r="AH83" s="49">
        <f>SUM(R83:AG83)-(45*6)</f>
        <v>16</v>
      </c>
      <c r="AI83" s="49">
        <f>SUM(S83:AH83)-(45*6)</f>
        <v>15</v>
      </c>
      <c r="AJ83" s="49">
        <f>SUM(T83:AI83)-(45*5)</f>
        <v>41</v>
      </c>
      <c r="AK83" s="49">
        <f>SUM(U83:AJ83)-(45*6)</f>
        <v>14</v>
      </c>
      <c r="AL83" s="49">
        <f>SUM(V83:AK83)-(45*6)</f>
        <v>27</v>
      </c>
      <c r="AM83" s="49">
        <f>SUM(W83:AL83)-(45*6)</f>
        <v>34</v>
      </c>
      <c r="AN83" s="49">
        <f>SUM(X83:AM83)-(45*7)</f>
        <v>16</v>
      </c>
      <c r="AO83" s="49">
        <f>SUM(Y83:AN83)-(45*7)</f>
        <v>23</v>
      </c>
      <c r="AP83" s="49">
        <f>SUM(Z83:AO83)-(45*7)</f>
        <v>43</v>
      </c>
      <c r="AQ83" s="49">
        <f>SUM(AA83:AP83)-(45*8)</f>
        <v>2</v>
      </c>
      <c r="AR83" s="49">
        <f>SUM(AB83:AQ83)-(45*7)</f>
        <v>18</v>
      </c>
      <c r="AS83" s="49">
        <f>SUM(AC83:AR83)-(45*7)</f>
        <v>23</v>
      </c>
      <c r="AT83" s="49">
        <f>SUM(AD83:AS83)-(45*7)</f>
        <v>28</v>
      </c>
      <c r="AU83" s="49">
        <f>SUM(AE83:AT83)-(45*7)</f>
        <v>36</v>
      </c>
      <c r="AV83" s="49">
        <f>SUM(AF83:AU83)-(45*8)</f>
        <v>19</v>
      </c>
      <c r="AW83" s="49">
        <f>SUM(AG83:AV83)-(45*7)</f>
        <v>41</v>
      </c>
      <c r="AX83" s="49">
        <f>SUM(AH83:AW83)-(45*8)</f>
        <v>36</v>
      </c>
      <c r="AY83" s="49">
        <f>SUM(AI83:AX83)-(45*9)</f>
        <v>11</v>
      </c>
      <c r="AZ83" s="49">
        <f>SUM(AJ83:AY83)-(45*9)</f>
        <v>7</v>
      </c>
      <c r="BA83" s="49">
        <f>SUM(AK83:AZ83)-(45*8)</f>
        <v>18</v>
      </c>
      <c r="BB83" s="49">
        <f>SUM(AL83:BA83)-(45*8)</f>
        <v>22</v>
      </c>
      <c r="BC83" s="49">
        <f>SUM(AM83:BB83)-(45*8)</f>
        <v>17</v>
      </c>
      <c r="BD83" s="49">
        <f>SUM(AN83:BC83)-(45*7)</f>
        <v>45</v>
      </c>
      <c r="BE83" s="49">
        <f>SUM(AO83:BD83)-(45*8)</f>
        <v>29</v>
      </c>
      <c r="BF83" s="49">
        <f>SUM(AP83:BE83)-(45*8)</f>
        <v>35</v>
      </c>
      <c r="BG83" s="49">
        <f>SUM(AQ83:BF83)-(45*8)</f>
        <v>27</v>
      </c>
      <c r="BH83" s="49">
        <f>SUM(AR83:BG83)-(45*9)</f>
        <v>7</v>
      </c>
      <c r="BI83" s="49">
        <f>SUM(AS83:BH83)-(45*8)</f>
        <v>41</v>
      </c>
      <c r="BJ83" s="49">
        <f>SUM(AT83:BI83)-(45*9)</f>
        <v>14</v>
      </c>
      <c r="BK83" s="49">
        <f>SUM(AU83:BJ83)-(45*8)</f>
        <v>45</v>
      </c>
      <c r="BL83" s="49">
        <f>SUM(AV83:BK83)-(45*9)</f>
        <v>9</v>
      </c>
      <c r="BM83" s="49">
        <f>SUM(AW83:BL83)-(45*8)</f>
        <v>44</v>
      </c>
      <c r="BN83" s="49">
        <f>SUM(AX83:BM83)-(45*9)</f>
        <v>2</v>
      </c>
      <c r="BO83" s="49">
        <f>SUM(AY83:BN83)-(45*8)</f>
        <v>13</v>
      </c>
      <c r="BP83" s="49">
        <f>SUM(AZ83:BO83)-(45*8)</f>
        <v>15</v>
      </c>
      <c r="BQ83" s="49">
        <f>SUM(BA83:BP83)-(45*8)</f>
        <v>23</v>
      </c>
      <c r="BR83" s="49">
        <f>SUM(BB83:BQ83)-(45*8)</f>
        <v>28</v>
      </c>
      <c r="BS83" s="49">
        <f>SUM(BC83:BR83)-(45*8)</f>
        <v>34</v>
      </c>
      <c r="BT83" s="49">
        <f>SUM(BD83:BS83)-(45*9)</f>
        <v>6</v>
      </c>
      <c r="BU83" s="49">
        <f>SUM(BE83:BT83)-(45*8)</f>
        <v>12</v>
      </c>
      <c r="BV83" s="49">
        <f>SUM(BF83:BU83)-(45*7)</f>
        <v>40</v>
      </c>
      <c r="BX83" s="190" t="s">
        <v>339</v>
      </c>
      <c r="BY83" s="23">
        <v>6</v>
      </c>
      <c r="BZ83" s="23">
        <v>0</v>
      </c>
      <c r="CE83" s="48">
        <v>552</v>
      </c>
      <c r="CF83" s="17">
        <v>1</v>
      </c>
      <c r="CG83" s="17">
        <v>10</v>
      </c>
      <c r="CH83" s="17">
        <v>20</v>
      </c>
      <c r="CI83" s="17">
        <v>32</v>
      </c>
      <c r="CJ83" s="17">
        <v>35</v>
      </c>
      <c r="CK83" s="17">
        <v>40</v>
      </c>
      <c r="CL83" s="17">
        <v>43</v>
      </c>
      <c r="CM83" s="58">
        <f>SUM(CF83:CK83)-(45*3)</f>
        <v>3</v>
      </c>
      <c r="CN83" s="55">
        <f>SUM(CF83:CL83)-(45*4)</f>
        <v>1</v>
      </c>
      <c r="CO83" s="17"/>
      <c r="CP83" s="48">
        <f t="shared" si="80"/>
        <v>9</v>
      </c>
      <c r="CQ83" s="48">
        <f t="shared" si="80"/>
        <v>10</v>
      </c>
      <c r="CR83" s="48">
        <f t="shared" si="80"/>
        <v>12</v>
      </c>
      <c r="CS83" s="48">
        <f t="shared" si="80"/>
        <v>3</v>
      </c>
      <c r="CT83" s="48">
        <f t="shared" si="80"/>
        <v>5</v>
      </c>
      <c r="CU83" s="48">
        <f t="shared" si="80"/>
        <v>3</v>
      </c>
      <c r="CV83" s="48">
        <v>10</v>
      </c>
      <c r="CW83" s="48">
        <v>45</v>
      </c>
      <c r="CY83" s="23">
        <v>3</v>
      </c>
    </row>
    <row r="84" spans="2:103" s="23" customFormat="1" ht="17.25">
      <c r="B84" s="22"/>
      <c r="C84" s="44">
        <v>553</v>
      </c>
      <c r="D84" s="108" t="s">
        <v>189</v>
      </c>
      <c r="E84" s="48">
        <v>6</v>
      </c>
      <c r="F84" s="63">
        <v>13</v>
      </c>
      <c r="G84" s="63">
        <v>1</v>
      </c>
      <c r="H84" s="48">
        <f>SUM(E84:F84)-(45*0)</f>
        <v>19</v>
      </c>
      <c r="I84" s="48">
        <v>13</v>
      </c>
      <c r="J84" s="49">
        <f>SUM(E84:I84)-(45*1)</f>
        <v>7</v>
      </c>
      <c r="K84" s="49">
        <f>SUM(E84:J84)-(45*1)</f>
        <v>14</v>
      </c>
      <c r="L84" s="49">
        <f>SUM(E84:K84)-(45*1)</f>
        <v>28</v>
      </c>
      <c r="M84" s="49">
        <f>SUM(E84:L84)-(45*2)</f>
        <v>11</v>
      </c>
      <c r="N84" s="49">
        <f>SUM(E84:M84)-(45*2)</f>
        <v>22</v>
      </c>
      <c r="O84" s="49">
        <f>SUM(E84:N84)-(45*2)</f>
        <v>44</v>
      </c>
      <c r="P84" s="49">
        <f>SUM(E84:O84)-(45*3)</f>
        <v>43</v>
      </c>
      <c r="Q84" s="49">
        <f>SUM(E84:P84)-(45*4)</f>
        <v>41</v>
      </c>
      <c r="R84" s="49">
        <f>SUM(E84:Q84)-(45*5)</f>
        <v>37</v>
      </c>
      <c r="S84" s="49">
        <f>SUM(E84:R84)-(45*6)</f>
        <v>29</v>
      </c>
      <c r="T84" s="49">
        <f>SUM(E84:S84)-(45*7)</f>
        <v>13</v>
      </c>
      <c r="U84" s="49">
        <f>SUM(E84:T84)-(45*7)</f>
        <v>26</v>
      </c>
      <c r="V84" s="49">
        <f>SUM(F84:U84)-(45*8)</f>
        <v>1</v>
      </c>
      <c r="W84" s="49">
        <f>SUM(G84:V84)-(45*7)</f>
        <v>34</v>
      </c>
      <c r="X84" s="49">
        <f>SUM(H84:W84)-(45*8)</f>
        <v>22</v>
      </c>
      <c r="Y84" s="49">
        <f>SUM(I84:X84)-(45*8)</f>
        <v>25</v>
      </c>
      <c r="Z84" s="49">
        <f>SUM(J84:Y84)-(45*8)</f>
        <v>37</v>
      </c>
      <c r="AA84" s="49">
        <f>SUM(K84:Z84)-(45*9)</f>
        <v>22</v>
      </c>
      <c r="AB84" s="49">
        <f>SUM(L84:AA84)-(45*9)</f>
        <v>30</v>
      </c>
      <c r="AC84" s="49">
        <f>SUM(M84:AB84)-(45*9)</f>
        <v>32</v>
      </c>
      <c r="AD84" s="49">
        <f>SUM(N84:AC84)-(45*10)</f>
        <v>8</v>
      </c>
      <c r="AE84" s="49">
        <f>SUM(O84:AD84)-(45*9)</f>
        <v>39</v>
      </c>
      <c r="AF84" s="49">
        <f>SUM(P84:AE84)-(45*9)</f>
        <v>34</v>
      </c>
      <c r="AG84" s="49">
        <f>SUM(Q84:AF84)-(45*9)</f>
        <v>25</v>
      </c>
      <c r="AH84" s="49">
        <f>SUM(R84:AG84)-(45*9)</f>
        <v>9</v>
      </c>
      <c r="AI84" s="49">
        <f>SUM(S84:AH84)-(45*8)</f>
        <v>26</v>
      </c>
      <c r="AJ84" s="49">
        <f>SUM(T84:AI84)-(45*8)</f>
        <v>23</v>
      </c>
      <c r="AK84" s="49">
        <f>SUM(U84:AJ84)-(45*8)</f>
        <v>33</v>
      </c>
      <c r="AL84" s="49">
        <f>SUM(V84:AK84)-(45*8)</f>
        <v>40</v>
      </c>
      <c r="AM84" s="49">
        <f>SUM(W84:AL84)-(45*9)</f>
        <v>34</v>
      </c>
      <c r="AN84" s="49">
        <f>SUM(X84:AM84)-(45*9)</f>
        <v>34</v>
      </c>
      <c r="AO84" s="49">
        <f>SUM(Y84:AN84)-(45*10)</f>
        <v>1</v>
      </c>
      <c r="AP84" s="49">
        <f>SUM(Z84:AO84)-(45*9)</f>
        <v>22</v>
      </c>
      <c r="AQ84" s="49">
        <f>SUM(AA84:AP84)-(45*9)</f>
        <v>7</v>
      </c>
      <c r="AR84" s="49">
        <f>SUM(AB84:AQ84)-(45*8)</f>
        <v>37</v>
      </c>
      <c r="AS84" s="49">
        <f>SUM(AC84:AR84)-(45*8)</f>
        <v>44</v>
      </c>
      <c r="AT84" s="49">
        <f>SUM(AD84:AS84)-(45*9)</f>
        <v>11</v>
      </c>
      <c r="AU84" s="49">
        <f>SUM(AE84:AT84)-(45*9)</f>
        <v>14</v>
      </c>
      <c r="AV84" s="49">
        <f>SUM(AF84:AU84)-(45*8)</f>
        <v>34</v>
      </c>
      <c r="AW84" s="49">
        <f>SUM(AG84:AV84)-(45*8)</f>
        <v>34</v>
      </c>
      <c r="AX84" s="49">
        <f>SUM(AH84:AW84)-(45*8)</f>
        <v>43</v>
      </c>
      <c r="AY84" s="49">
        <f>SUM(AI84:AX84)-(45*9)</f>
        <v>32</v>
      </c>
      <c r="AZ84" s="49">
        <f>SUM(AJ84:AY84)-(45*9)</f>
        <v>38</v>
      </c>
      <c r="BA84" s="49">
        <f>SUM(AK84:AZ84)-(45*10)</f>
        <v>8</v>
      </c>
      <c r="BB84" s="49">
        <f>SUM(AL84:BA84)-(45*9)</f>
        <v>28</v>
      </c>
      <c r="BC84" s="49">
        <f>SUM(AM84:BB84)-(45*9)</f>
        <v>16</v>
      </c>
      <c r="BD84" s="49">
        <f>SUM(AN84:BC84)-(45*8)</f>
        <v>43</v>
      </c>
      <c r="BE84" s="49">
        <f>SUM(AO84:BD84)-(45*9)</f>
        <v>7</v>
      </c>
      <c r="BF84" s="49">
        <f>SUM(AP84:BE84)-(45*9)</f>
        <v>13</v>
      </c>
      <c r="BG84" s="49">
        <f>SUM(AQ84:BF84)-(45*9)</f>
        <v>4</v>
      </c>
      <c r="BH84" s="49">
        <f>SUM(AR84:BG84)-(45*9)</f>
        <v>1</v>
      </c>
      <c r="BI84" s="49">
        <f>SUM(AS84:BH84)-(45*8)</f>
        <v>10</v>
      </c>
      <c r="BJ84" s="49">
        <f>SUM(AT84:BI84)-(45*7)</f>
        <v>21</v>
      </c>
      <c r="BK84" s="49">
        <f>SUM(AU84:BJ84)-(45*7)</f>
        <v>31</v>
      </c>
      <c r="BL84" s="49">
        <f>SUM(AV84:BK84)-(45*8)</f>
        <v>3</v>
      </c>
      <c r="BM84" s="49">
        <f>SUM(AW84:BL84)-(45*7)</f>
        <v>17</v>
      </c>
      <c r="BN84" s="49">
        <f>SUM(AX84:BM84)-(45*6)</f>
        <v>45</v>
      </c>
      <c r="BO84" s="49">
        <f>SUM(AY84:BN84)-(45*7)</f>
        <v>2</v>
      </c>
      <c r="BP84" s="49">
        <f>SUM(AZ84:BO84)-(45*6)</f>
        <v>17</v>
      </c>
      <c r="BQ84" s="49">
        <f>SUM(BA84:BP84)-(45*5)</f>
        <v>41</v>
      </c>
      <c r="BR84" s="49">
        <f>SUM(BB84:BQ84)-(45*6)</f>
        <v>29</v>
      </c>
      <c r="BS84" s="49">
        <f>SUM(BC84:BR84)-(45*6)</f>
        <v>30</v>
      </c>
      <c r="BT84" s="49">
        <f>SUM(BD84:BS84)-(45*6)</f>
        <v>44</v>
      </c>
      <c r="BU84" s="49">
        <f>SUM(BE84:BT84)-(45*6)</f>
        <v>45</v>
      </c>
      <c r="BV84" s="49">
        <f>SUM(BF84:BU84)-(45*7)</f>
        <v>38</v>
      </c>
      <c r="BX84" s="190" t="s">
        <v>334</v>
      </c>
      <c r="BY84" s="23">
        <v>3</v>
      </c>
      <c r="BZ84" s="23">
        <v>1</v>
      </c>
      <c r="CE84" s="48">
        <v>553</v>
      </c>
      <c r="CF84" s="17">
        <v>2</v>
      </c>
      <c r="CG84" s="17">
        <v>7</v>
      </c>
      <c r="CH84" s="17">
        <v>17</v>
      </c>
      <c r="CI84" s="17">
        <v>28</v>
      </c>
      <c r="CJ84" s="17">
        <v>29</v>
      </c>
      <c r="CK84" s="17">
        <v>39</v>
      </c>
      <c r="CL84" s="17">
        <v>37</v>
      </c>
      <c r="CM84" s="58">
        <f>SUM(CF84:CK84)-(45*2)</f>
        <v>32</v>
      </c>
      <c r="CN84" s="55">
        <f>SUM(CF84:CL84)-(45*3)</f>
        <v>24</v>
      </c>
      <c r="CO84" s="17"/>
      <c r="CP84" s="48">
        <f t="shared" ref="CP84:CU99" si="89">ABS(CF84-CG84)</f>
        <v>5</v>
      </c>
      <c r="CQ84" s="48">
        <f t="shared" si="89"/>
        <v>10</v>
      </c>
      <c r="CR84" s="48">
        <f t="shared" si="89"/>
        <v>11</v>
      </c>
      <c r="CS84" s="48">
        <f t="shared" si="89"/>
        <v>1</v>
      </c>
      <c r="CT84" s="48">
        <f t="shared" si="89"/>
        <v>10</v>
      </c>
      <c r="CU84" s="48">
        <f t="shared" si="89"/>
        <v>2</v>
      </c>
      <c r="CV84" s="48">
        <v>6</v>
      </c>
      <c r="CW84" s="48">
        <f>52-45</f>
        <v>7</v>
      </c>
      <c r="CY84" s="23">
        <v>1</v>
      </c>
    </row>
    <row r="85" spans="2:103" s="23" customFormat="1" ht="17.25">
      <c r="B85" s="22"/>
      <c r="C85" s="44">
        <v>554</v>
      </c>
      <c r="D85" s="108" t="s">
        <v>191</v>
      </c>
      <c r="E85" s="48">
        <v>13</v>
      </c>
      <c r="F85" s="63">
        <v>20</v>
      </c>
      <c r="G85" s="63">
        <v>2</v>
      </c>
      <c r="H85" s="48">
        <f>SUM(E85:F85)-(45*0)</f>
        <v>33</v>
      </c>
      <c r="I85" s="48">
        <v>14</v>
      </c>
      <c r="J85" s="49">
        <f>SUM(E85:I85)-(45*1)</f>
        <v>37</v>
      </c>
      <c r="K85" s="49">
        <f>SUM(E85:J85)-(45*2)</f>
        <v>29</v>
      </c>
      <c r="L85" s="49">
        <f>SUM(E85:K85)-(45*3)</f>
        <v>13</v>
      </c>
      <c r="M85" s="49">
        <f>SUM(E85:L85)-(45*3)</f>
        <v>26</v>
      </c>
      <c r="N85" s="49">
        <f>SUM(E85:M85)-(45*4)</f>
        <v>7</v>
      </c>
      <c r="O85" s="49">
        <f>SUM(E85:N85)-(45*4)</f>
        <v>14</v>
      </c>
      <c r="P85" s="49">
        <f>SUM(E85:O85)-(45*4)</f>
        <v>28</v>
      </c>
      <c r="Q85" s="49">
        <f>SUM(E85:P85)-(45*5)</f>
        <v>11</v>
      </c>
      <c r="R85" s="49">
        <f>SUM(E85:Q85)-(45*5)</f>
        <v>22</v>
      </c>
      <c r="S85" s="49">
        <f>SUM(E85:R85)-(45*5)</f>
        <v>44</v>
      </c>
      <c r="T85" s="49">
        <f>SUM(E85:S85)-(45*6)</f>
        <v>43</v>
      </c>
      <c r="U85" s="49">
        <f>SUM(E85:T85)-(45*7)</f>
        <v>41</v>
      </c>
      <c r="V85" s="49">
        <f>SUM(F85:U85)-(45*8)</f>
        <v>24</v>
      </c>
      <c r="W85" s="49">
        <f>SUM(G85:V85)-(45*8)</f>
        <v>28</v>
      </c>
      <c r="X85" s="49">
        <f>SUM(H85:W85)-(45*9)</f>
        <v>9</v>
      </c>
      <c r="Y85" s="49">
        <f>SUM(I85:X85)-(45*8)</f>
        <v>30</v>
      </c>
      <c r="Z85" s="49">
        <f>SUM(J85:Y85)-(45*9)</f>
        <v>1</v>
      </c>
      <c r="AA85" s="49">
        <f>SUM(K85:Z85)-(45*8)</f>
        <v>10</v>
      </c>
      <c r="AB85" s="49">
        <f>SUM(L85:AA85)-(45*7)</f>
        <v>36</v>
      </c>
      <c r="AC85" s="49">
        <f>SUM(M85:AB85)-(45*8)</f>
        <v>14</v>
      </c>
      <c r="AD85" s="49">
        <f>SUM(N85:AC85)-(45*8)</f>
        <v>2</v>
      </c>
      <c r="AE85" s="49">
        <f>SUM(O85:AD85)-(45*7)</f>
        <v>42</v>
      </c>
      <c r="AF85" s="49">
        <f t="shared" ref="AF85:AK85" si="90">SUM(P85:AE85)-(45*8)</f>
        <v>25</v>
      </c>
      <c r="AG85" s="49">
        <f t="shared" si="90"/>
        <v>22</v>
      </c>
      <c r="AH85" s="49">
        <f t="shared" si="90"/>
        <v>33</v>
      </c>
      <c r="AI85" s="49">
        <f t="shared" si="90"/>
        <v>44</v>
      </c>
      <c r="AJ85" s="49">
        <f t="shared" si="90"/>
        <v>44</v>
      </c>
      <c r="AK85" s="49">
        <f t="shared" si="90"/>
        <v>45</v>
      </c>
      <c r="AL85" s="49">
        <f>SUM(V85:AK85)-(45*9)</f>
        <v>4</v>
      </c>
      <c r="AM85" s="49">
        <f>SUM(W85:AL85)-(45*8)</f>
        <v>29</v>
      </c>
      <c r="AN85" s="49">
        <f>SUM(X85:AM85)-(45*8)</f>
        <v>30</v>
      </c>
      <c r="AO85" s="49">
        <f>SUM(Y85:AN85)-(45*9)</f>
        <v>6</v>
      </c>
      <c r="AP85" s="49">
        <f>SUM(Z85:AO85)-(45*8)</f>
        <v>27</v>
      </c>
      <c r="AQ85" s="49">
        <f>SUM(AA85:AP85)-(45*9)</f>
        <v>8</v>
      </c>
      <c r="AR85" s="49">
        <f>SUM(AB85:AQ85)-(45*9)</f>
        <v>6</v>
      </c>
      <c r="AS85" s="49">
        <f>SUM(AC85:AR85)-(45*8)</f>
        <v>21</v>
      </c>
      <c r="AT85" s="49">
        <f>SUM(AD85:AS85)-(45*8)</f>
        <v>28</v>
      </c>
      <c r="AU85" s="49">
        <f>SUM(AE85:AT85)-(45*9)</f>
        <v>9</v>
      </c>
      <c r="AV85" s="49">
        <f>SUM(AF85:AU85)-(45*8)</f>
        <v>21</v>
      </c>
      <c r="AW85" s="49">
        <f>SUM(AG85:AV85)-(45*8)</f>
        <v>17</v>
      </c>
      <c r="AX85" s="49">
        <f>SUM(AH85:AW85)-(45*8)</f>
        <v>12</v>
      </c>
      <c r="AY85" s="49">
        <f>SUM(AI85:AX85)-(45*7)</f>
        <v>36</v>
      </c>
      <c r="AZ85" s="49">
        <f>SUM(AJ85:AY85)-(45*7)</f>
        <v>28</v>
      </c>
      <c r="BA85" s="49">
        <f>SUM(AK85:AZ85)-(45*7)</f>
        <v>12</v>
      </c>
      <c r="BB85" s="49">
        <f>SUM(AL85:BA85)-(45*6)</f>
        <v>24</v>
      </c>
      <c r="BC85" s="49">
        <f>SUM(AM85:BB85)-(45*6)</f>
        <v>44</v>
      </c>
      <c r="BD85" s="49">
        <f>SUM(AN85:BC85)-(45*7)</f>
        <v>14</v>
      </c>
      <c r="BE85" s="49">
        <f>SUM(AO85:BD85)-(45*6)</f>
        <v>43</v>
      </c>
      <c r="BF85" s="49">
        <f>SUM(AP85:BE85)-(45*7)</f>
        <v>35</v>
      </c>
      <c r="BG85" s="49">
        <f>SUM(AQ85:BF85)-(45*7)</f>
        <v>43</v>
      </c>
      <c r="BH85" s="49">
        <f>SUM(AR85:BG85)-(45*8)</f>
        <v>33</v>
      </c>
      <c r="BI85" s="49">
        <f>SUM(AS85:BH85)-(45*9)</f>
        <v>15</v>
      </c>
      <c r="BJ85" s="49">
        <f>SUM(AT85:BI85)-(45*9)</f>
        <v>9</v>
      </c>
      <c r="BK85" s="49">
        <f>SUM(AU85:BJ85)-(45*8)</f>
        <v>35</v>
      </c>
      <c r="BL85" s="49">
        <f>SUM(AV85:BK85)-(45*9)</f>
        <v>16</v>
      </c>
      <c r="BM85" s="49">
        <f>SUM(AW85:BL85)-(45*9)</f>
        <v>11</v>
      </c>
      <c r="BN85" s="49">
        <f>SUM(AX85:BM85)-(45*9)</f>
        <v>5</v>
      </c>
      <c r="BO85" s="49">
        <f>SUM(AY85:BN85)-(45*8)</f>
        <v>43</v>
      </c>
      <c r="BP85" s="49">
        <f>SUM(AZ85:BO85)-(45*9)</f>
        <v>5</v>
      </c>
      <c r="BQ85" s="49">
        <f>SUM(BA85:BP85)-(45*8)</f>
        <v>27</v>
      </c>
      <c r="BR85" s="49">
        <f>SUM(BB85:BQ85)-(45*8)</f>
        <v>42</v>
      </c>
      <c r="BS85" s="49">
        <f>SUM(BC85:BR85)-(45*9)</f>
        <v>15</v>
      </c>
      <c r="BT85" s="49">
        <f>SUM(BD85:BS85)-(45*8)</f>
        <v>31</v>
      </c>
      <c r="BU85" s="49">
        <f>SUM(BE85:BT85)-(45*9)</f>
        <v>3</v>
      </c>
      <c r="BV85" s="49">
        <f>SUM(BF85:BU85)-(45*8)</f>
        <v>8</v>
      </c>
      <c r="BX85" s="190" t="s">
        <v>335</v>
      </c>
      <c r="BY85" s="23">
        <v>4</v>
      </c>
      <c r="BZ85" s="23">
        <v>1</v>
      </c>
      <c r="CE85" s="48">
        <v>554</v>
      </c>
      <c r="CF85" s="17">
        <v>13</v>
      </c>
      <c r="CG85" s="17">
        <v>14</v>
      </c>
      <c r="CH85" s="17">
        <v>17</v>
      </c>
      <c r="CI85" s="17">
        <v>32</v>
      </c>
      <c r="CJ85" s="17">
        <v>41</v>
      </c>
      <c r="CK85" s="17">
        <v>44</v>
      </c>
      <c r="CL85" s="17">
        <v>6</v>
      </c>
      <c r="CM85" s="58">
        <f>SUM(CF85:CK85)-(45*2)</f>
        <v>71</v>
      </c>
      <c r="CN85" s="55">
        <f>SUM(CF85:CL85)-(45*3)</f>
        <v>32</v>
      </c>
      <c r="CO85" s="17"/>
      <c r="CP85" s="48">
        <f t="shared" si="89"/>
        <v>1</v>
      </c>
      <c r="CQ85" s="48">
        <f t="shared" si="89"/>
        <v>3</v>
      </c>
      <c r="CR85" s="48">
        <f t="shared" si="89"/>
        <v>15</v>
      </c>
      <c r="CS85" s="48">
        <f t="shared" si="89"/>
        <v>9</v>
      </c>
      <c r="CT85" s="48">
        <f t="shared" si="89"/>
        <v>3</v>
      </c>
      <c r="CU85" s="48">
        <f t="shared" si="89"/>
        <v>38</v>
      </c>
      <c r="CV85" s="17">
        <v>2</v>
      </c>
      <c r="CW85" s="17">
        <v>41</v>
      </c>
      <c r="CY85" s="23">
        <v>1</v>
      </c>
    </row>
    <row r="86" spans="2:103" s="23" customFormat="1" ht="17.25">
      <c r="B86" s="22"/>
      <c r="C86" s="44">
        <v>555</v>
      </c>
      <c r="D86" s="108" t="s">
        <v>198</v>
      </c>
      <c r="E86" s="48">
        <v>20</v>
      </c>
      <c r="F86" s="63">
        <v>27</v>
      </c>
      <c r="G86" s="63">
        <v>3</v>
      </c>
      <c r="H86" s="48">
        <v>15</v>
      </c>
      <c r="I86" s="48">
        <v>15</v>
      </c>
      <c r="J86" s="49">
        <f>SUM(E86:I86)-(45*1)</f>
        <v>35</v>
      </c>
      <c r="K86" s="49">
        <f>SUM(E86:J86)-(45*2)</f>
        <v>25</v>
      </c>
      <c r="L86" s="49">
        <f>SUM(E86:K86)-(45*3)</f>
        <v>5</v>
      </c>
      <c r="M86" s="49">
        <f>SUM(E86:L86)-(45*3)</f>
        <v>10</v>
      </c>
      <c r="N86" s="49">
        <f>SUM(E86:M86)-(45*3)</f>
        <v>20</v>
      </c>
      <c r="O86" s="49">
        <f>SUM(E86:N86)-(45*3)</f>
        <v>40</v>
      </c>
      <c r="P86" s="49">
        <f>SUM(E86:O86)-(45*4)</f>
        <v>35</v>
      </c>
      <c r="Q86" s="49">
        <f>SUM(E86:P86)-(45*5)</f>
        <v>25</v>
      </c>
      <c r="R86" s="49">
        <f>SUM(E86:Q86)-(45*6)</f>
        <v>5</v>
      </c>
      <c r="S86" s="49">
        <f>SUM(E86:R86)-(45*6)</f>
        <v>10</v>
      </c>
      <c r="T86" s="49">
        <f>SUM(E86:S86)-(45*6)</f>
        <v>20</v>
      </c>
      <c r="U86" s="49">
        <f>SUM(E86:T86)-(45*6)</f>
        <v>40</v>
      </c>
      <c r="V86" s="49">
        <f>SUM(F86:U86)-(45*7)</f>
        <v>15</v>
      </c>
      <c r="W86" s="49">
        <f>SUM(G86:V86)-(45*7)</f>
        <v>3</v>
      </c>
      <c r="X86" s="49">
        <f>SUM(H86:W86)-(45*7)</f>
        <v>3</v>
      </c>
      <c r="Y86" s="49">
        <f>SUM(I86:X86)-(45*6)</f>
        <v>36</v>
      </c>
      <c r="Z86" s="49">
        <f>SUM(J86:Y86)-(45*7)</f>
        <v>12</v>
      </c>
      <c r="AA86" s="49">
        <f>SUM(K86:Z86)-(45*6)</f>
        <v>34</v>
      </c>
      <c r="AB86" s="49">
        <f>SUM(L86:AA86)-(45*6)</f>
        <v>43</v>
      </c>
      <c r="AC86" s="49">
        <f>SUM(M86:AB86)-(45*7)</f>
        <v>36</v>
      </c>
      <c r="AD86" s="49">
        <f>SUM(N86:AC86)-(45*8)</f>
        <v>17</v>
      </c>
      <c r="AE86" s="49">
        <f>SUM(O86:AD86)-(45*8)</f>
        <v>14</v>
      </c>
      <c r="AF86" s="49">
        <f>SUM(P86:AE86)-(45*7)</f>
        <v>33</v>
      </c>
      <c r="AG86" s="49">
        <f>SUM(Q86:AF86)-(45*7)</f>
        <v>31</v>
      </c>
      <c r="AH86" s="49">
        <f>SUM(R86:AG86)-(45*7)</f>
        <v>37</v>
      </c>
      <c r="AI86" s="49">
        <f>SUM(S86:AH86)-(45*8)</f>
        <v>24</v>
      </c>
      <c r="AJ86" s="49">
        <f>SUM(T86:AI86)-(45*8)</f>
        <v>38</v>
      </c>
      <c r="AK86" s="49">
        <f>SUM(U86:AJ86)-(45*9)</f>
        <v>11</v>
      </c>
      <c r="AL86" s="49">
        <f t="shared" ref="AL86:AM88" si="91">SUM(V86:AK86)-(45*8)</f>
        <v>27</v>
      </c>
      <c r="AM86" s="49">
        <f t="shared" si="91"/>
        <v>39</v>
      </c>
      <c r="AN86" s="49">
        <f>SUM(X86:AM86)-(45*9)</f>
        <v>30</v>
      </c>
      <c r="AO86" s="49">
        <f>SUM(Y86:AN86)-(45*10)</f>
        <v>12</v>
      </c>
      <c r="AP86" s="49">
        <f>SUM(Z86:AO86)-(45*9)</f>
        <v>33</v>
      </c>
      <c r="AQ86" s="49">
        <f>SUM(AA86:AP86)-(45*10)</f>
        <v>9</v>
      </c>
      <c r="AR86" s="49">
        <f>SUM(AB86:AQ86)-(45*9)</f>
        <v>29</v>
      </c>
      <c r="AS86" s="49">
        <f>SUM(AC86:AR86)-(45*9)</f>
        <v>15</v>
      </c>
      <c r="AT86" s="49">
        <f>SUM(AD86:AS86)-(45*8)</f>
        <v>39</v>
      </c>
      <c r="AU86" s="49">
        <f>SUM(AE86:AT86)-(45*9)</f>
        <v>16</v>
      </c>
      <c r="AV86" s="49">
        <f>SUM(AF86:AU86)-(45*9)</f>
        <v>18</v>
      </c>
      <c r="AW86" s="49">
        <f>SUM(AG86:AV86)-(45*9)</f>
        <v>3</v>
      </c>
      <c r="AX86" s="49">
        <f>SUM(AH86:AW86)-(45*8)</f>
        <v>20</v>
      </c>
      <c r="AY86" s="49">
        <f>SUM(AI86:AX86)-(45*8)</f>
        <v>3</v>
      </c>
      <c r="AZ86" s="49">
        <f>SUM(AJ86:AY86)-(45*7)</f>
        <v>27</v>
      </c>
      <c r="BA86" s="49">
        <f>SUM(AK86:AZ86)-(45*7)</f>
        <v>16</v>
      </c>
      <c r="BB86" s="49">
        <f>SUM(AL86:BA86)-(45*7)</f>
        <v>21</v>
      </c>
      <c r="BC86" s="49">
        <f>SUM(AM86:BB86)-(45*7)</f>
        <v>15</v>
      </c>
      <c r="BD86" s="49">
        <f>SUM(AN86:BC86)-(45*6)</f>
        <v>36</v>
      </c>
      <c r="BE86" s="49">
        <f>SUM(AO86:BD86)-(45*6)</f>
        <v>42</v>
      </c>
      <c r="BF86" s="49">
        <f>SUM(AP86:BE86)-(45*7)</f>
        <v>27</v>
      </c>
      <c r="BG86" s="49">
        <f>SUM(AQ86:BF86)-(45*7)</f>
        <v>21</v>
      </c>
      <c r="BH86" s="49">
        <f>SUM(AR86:BG86)-(45*7)</f>
        <v>33</v>
      </c>
      <c r="BI86" s="49">
        <f>SUM(AS86:BH86)-(45*7)</f>
        <v>37</v>
      </c>
      <c r="BJ86" s="49">
        <f>SUM(AT86:BI86)-(45*8)</f>
        <v>14</v>
      </c>
      <c r="BK86" s="49">
        <f>SUM(AU86:BJ86)-(45*7)</f>
        <v>34</v>
      </c>
      <c r="BL86" s="49">
        <f>SUM(AV86:BK86)-(45*8)</f>
        <v>7</v>
      </c>
      <c r="BM86" s="49">
        <f>SUM(AW86:BL86)-(45*7)</f>
        <v>41</v>
      </c>
      <c r="BN86" s="49">
        <f>SUM(AX86:BM86)-(45*8)</f>
        <v>34</v>
      </c>
      <c r="BO86" s="49">
        <f>SUM(AY86:BN86)-(45*9)</f>
        <v>3</v>
      </c>
      <c r="BP86" s="49">
        <f>SUM(AZ86:BO86)-(45*9)</f>
        <v>3</v>
      </c>
      <c r="BQ86" s="49">
        <f>SUM(BA86:BP86)-(45*8)</f>
        <v>24</v>
      </c>
      <c r="BR86" s="49">
        <f>SUM(BB86:BQ86)-(45*8)</f>
        <v>32</v>
      </c>
      <c r="BS86" s="49">
        <f>SUM(BC86:BR86)-(45*8)</f>
        <v>43</v>
      </c>
      <c r="BT86" s="49">
        <f>SUM(BD86:BS86)-(45*9)</f>
        <v>26</v>
      </c>
      <c r="BU86" s="49">
        <f>SUM(BE86:BT86)-(45*9)</f>
        <v>16</v>
      </c>
      <c r="BV86" s="49">
        <f>SUM(BF86:BU86)-(45*8)</f>
        <v>35</v>
      </c>
      <c r="BX86" s="190" t="s">
        <v>334</v>
      </c>
      <c r="BY86" s="23">
        <v>3</v>
      </c>
      <c r="BZ86" s="23">
        <v>1</v>
      </c>
      <c r="CE86" s="48">
        <v>555</v>
      </c>
      <c r="CF86" s="17">
        <v>11</v>
      </c>
      <c r="CG86" s="17">
        <v>17</v>
      </c>
      <c r="CH86" s="17">
        <v>21</v>
      </c>
      <c r="CI86" s="17">
        <v>24</v>
      </c>
      <c r="CJ86" s="17">
        <v>26</v>
      </c>
      <c r="CK86" s="17">
        <v>36</v>
      </c>
      <c r="CL86" s="17">
        <v>12</v>
      </c>
      <c r="CM86" s="58">
        <f>SUM(CF86:CK86)-(45*2)</f>
        <v>45</v>
      </c>
      <c r="CN86" s="55">
        <f>SUM(CF86:CL86)-(45*3)</f>
        <v>12</v>
      </c>
      <c r="CO86" s="17"/>
      <c r="CP86" s="48">
        <f t="shared" si="89"/>
        <v>6</v>
      </c>
      <c r="CQ86" s="48">
        <f t="shared" si="89"/>
        <v>4</v>
      </c>
      <c r="CR86" s="48">
        <f t="shared" si="89"/>
        <v>3</v>
      </c>
      <c r="CS86" s="48">
        <f t="shared" si="89"/>
        <v>2</v>
      </c>
      <c r="CT86" s="48">
        <f t="shared" si="89"/>
        <v>10</v>
      </c>
      <c r="CU86" s="48">
        <f t="shared" si="89"/>
        <v>24</v>
      </c>
      <c r="CV86" s="48">
        <v>8</v>
      </c>
      <c r="CW86" s="48">
        <f>46-45</f>
        <v>1</v>
      </c>
      <c r="CY86" s="23">
        <v>2</v>
      </c>
    </row>
    <row r="87" spans="2:103" s="23" customFormat="1" ht="17.25">
      <c r="B87" s="22"/>
      <c r="C87" s="44">
        <v>556</v>
      </c>
      <c r="D87" s="108" t="s">
        <v>199</v>
      </c>
      <c r="E87" s="48">
        <v>27</v>
      </c>
      <c r="F87" s="63">
        <v>34</v>
      </c>
      <c r="G87" s="63">
        <v>4</v>
      </c>
      <c r="H87" s="48">
        <f>SUM(E87:F87)-(45*1)</f>
        <v>16</v>
      </c>
      <c r="I87" s="48">
        <v>16</v>
      </c>
      <c r="J87" s="49">
        <f>SUM(E87:I87)-(45*2)</f>
        <v>7</v>
      </c>
      <c r="K87" s="49">
        <f>SUM(E87:J87)-(45*2)</f>
        <v>14</v>
      </c>
      <c r="L87" s="49">
        <f>SUM(E87:K87)-(45*2)</f>
        <v>28</v>
      </c>
      <c r="M87" s="49">
        <f>SUM(E87:L87)-(45*3)</f>
        <v>11</v>
      </c>
      <c r="N87" s="49">
        <f>SUM(E87:M87)-(45*3)</f>
        <v>22</v>
      </c>
      <c r="O87" s="49">
        <f>SUM(E87:N87)-(45*3)</f>
        <v>44</v>
      </c>
      <c r="P87" s="49">
        <f>SUM(E87:O87)-(45*4)</f>
        <v>43</v>
      </c>
      <c r="Q87" s="49">
        <f>SUM(E87:P87)-(45*5)</f>
        <v>41</v>
      </c>
      <c r="R87" s="49">
        <f>SUM(E87:Q87)-(45*6)</f>
        <v>37</v>
      </c>
      <c r="S87" s="49">
        <f>SUM(E87:R87)-(45*7)</f>
        <v>29</v>
      </c>
      <c r="T87" s="49">
        <f>SUM(E87:S87)-(45*8)</f>
        <v>13</v>
      </c>
      <c r="U87" s="49">
        <f>SUM(E87:T87)-(45*8)</f>
        <v>26</v>
      </c>
      <c r="V87" s="49">
        <f>SUM(F87:U87)-(45*8)</f>
        <v>25</v>
      </c>
      <c r="W87" s="49">
        <f>SUM(G87:V87)-(45*8)</f>
        <v>16</v>
      </c>
      <c r="X87" s="49">
        <f>SUM(H87:W87)-(45*8)</f>
        <v>28</v>
      </c>
      <c r="Y87" s="49">
        <f>SUM(I87:X87)-(45*8)</f>
        <v>40</v>
      </c>
      <c r="Z87" s="49">
        <f>SUM(J87:Y87)-(45*9)</f>
        <v>19</v>
      </c>
      <c r="AA87" s="49">
        <f>SUM(K87:Z87)-(45*9)</f>
        <v>31</v>
      </c>
      <c r="AB87" s="49">
        <f>SUM(L87:AA87)-(45*10)</f>
        <v>3</v>
      </c>
      <c r="AC87" s="49">
        <f>SUM(M87:AB87)-(45*9)</f>
        <v>23</v>
      </c>
      <c r="AD87" s="49">
        <f>SUM(N87:AC87)-(45*9)</f>
        <v>35</v>
      </c>
      <c r="AE87" s="49">
        <f>SUM(O87:AD87)-(45*10)</f>
        <v>3</v>
      </c>
      <c r="AF87" s="49">
        <f>SUM(P87:AE87)-(45*9)</f>
        <v>7</v>
      </c>
      <c r="AG87" s="49">
        <f>SUM(Q87:AF87)-(45*8)</f>
        <v>16</v>
      </c>
      <c r="AH87" s="49">
        <f t="shared" ref="AH87:AJ88" si="92">SUM(R87:AG87)-(45*7)</f>
        <v>36</v>
      </c>
      <c r="AI87" s="49">
        <f t="shared" si="92"/>
        <v>35</v>
      </c>
      <c r="AJ87" s="49">
        <f t="shared" si="92"/>
        <v>41</v>
      </c>
      <c r="AK87" s="49">
        <f>SUM(U87:AJ87)-(45*8)</f>
        <v>24</v>
      </c>
      <c r="AL87" s="49">
        <f t="shared" si="91"/>
        <v>22</v>
      </c>
      <c r="AM87" s="49">
        <f t="shared" si="91"/>
        <v>19</v>
      </c>
      <c r="AN87" s="49">
        <f>SUM(X87:AM87)-(45*8)</f>
        <v>22</v>
      </c>
      <c r="AO87" s="49">
        <f>SUM(Y87:AN87)-(45*8)</f>
        <v>16</v>
      </c>
      <c r="AP87" s="49">
        <f>SUM(Z87:AO87)-(45*7)</f>
        <v>37</v>
      </c>
      <c r="AQ87" s="49">
        <f>SUM(AA87:AP87)-(45*8)</f>
        <v>10</v>
      </c>
      <c r="AR87" s="49">
        <f>SUM(AB87:AQ87)-(45*7)</f>
        <v>34</v>
      </c>
      <c r="AS87" s="49">
        <f>SUM(AC87:AR87)-(45*8)</f>
        <v>20</v>
      </c>
      <c r="AT87" s="49">
        <f>SUM(AD87:AS87)-(45*8)</f>
        <v>17</v>
      </c>
      <c r="AU87" s="49">
        <f>SUM(AE87:AT87)-(45*7)</f>
        <v>44</v>
      </c>
      <c r="AV87" s="49">
        <f>SUM(AF87:AU87)-(45*8)</f>
        <v>40</v>
      </c>
      <c r="AW87" s="49">
        <f>SUM(AG87:AV87)-(45*9)</f>
        <v>28</v>
      </c>
      <c r="AX87" s="49">
        <f>SUM(AH87:AW87)-(45*9)</f>
        <v>40</v>
      </c>
      <c r="AY87" s="49">
        <f>SUM(AI87:AX87)-(45*9)</f>
        <v>44</v>
      </c>
      <c r="AZ87" s="49">
        <f>SUM(AJ87:AY87)-(45*10)</f>
        <v>8</v>
      </c>
      <c r="BA87" s="49">
        <f>SUM(AK87:AZ87)-(45*9)</f>
        <v>20</v>
      </c>
      <c r="BB87" s="49">
        <f>SUM(AL87:BA87)-(45*9)</f>
        <v>16</v>
      </c>
      <c r="BC87" s="49">
        <f>SUM(AM87:BB87)-(45*9)</f>
        <v>10</v>
      </c>
      <c r="BD87" s="49">
        <f>SUM(AN87:BC87)-(45*9)</f>
        <v>1</v>
      </c>
      <c r="BE87" s="49">
        <f>SUM(AO87:BD87)-(45*8)</f>
        <v>25</v>
      </c>
      <c r="BF87" s="49">
        <f>SUM(AP87:BE87)-(45*8)</f>
        <v>34</v>
      </c>
      <c r="BG87" s="49">
        <f>SUM(AQ87:BF87)-(45*8)</f>
        <v>31</v>
      </c>
      <c r="BH87" s="49">
        <f>SUM(AR87:BG87)-(45*9)</f>
        <v>7</v>
      </c>
      <c r="BI87" s="49">
        <f>SUM(AS87:BH87)-(45*8)</f>
        <v>25</v>
      </c>
      <c r="BJ87" s="49">
        <f>SUM(AT87:BI87)-(45*8)</f>
        <v>30</v>
      </c>
      <c r="BK87" s="49">
        <f>SUM(AU87:BJ87)-(45*8)</f>
        <v>43</v>
      </c>
      <c r="BL87" s="49">
        <f>SUM(AV87:BK87)-(45*8)</f>
        <v>42</v>
      </c>
      <c r="BM87" s="49">
        <f>SUM(AW87:BL87)-(45*8)</f>
        <v>44</v>
      </c>
      <c r="BN87" s="49">
        <f>SUM(AX87:BM87)-(45*9)</f>
        <v>15</v>
      </c>
      <c r="BO87" s="49">
        <f>SUM(AY87:BN87)-(45*8)</f>
        <v>35</v>
      </c>
      <c r="BP87" s="49">
        <f>SUM(AZ87:BO87)-(45*8)</f>
        <v>26</v>
      </c>
      <c r="BQ87" s="49">
        <f>SUM(BA87:BP87)-(45*8)</f>
        <v>44</v>
      </c>
      <c r="BR87" s="49">
        <f>SUM(BB87:BQ87)-(45*9)</f>
        <v>23</v>
      </c>
      <c r="BS87" s="49">
        <f>SUM(BC87:BR87)-(45*9)</f>
        <v>30</v>
      </c>
      <c r="BT87" s="49">
        <f>SUM(BD87:BS87)-(45*10)</f>
        <v>5</v>
      </c>
      <c r="BU87" s="49">
        <f>SUM(BE87:BT87)-(45*10)</f>
        <v>9</v>
      </c>
      <c r="BV87" s="49">
        <f>SUM(BF87:BU87)-(45*9)</f>
        <v>38</v>
      </c>
      <c r="BX87" s="190" t="s">
        <v>335</v>
      </c>
      <c r="BY87" s="23">
        <v>5</v>
      </c>
      <c r="BZ87" s="23">
        <v>0</v>
      </c>
      <c r="CE87" s="48">
        <v>556</v>
      </c>
      <c r="CF87" s="17">
        <v>12</v>
      </c>
      <c r="CG87" s="17">
        <v>20</v>
      </c>
      <c r="CH87" s="17">
        <v>23</v>
      </c>
      <c r="CI87" s="17">
        <v>28</v>
      </c>
      <c r="CJ87" s="17">
        <v>30</v>
      </c>
      <c r="CK87" s="17">
        <v>44</v>
      </c>
      <c r="CL87" s="17">
        <v>43</v>
      </c>
      <c r="CM87" s="58">
        <f>SUM(CF87:CK87)-(45*3)</f>
        <v>22</v>
      </c>
      <c r="CN87" s="55">
        <f>SUM(CF87:CL87)-(45*4)</f>
        <v>20</v>
      </c>
      <c r="CO87" s="17"/>
      <c r="CP87" s="48">
        <f t="shared" si="89"/>
        <v>8</v>
      </c>
      <c r="CQ87" s="48">
        <f t="shared" si="89"/>
        <v>3</v>
      </c>
      <c r="CR87" s="48">
        <f t="shared" si="89"/>
        <v>5</v>
      </c>
      <c r="CS87" s="48">
        <f t="shared" si="89"/>
        <v>2</v>
      </c>
      <c r="CT87" s="48">
        <f t="shared" si="89"/>
        <v>14</v>
      </c>
      <c r="CU87" s="48">
        <f t="shared" si="89"/>
        <v>1</v>
      </c>
      <c r="CV87" s="48">
        <v>7</v>
      </c>
      <c r="CW87" s="48">
        <v>41</v>
      </c>
      <c r="CY87" s="23">
        <v>3</v>
      </c>
    </row>
    <row r="88" spans="2:103" s="23" customFormat="1" ht="17.25">
      <c r="B88" s="22"/>
      <c r="C88" s="44">
        <v>557</v>
      </c>
      <c r="D88" s="108" t="s">
        <v>215</v>
      </c>
      <c r="E88" s="48">
        <v>3</v>
      </c>
      <c r="F88" s="63">
        <v>11</v>
      </c>
      <c r="G88" s="63">
        <v>1</v>
      </c>
      <c r="H88" s="48">
        <f>SUM(E88:F88)-(45*0)</f>
        <v>14</v>
      </c>
      <c r="I88" s="48">
        <v>17</v>
      </c>
      <c r="J88" s="49">
        <f>SUM(E88:I88)-(45*1)</f>
        <v>1</v>
      </c>
      <c r="K88" s="49">
        <f>SUM(E88:J88)-(45*1)</f>
        <v>2</v>
      </c>
      <c r="L88" s="49">
        <f>SUM(E88:K88)-(45*1)</f>
        <v>4</v>
      </c>
      <c r="M88" s="49">
        <f>SUM(E88:L88)-(45*1)</f>
        <v>8</v>
      </c>
      <c r="N88" s="49">
        <f>SUM(E88:M88)-(45*1)</f>
        <v>16</v>
      </c>
      <c r="O88" s="49">
        <f>SUM(E88:N88)-(45*1)</f>
        <v>32</v>
      </c>
      <c r="P88" s="49">
        <f>SUM(E88:O88)-(45*2)</f>
        <v>19</v>
      </c>
      <c r="Q88" s="49">
        <f>SUM(E88:P88)-(45*2)</f>
        <v>38</v>
      </c>
      <c r="R88" s="49">
        <f>SUM(E88:Q88)-(45*3)</f>
        <v>31</v>
      </c>
      <c r="S88" s="49">
        <f>SUM(E88:R88)-(45*4)</f>
        <v>17</v>
      </c>
      <c r="T88" s="49">
        <f>SUM(E88:S88)-(45*4)</f>
        <v>34</v>
      </c>
      <c r="U88" s="49">
        <f>SUM(E88:T88)-(45*5)</f>
        <v>23</v>
      </c>
      <c r="V88" s="49">
        <f>SUM(F88:U88)-(45*5)</f>
        <v>43</v>
      </c>
      <c r="W88" s="49">
        <f>SUM(G88:V88)-(45*6)</f>
        <v>30</v>
      </c>
      <c r="X88" s="49">
        <f>SUM(H88:W88)-(45*7)</f>
        <v>14</v>
      </c>
      <c r="Y88" s="49">
        <f>SUM(I88:X88)-(45*7)</f>
        <v>14</v>
      </c>
      <c r="Z88" s="49">
        <f>SUM(J88:Y88)-(45*7)</f>
        <v>11</v>
      </c>
      <c r="AA88" s="49">
        <f>SUM(K88:Z88)-(45*7)</f>
        <v>21</v>
      </c>
      <c r="AB88" s="49">
        <f>SUM(L88:AA88)-(45*7)</f>
        <v>40</v>
      </c>
      <c r="AC88" s="49">
        <f>SUM(M88:AB88)-(45*8)</f>
        <v>31</v>
      </c>
      <c r="AD88" s="49">
        <f>SUM(N88:AC88)-(45*9)</f>
        <v>9</v>
      </c>
      <c r="AE88" s="49">
        <f>SUM(O88:AD88)-(45*9)</f>
        <v>2</v>
      </c>
      <c r="AF88" s="49">
        <f>SUM(P88:AE88)-(45*8)</f>
        <v>17</v>
      </c>
      <c r="AG88" s="49">
        <f>SUM(Q88:AF88)-(45*8)</f>
        <v>15</v>
      </c>
      <c r="AH88" s="49">
        <f t="shared" si="92"/>
        <v>37</v>
      </c>
      <c r="AI88" s="49">
        <f t="shared" si="92"/>
        <v>43</v>
      </c>
      <c r="AJ88" s="49">
        <f>SUM(T88:AI88)-(45*8)</f>
        <v>24</v>
      </c>
      <c r="AK88" s="49">
        <f>SUM(U88:AJ88)-(45*8)</f>
        <v>14</v>
      </c>
      <c r="AL88" s="49">
        <f t="shared" si="91"/>
        <v>5</v>
      </c>
      <c r="AM88" s="49">
        <f>SUM(W88:AL88)-(45*7)</f>
        <v>12</v>
      </c>
      <c r="AN88" s="49">
        <f>SUM(X88:AM88)-(45*6)</f>
        <v>39</v>
      </c>
      <c r="AO88" s="49">
        <f>SUM(Y88:AN88)-(45*7)</f>
        <v>19</v>
      </c>
      <c r="AP88" s="49">
        <f>SUM(Z88:AO88)-(45*7)</f>
        <v>24</v>
      </c>
      <c r="AQ88" s="49">
        <f>SUM(AA88:AP88)-(45*7)</f>
        <v>37</v>
      </c>
      <c r="AR88" s="49">
        <f>SUM(AB88:AQ88)-(45*8)</f>
        <v>8</v>
      </c>
      <c r="AS88" s="49">
        <f>SUM(AC88:AR88)-(45*7)</f>
        <v>21</v>
      </c>
      <c r="AT88" s="49">
        <f>SUM(AD88:AS88)-(45*7)</f>
        <v>11</v>
      </c>
      <c r="AU88" s="49">
        <f>SUM(AE88:AT88)-(45*7)</f>
        <v>13</v>
      </c>
      <c r="AV88" s="49">
        <f>SUM(AF88:AU88)-(45*7)</f>
        <v>24</v>
      </c>
      <c r="AW88" s="49">
        <f>SUM(AG88:AV88)-(45*7)</f>
        <v>31</v>
      </c>
      <c r="AX88" s="49">
        <f>SUM(AH88:AW88)-(45*8)</f>
        <v>2</v>
      </c>
      <c r="AY88" s="49">
        <f>SUM(AI88:AX88)-(45*7)</f>
        <v>12</v>
      </c>
      <c r="AZ88" s="49">
        <f>SUM(AJ88:AY88)-(45*6)</f>
        <v>26</v>
      </c>
      <c r="BA88" s="49">
        <f>SUM(AK88:AZ88)-(45*6)</f>
        <v>28</v>
      </c>
      <c r="BB88" s="49">
        <f>SUM(AL88:BA88)-(45*6)</f>
        <v>42</v>
      </c>
      <c r="BC88" s="49">
        <f>SUM(AM88:BB88)-(45*7)</f>
        <v>34</v>
      </c>
      <c r="BD88" s="49">
        <f>SUM(AN88:BC88)-(45*8)</f>
        <v>11</v>
      </c>
      <c r="BE88" s="49">
        <f>SUM(AO88:BD88)-(45*7)</f>
        <v>28</v>
      </c>
      <c r="BF88" s="49">
        <f>SUM(AP88:BE88)-(45*7)</f>
        <v>37</v>
      </c>
      <c r="BG88" s="49">
        <f>SUM(AQ88:BF88)-(45*8)</f>
        <v>5</v>
      </c>
      <c r="BH88" s="49">
        <f>SUM(AR88:BG88)-(45*7)</f>
        <v>18</v>
      </c>
      <c r="BI88" s="49">
        <f>SUM(AS88:BH88)-(45*7)</f>
        <v>28</v>
      </c>
      <c r="BJ88" s="49">
        <f>SUM(AT88:BI88)-(45*7)</f>
        <v>35</v>
      </c>
      <c r="BK88" s="49">
        <f>SUM(AU88:BJ88)-(45*8)</f>
        <v>14</v>
      </c>
      <c r="BL88" s="49">
        <f>SUM(AV88:BK88)-(45*8)</f>
        <v>15</v>
      </c>
      <c r="BM88" s="49">
        <f>SUM(AW88:BL88)-(45*8)</f>
        <v>6</v>
      </c>
      <c r="BN88" s="49">
        <f>SUM(AX88:BM88)-(45*7)</f>
        <v>26</v>
      </c>
      <c r="BO88" s="49">
        <f>SUM(AY88:BN88)-(45*8)</f>
        <v>5</v>
      </c>
      <c r="BP88" s="49">
        <f>SUM(AZ88:BO88)-(45*7)</f>
        <v>43</v>
      </c>
      <c r="BQ88" s="49">
        <f>SUM(BA88:BP88)-(45*8)</f>
        <v>15</v>
      </c>
      <c r="BR88" s="49">
        <f>SUM(BB88:BQ88)-(45*8)</f>
        <v>2</v>
      </c>
      <c r="BS88" s="49">
        <f>SUM(BC88:BR88)-(45*7)</f>
        <v>7</v>
      </c>
      <c r="BT88" s="49">
        <f>SUM(BD88:BS88)-(45*6)</f>
        <v>25</v>
      </c>
      <c r="BU88" s="49">
        <f>SUM(BE88:BT88)-(45*6)</f>
        <v>39</v>
      </c>
      <c r="BV88" s="49">
        <f>SUM(BF88:BU88)-(45*7)</f>
        <v>5</v>
      </c>
      <c r="BX88" s="190" t="s">
        <v>335</v>
      </c>
      <c r="BY88" s="23">
        <v>4</v>
      </c>
      <c r="BZ88" s="23">
        <v>1</v>
      </c>
      <c r="CE88" s="48">
        <v>557</v>
      </c>
      <c r="CF88" s="17">
        <v>4</v>
      </c>
      <c r="CG88" s="17">
        <v>20</v>
      </c>
      <c r="CH88" s="17">
        <v>26</v>
      </c>
      <c r="CI88" s="17">
        <v>28</v>
      </c>
      <c r="CJ88" s="17">
        <v>35</v>
      </c>
      <c r="CK88" s="17">
        <v>40</v>
      </c>
      <c r="CL88" s="17">
        <v>31</v>
      </c>
      <c r="CM88" s="58">
        <f>SUM(CF88:CK88)-(45*3)</f>
        <v>18</v>
      </c>
      <c r="CN88" s="55">
        <f>SUM(CF88:CL88)-(45*4)</f>
        <v>4</v>
      </c>
      <c r="CO88" s="17"/>
      <c r="CP88" s="48">
        <f t="shared" si="89"/>
        <v>16</v>
      </c>
      <c r="CQ88" s="48">
        <f t="shared" si="89"/>
        <v>6</v>
      </c>
      <c r="CR88" s="48">
        <f t="shared" si="89"/>
        <v>2</v>
      </c>
      <c r="CS88" s="48">
        <f t="shared" si="89"/>
        <v>7</v>
      </c>
      <c r="CT88" s="48">
        <f t="shared" si="89"/>
        <v>5</v>
      </c>
      <c r="CU88" s="48">
        <f t="shared" si="89"/>
        <v>9</v>
      </c>
      <c r="CV88" s="48">
        <v>7</v>
      </c>
      <c r="CW88" s="48">
        <v>43</v>
      </c>
      <c r="CY88" s="23">
        <v>5</v>
      </c>
    </row>
    <row r="89" spans="2:103" s="23" customFormat="1" ht="17.25">
      <c r="B89" s="22"/>
      <c r="C89" s="44">
        <v>558</v>
      </c>
      <c r="D89" s="108" t="s">
        <v>242</v>
      </c>
      <c r="E89" s="48">
        <v>10</v>
      </c>
      <c r="F89" s="63">
        <v>18</v>
      </c>
      <c r="G89" s="63">
        <v>2</v>
      </c>
      <c r="H89" s="48">
        <f>SUM(E89:F89)-(45*0)</f>
        <v>28</v>
      </c>
      <c r="I89" s="48">
        <v>18</v>
      </c>
      <c r="J89" s="49">
        <f>SUM(E89:I89)-(45*1)</f>
        <v>31</v>
      </c>
      <c r="K89" s="49">
        <f>SUM(E89:J89)-(45*2)</f>
        <v>17</v>
      </c>
      <c r="L89" s="49">
        <f>SUM(E89:K89)-(45*2)</f>
        <v>34</v>
      </c>
      <c r="M89" s="49">
        <f>SUM(E89:L89)-(45*3)</f>
        <v>23</v>
      </c>
      <c r="N89" s="49">
        <f>SUM(E89:M89)-(45*4)</f>
        <v>1</v>
      </c>
      <c r="O89" s="49">
        <f>SUM(E89:N89)-(45*4)</f>
        <v>2</v>
      </c>
      <c r="P89" s="49">
        <f>SUM(E89:O89)-(45*4)</f>
        <v>4</v>
      </c>
      <c r="Q89" s="49">
        <f>SUM(E89:P89)-(45*4)</f>
        <v>8</v>
      </c>
      <c r="R89" s="49">
        <f>SUM(E89:Q89)-(45*4)</f>
        <v>16</v>
      </c>
      <c r="S89" s="49">
        <f>SUM(E89:R89)-(45*4)</f>
        <v>32</v>
      </c>
      <c r="T89" s="49">
        <f>SUM(E89:S89)-(45*5)</f>
        <v>19</v>
      </c>
      <c r="U89" s="49">
        <f>SUM(E89:T89)-(45*5)</f>
        <v>38</v>
      </c>
      <c r="V89" s="49">
        <f>SUM(F89:U89)-(45*6)</f>
        <v>21</v>
      </c>
      <c r="W89" s="49">
        <f>SUM(G89:V89)-(45*6)</f>
        <v>24</v>
      </c>
      <c r="X89" s="49">
        <f>SUM(H89:W89)-(45*7)</f>
        <v>1</v>
      </c>
      <c r="Y89" s="49">
        <f>SUM(I89:X89)-(45*6)</f>
        <v>19</v>
      </c>
      <c r="Z89" s="49">
        <f>SUM(J89:Y89)-(45*6)</f>
        <v>20</v>
      </c>
      <c r="AA89" s="49">
        <f>SUM(K89:Z89)-(45*6)</f>
        <v>9</v>
      </c>
      <c r="AB89" s="49">
        <f>SUM(L89:AA89)-(45*6)</f>
        <v>1</v>
      </c>
      <c r="AC89" s="49">
        <f t="shared" ref="AC89:AI89" si="93">SUM(M89:AB89)-(45*5)</f>
        <v>13</v>
      </c>
      <c r="AD89" s="49">
        <f t="shared" si="93"/>
        <v>3</v>
      </c>
      <c r="AE89" s="49">
        <f t="shared" si="93"/>
        <v>5</v>
      </c>
      <c r="AF89" s="49">
        <f t="shared" si="93"/>
        <v>8</v>
      </c>
      <c r="AG89" s="49">
        <f t="shared" si="93"/>
        <v>12</v>
      </c>
      <c r="AH89" s="49">
        <f t="shared" si="93"/>
        <v>16</v>
      </c>
      <c r="AI89" s="49">
        <f t="shared" si="93"/>
        <v>16</v>
      </c>
      <c r="AJ89" s="49">
        <f>SUM(T89:AI89)-(45*4)</f>
        <v>45</v>
      </c>
      <c r="AK89" s="49">
        <f>SUM(U89:AJ89)-(45*5)</f>
        <v>26</v>
      </c>
      <c r="AL89" s="49">
        <f>SUM(V89:AK89)-(45*5)</f>
        <v>14</v>
      </c>
      <c r="AM89" s="49">
        <f>SUM(W89:AL89)-(45*5)</f>
        <v>7</v>
      </c>
      <c r="AN89" s="49">
        <f>SUM(X89:AM89)-(45*4)</f>
        <v>35</v>
      </c>
      <c r="AO89" s="49">
        <f>SUM(Y89:AN89)-(45*5)</f>
        <v>24</v>
      </c>
      <c r="AP89" s="49">
        <f>SUM(Z89:AO89)-(45*5)</f>
        <v>29</v>
      </c>
      <c r="AQ89" s="49">
        <f>SUM(AA89:AP89)-(45*5)</f>
        <v>38</v>
      </c>
      <c r="AR89" s="49">
        <f>SUM(AB89:AQ89)-(45*6)</f>
        <v>22</v>
      </c>
      <c r="AS89" s="49">
        <f>SUM(AC89:AR89)-(45*6)</f>
        <v>43</v>
      </c>
      <c r="AT89" s="49">
        <f>SUM(AD89:AS89)-(45*7)</f>
        <v>28</v>
      </c>
      <c r="AU89" s="49">
        <f>SUM(AE89:AT89)-(45*8)</f>
        <v>8</v>
      </c>
      <c r="AV89" s="49">
        <f>SUM(AF89:AU89)-(45*8)</f>
        <v>11</v>
      </c>
      <c r="AW89" s="49">
        <f>SUM(AG89:AV89)-(45*8)</f>
        <v>14</v>
      </c>
      <c r="AX89" s="49">
        <f>SUM(AH89:AW89)-(45*8)</f>
        <v>16</v>
      </c>
      <c r="AY89" s="49">
        <f>SUM(AI89:AX89)-(45*8)</f>
        <v>16</v>
      </c>
      <c r="AZ89" s="49">
        <f>SUM(AJ89:AY89)-(45*8)</f>
        <v>16</v>
      </c>
      <c r="BA89" s="49">
        <f>SUM(AK89:AZ89)-(45*7)</f>
        <v>32</v>
      </c>
      <c r="BB89" s="49">
        <f>SUM(AL89:BA89)-(45*7)</f>
        <v>38</v>
      </c>
      <c r="BC89" s="49">
        <f>SUM(AM89:BB89)-(45*8)</f>
        <v>17</v>
      </c>
      <c r="BD89" s="49">
        <f>SUM(AN89:BC89)-(45*8)</f>
        <v>27</v>
      </c>
      <c r="BE89" s="49">
        <f>SUM(AO89:BD89)-(45*8)</f>
        <v>19</v>
      </c>
      <c r="BF89" s="49">
        <f>SUM(AP89:BE89)-(45*8)</f>
        <v>14</v>
      </c>
      <c r="BG89" s="49">
        <f>SUM(AQ89:BF89)-(45*7)</f>
        <v>44</v>
      </c>
      <c r="BH89" s="49">
        <f>SUM(AR89:BG89)-(45*8)</f>
        <v>5</v>
      </c>
      <c r="BI89" s="49">
        <f>SUM(AS89:BH89)-(45*7)</f>
        <v>33</v>
      </c>
      <c r="BJ89" s="49">
        <f>SUM(AT89:BI89)-(45*7)</f>
        <v>23</v>
      </c>
      <c r="BK89" s="49">
        <f>SUM(AU89:BJ89)-(45*7)</f>
        <v>18</v>
      </c>
      <c r="BL89" s="49">
        <f>SUM(AV89:BK89)-(45*7)</f>
        <v>28</v>
      </c>
      <c r="BM89" s="49">
        <f>SUM(AW89:BL89)-(45*7)</f>
        <v>45</v>
      </c>
      <c r="BN89" s="49">
        <f>SUM(AX89:BM89)-(45*8)</f>
        <v>31</v>
      </c>
      <c r="BO89" s="49">
        <f>SUM(AY89:BN89)-(45*9)</f>
        <v>1</v>
      </c>
      <c r="BP89" s="49">
        <f>SUM(AZ89:BO89)-(45*8)</f>
        <v>31</v>
      </c>
      <c r="BQ89" s="49">
        <f>SUM(BA89:BP89)-(45*9)</f>
        <v>1</v>
      </c>
      <c r="BR89" s="49">
        <f>SUM(BB89:BQ89)-(45*8)</f>
        <v>15</v>
      </c>
      <c r="BS89" s="49">
        <f>SUM(BC89:BR89)-(45*7)</f>
        <v>37</v>
      </c>
      <c r="BT89" s="49">
        <f>SUM(BD89:BS89)-(45*8)</f>
        <v>12</v>
      </c>
      <c r="BU89" s="49">
        <f>SUM(BE89:BT89)-(45*7)</f>
        <v>42</v>
      </c>
      <c r="BV89" s="49">
        <f>SUM(BF89:BU89)-(45*8)</f>
        <v>20</v>
      </c>
      <c r="BX89" s="190" t="s">
        <v>339</v>
      </c>
      <c r="BY89" s="23">
        <v>6</v>
      </c>
      <c r="BZ89" s="23">
        <v>0</v>
      </c>
      <c r="CE89" s="48">
        <v>558</v>
      </c>
      <c r="CF89" s="17">
        <v>12</v>
      </c>
      <c r="CG89" s="17">
        <v>15</v>
      </c>
      <c r="CH89" s="17">
        <v>19</v>
      </c>
      <c r="CI89" s="17">
        <v>26</v>
      </c>
      <c r="CJ89" s="17">
        <v>40</v>
      </c>
      <c r="CK89" s="17">
        <v>43</v>
      </c>
      <c r="CL89" s="17">
        <v>29</v>
      </c>
      <c r="CM89" s="58">
        <f>SUM(CF89:CK89)-(45*3)</f>
        <v>20</v>
      </c>
      <c r="CN89" s="55">
        <f>SUM(CF89:CL89)-(45*4)</f>
        <v>4</v>
      </c>
      <c r="CO89" s="17"/>
      <c r="CP89" s="48">
        <f t="shared" si="89"/>
        <v>3</v>
      </c>
      <c r="CQ89" s="48">
        <f t="shared" si="89"/>
        <v>4</v>
      </c>
      <c r="CR89" s="48">
        <f t="shared" si="89"/>
        <v>7</v>
      </c>
      <c r="CS89" s="48">
        <f t="shared" si="89"/>
        <v>14</v>
      </c>
      <c r="CT89" s="48">
        <f t="shared" si="89"/>
        <v>3</v>
      </c>
      <c r="CU89" s="48">
        <f t="shared" si="89"/>
        <v>14</v>
      </c>
      <c r="CV89" s="48">
        <v>10</v>
      </c>
      <c r="CW89" s="48">
        <f>51-45</f>
        <v>6</v>
      </c>
      <c r="CY89" s="23">
        <v>3</v>
      </c>
    </row>
    <row r="90" spans="2:103" s="23" customFormat="1" ht="17.25">
      <c r="B90" s="22"/>
      <c r="C90" s="44">
        <v>559</v>
      </c>
      <c r="D90" s="108" t="s">
        <v>245</v>
      </c>
      <c r="E90" s="48">
        <v>17</v>
      </c>
      <c r="F90" s="63">
        <v>25</v>
      </c>
      <c r="G90" s="63">
        <v>3</v>
      </c>
      <c r="H90" s="48">
        <f>SUM(E90:F90)-(45*0)</f>
        <v>42</v>
      </c>
      <c r="I90" s="48">
        <v>19</v>
      </c>
      <c r="J90" s="49">
        <f>SUM(E90:I90)-(45*2)</f>
        <v>16</v>
      </c>
      <c r="K90" s="49">
        <f>SUM(E90:J90)-(45*2)</f>
        <v>32</v>
      </c>
      <c r="L90" s="49">
        <f>SUM(E90:K90)-(45*3)</f>
        <v>19</v>
      </c>
      <c r="M90" s="49">
        <f>SUM(E90:L90)-(45*3)</f>
        <v>38</v>
      </c>
      <c r="N90" s="49">
        <f>SUM(E90:M90)-(45*4)</f>
        <v>31</v>
      </c>
      <c r="O90" s="49">
        <f>SUM(E90:N90)-(45*5)</f>
        <v>17</v>
      </c>
      <c r="P90" s="49">
        <f>SUM(E90:O90)-(45*5)</f>
        <v>34</v>
      </c>
      <c r="Q90" s="49">
        <f>SUM(E90:P90)-(45*6)</f>
        <v>23</v>
      </c>
      <c r="R90" s="49">
        <f>SUM(E90:Q90)-(45*7)</f>
        <v>1</v>
      </c>
      <c r="S90" s="49">
        <f>SUM(E90:R90)-(45*7)</f>
        <v>2</v>
      </c>
      <c r="T90" s="49">
        <f>SUM(E90:S90)-(45*7)</f>
        <v>4</v>
      </c>
      <c r="U90" s="49">
        <f>SUM(E90:T90)-(45*7)</f>
        <v>8</v>
      </c>
      <c r="V90" s="49">
        <f>SUM(F90:U90)-(45*6)</f>
        <v>44</v>
      </c>
      <c r="W90" s="49">
        <f>SUM(G90:V90)-(45*7)</f>
        <v>18</v>
      </c>
      <c r="X90" s="49">
        <f>SUM(H90:W90)-(45*7)</f>
        <v>33</v>
      </c>
      <c r="Y90" s="49">
        <f>SUM(I90:X90)-(45*7)</f>
        <v>24</v>
      </c>
      <c r="Z90" s="49">
        <f>SUM(J90:Y90)-(45*7)</f>
        <v>29</v>
      </c>
      <c r="AA90" s="49">
        <f>SUM(K90:Z90)-(45*7)</f>
        <v>42</v>
      </c>
      <c r="AB90" s="49">
        <f>SUM(L90:AA90)-(45*8)</f>
        <v>7</v>
      </c>
      <c r="AC90" s="49">
        <f>SUM(M90:AB90)-(45*7)</f>
        <v>40</v>
      </c>
      <c r="AD90" s="49">
        <f>SUM(N90:AC90)-(45*7)</f>
        <v>42</v>
      </c>
      <c r="AE90" s="49">
        <f>SUM(O90:AD90)-(45*8)</f>
        <v>8</v>
      </c>
      <c r="AF90" s="49">
        <f>SUM(P90:AE90)-(45*7)</f>
        <v>44</v>
      </c>
      <c r="AG90" s="49">
        <f>SUM(Q90:AF90)-(45*8)</f>
        <v>9</v>
      </c>
      <c r="AH90" s="49">
        <f>SUM(R90:AG90)-(45*7)</f>
        <v>40</v>
      </c>
      <c r="AI90" s="49">
        <f>SUM(S90:AH90)-(45*8)</f>
        <v>34</v>
      </c>
      <c r="AJ90" s="49">
        <f>SUM(T90:AI90)-(45*9)</f>
        <v>21</v>
      </c>
      <c r="AK90" s="49">
        <f>SUM(U90:AJ90)-(45*9)</f>
        <v>38</v>
      </c>
      <c r="AL90" s="49">
        <f>SUM(V90:AK90)-(45*10)</f>
        <v>23</v>
      </c>
      <c r="AM90" s="49">
        <f>SUM(W90:AL90)-(45*10)</f>
        <v>2</v>
      </c>
      <c r="AN90" s="49">
        <f>SUM(X90:AM90)-(45*9)</f>
        <v>31</v>
      </c>
      <c r="AO90" s="49">
        <f>SUM(Y90:AN90)-(45*9)</f>
        <v>29</v>
      </c>
      <c r="AP90" s="49">
        <f>SUM(Z90:AO90)-(45*9)</f>
        <v>34</v>
      </c>
      <c r="AQ90" s="49">
        <f>SUM(AA90:AP90)-(45*9)</f>
        <v>39</v>
      </c>
      <c r="AR90" s="49">
        <f>SUM(AB90:AQ90)-(45*9)</f>
        <v>36</v>
      </c>
      <c r="AS90" s="49">
        <f>SUM(AC90:AR90)-(45*10)</f>
        <v>20</v>
      </c>
      <c r="AT90" s="49">
        <f>SUM(AD90:AS90)-(45*9)</f>
        <v>45</v>
      </c>
      <c r="AU90" s="49">
        <f>SUM(AE90:AT90)-(45*10)</f>
        <v>3</v>
      </c>
      <c r="AV90" s="49">
        <f>SUM(AF90:AU90)-(45*9)</f>
        <v>43</v>
      </c>
      <c r="AW90" s="49">
        <f>SUM(AG90:AV90)-(45*9)</f>
        <v>42</v>
      </c>
      <c r="AX90" s="49">
        <f>SUM(AH90:AW90)-(45*10)</f>
        <v>30</v>
      </c>
      <c r="AY90" s="49">
        <f>SUM(AI90:AX90)-(45*10)</f>
        <v>20</v>
      </c>
      <c r="AZ90" s="49">
        <f>SUM(AJ90:AY90)-(45*10)</f>
        <v>6</v>
      </c>
      <c r="BA90" s="49">
        <f>SUM(AK90:AZ90)-(45*9)</f>
        <v>36</v>
      </c>
      <c r="BB90" s="49">
        <f>SUM(AL90:BA90)-(45*9)</f>
        <v>34</v>
      </c>
      <c r="BC90" s="49">
        <f>SUM(AM90:BB90)-(45*9)</f>
        <v>45</v>
      </c>
      <c r="BD90" s="49">
        <f>SUM(AN90:BC90)-(45*10)</f>
        <v>43</v>
      </c>
      <c r="BE90" s="49">
        <f>SUM(AO90:BD90)-(45*11)</f>
        <v>10</v>
      </c>
      <c r="BF90" s="49">
        <f>SUM(AP90:BE90)-(45*10)</f>
        <v>36</v>
      </c>
      <c r="BG90" s="49">
        <f>SUM(AQ90:BF90)-(45*10)</f>
        <v>38</v>
      </c>
      <c r="BH90" s="49">
        <f>SUM(AR90:BG90)-(45*10)</f>
        <v>37</v>
      </c>
      <c r="BI90" s="49">
        <f>SUM(AS90:BH90)-(45*10)</f>
        <v>38</v>
      </c>
      <c r="BJ90" s="49">
        <f>SUM(AT90:BI90)-(45*11)</f>
        <v>11</v>
      </c>
      <c r="BK90" s="49">
        <f>SUM(AU90:BJ90)-(45*10)</f>
        <v>22</v>
      </c>
      <c r="BL90" s="49">
        <f>SUM(AV90:BK90)-(45*10)</f>
        <v>41</v>
      </c>
      <c r="BM90" s="49">
        <f>SUM(AW90:BL90)-(45*10)</f>
        <v>39</v>
      </c>
      <c r="BN90" s="49">
        <f>SUM(AX90:BM90)-(45*10)</f>
        <v>36</v>
      </c>
      <c r="BO90" s="49">
        <f>SUM(AY90:BN90)-(45*10)</f>
        <v>42</v>
      </c>
      <c r="BP90" s="49">
        <f>SUM(AZ90:BO90)-(45*11)</f>
        <v>19</v>
      </c>
      <c r="BQ90" s="49">
        <f>SUM(BA90:BP90)-(45*11)</f>
        <v>32</v>
      </c>
      <c r="BR90" s="49">
        <f>SUM(BB90:BQ90)-(45*11)</f>
        <v>28</v>
      </c>
      <c r="BS90" s="49">
        <f>SUM(BC90:BR90)-(45*11)</f>
        <v>22</v>
      </c>
      <c r="BT90" s="49">
        <f>SUM(BD90:BS90)-(45*10)</f>
        <v>44</v>
      </c>
      <c r="BU90" s="49">
        <f>SUM(BE90:BT90)-(45*10)</f>
        <v>45</v>
      </c>
      <c r="BV90" s="49">
        <f>SUM(BF90:BU90)-(45*11)</f>
        <v>35</v>
      </c>
      <c r="BX90" s="190" t="s">
        <v>338</v>
      </c>
      <c r="BY90" s="23">
        <v>5</v>
      </c>
      <c r="BZ90" s="23">
        <v>1</v>
      </c>
      <c r="CE90" s="48">
        <v>559</v>
      </c>
      <c r="CF90" s="17">
        <v>11</v>
      </c>
      <c r="CG90" s="17">
        <v>12</v>
      </c>
      <c r="CH90" s="17">
        <v>25</v>
      </c>
      <c r="CI90" s="17">
        <v>32</v>
      </c>
      <c r="CJ90" s="17">
        <v>44</v>
      </c>
      <c r="CK90" s="17">
        <v>45</v>
      </c>
      <c r="CL90" s="17">
        <v>23</v>
      </c>
      <c r="CM90" s="58">
        <f>SUM(CF90:CK90)-(45*3)</f>
        <v>34</v>
      </c>
      <c r="CN90" s="55">
        <f>SUM(CF90:CL90)-(45*4)</f>
        <v>12</v>
      </c>
      <c r="CO90" s="17"/>
      <c r="CP90" s="48">
        <f t="shared" si="89"/>
        <v>1</v>
      </c>
      <c r="CQ90" s="48">
        <f t="shared" si="89"/>
        <v>13</v>
      </c>
      <c r="CR90" s="48">
        <f t="shared" si="89"/>
        <v>7</v>
      </c>
      <c r="CS90" s="48">
        <f t="shared" si="89"/>
        <v>12</v>
      </c>
      <c r="CT90" s="48">
        <f t="shared" si="89"/>
        <v>1</v>
      </c>
      <c r="CU90" s="48">
        <f t="shared" si="89"/>
        <v>22</v>
      </c>
      <c r="CV90" s="48">
        <v>7</v>
      </c>
      <c r="CW90" s="48">
        <v>42</v>
      </c>
      <c r="CY90" s="23">
        <v>1</v>
      </c>
    </row>
    <row r="91" spans="2:103" s="23" customFormat="1" ht="17.25">
      <c r="B91" s="22"/>
      <c r="C91" s="44">
        <v>560</v>
      </c>
      <c r="D91" s="108" t="s">
        <v>276</v>
      </c>
      <c r="E91" s="48">
        <v>24</v>
      </c>
      <c r="F91" s="63">
        <v>32</v>
      </c>
      <c r="G91" s="63">
        <v>4</v>
      </c>
      <c r="H91" s="48">
        <f>SUM(E91:F91)-(45*1)</f>
        <v>11</v>
      </c>
      <c r="I91" s="48">
        <v>11</v>
      </c>
      <c r="J91" s="49">
        <f>SUM(E91:I91)-(45*1)</f>
        <v>37</v>
      </c>
      <c r="K91" s="49">
        <f>SUM(E91:J91)-(45*2)</f>
        <v>29</v>
      </c>
      <c r="L91" s="49">
        <f>SUM(E91:K91)-(45*3)</f>
        <v>13</v>
      </c>
      <c r="M91" s="49">
        <f>SUM(E91:L91)-(45*3)</f>
        <v>26</v>
      </c>
      <c r="N91" s="49">
        <f>SUM(E91:M91)-(45*4)</f>
        <v>7</v>
      </c>
      <c r="O91" s="49">
        <f>SUM(E91:N91)-(45*4)</f>
        <v>14</v>
      </c>
      <c r="P91" s="49">
        <f>SUM(E91:O91)-(45*4)</f>
        <v>28</v>
      </c>
      <c r="Q91" s="49">
        <f>SUM(E91:P91)-(45*5)</f>
        <v>11</v>
      </c>
      <c r="R91" s="49">
        <f>SUM(E91:Q91)-(45*5)</f>
        <v>22</v>
      </c>
      <c r="S91" s="49">
        <f>SUM(E91:R91)-(45*5)</f>
        <v>44</v>
      </c>
      <c r="T91" s="49">
        <f>SUM(E91:S91)-(45*6)</f>
        <v>43</v>
      </c>
      <c r="U91" s="49">
        <f>SUM(E91:T91)-(45*7)</f>
        <v>41</v>
      </c>
      <c r="V91" s="49">
        <f>SUM(F91:U91)-(45*8)</f>
        <v>13</v>
      </c>
      <c r="W91" s="49">
        <f>SUM(G91:V91)-(45*7)</f>
        <v>39</v>
      </c>
      <c r="X91" s="49">
        <f>SUM(H91:W91)-(45*8)</f>
        <v>29</v>
      </c>
      <c r="Y91" s="49">
        <f>SUM(I91:X91)-(45*9)</f>
        <v>2</v>
      </c>
      <c r="Z91" s="49">
        <f>SUM(J91:Y91)-(45*8)</f>
        <v>38</v>
      </c>
      <c r="AA91" s="49">
        <f>SUM(K91:Z91)-(45*8)</f>
        <v>39</v>
      </c>
      <c r="AB91" s="49">
        <f>SUM(L91:AA91)-(45*9)</f>
        <v>4</v>
      </c>
      <c r="AC91" s="49">
        <f>SUM(M91:AB91)-(45*8)</f>
        <v>40</v>
      </c>
      <c r="AD91" s="49">
        <f>SUM(N91:AC91)-(45*9)</f>
        <v>9</v>
      </c>
      <c r="AE91" s="49">
        <f>SUM(O91:AD91)-(45*9)</f>
        <v>11</v>
      </c>
      <c r="AF91" s="49">
        <f>SUM(P91:AE91)-(45*9)</f>
        <v>8</v>
      </c>
      <c r="AG91" s="49">
        <f>SUM(Q91:AF91)-(45*8)</f>
        <v>33</v>
      </c>
      <c r="AH91" s="49">
        <f>SUM(R91:AG91)-(45*9)</f>
        <v>10</v>
      </c>
      <c r="AI91" s="49">
        <f>SUM(S91:AH91)-(45*8)</f>
        <v>43</v>
      </c>
      <c r="AJ91" s="49">
        <f>SUM(T91:AI91)-(45*8)</f>
        <v>42</v>
      </c>
      <c r="AK91" s="49">
        <f>SUM(U91:AJ91)-(45*8)</f>
        <v>41</v>
      </c>
      <c r="AL91" s="49">
        <f>SUM(V91:AK91)-(45*8)</f>
        <v>41</v>
      </c>
      <c r="AM91" s="49">
        <f>SUM(W91:AL91)-(45*9)</f>
        <v>24</v>
      </c>
      <c r="AN91" s="49">
        <f>SUM(X91:AM91)-(45*9)</f>
        <v>9</v>
      </c>
      <c r="AO91" s="49">
        <f>SUM(Y91:AN91)-(45*8)</f>
        <v>34</v>
      </c>
      <c r="AP91" s="49">
        <f>SUM(Z91:AO91)-(45*9)</f>
        <v>21</v>
      </c>
      <c r="AQ91" s="49">
        <f>SUM(AA91:AP91)-(45*9)</f>
        <v>4</v>
      </c>
      <c r="AR91" s="49">
        <f>SUM(AB91:AQ91)-(45*8)</f>
        <v>14</v>
      </c>
      <c r="AS91" s="49">
        <f>SUM(AC91:AR91)-(45*8)</f>
        <v>24</v>
      </c>
      <c r="AT91" s="49">
        <f>SUM(AD91:AS91)-(45*8)</f>
        <v>8</v>
      </c>
      <c r="AU91" s="49">
        <f>SUM(AE91:AT91)-(45*8)</f>
        <v>7</v>
      </c>
      <c r="AV91" s="49">
        <f>SUM(AF91:AU91)-(45*8)</f>
        <v>3</v>
      </c>
      <c r="AW91" s="49">
        <f>SUM(AG91:AV91)-(45*7)</f>
        <v>43</v>
      </c>
      <c r="AX91" s="49">
        <f>SUM(AH91:AW91)-(45*8)</f>
        <v>8</v>
      </c>
      <c r="AY91" s="49">
        <f>SUM(AI91:AX91)-(45*8)</f>
        <v>6</v>
      </c>
      <c r="AZ91" s="49">
        <f>SUM(AJ91:AY91)-(45*7)</f>
        <v>14</v>
      </c>
      <c r="BA91" s="49">
        <f>SUM(AK91:AZ91)-(45*6)</f>
        <v>31</v>
      </c>
      <c r="BB91" s="49">
        <f>SUM(AL91:BA91)-(45*6)</f>
        <v>21</v>
      </c>
      <c r="BC91" s="49">
        <f>SUM(AM91:BB91)-(45*6)</f>
        <v>1</v>
      </c>
      <c r="BD91" s="49">
        <f>SUM(AN91:BC91)-(45*5)</f>
        <v>23</v>
      </c>
      <c r="BE91" s="49">
        <f>SUM(AO91:BD91)-(45*5)</f>
        <v>37</v>
      </c>
      <c r="BF91" s="49">
        <f>SUM(AP91:BE91)-(45*5)</f>
        <v>40</v>
      </c>
      <c r="BG91" s="49">
        <f>SUM(AQ91:BF91)-(45*6)</f>
        <v>14</v>
      </c>
      <c r="BH91" s="49">
        <f>SUM(AR91:BG91)-(45*6)</f>
        <v>24</v>
      </c>
      <c r="BI91" s="49">
        <f>SUM(AS91:BH91)-(45*6)</f>
        <v>34</v>
      </c>
      <c r="BJ91" s="49">
        <f>SUM(AT91:BI91)-(45*6)</f>
        <v>44</v>
      </c>
      <c r="BK91" s="49">
        <f>SUM(AU91:BJ91)-(45*7)</f>
        <v>35</v>
      </c>
      <c r="BL91" s="49">
        <f t="shared" ref="BL91:BO92" si="94">SUM(AV91:BK91)-(45*8)</f>
        <v>18</v>
      </c>
      <c r="BM91" s="49">
        <f t="shared" si="94"/>
        <v>33</v>
      </c>
      <c r="BN91" s="49">
        <f t="shared" si="94"/>
        <v>23</v>
      </c>
      <c r="BO91" s="49">
        <f t="shared" si="94"/>
        <v>38</v>
      </c>
      <c r="BP91" s="49">
        <f t="shared" ref="BP91:BR92" si="95">SUM(AZ91:BO91)-(45*9)</f>
        <v>25</v>
      </c>
      <c r="BQ91" s="49">
        <f t="shared" si="95"/>
        <v>36</v>
      </c>
      <c r="BR91" s="49">
        <f t="shared" si="95"/>
        <v>41</v>
      </c>
      <c r="BS91" s="49">
        <f>SUM(BC91:BR91)-(45*10)</f>
        <v>16</v>
      </c>
      <c r="BT91" s="49">
        <f>SUM(BD91:BS91)-(45*10)</f>
        <v>31</v>
      </c>
      <c r="BU91" s="49">
        <f>SUM(BE91:BT91)-(45*10)</f>
        <v>39</v>
      </c>
      <c r="BV91" s="49">
        <f>SUM(BF91:BU91)-(45*10)</f>
        <v>41</v>
      </c>
      <c r="BX91" s="190" t="s">
        <v>335</v>
      </c>
      <c r="BY91" s="23">
        <v>5</v>
      </c>
      <c r="BZ91" s="23">
        <v>0</v>
      </c>
      <c r="CE91" s="48">
        <v>560</v>
      </c>
      <c r="CF91" s="17">
        <v>1</v>
      </c>
      <c r="CG91" s="17">
        <v>4</v>
      </c>
      <c r="CH91" s="17">
        <v>20</v>
      </c>
      <c r="CI91" s="17">
        <v>23</v>
      </c>
      <c r="CJ91" s="17">
        <v>29</v>
      </c>
      <c r="CK91" s="17">
        <v>45</v>
      </c>
      <c r="CL91" s="17">
        <v>28</v>
      </c>
      <c r="CM91" s="58">
        <f>SUM(CF91:CK91)-(45*2)</f>
        <v>32</v>
      </c>
      <c r="CN91" s="55">
        <f>SUM(CF91:CL91)-(45*3)</f>
        <v>15</v>
      </c>
      <c r="CO91" s="17"/>
      <c r="CP91" s="48">
        <f t="shared" si="89"/>
        <v>3</v>
      </c>
      <c r="CQ91" s="48">
        <f t="shared" si="89"/>
        <v>16</v>
      </c>
      <c r="CR91" s="48">
        <f t="shared" si="89"/>
        <v>3</v>
      </c>
      <c r="CS91" s="48">
        <f t="shared" si="89"/>
        <v>6</v>
      </c>
      <c r="CT91" s="48">
        <f t="shared" si="89"/>
        <v>16</v>
      </c>
      <c r="CU91" s="48">
        <f t="shared" si="89"/>
        <v>17</v>
      </c>
      <c r="CV91" s="48">
        <v>7</v>
      </c>
      <c r="CW91" s="48">
        <v>40</v>
      </c>
      <c r="CY91" s="23">
        <v>2</v>
      </c>
    </row>
    <row r="92" spans="2:103" s="23" customFormat="1" ht="17.25">
      <c r="B92" s="22"/>
      <c r="C92" s="44">
        <v>561</v>
      </c>
      <c r="D92" s="108" t="s">
        <v>284</v>
      </c>
      <c r="E92" s="48">
        <v>31</v>
      </c>
      <c r="F92" s="63">
        <v>39</v>
      </c>
      <c r="G92" s="63">
        <v>5</v>
      </c>
      <c r="H92" s="48">
        <f>SUM(E92:F92)-(45*1)</f>
        <v>25</v>
      </c>
      <c r="I92" s="48">
        <v>12</v>
      </c>
      <c r="J92" s="49">
        <f>SUM(E92:I92)-(45*2)</f>
        <v>22</v>
      </c>
      <c r="K92" s="49">
        <f>SUM(E92:J92)-(45*2)</f>
        <v>44</v>
      </c>
      <c r="L92" s="49">
        <f>SUM(E92:K92)-(45*3)</f>
        <v>43</v>
      </c>
      <c r="M92" s="49">
        <f>SUM(E92:L92)-(45*4)</f>
        <v>41</v>
      </c>
      <c r="N92" s="49">
        <f>SUM(E92:M92)-(45*5)</f>
        <v>37</v>
      </c>
      <c r="O92" s="49">
        <f>SUM(E92:N92)-(45*6)</f>
        <v>29</v>
      </c>
      <c r="P92" s="49">
        <f>SUM(E92:O92)-(45*7)</f>
        <v>13</v>
      </c>
      <c r="Q92" s="49">
        <f>SUM(E92:P92)-(45*7)</f>
        <v>26</v>
      </c>
      <c r="R92" s="49">
        <f>SUM(E92:Q92)-(45*8)</f>
        <v>7</v>
      </c>
      <c r="S92" s="49">
        <f>SUM(E92:R92)-(45*8)</f>
        <v>14</v>
      </c>
      <c r="T92" s="49">
        <f>SUM(E92:S92)-(45*8)</f>
        <v>28</v>
      </c>
      <c r="U92" s="49">
        <f>SUM(E92:T92)-(45*9)</f>
        <v>11</v>
      </c>
      <c r="V92" s="49">
        <f>SUM(F92:U92)-(45*8)</f>
        <v>36</v>
      </c>
      <c r="W92" s="49">
        <f>SUM(G92:V92)-(45*8)</f>
        <v>33</v>
      </c>
      <c r="X92" s="49">
        <f>SUM(H92:W92)-(45*9)</f>
        <v>16</v>
      </c>
      <c r="Y92" s="49">
        <f>SUM(I92:X92)-(45*9)</f>
        <v>7</v>
      </c>
      <c r="Z92" s="49">
        <f>SUM(J92:Y92)-(45*9)</f>
        <v>2</v>
      </c>
      <c r="AA92" s="49">
        <f>SUM(K92:Z92)-(45*8)</f>
        <v>27</v>
      </c>
      <c r="AB92" s="49">
        <f>SUM(L92:AA92)-(45*8)</f>
        <v>10</v>
      </c>
      <c r="AC92" s="49">
        <f>SUM(M92:AB92)-(45*7)</f>
        <v>22</v>
      </c>
      <c r="AD92" s="49">
        <f>SUM(N92:AC92)-(45*7)</f>
        <v>3</v>
      </c>
      <c r="AE92" s="49">
        <f>SUM(O92:AD92)-(45*6)</f>
        <v>14</v>
      </c>
      <c r="AF92" s="49">
        <f>SUM(P92:AE92)-(45*5)</f>
        <v>44</v>
      </c>
      <c r="AG92" s="49">
        <f>SUM(Q92:AF92)-(45*6)</f>
        <v>30</v>
      </c>
      <c r="AH92" s="49">
        <f>SUM(R92:AG92)-(45*6)</f>
        <v>34</v>
      </c>
      <c r="AI92" s="49">
        <f>SUM(S92:AH92)-(45*7)</f>
        <v>16</v>
      </c>
      <c r="AJ92" s="49">
        <f>SUM(T92:AI92)-(45*7)</f>
        <v>18</v>
      </c>
      <c r="AK92" s="49">
        <f>SUM(U92:AJ92)-(45*7)</f>
        <v>8</v>
      </c>
      <c r="AL92" s="49">
        <f>SUM(V92:AK92)-(45*7)</f>
        <v>5</v>
      </c>
      <c r="AM92" s="49">
        <f>SUM(W92:AL92)-(45*6)</f>
        <v>19</v>
      </c>
      <c r="AN92" s="49">
        <f>SUM(X92:AM92)-(45*6)</f>
        <v>5</v>
      </c>
      <c r="AO92" s="49">
        <f>SUM(Y92:AN92)-(45*5)</f>
        <v>39</v>
      </c>
      <c r="AP92" s="49">
        <f>SUM(Z92:AO92)-(45*6)</f>
        <v>26</v>
      </c>
      <c r="AQ92" s="49">
        <f>SUM(AA92:AP92)-(45*7)</f>
        <v>5</v>
      </c>
      <c r="AR92" s="49">
        <f>SUM(AB92:AQ92)-(45*6)</f>
        <v>28</v>
      </c>
      <c r="AS92" s="49">
        <f>SUM(AC92:AR92)-(45*7)</f>
        <v>1</v>
      </c>
      <c r="AT92" s="49">
        <f>SUM(AD92:AS92)-(45*6)</f>
        <v>25</v>
      </c>
      <c r="AU92" s="49">
        <f>SUM(AE92:AT92)-(45*7)</f>
        <v>2</v>
      </c>
      <c r="AV92" s="49">
        <f>SUM(AF92:AU92)-(45*6)</f>
        <v>35</v>
      </c>
      <c r="AW92" s="49">
        <f>SUM(AG92:AV92)-(45*6)</f>
        <v>26</v>
      </c>
      <c r="AX92" s="49">
        <f>SUM(AH92:AW92)-(45*6)</f>
        <v>22</v>
      </c>
      <c r="AY92" s="49">
        <f>SUM(AI92:AX92)-(45*6)</f>
        <v>10</v>
      </c>
      <c r="AZ92" s="49">
        <f>SUM(AJ92:AY92)-(45*6)</f>
        <v>4</v>
      </c>
      <c r="BA92" s="49">
        <f>SUM(AK92:AZ92)-(45*5)</f>
        <v>35</v>
      </c>
      <c r="BB92" s="49">
        <f>SUM(AL92:BA92)-(45*6)</f>
        <v>17</v>
      </c>
      <c r="BC92" s="49">
        <f>SUM(AM92:BB92)-(45*6)</f>
        <v>29</v>
      </c>
      <c r="BD92" s="49">
        <f>SUM(AN92:BC92)-(45*6)</f>
        <v>39</v>
      </c>
      <c r="BE92" s="49">
        <f>SUM(AO92:BD92)-(45*7)</f>
        <v>28</v>
      </c>
      <c r="BF92" s="49">
        <f>SUM(AP92:BE92)-(45*7)</f>
        <v>17</v>
      </c>
      <c r="BG92" s="49">
        <f>SUM(AQ92:BF92)-(45*7)</f>
        <v>8</v>
      </c>
      <c r="BH92" s="49">
        <f>SUM(AR92:BG92)-(45*7)</f>
        <v>11</v>
      </c>
      <c r="BI92" s="49">
        <f>SUM(AS92:BH92)-(45*6)</f>
        <v>39</v>
      </c>
      <c r="BJ92" s="49">
        <f>SUM(AT92:BI92)-(45*7)</f>
        <v>32</v>
      </c>
      <c r="BK92" s="49">
        <f>SUM(AU92:BJ92)-(45*7)</f>
        <v>39</v>
      </c>
      <c r="BL92" s="49">
        <f t="shared" si="94"/>
        <v>31</v>
      </c>
      <c r="BM92" s="49">
        <f t="shared" si="94"/>
        <v>27</v>
      </c>
      <c r="BN92" s="49">
        <f t="shared" si="94"/>
        <v>28</v>
      </c>
      <c r="BO92" s="49">
        <f t="shared" si="94"/>
        <v>34</v>
      </c>
      <c r="BP92" s="49">
        <f t="shared" si="95"/>
        <v>13</v>
      </c>
      <c r="BQ92" s="49">
        <f t="shared" si="95"/>
        <v>22</v>
      </c>
      <c r="BR92" s="49">
        <f t="shared" si="95"/>
        <v>9</v>
      </c>
      <c r="BS92" s="49">
        <f>SUM(BC92:BR92)-(45*9)</f>
        <v>1</v>
      </c>
      <c r="BT92" s="49">
        <f>SUM(BD92:BS92)-(45*8)</f>
        <v>18</v>
      </c>
      <c r="BU92" s="49">
        <f>SUM(BE92:BT92)-(45*7)</f>
        <v>42</v>
      </c>
      <c r="BV92" s="49">
        <f>SUM(BF92:BU92)-(45*8)</f>
        <v>11</v>
      </c>
      <c r="BX92" s="190" t="s">
        <v>335</v>
      </c>
      <c r="BY92" s="23">
        <v>5</v>
      </c>
      <c r="BZ92" s="23">
        <v>0</v>
      </c>
      <c r="CE92" s="48">
        <v>561</v>
      </c>
      <c r="CF92" s="17">
        <v>5</v>
      </c>
      <c r="CG92" s="17">
        <v>7</v>
      </c>
      <c r="CH92" s="17">
        <v>18</v>
      </c>
      <c r="CI92" s="17">
        <v>37</v>
      </c>
      <c r="CJ92" s="17">
        <v>42</v>
      </c>
      <c r="CK92" s="17">
        <v>45</v>
      </c>
      <c r="CL92" s="17">
        <v>20</v>
      </c>
      <c r="CM92" s="58">
        <f>SUM(CF92:CK92)-(45*3)</f>
        <v>19</v>
      </c>
      <c r="CN92" s="55">
        <f>SUM(CF92:CL92)-(45*3)</f>
        <v>39</v>
      </c>
      <c r="CO92" s="17"/>
      <c r="CP92" s="48">
        <f t="shared" si="89"/>
        <v>2</v>
      </c>
      <c r="CQ92" s="48">
        <f t="shared" si="89"/>
        <v>11</v>
      </c>
      <c r="CR92" s="48">
        <f t="shared" si="89"/>
        <v>19</v>
      </c>
      <c r="CS92" s="48">
        <f t="shared" si="89"/>
        <v>5</v>
      </c>
      <c r="CT92" s="48">
        <f t="shared" si="89"/>
        <v>3</v>
      </c>
      <c r="CU92" s="48">
        <f t="shared" si="89"/>
        <v>25</v>
      </c>
      <c r="CV92" s="48">
        <v>5</v>
      </c>
      <c r="CW92" s="48">
        <v>41</v>
      </c>
      <c r="CY92" s="23">
        <v>2</v>
      </c>
    </row>
    <row r="93" spans="2:103" s="23" customFormat="1" ht="17.25">
      <c r="B93" s="22"/>
      <c r="C93" s="44">
        <v>562</v>
      </c>
      <c r="D93" s="108" t="s">
        <v>285</v>
      </c>
      <c r="E93" s="48">
        <v>7</v>
      </c>
      <c r="F93" s="63">
        <v>16</v>
      </c>
      <c r="G93" s="63">
        <v>1</v>
      </c>
      <c r="H93" s="48">
        <f>SUM(E93:F93)-(45*0)</f>
        <v>23</v>
      </c>
      <c r="I93" s="48">
        <v>13</v>
      </c>
      <c r="J93" s="49">
        <f>SUM(E93:I93)-(45*1)</f>
        <v>15</v>
      </c>
      <c r="K93" s="49">
        <f>SUM(E93:J93)-(45*1)</f>
        <v>30</v>
      </c>
      <c r="L93" s="49">
        <f>SUM(E93:K93)-(45*2)</f>
        <v>15</v>
      </c>
      <c r="M93" s="49">
        <f>SUM(E93:L93)-(45*2)</f>
        <v>30</v>
      </c>
      <c r="N93" s="49">
        <f>SUM(E93:M93)-(45*3)</f>
        <v>15</v>
      </c>
      <c r="O93" s="49">
        <f>SUM(E93:N93)-(45*3)</f>
        <v>30</v>
      </c>
      <c r="P93" s="49">
        <f>SUM(E93:O93)-(45*4)</f>
        <v>15</v>
      </c>
      <c r="Q93" s="49">
        <f>SUM(E93:P93)-(45*4)</f>
        <v>30</v>
      </c>
      <c r="R93" s="49">
        <f>SUM(E93:Q93)-(45*5)</f>
        <v>15</v>
      </c>
      <c r="S93" s="49">
        <f>SUM(E93:R93)-(45*5)</f>
        <v>30</v>
      </c>
      <c r="T93" s="49">
        <f>SUM(E93:S93)-(45*6)</f>
        <v>15</v>
      </c>
      <c r="U93" s="49">
        <f>SUM(E93:T93)-(45*6)</f>
        <v>30</v>
      </c>
      <c r="V93" s="49">
        <f>SUM(F93:U93)-(45*7)</f>
        <v>8</v>
      </c>
      <c r="W93" s="49">
        <f>SUM(G93:V93)-(45*6)</f>
        <v>45</v>
      </c>
      <c r="X93" s="49">
        <f>SUM(H93:W93)-(45*7)</f>
        <v>44</v>
      </c>
      <c r="Y93" s="49">
        <f>SUM(I93:X93)-(45*8)</f>
        <v>20</v>
      </c>
      <c r="Z93" s="49">
        <f>SUM(J93:Y93)-(45*8)</f>
        <v>27</v>
      </c>
      <c r="AA93" s="49">
        <f>SUM(K93:Z93)-(45*8)</f>
        <v>39</v>
      </c>
      <c r="AB93" s="49">
        <f>SUM(L93:AA93)-(45*9)</f>
        <v>3</v>
      </c>
      <c r="AC93" s="49">
        <f>SUM(M93:AB93)-(45*8)</f>
        <v>36</v>
      </c>
      <c r="AD93" s="49">
        <f>SUM(N93:AC93)-(45*8)</f>
        <v>42</v>
      </c>
      <c r="AE93" s="49">
        <f>SUM(O93:AD93)-(45*9)</f>
        <v>24</v>
      </c>
      <c r="AF93" s="49">
        <f>SUM(P93:AE93)-(45*9)</f>
        <v>18</v>
      </c>
      <c r="AG93" s="49">
        <f>SUM(Q93:AF93)-(45*9)</f>
        <v>21</v>
      </c>
      <c r="AH93" s="49">
        <f>SUM(R93:AG93)-(45*9)</f>
        <v>12</v>
      </c>
      <c r="AI93" s="49">
        <f>SUM(S93:AH93)-(45*9)</f>
        <v>9</v>
      </c>
      <c r="AJ93" s="49">
        <f>SUM(T93:AI93)-(45*8)</f>
        <v>33</v>
      </c>
      <c r="AK93" s="49">
        <f>SUM(U93:AJ93)-(45*9)</f>
        <v>6</v>
      </c>
      <c r="AL93" s="49">
        <f>SUM(V93:AK93)-(45*8)</f>
        <v>27</v>
      </c>
      <c r="AM93" s="49">
        <f>SUM(W93:AL93)-(45*9)</f>
        <v>1</v>
      </c>
      <c r="AN93" s="49">
        <f>SUM(X93:AM93)-(45*8)</f>
        <v>2</v>
      </c>
      <c r="AO93" s="49">
        <f>SUM(Y93:AN93)-(45*7)</f>
        <v>5</v>
      </c>
      <c r="AP93" s="49">
        <f>SUM(Z93:AO93)-(45*6)</f>
        <v>35</v>
      </c>
      <c r="AQ93" s="49">
        <f>SUM(AA93:AP93)-(45*6)</f>
        <v>43</v>
      </c>
      <c r="AR93" s="49">
        <f>SUM(AB93:AQ93)-(45*7)</f>
        <v>2</v>
      </c>
      <c r="AS93" s="49">
        <f>SUM(AC93:AR93)-(45*7)</f>
        <v>1</v>
      </c>
      <c r="AT93" s="49">
        <f>SUM(AD93:AS93)-(45*6)</f>
        <v>11</v>
      </c>
      <c r="AU93" s="49">
        <f>SUM(AE93:AT93)-(45*5)</f>
        <v>25</v>
      </c>
      <c r="AV93" s="49">
        <f>SUM(AF93:AU93)-(45*5)</f>
        <v>26</v>
      </c>
      <c r="AW93" s="49">
        <f>SUM(AG93:AV93)-(45*5)</f>
        <v>34</v>
      </c>
      <c r="AX93" s="49">
        <f>SUM(AH93:AW93)-(45*6)</f>
        <v>2</v>
      </c>
      <c r="AY93" s="49">
        <f>SUM(AI93:AX93)-(45*5)</f>
        <v>37</v>
      </c>
      <c r="AZ93" s="49">
        <f>SUM(AJ93:AY93)-(45*6)</f>
        <v>20</v>
      </c>
      <c r="BA93" s="49">
        <f>SUM(AK93:AZ93)-(45*6)</f>
        <v>7</v>
      </c>
      <c r="BB93" s="49">
        <f>SUM(AL93:BA93)-(45*6)</f>
        <v>8</v>
      </c>
      <c r="BC93" s="49">
        <f>SUM(AM93:BB93)-(45*5)</f>
        <v>34</v>
      </c>
      <c r="BD93" s="49">
        <f>SUM(AN93:BC93)-(45*6)</f>
        <v>22</v>
      </c>
      <c r="BE93" s="49">
        <f>SUM(AO93:BD93)-(45*6)</f>
        <v>42</v>
      </c>
      <c r="BF93" s="49">
        <f>SUM(AP93:BE93)-(45*7)</f>
        <v>34</v>
      </c>
      <c r="BG93" s="49">
        <f>SUM(AQ93:BF93)-(45*7)</f>
        <v>33</v>
      </c>
      <c r="BH93" s="49">
        <f>SUM(AR93:BG93)-(45*7)</f>
        <v>23</v>
      </c>
      <c r="BI93" s="49">
        <f>SUM(AS93:BH93)-(45*7)</f>
        <v>44</v>
      </c>
      <c r="BJ93" s="49">
        <f>SUM(AT93:BI93)-(45*8)</f>
        <v>42</v>
      </c>
      <c r="BK93" s="49">
        <f>SUM(AU93:BJ93)-(45*9)</f>
        <v>28</v>
      </c>
      <c r="BL93" s="49">
        <f>SUM(AV93:BK93)-(45*9)</f>
        <v>31</v>
      </c>
      <c r="BM93" s="49">
        <f>SUM(AW93:BL93)-(45*9)</f>
        <v>36</v>
      </c>
      <c r="BN93" s="49">
        <f>SUM(AX93:BM93)-(45*9)</f>
        <v>38</v>
      </c>
      <c r="BO93" s="49">
        <f>SUM(AY93:BN93)-(45*10)</f>
        <v>29</v>
      </c>
      <c r="BP93" s="49">
        <f>SUM(AZ93:BO93)-(45*10)</f>
        <v>21</v>
      </c>
      <c r="BQ93" s="49">
        <f>SUM(BA93:BP93)-(45*10)</f>
        <v>22</v>
      </c>
      <c r="BR93" s="49">
        <f>SUM(BB93:BQ93)-(45*10)</f>
        <v>37</v>
      </c>
      <c r="BS93" s="49">
        <f>SUM(BC93:BR93)-(45*11)</f>
        <v>21</v>
      </c>
      <c r="BT93" s="49">
        <f>SUM(BD93:BS93)-(45*11)</f>
        <v>8</v>
      </c>
      <c r="BU93" s="49">
        <f>SUM(BE93:BT93)-(45*10)</f>
        <v>39</v>
      </c>
      <c r="BV93" s="49">
        <f>SUM(BF93:BU93)-(45*10)</f>
        <v>36</v>
      </c>
      <c r="BX93" s="190" t="s">
        <v>335</v>
      </c>
      <c r="BY93" s="23">
        <v>5</v>
      </c>
      <c r="BZ93" s="23">
        <v>0</v>
      </c>
      <c r="CE93" s="48">
        <v>562</v>
      </c>
      <c r="CF93" s="17">
        <v>4</v>
      </c>
      <c r="CG93" s="17">
        <v>11</v>
      </c>
      <c r="CH93" s="17">
        <v>13</v>
      </c>
      <c r="CI93" s="17">
        <v>17</v>
      </c>
      <c r="CJ93" s="17">
        <v>20</v>
      </c>
      <c r="CK93" s="17">
        <v>31</v>
      </c>
      <c r="CL93" s="17">
        <v>33</v>
      </c>
      <c r="CM93" s="58">
        <f>SUM(CF93:CK93)-(45*2)</f>
        <v>6</v>
      </c>
      <c r="CN93" s="55">
        <f>SUM(CF93:CL93)-(45*2)</f>
        <v>39</v>
      </c>
      <c r="CO93" s="17"/>
      <c r="CP93" s="48">
        <f t="shared" si="89"/>
        <v>7</v>
      </c>
      <c r="CQ93" s="48">
        <f t="shared" si="89"/>
        <v>2</v>
      </c>
      <c r="CR93" s="48">
        <f t="shared" si="89"/>
        <v>4</v>
      </c>
      <c r="CS93" s="48">
        <f t="shared" si="89"/>
        <v>3</v>
      </c>
      <c r="CT93" s="48">
        <f t="shared" si="89"/>
        <v>11</v>
      </c>
      <c r="CU93" s="48">
        <f t="shared" si="89"/>
        <v>2</v>
      </c>
      <c r="CV93" s="48">
        <v>11</v>
      </c>
      <c r="CW93" s="48">
        <f>51-45</f>
        <v>6</v>
      </c>
      <c r="CY93" s="23">
        <v>3</v>
      </c>
    </row>
    <row r="94" spans="2:103" s="23" customFormat="1" ht="17.25">
      <c r="B94" s="22"/>
      <c r="C94" s="44">
        <v>563</v>
      </c>
      <c r="D94" s="108" t="s">
        <v>287</v>
      </c>
      <c r="E94" s="48">
        <v>14</v>
      </c>
      <c r="F94" s="63">
        <v>23</v>
      </c>
      <c r="G94" s="63">
        <v>2</v>
      </c>
      <c r="H94" s="48">
        <f>SUM(E94:F94)-(45*0)</f>
        <v>37</v>
      </c>
      <c r="I94" s="48">
        <v>14</v>
      </c>
      <c r="J94" s="49">
        <f>SUM(E94:I94)-(45*1)</f>
        <v>45</v>
      </c>
      <c r="K94" s="49">
        <f>SUM(E94:J94)-(45*2)</f>
        <v>45</v>
      </c>
      <c r="L94" s="49">
        <f>SUM(E94:K94)-(45*3)</f>
        <v>45</v>
      </c>
      <c r="M94" s="49">
        <f>SUM(E94:L94)-(45*4)</f>
        <v>45</v>
      </c>
      <c r="N94" s="49">
        <f>SUM(E94:M94)-(45*5)</f>
        <v>45</v>
      </c>
      <c r="O94" s="49">
        <f>SUM(E94:N94)-(45*6)</f>
        <v>45</v>
      </c>
      <c r="P94" s="49">
        <f>SUM(E94:O94)-(45*7)</f>
        <v>45</v>
      </c>
      <c r="Q94" s="49">
        <f>SUM(E94:P94)-(45*8)</f>
        <v>45</v>
      </c>
      <c r="R94" s="49">
        <f>SUM(E94:Q94)-(45*9)</f>
        <v>45</v>
      </c>
      <c r="S94" s="49">
        <f>SUM(E94:R94)-(45*10)</f>
        <v>45</v>
      </c>
      <c r="T94" s="49">
        <f>SUM(E94:S94)-(45*11)</f>
        <v>45</v>
      </c>
      <c r="U94" s="49">
        <f>SUM(E94:T94)-(45*12)</f>
        <v>45</v>
      </c>
      <c r="V94" s="49">
        <f>SUM(F94:U94)-(45*13)</f>
        <v>31</v>
      </c>
      <c r="W94" s="49">
        <f>SUM(G94:V94)-(45*13)</f>
        <v>39</v>
      </c>
      <c r="X94" s="49">
        <f>SUM(H94:W94)-(45*14)</f>
        <v>31</v>
      </c>
      <c r="Y94" s="49">
        <f>SUM(I94:X94)-(45*14)</f>
        <v>25</v>
      </c>
      <c r="Z94" s="49">
        <f>SUM(J94:Y94)-(45*14)</f>
        <v>36</v>
      </c>
      <c r="AA94" s="49">
        <f>SUM(K94:Z94)-(45*14)</f>
        <v>27</v>
      </c>
      <c r="AB94" s="49">
        <f>SUM(L94:AA94)-(45*14)</f>
        <v>9</v>
      </c>
      <c r="AC94" s="49">
        <f>SUM(M94:AB94)-(45*13)</f>
        <v>18</v>
      </c>
      <c r="AD94" s="49">
        <f>SUM(N94:AC94)-(45*12)</f>
        <v>36</v>
      </c>
      <c r="AE94" s="49">
        <f>SUM(O94:AD94)-(45*12)</f>
        <v>27</v>
      </c>
      <c r="AF94" s="49">
        <f>SUM(P94:AE94)-(45*12)</f>
        <v>9</v>
      </c>
      <c r="AG94" s="49">
        <f>SUM(Q94:AF94)-(45*11)</f>
        <v>18</v>
      </c>
      <c r="AH94" s="49">
        <f>SUM(R94:AG94)-(45*10)</f>
        <v>36</v>
      </c>
      <c r="AI94" s="49">
        <f>SUM(S94:AH94)-(45*10)</f>
        <v>27</v>
      </c>
      <c r="AJ94" s="49">
        <f>SUM(T94:AI94)-(45*10)</f>
        <v>9</v>
      </c>
      <c r="AK94" s="49">
        <f>SUM(U94:AJ94)-(45*9)</f>
        <v>18</v>
      </c>
      <c r="AL94" s="49">
        <f>SUM(V94:AK94)-(45*8)</f>
        <v>36</v>
      </c>
      <c r="AM94" s="49">
        <f>SUM(W94:AL94)-(45*8)</f>
        <v>41</v>
      </c>
      <c r="AN94" s="49">
        <f>SUM(X94:AM94)-(45*8)</f>
        <v>43</v>
      </c>
      <c r="AO94" s="49">
        <f>SUM(Y94:AN94)-(45*9)</f>
        <v>10</v>
      </c>
      <c r="AP94" s="49">
        <f>SUM(Z94:AO94)-(45*8)</f>
        <v>40</v>
      </c>
      <c r="AQ94" s="49">
        <f>SUM(AA94:AP94)-(45*8)</f>
        <v>44</v>
      </c>
      <c r="AR94" s="49">
        <f t="shared" ref="AR94:AX94" si="96">SUM(AB94:AQ94)-(45*9)</f>
        <v>16</v>
      </c>
      <c r="AS94" s="49">
        <f t="shared" si="96"/>
        <v>23</v>
      </c>
      <c r="AT94" s="49">
        <f t="shared" si="96"/>
        <v>28</v>
      </c>
      <c r="AU94" s="49">
        <f t="shared" si="96"/>
        <v>20</v>
      </c>
      <c r="AV94" s="49">
        <f t="shared" si="96"/>
        <v>13</v>
      </c>
      <c r="AW94" s="49">
        <f t="shared" si="96"/>
        <v>17</v>
      </c>
      <c r="AX94" s="49">
        <f t="shared" si="96"/>
        <v>16</v>
      </c>
      <c r="AY94" s="49">
        <f>SUM(AI94:AX94)-(45*8)</f>
        <v>41</v>
      </c>
      <c r="AZ94" s="49">
        <f>SUM(AJ94:AY94)-(45*9)</f>
        <v>10</v>
      </c>
      <c r="BA94" s="49">
        <f>SUM(AK94:AZ94)-(45*9)</f>
        <v>11</v>
      </c>
      <c r="BB94" s="49">
        <f>SUM(AL94:BA94)-(45*9)</f>
        <v>4</v>
      </c>
      <c r="BC94" s="49">
        <f>SUM(AM94:BB94)-(45*8)</f>
        <v>17</v>
      </c>
      <c r="BD94" s="49">
        <f>SUM(AN94:BC94)-(45*7)</f>
        <v>38</v>
      </c>
      <c r="BE94" s="49">
        <f>SUM(AO94:BD94)-(45*7)</f>
        <v>33</v>
      </c>
      <c r="BF94" s="49">
        <f>SUM(AP94:BE94)-(45*8)</f>
        <v>11</v>
      </c>
      <c r="BG94" s="49">
        <f>SUM(AQ94:BF94)-(45*7)</f>
        <v>27</v>
      </c>
      <c r="BH94" s="49">
        <f>SUM(AR94:BG94)-(45*7)</f>
        <v>10</v>
      </c>
      <c r="BI94" s="49">
        <f>SUM(AS94:BH94)-(45*7)</f>
        <v>4</v>
      </c>
      <c r="BJ94" s="49">
        <f>SUM(AT94:BI94)-(45*6)</f>
        <v>30</v>
      </c>
      <c r="BK94" s="49">
        <f>SUM(AU94:BJ94)-(45*6)</f>
        <v>32</v>
      </c>
      <c r="BL94" s="49">
        <f>SUM(AV94:BK94)-(45*6)</f>
        <v>44</v>
      </c>
      <c r="BM94" s="49">
        <f>SUM(AW94:BL94)-(45*7)</f>
        <v>30</v>
      </c>
      <c r="BN94" s="49">
        <f>SUM(AX94:BM94)-(45*7)</f>
        <v>43</v>
      </c>
      <c r="BO94" s="49">
        <f>SUM(AY94:BN94)-(45*8)</f>
        <v>25</v>
      </c>
      <c r="BP94" s="49">
        <f>SUM(AZ94:BO94)-(45*8)</f>
        <v>9</v>
      </c>
      <c r="BQ94" s="49">
        <f>SUM(BA94:BP94)-(45*8)</f>
        <v>8</v>
      </c>
      <c r="BR94" s="49">
        <f>SUM(BB94:BQ94)-(45*8)</f>
        <v>5</v>
      </c>
      <c r="BS94" s="49">
        <f>SUM(BC94:BR94)-(45*8)</f>
        <v>6</v>
      </c>
      <c r="BT94" s="49">
        <f>SUM(BD94:BS94)-(45*7)</f>
        <v>40</v>
      </c>
      <c r="BU94" s="49">
        <f>SUM(BE94:BT94)-(45*7)</f>
        <v>42</v>
      </c>
      <c r="BV94" s="49">
        <f>SUM(BF94:BU94)-(45*8)</f>
        <v>6</v>
      </c>
      <c r="BX94" s="190" t="s">
        <v>334</v>
      </c>
      <c r="BY94" s="23">
        <v>4</v>
      </c>
      <c r="BZ94" s="23">
        <v>0</v>
      </c>
      <c r="CE94" s="65">
        <v>563</v>
      </c>
      <c r="CF94" s="17">
        <v>5</v>
      </c>
      <c r="CG94" s="17">
        <v>10</v>
      </c>
      <c r="CH94" s="17">
        <v>16</v>
      </c>
      <c r="CI94" s="17">
        <v>17</v>
      </c>
      <c r="CJ94" s="17">
        <v>31</v>
      </c>
      <c r="CK94" s="17">
        <v>32</v>
      </c>
      <c r="CL94" s="17">
        <v>21</v>
      </c>
      <c r="CM94" s="58">
        <f>SUM(CF94:CK94)-(45*2)</f>
        <v>21</v>
      </c>
      <c r="CN94" s="55">
        <f>SUM(CF94:CL94)-(45*2)</f>
        <v>42</v>
      </c>
      <c r="CO94" s="17"/>
      <c r="CP94" s="48">
        <f t="shared" si="89"/>
        <v>5</v>
      </c>
      <c r="CQ94" s="48">
        <f t="shared" si="89"/>
        <v>6</v>
      </c>
      <c r="CR94" s="48">
        <f t="shared" si="89"/>
        <v>1</v>
      </c>
      <c r="CS94" s="48">
        <f t="shared" si="89"/>
        <v>14</v>
      </c>
      <c r="CT94" s="48">
        <f t="shared" si="89"/>
        <v>1</v>
      </c>
      <c r="CU94" s="48">
        <f t="shared" si="89"/>
        <v>11</v>
      </c>
      <c r="CV94" s="48">
        <v>7</v>
      </c>
      <c r="CW94" s="48">
        <v>38</v>
      </c>
      <c r="CY94" s="23">
        <v>0</v>
      </c>
    </row>
    <row r="95" spans="2:103" s="23" customFormat="1" ht="17.25">
      <c r="B95" s="22"/>
      <c r="C95" s="44">
        <v>564</v>
      </c>
      <c r="D95" s="108" t="s">
        <v>292</v>
      </c>
      <c r="E95" s="48">
        <v>21</v>
      </c>
      <c r="F95" s="63">
        <v>30</v>
      </c>
      <c r="G95" s="63">
        <v>3</v>
      </c>
      <c r="H95" s="48">
        <f>SUM(E95:F95)-(45*1)</f>
        <v>6</v>
      </c>
      <c r="I95" s="48">
        <v>15</v>
      </c>
      <c r="J95" s="49">
        <f>SUM(E95:I95)-(45*1)</f>
        <v>30</v>
      </c>
      <c r="K95" s="49">
        <f>SUM(E95:J95)-(45*2)</f>
        <v>15</v>
      </c>
      <c r="L95" s="49">
        <f>SUM(E95:K95)-(45*2)</f>
        <v>30</v>
      </c>
      <c r="M95" s="49">
        <f>SUM(E95:L95)-(45*3)</f>
        <v>15</v>
      </c>
      <c r="N95" s="49">
        <f>SUM(E95:M95)-(45*3)</f>
        <v>30</v>
      </c>
      <c r="O95" s="49">
        <f>SUM(E95:N95)-(45*4)</f>
        <v>15</v>
      </c>
      <c r="P95" s="49">
        <f>SUM(E95:O95)-(45*4)</f>
        <v>30</v>
      </c>
      <c r="Q95" s="49">
        <f>SUM(E95:P95)-(45*5)</f>
        <v>15</v>
      </c>
      <c r="R95" s="49">
        <f>SUM(E95:Q95)-(45*5)</f>
        <v>30</v>
      </c>
      <c r="S95" s="49">
        <f>SUM(E95:R95)-(45*6)</f>
        <v>15</v>
      </c>
      <c r="T95" s="49">
        <f>SUM(E95:S95)-(45*6)</f>
        <v>30</v>
      </c>
      <c r="U95" s="49">
        <f>SUM(E95:T95)-(45*7)</f>
        <v>15</v>
      </c>
      <c r="V95" s="49">
        <f>SUM(F95:U95)-(45*7)</f>
        <v>9</v>
      </c>
      <c r="W95" s="49">
        <f>SUM(G95:V95)-(45*6)</f>
        <v>33</v>
      </c>
      <c r="X95" s="49">
        <f>SUM(H95:W95)-(45*7)</f>
        <v>18</v>
      </c>
      <c r="Y95" s="49">
        <f>SUM(I95:X95)-(45*7)</f>
        <v>30</v>
      </c>
      <c r="Z95" s="49">
        <f>SUM(J95:Y95)-(45*7)</f>
        <v>45</v>
      </c>
      <c r="AA95" s="49">
        <f>SUM(K95:Z95)-(45*8)</f>
        <v>15</v>
      </c>
      <c r="AB95" s="49">
        <f>SUM(L95:AA95)-(45*8)</f>
        <v>15</v>
      </c>
      <c r="AC95" s="49">
        <f>SUM(M95:AB95)-(45*7)</f>
        <v>45</v>
      </c>
      <c r="AD95" s="49">
        <f>SUM(N95:AC95)-(45*8)</f>
        <v>30</v>
      </c>
      <c r="AE95" s="49">
        <f>SUM(O95:AD95)-(45*8)</f>
        <v>30</v>
      </c>
      <c r="AF95" s="49">
        <f>SUM(P95:AE95)-(45*8)</f>
        <v>45</v>
      </c>
      <c r="AG95" s="49">
        <f>SUM(Q95:AF95)-(45*9)</f>
        <v>15</v>
      </c>
      <c r="AH95" s="49">
        <f>SUM(R95:AG95)-(45*9)</f>
        <v>15</v>
      </c>
      <c r="AI95" s="49">
        <f>SUM(S95:AH95)-(45*8)</f>
        <v>45</v>
      </c>
      <c r="AJ95" s="49">
        <f>SUM(T95:AI95)-(45*9)</f>
        <v>30</v>
      </c>
      <c r="AK95" s="49">
        <f>SUM(U95:AJ95)-(45*9)</f>
        <v>30</v>
      </c>
      <c r="AL95" s="49">
        <f>SUM(V95:AK95)-(45*9)</f>
        <v>45</v>
      </c>
      <c r="AM95" s="49">
        <f>SUM(W95:AL95)-(45*10)</f>
        <v>36</v>
      </c>
      <c r="AN95" s="49">
        <f>SUM(X95:AM95)-(45*10)</f>
        <v>39</v>
      </c>
      <c r="AO95" s="49">
        <f>SUM(Y95:AN95)-(45*11)</f>
        <v>15</v>
      </c>
      <c r="AP95" s="49">
        <f>SUM(Z95:AO95)-(45*10)</f>
        <v>45</v>
      </c>
      <c r="AQ95" s="49">
        <f>SUM(AA95:AP95)-(45*10)</f>
        <v>45</v>
      </c>
      <c r="AR95" s="49">
        <f>SUM(AB95:AQ95)-(45*11)</f>
        <v>30</v>
      </c>
      <c r="AS95" s="49">
        <f>SUM(AC95:AR95)-(45*11)</f>
        <v>45</v>
      </c>
      <c r="AT95" s="49">
        <f>SUM(AD95:AS95)-(45*11)</f>
        <v>45</v>
      </c>
      <c r="AU95" s="49">
        <f>SUM(AE95:AT95)-(45*12)</f>
        <v>15</v>
      </c>
      <c r="AV95" s="49">
        <f>SUM(AF95:AU95)-(45*11)</f>
        <v>45</v>
      </c>
      <c r="AW95" s="49">
        <f>SUM(AG95:AV95)-(45*11)</f>
        <v>45</v>
      </c>
      <c r="AX95" s="49">
        <f>SUM(AH95:AW95)-(45*12)</f>
        <v>30</v>
      </c>
      <c r="AY95" s="49">
        <f>SUM(AI95:AX95)-(45*12)</f>
        <v>45</v>
      </c>
      <c r="AZ95" s="49">
        <f>SUM(AJ95:AY95)-(45*12)</f>
        <v>45</v>
      </c>
      <c r="BA95" s="49">
        <f>SUM(AK95:AZ95)-(45*13)</f>
        <v>15</v>
      </c>
      <c r="BB95" s="49">
        <f>SUM(AL95:BA95)-(45*12)</f>
        <v>45</v>
      </c>
      <c r="BC95" s="49">
        <f>SUM(AM95:BB95)-(45*12)</f>
        <v>45</v>
      </c>
      <c r="BD95" s="49">
        <f>SUM(AN95:BC95)-(45*13)</f>
        <v>9</v>
      </c>
      <c r="BE95" s="49">
        <f>SUM(AO95:BD95)-(45*12)</f>
        <v>24</v>
      </c>
      <c r="BF95" s="49">
        <f>SUM(AP95:BE95)-(45*12)</f>
        <v>33</v>
      </c>
      <c r="BG95" s="49">
        <f>SUM(AQ95:BF95)-(45*12)</f>
        <v>21</v>
      </c>
      <c r="BH95" s="49">
        <f>SUM(AR95:BG95)-(45*11)</f>
        <v>42</v>
      </c>
      <c r="BI95" s="49">
        <f>SUM(AS95:BH95)-(45*12)</f>
        <v>9</v>
      </c>
      <c r="BJ95" s="49">
        <f>SUM(AT95:BI95)-(45*11)</f>
        <v>18</v>
      </c>
      <c r="BK95" s="49">
        <f>SUM(AU95:BJ95)-(45*10)</f>
        <v>36</v>
      </c>
      <c r="BL95" s="49">
        <f>SUM(AV95:BK95)-(45*11)</f>
        <v>12</v>
      </c>
      <c r="BM95" s="49">
        <f>SUM(AW95:BL95)-(45*10)</f>
        <v>24</v>
      </c>
      <c r="BN95" s="49">
        <f>SUM(AX95:BM95)-(45*10)</f>
        <v>3</v>
      </c>
      <c r="BO95" s="49">
        <f>SUM(AY95:BN95)-(45*9)</f>
        <v>21</v>
      </c>
      <c r="BP95" s="49">
        <f>SUM(AZ95:BO95)-(45*8)</f>
        <v>42</v>
      </c>
      <c r="BQ95" s="49">
        <f>SUM(BA95:BP95)-(45*8)</f>
        <v>39</v>
      </c>
      <c r="BR95" s="49">
        <f>SUM(BB95:BQ95)-(45*9)</f>
        <v>18</v>
      </c>
      <c r="BS95" s="49">
        <f>SUM(BC95:BR95)-(45*8)</f>
        <v>36</v>
      </c>
      <c r="BT95" s="49">
        <f>SUM(BD95:BS95)-(45*8)</f>
        <v>27</v>
      </c>
      <c r="BU95" s="49">
        <f>SUM(BE95:BT95)-(45*8)</f>
        <v>45</v>
      </c>
      <c r="BV95" s="49">
        <f>SUM(BF95:BU95)-(45*9)</f>
        <v>21</v>
      </c>
      <c r="BX95" s="190" t="s">
        <v>337</v>
      </c>
      <c r="BY95" s="23">
        <v>0</v>
      </c>
      <c r="BZ95" s="23">
        <v>0</v>
      </c>
      <c r="CE95" s="48">
        <v>564</v>
      </c>
      <c r="CF95" s="17">
        <v>14</v>
      </c>
      <c r="CG95" s="17">
        <v>19</v>
      </c>
      <c r="CH95" s="17">
        <v>25</v>
      </c>
      <c r="CI95" s="17">
        <v>26</v>
      </c>
      <c r="CJ95" s="17">
        <v>27</v>
      </c>
      <c r="CK95" s="17">
        <v>34</v>
      </c>
      <c r="CL95" s="17">
        <v>2</v>
      </c>
      <c r="CM95" s="58">
        <f>SUM(CF95:CK95)-(45*3)</f>
        <v>10</v>
      </c>
      <c r="CN95" s="55">
        <f>SUM(CF95:CL95)-(45*3)</f>
        <v>12</v>
      </c>
      <c r="CO95" s="17"/>
      <c r="CP95" s="48">
        <f t="shared" si="89"/>
        <v>5</v>
      </c>
      <c r="CQ95" s="48">
        <f t="shared" si="89"/>
        <v>6</v>
      </c>
      <c r="CR95" s="48">
        <f t="shared" si="89"/>
        <v>1</v>
      </c>
      <c r="CS95" s="48">
        <f t="shared" si="89"/>
        <v>1</v>
      </c>
      <c r="CT95" s="48">
        <f t="shared" si="89"/>
        <v>7</v>
      </c>
      <c r="CU95" s="48">
        <f t="shared" si="89"/>
        <v>32</v>
      </c>
      <c r="CV95" s="48">
        <v>7</v>
      </c>
      <c r="CW95" s="48">
        <v>32</v>
      </c>
      <c r="CY95" s="23">
        <v>2</v>
      </c>
    </row>
    <row r="96" spans="2:103" s="23" customFormat="1" ht="17.25">
      <c r="B96" s="22"/>
      <c r="C96" s="44">
        <v>565</v>
      </c>
      <c r="D96" s="108" t="s">
        <v>293</v>
      </c>
      <c r="E96" s="48">
        <v>28</v>
      </c>
      <c r="F96" s="63">
        <v>37</v>
      </c>
      <c r="G96" s="63">
        <v>4</v>
      </c>
      <c r="H96" s="48">
        <f>SUM(E96:F96)-(45*1)</f>
        <v>20</v>
      </c>
      <c r="I96" s="48">
        <v>16</v>
      </c>
      <c r="J96" s="49">
        <f>SUM(E96:I96)-(45*2)</f>
        <v>15</v>
      </c>
      <c r="K96" s="49">
        <f>SUM(E96:J96)-(45*2)</f>
        <v>30</v>
      </c>
      <c r="L96" s="49">
        <f>SUM(E96:K96)-(45*3)</f>
        <v>15</v>
      </c>
      <c r="M96" s="49">
        <f>SUM(E96:L96)-(45*3)</f>
        <v>30</v>
      </c>
      <c r="N96" s="49">
        <f>SUM(E96:M96)-(45*4)</f>
        <v>15</v>
      </c>
      <c r="O96" s="49">
        <f>SUM(E96:N96)-(45*4)</f>
        <v>30</v>
      </c>
      <c r="P96" s="49">
        <f>SUM(E96:O96)-(45*5)</f>
        <v>15</v>
      </c>
      <c r="Q96" s="49">
        <f>SUM(E96:P96)-(45*5)</f>
        <v>30</v>
      </c>
      <c r="R96" s="49">
        <f>SUM(E96:Q96)-(45*6)</f>
        <v>15</v>
      </c>
      <c r="S96" s="49">
        <f>SUM(E96:R96)-(45*6)</f>
        <v>30</v>
      </c>
      <c r="T96" s="49">
        <f>SUM(E96:S96)-(45*7)</f>
        <v>15</v>
      </c>
      <c r="U96" s="49">
        <f>SUM(E96:T96)-(45*7)</f>
        <v>30</v>
      </c>
      <c r="V96" s="49">
        <f>SUM(F96:U96)-(45*7)</f>
        <v>32</v>
      </c>
      <c r="W96" s="49">
        <f>SUM(G96:V96)-(45*7)</f>
        <v>27</v>
      </c>
      <c r="X96" s="49">
        <f>SUM(H96:W96)-(45*8)</f>
        <v>5</v>
      </c>
      <c r="Y96" s="49">
        <f>SUM(I96:X96)-(45*7)</f>
        <v>35</v>
      </c>
      <c r="Z96" s="49">
        <f>SUM(J96:Y96)-(45*8)</f>
        <v>9</v>
      </c>
      <c r="AA96" s="49">
        <f>SUM(K96:Z96)-(45*8)</f>
        <v>3</v>
      </c>
      <c r="AB96" s="49">
        <f>SUM(L96:AA96)-(45*7)</f>
        <v>21</v>
      </c>
      <c r="AC96" s="49">
        <f>SUM(M96:AB96)-(45*7)</f>
        <v>27</v>
      </c>
      <c r="AD96" s="49">
        <f>SUM(N96:AC96)-(45*7)</f>
        <v>24</v>
      </c>
      <c r="AE96" s="49">
        <f>SUM(O96:AD96)-(45*7)</f>
        <v>33</v>
      </c>
      <c r="AF96" s="49">
        <f>SUM(P96:AE96)-(45*7)</f>
        <v>36</v>
      </c>
      <c r="AG96" s="49">
        <f>SUM(Q96:AF96)-(45*8)</f>
        <v>12</v>
      </c>
      <c r="AH96" s="49">
        <f>SUM(R96:AG96)-(45*7)</f>
        <v>39</v>
      </c>
      <c r="AI96" s="49">
        <f>SUM(S96:AH96)-(45*8)</f>
        <v>18</v>
      </c>
      <c r="AJ96" s="49">
        <f>SUM(T96:AI96)-(45*8)</f>
        <v>6</v>
      </c>
      <c r="AK96" s="49">
        <f>SUM(U96:AJ96)-(45*7)</f>
        <v>42</v>
      </c>
      <c r="AL96" s="49">
        <f>SUM(V96:AK96)-(45*8)</f>
        <v>9</v>
      </c>
      <c r="AM96" s="49">
        <f>SUM(W96:AL96)-(45*7)</f>
        <v>31</v>
      </c>
      <c r="AN96" s="49">
        <f>SUM(X96:AM96)-(45*7)</f>
        <v>35</v>
      </c>
      <c r="AO96" s="49">
        <f>SUM(Y96:AN96)-(45*8)</f>
        <v>20</v>
      </c>
      <c r="AP96" s="49">
        <f>SUM(Z96:AO96)-(45*8)</f>
        <v>5</v>
      </c>
      <c r="AQ96" s="49">
        <f>SUM(AA96:AP96)-(45*8)</f>
        <v>1</v>
      </c>
      <c r="AR96" s="49">
        <f>SUM(AB96:AQ96)-(45*7)</f>
        <v>44</v>
      </c>
      <c r="AS96" s="49">
        <f>SUM(AC96:AR96)-(45*8)</f>
        <v>22</v>
      </c>
      <c r="AT96" s="49">
        <f>SUM(AD96:AS96)-(45*8)</f>
        <v>17</v>
      </c>
      <c r="AU96" s="49">
        <f>SUM(AE96:AT96)-(45*8)</f>
        <v>10</v>
      </c>
      <c r="AV96" s="49">
        <f>SUM(AF96:AU96)-(45*7)</f>
        <v>32</v>
      </c>
      <c r="AW96" s="49">
        <f>SUM(AG96:AV96)-(45*7)</f>
        <v>28</v>
      </c>
      <c r="AX96" s="49">
        <f>SUM(AH96:AW96)-(45*7)</f>
        <v>44</v>
      </c>
      <c r="AY96" s="49">
        <f>SUM(AI96:AX96)-(45*8)</f>
        <v>4</v>
      </c>
      <c r="AZ96" s="49">
        <f>SUM(AJ96:AY96)-(45*7)</f>
        <v>35</v>
      </c>
      <c r="BA96" s="49">
        <f>SUM(AK96:AZ96)-(45*8)</f>
        <v>19</v>
      </c>
      <c r="BB96" s="49">
        <f>SUM(AL96:BA96)-(45*7)</f>
        <v>41</v>
      </c>
      <c r="BC96" s="49">
        <f t="shared" ref="BC96:BJ96" si="97">SUM(AM96:BB96)-(45*8)</f>
        <v>28</v>
      </c>
      <c r="BD96" s="49">
        <f t="shared" si="97"/>
        <v>25</v>
      </c>
      <c r="BE96" s="49">
        <f t="shared" si="97"/>
        <v>15</v>
      </c>
      <c r="BF96" s="49">
        <f t="shared" si="97"/>
        <v>10</v>
      </c>
      <c r="BG96" s="49">
        <f t="shared" si="97"/>
        <v>15</v>
      </c>
      <c r="BH96" s="49">
        <f t="shared" si="97"/>
        <v>29</v>
      </c>
      <c r="BI96" s="49">
        <f t="shared" si="97"/>
        <v>14</v>
      </c>
      <c r="BJ96" s="49">
        <f t="shared" si="97"/>
        <v>6</v>
      </c>
      <c r="BK96" s="49">
        <f>SUM(AU96:BJ96)-(45*7)</f>
        <v>40</v>
      </c>
      <c r="BL96" s="49">
        <f>SUM(AV96:BK96)-(45*8)</f>
        <v>25</v>
      </c>
      <c r="BM96" s="49">
        <f>SUM(AW96:BL96)-(45*8)</f>
        <v>18</v>
      </c>
      <c r="BN96" s="49">
        <f>SUM(AX96:BM96)-(45*8)</f>
        <v>8</v>
      </c>
      <c r="BO96" s="49">
        <f t="shared" ref="BO96:BU96" si="98">SUM(AY96:BN96)-(45*7)</f>
        <v>17</v>
      </c>
      <c r="BP96" s="49">
        <f t="shared" si="98"/>
        <v>30</v>
      </c>
      <c r="BQ96" s="49">
        <f t="shared" si="98"/>
        <v>25</v>
      </c>
      <c r="BR96" s="49">
        <f t="shared" si="98"/>
        <v>31</v>
      </c>
      <c r="BS96" s="49">
        <f t="shared" si="98"/>
        <v>21</v>
      </c>
      <c r="BT96" s="49">
        <f t="shared" si="98"/>
        <v>14</v>
      </c>
      <c r="BU96" s="49">
        <f t="shared" si="98"/>
        <v>3</v>
      </c>
      <c r="BV96" s="49">
        <f>SUM(BF96:BU96)-(45*6)</f>
        <v>36</v>
      </c>
      <c r="BX96" s="190" t="s">
        <v>336</v>
      </c>
      <c r="BY96" s="23">
        <v>3</v>
      </c>
      <c r="BZ96" s="23">
        <v>0</v>
      </c>
      <c r="CE96" s="48">
        <v>565</v>
      </c>
      <c r="CF96" s="17">
        <v>4</v>
      </c>
      <c r="CG96" s="17">
        <v>10</v>
      </c>
      <c r="CH96" s="17">
        <v>18</v>
      </c>
      <c r="CI96" s="17">
        <v>27</v>
      </c>
      <c r="CJ96" s="17">
        <v>40</v>
      </c>
      <c r="CK96" s="17">
        <v>45</v>
      </c>
      <c r="CL96" s="17">
        <v>38</v>
      </c>
      <c r="CM96" s="58">
        <f>SUM(CF96:CK96)-(45*3)</f>
        <v>9</v>
      </c>
      <c r="CN96" s="55">
        <f>SUM(CF96:CL96)-(45*4)</f>
        <v>2</v>
      </c>
      <c r="CO96" s="17"/>
      <c r="CP96" s="48">
        <f t="shared" si="89"/>
        <v>6</v>
      </c>
      <c r="CQ96" s="48">
        <f t="shared" si="89"/>
        <v>8</v>
      </c>
      <c r="CR96" s="48">
        <f t="shared" si="89"/>
        <v>9</v>
      </c>
      <c r="CS96" s="48">
        <f t="shared" si="89"/>
        <v>13</v>
      </c>
      <c r="CT96" s="48">
        <f t="shared" si="89"/>
        <v>5</v>
      </c>
      <c r="CU96" s="48">
        <f t="shared" si="89"/>
        <v>7</v>
      </c>
      <c r="CV96" s="48">
        <v>8</v>
      </c>
      <c r="CW96" s="48">
        <v>39</v>
      </c>
      <c r="CY96" s="23">
        <v>2</v>
      </c>
    </row>
    <row r="97" spans="2:103" s="23" customFormat="1" ht="17.25">
      <c r="B97" s="22"/>
      <c r="C97" s="44">
        <v>566</v>
      </c>
      <c r="D97" s="108" t="s">
        <v>294</v>
      </c>
      <c r="E97" s="48">
        <v>5</v>
      </c>
      <c r="F97" s="63">
        <v>15</v>
      </c>
      <c r="G97" s="63">
        <v>1</v>
      </c>
      <c r="H97" s="48">
        <f>SUM(E97:F97)-(45*0)</f>
        <v>20</v>
      </c>
      <c r="I97" s="48">
        <v>17</v>
      </c>
      <c r="J97" s="49">
        <f>SUM(E97:I97)-(45*1)</f>
        <v>13</v>
      </c>
      <c r="K97" s="49">
        <f>SUM(E97:J97)-(45*1)</f>
        <v>26</v>
      </c>
      <c r="L97" s="49">
        <f>SUM(E97:K97)-(45*2)</f>
        <v>7</v>
      </c>
      <c r="M97" s="49">
        <f>SUM(E97:L97)-(45*2)</f>
        <v>14</v>
      </c>
      <c r="N97" s="49">
        <f>SUM(E97:M97)-(45*2)</f>
        <v>28</v>
      </c>
      <c r="O97" s="49">
        <f>SUM(E97:N97)-(45*3)</f>
        <v>11</v>
      </c>
      <c r="P97" s="49">
        <f>SUM(E97:O97)-(45*3)</f>
        <v>22</v>
      </c>
      <c r="Q97" s="49">
        <f>SUM(E97:P97)-(45*3)</f>
        <v>44</v>
      </c>
      <c r="R97" s="49">
        <f>SUM(E97:Q97)-(45*4)</f>
        <v>43</v>
      </c>
      <c r="S97" s="49">
        <f>SUM(E97:R97)-(45*5)</f>
        <v>41</v>
      </c>
      <c r="T97" s="49">
        <f>SUM(E97:S97)-(45*6)</f>
        <v>37</v>
      </c>
      <c r="U97" s="49">
        <f>SUM(E97:T97)-(45*7)</f>
        <v>29</v>
      </c>
      <c r="V97" s="49">
        <f>SUM(F97:U97)-(45*8)</f>
        <v>8</v>
      </c>
      <c r="W97" s="49">
        <f>SUM(G97:V97)-(45*8)</f>
        <v>1</v>
      </c>
      <c r="X97" s="49">
        <f>SUM(H97:W97)-(45*8)</f>
        <v>1</v>
      </c>
      <c r="Y97" s="49">
        <f>SUM(I97:X97)-(45*7)</f>
        <v>27</v>
      </c>
      <c r="Z97" s="49">
        <f>SUM(J97:Y97)-(45*7)</f>
        <v>37</v>
      </c>
      <c r="AA97" s="49">
        <f>SUM(K97:Z97)-(45*8)</f>
        <v>16</v>
      </c>
      <c r="AB97" s="49">
        <f>SUM(L97:AA97)-(45*8)</f>
        <v>6</v>
      </c>
      <c r="AC97" s="49">
        <f>SUM(M97:AB97)-(45*8)</f>
        <v>5</v>
      </c>
      <c r="AD97" s="49">
        <f>SUM(N97:AC97)-(45*7)</f>
        <v>41</v>
      </c>
      <c r="AE97" s="49">
        <f>SUM(O97:AD97)-(45*8)</f>
        <v>9</v>
      </c>
      <c r="AF97" s="49">
        <f>SUM(P97:AE97)-(45*8)</f>
        <v>7</v>
      </c>
      <c r="AG97" s="49">
        <f>SUM(Q97:AF97)-(45*7)</f>
        <v>37</v>
      </c>
      <c r="AH97" s="49">
        <f>SUM(R97:AG97)-(45*7)</f>
        <v>30</v>
      </c>
      <c r="AI97" s="49">
        <f>SUM(S97:AH97)-(45*7)</f>
        <v>17</v>
      </c>
      <c r="AJ97" s="49">
        <f>SUM(T97:AI97)-(45*6)</f>
        <v>38</v>
      </c>
      <c r="AK97" s="49">
        <f>SUM(U97:AJ97)-(45*6)</f>
        <v>39</v>
      </c>
      <c r="AL97" s="49">
        <f>SUM(V97:AK97)-(45*7)</f>
        <v>4</v>
      </c>
      <c r="AM97" s="49">
        <f>SUM(W97:AL97)-(45*6)</f>
        <v>45</v>
      </c>
      <c r="AN97" s="49">
        <f>SUM(X97:AM97)-(45*7)</f>
        <v>44</v>
      </c>
      <c r="AO97" s="49">
        <f>SUM(Y97:AN97)-(45*8)</f>
        <v>42</v>
      </c>
      <c r="AP97" s="49">
        <f>SUM(Z97:AO97)-(45*9)</f>
        <v>12</v>
      </c>
      <c r="AQ97" s="49">
        <f>SUM(AA97:AP97)-(45*8)</f>
        <v>32</v>
      </c>
      <c r="AR97" s="49">
        <f>SUM(AB97:AQ97)-(45*9)</f>
        <v>3</v>
      </c>
      <c r="AS97" s="49">
        <f>SUM(AC97:AR97)-(45*8)</f>
        <v>45</v>
      </c>
      <c r="AT97" s="49">
        <f>SUM(AD97:AS97)-(45*9)</f>
        <v>40</v>
      </c>
      <c r="AU97" s="49">
        <f>SUM(AE97:AT97)-(45*9)</f>
        <v>39</v>
      </c>
      <c r="AV97" s="49">
        <f>SUM(AF97:AU97)-(45*10)</f>
        <v>24</v>
      </c>
      <c r="AW97" s="49">
        <f>SUM(AG97:AV97)-(45*10)</f>
        <v>41</v>
      </c>
      <c r="AX97" s="49">
        <f>SUM(AH97:AW97)-(45*10)</f>
        <v>45</v>
      </c>
      <c r="AY97" s="49">
        <f>SUM(AI97:AX97)-(45*11)</f>
        <v>15</v>
      </c>
      <c r="AZ97" s="49">
        <f>SUM(AJ97:AY97)-(45*11)</f>
        <v>13</v>
      </c>
      <c r="BA97" s="49">
        <f>SUM(AK97:AZ97)-(45*10)</f>
        <v>33</v>
      </c>
      <c r="BB97" s="49">
        <f>SUM(AL97:BA97)-(45*10)</f>
        <v>27</v>
      </c>
      <c r="BC97" s="49">
        <f>SUM(AM97:BB97)-(45*11)</f>
        <v>5</v>
      </c>
      <c r="BD97" s="49">
        <f>SUM(AN97:BC97)-(45*10)</f>
        <v>10</v>
      </c>
      <c r="BE97" s="49">
        <f>SUM(AO97:BD97)-(45*9)</f>
        <v>21</v>
      </c>
      <c r="BF97" s="49">
        <f>SUM(AP97:BE97)-(45*8)</f>
        <v>45</v>
      </c>
      <c r="BG97" s="49">
        <f>SUM(AQ97:BF97)-(45*9)</f>
        <v>33</v>
      </c>
      <c r="BH97" s="49">
        <f>SUM(AR97:BG97)-(45*9)</f>
        <v>34</v>
      </c>
      <c r="BI97" s="49">
        <f>SUM(AS97:BH97)-(45*10)</f>
        <v>20</v>
      </c>
      <c r="BJ97" s="49">
        <f>SUM(AT97:BI97)-(45*9)</f>
        <v>40</v>
      </c>
      <c r="BK97" s="49">
        <f>SUM(AU97:BJ97)-(45*9)</f>
        <v>40</v>
      </c>
      <c r="BL97" s="49">
        <f>SUM(AV97:BK97)-(45*9)</f>
        <v>41</v>
      </c>
      <c r="BM97" s="49">
        <f>SUM(AW97:BL97)-(45*10)</f>
        <v>13</v>
      </c>
      <c r="BN97" s="49">
        <f>SUM(AX97:BM97)-(45*9)</f>
        <v>30</v>
      </c>
      <c r="BO97" s="49">
        <f>SUM(AY97:BN97)-(45*9)</f>
        <v>15</v>
      </c>
      <c r="BP97" s="49">
        <f>SUM(AZ97:BO97)-(45*9)</f>
        <v>15</v>
      </c>
      <c r="BQ97" s="49">
        <f>SUM(BA97:BP97)-(45*9)</f>
        <v>17</v>
      </c>
      <c r="BR97" s="49">
        <f>SUM(BB97:BQ97)-(45*9)</f>
        <v>1</v>
      </c>
      <c r="BS97" s="49">
        <f>SUM(BC97:BR97)-(45*8)</f>
        <v>20</v>
      </c>
      <c r="BT97" s="49">
        <f>SUM(BD97:BS97)-(45*8)</f>
        <v>35</v>
      </c>
      <c r="BU97" s="49">
        <f>SUM(BE97:BT97)-(45*9)</f>
        <v>15</v>
      </c>
      <c r="BV97" s="49">
        <f>SUM(BF97:BU97)-(45*9)</f>
        <v>9</v>
      </c>
      <c r="BX97" s="190" t="s">
        <v>335</v>
      </c>
      <c r="BY97" s="23">
        <v>5</v>
      </c>
      <c r="BZ97" s="23">
        <v>0</v>
      </c>
      <c r="CE97" s="48">
        <v>566</v>
      </c>
      <c r="CF97" s="17">
        <v>4</v>
      </c>
      <c r="CG97" s="17">
        <v>5</v>
      </c>
      <c r="CH97" s="17">
        <v>6</v>
      </c>
      <c r="CI97" s="17">
        <v>25</v>
      </c>
      <c r="CJ97" s="17">
        <v>26</v>
      </c>
      <c r="CK97" s="17">
        <v>43</v>
      </c>
      <c r="CL97" s="17">
        <v>41</v>
      </c>
      <c r="CM97" s="58">
        <f>SUM(CF97:CK97)-(45*2)</f>
        <v>19</v>
      </c>
      <c r="CN97" s="55">
        <f>SUM(CF97:CL97)-(45*3)</f>
        <v>15</v>
      </c>
      <c r="CO97" s="17"/>
      <c r="CP97" s="48">
        <f t="shared" si="89"/>
        <v>1</v>
      </c>
      <c r="CQ97" s="48">
        <f t="shared" si="89"/>
        <v>1</v>
      </c>
      <c r="CR97" s="48">
        <f t="shared" si="89"/>
        <v>19</v>
      </c>
      <c r="CS97" s="48">
        <f t="shared" si="89"/>
        <v>1</v>
      </c>
      <c r="CT97" s="48">
        <f t="shared" si="89"/>
        <v>17</v>
      </c>
      <c r="CU97" s="48">
        <f t="shared" si="89"/>
        <v>2</v>
      </c>
      <c r="CV97" s="48">
        <v>4</v>
      </c>
      <c r="CW97" s="48">
        <v>35</v>
      </c>
      <c r="CY97" s="23">
        <v>4</v>
      </c>
    </row>
    <row r="98" spans="2:103" s="23" customFormat="1" ht="17.25">
      <c r="B98" s="22"/>
      <c r="C98" s="44">
        <v>567</v>
      </c>
      <c r="D98" s="108" t="s">
        <v>295</v>
      </c>
      <c r="E98" s="48">
        <v>12</v>
      </c>
      <c r="F98" s="63">
        <v>22</v>
      </c>
      <c r="G98" s="63">
        <v>2</v>
      </c>
      <c r="H98" s="48">
        <f>SUM(E98:F98)-(45*0)</f>
        <v>34</v>
      </c>
      <c r="I98" s="48">
        <v>18</v>
      </c>
      <c r="J98" s="49">
        <f>SUM(E98:I98)-(45*1)</f>
        <v>43</v>
      </c>
      <c r="K98" s="49">
        <f>SUM(E98:J98)-(45*2)</f>
        <v>41</v>
      </c>
      <c r="L98" s="49">
        <f>SUM(E98:K98)-(45*3)</f>
        <v>37</v>
      </c>
      <c r="M98" s="49">
        <f>SUM(E98:L98)-(45*4)</f>
        <v>29</v>
      </c>
      <c r="N98" s="49">
        <f>SUM(E98:M98)-(45*5)</f>
        <v>13</v>
      </c>
      <c r="O98" s="49">
        <f>SUM(E98:N98)-(45*5)</f>
        <v>26</v>
      </c>
      <c r="P98" s="49">
        <f>SUM(E98:O98)-(45*6)</f>
        <v>7</v>
      </c>
      <c r="Q98" s="49">
        <f>SUM(E98:P98)-(45*6)</f>
        <v>14</v>
      </c>
      <c r="R98" s="49">
        <f>SUM(E98:Q98)-(45*6)</f>
        <v>28</v>
      </c>
      <c r="S98" s="49">
        <f>SUM(E98:R98)-(45*7)</f>
        <v>11</v>
      </c>
      <c r="T98" s="49">
        <f>SUM(E98:S98)-(45*7)</f>
        <v>22</v>
      </c>
      <c r="U98" s="49">
        <f>SUM(E98:T98)-(45*7)</f>
        <v>44</v>
      </c>
      <c r="V98" s="49">
        <f>SUM(F98:U98)-(45*8)</f>
        <v>31</v>
      </c>
      <c r="W98" s="49">
        <f>SUM(G98:V98)-(45*8)</f>
        <v>40</v>
      </c>
      <c r="X98" s="49">
        <f>SUM(H98:W98)-(45*9)</f>
        <v>33</v>
      </c>
      <c r="Y98" s="49">
        <f>SUM(I98:X98)-(45*9)</f>
        <v>32</v>
      </c>
      <c r="Z98" s="49">
        <f>SUM(J98:Y98)-(45*10)</f>
        <v>1</v>
      </c>
      <c r="AA98" s="49">
        <f>SUM(K98:Z98)-(45*9)</f>
        <v>4</v>
      </c>
      <c r="AB98" s="49">
        <f>SUM(L98:AA98)-(45*8)</f>
        <v>12</v>
      </c>
      <c r="AC98" s="49">
        <f>SUM(M98:AB98)-(45*7)</f>
        <v>32</v>
      </c>
      <c r="AD98" s="49">
        <f>SUM(N98:AC98)-(45*7)</f>
        <v>35</v>
      </c>
      <c r="AE98" s="49">
        <f>SUM(O98:AD98)-(45*8)</f>
        <v>12</v>
      </c>
      <c r="AF98" s="49">
        <f>SUM(P98:AE98)-(45*7)</f>
        <v>43</v>
      </c>
      <c r="AG98" s="49">
        <f>SUM(Q98:AF98)-(45*8)</f>
        <v>34</v>
      </c>
      <c r="AH98" s="49">
        <f>SUM(R98:AG98)-(45*9)</f>
        <v>9</v>
      </c>
      <c r="AI98" s="49">
        <f>SUM(S98:AH98)-(45*8)</f>
        <v>35</v>
      </c>
      <c r="AJ98" s="49">
        <f>SUM(T98:AI98)-(45*9)</f>
        <v>14</v>
      </c>
      <c r="AK98" s="49">
        <f>SUM(U98:AJ98)-(45*9)</f>
        <v>6</v>
      </c>
      <c r="AL98" s="49">
        <f>SUM(V98:AK98)-(45*8)</f>
        <v>13</v>
      </c>
      <c r="AM98" s="49">
        <f>SUM(W98:AL98)-(45*7)</f>
        <v>40</v>
      </c>
      <c r="AN98" s="49">
        <f>SUM(X98:AM98)-(45*7)</f>
        <v>40</v>
      </c>
      <c r="AO98" s="49">
        <f>SUM(Y98:AN98)-(45*8)</f>
        <v>2</v>
      </c>
      <c r="AP98" s="49">
        <f>SUM(Z98:AO98)-(45*7)</f>
        <v>17</v>
      </c>
      <c r="AQ98" s="49">
        <f>SUM(AA98:AP98)-(45*7)</f>
        <v>33</v>
      </c>
      <c r="AR98" s="49">
        <f>SUM(AB98:AQ98)-(45*8)</f>
        <v>17</v>
      </c>
      <c r="AS98" s="49">
        <f>SUM(AC98:AR98)-(45*8)</f>
        <v>22</v>
      </c>
      <c r="AT98" s="49">
        <f>SUM(AD98:AS98)-(45*8)</f>
        <v>12</v>
      </c>
      <c r="AU98" s="49">
        <f>SUM(AE98:AT98)-(45*7)</f>
        <v>34</v>
      </c>
      <c r="AV98" s="49">
        <f>SUM(AF98:AU98)-(45*8)</f>
        <v>11</v>
      </c>
      <c r="AW98" s="49">
        <f>SUM(AG98:AV98)-(45*7)</f>
        <v>24</v>
      </c>
      <c r="AX98" s="49">
        <f>SUM(AH98:AW98)-(45*7)</f>
        <v>14</v>
      </c>
      <c r="AY98" s="49">
        <f>SUM(AI98:AX98)-(45*7)</f>
        <v>19</v>
      </c>
      <c r="AZ98" s="49">
        <f>SUM(AJ98:AY98)-(45*7)</f>
        <v>3</v>
      </c>
      <c r="BA98" s="49">
        <f>SUM(AK98:AZ98)-(45*6)</f>
        <v>37</v>
      </c>
      <c r="BB98" s="49">
        <f t="shared" ref="BB98:BK98" si="99">SUM(AL98:BA98)-(45*7)</f>
        <v>23</v>
      </c>
      <c r="BC98" s="49">
        <f t="shared" si="99"/>
        <v>33</v>
      </c>
      <c r="BD98" s="49">
        <f t="shared" si="99"/>
        <v>26</v>
      </c>
      <c r="BE98" s="49">
        <f t="shared" si="99"/>
        <v>12</v>
      </c>
      <c r="BF98" s="49">
        <f t="shared" si="99"/>
        <v>22</v>
      </c>
      <c r="BG98" s="49">
        <f t="shared" si="99"/>
        <v>27</v>
      </c>
      <c r="BH98" s="49">
        <f t="shared" si="99"/>
        <v>21</v>
      </c>
      <c r="BI98" s="49">
        <f t="shared" si="99"/>
        <v>25</v>
      </c>
      <c r="BJ98" s="49">
        <f t="shared" si="99"/>
        <v>28</v>
      </c>
      <c r="BK98" s="49">
        <f t="shared" si="99"/>
        <v>44</v>
      </c>
      <c r="BL98" s="49">
        <f>SUM(AV98:BK98)-(45*8)</f>
        <v>9</v>
      </c>
      <c r="BM98" s="49">
        <f>SUM(AW98:BL98)-(45*8)</f>
        <v>7</v>
      </c>
      <c r="BN98" s="49">
        <f>SUM(AX98:BM98)-(45*7)</f>
        <v>35</v>
      </c>
      <c r="BO98" s="49">
        <f>SUM(AY98:BN98)-(45*8)</f>
        <v>11</v>
      </c>
      <c r="BP98" s="49">
        <f>SUM(AZ98:BO98)-(45*8)</f>
        <v>3</v>
      </c>
      <c r="BQ98" s="49">
        <f>SUM(BA98:BP98)-(45*8)</f>
        <v>3</v>
      </c>
      <c r="BR98" s="49">
        <f>SUM(BB98:BQ98)-(45*7)</f>
        <v>14</v>
      </c>
      <c r="BS98" s="49">
        <f>SUM(BC98:BR98)-(45*7)</f>
        <v>5</v>
      </c>
      <c r="BT98" s="49">
        <f>SUM(BD98:BS98)-(45*6)</f>
        <v>22</v>
      </c>
      <c r="BU98" s="49">
        <f>SUM(BE98:BT98)-(45*6)</f>
        <v>18</v>
      </c>
      <c r="BV98" s="49">
        <f>SUM(BF98:BU98)-(45*6)</f>
        <v>24</v>
      </c>
      <c r="BX98" s="190" t="s">
        <v>335</v>
      </c>
      <c r="BY98" s="23">
        <v>5</v>
      </c>
      <c r="BZ98" s="23">
        <v>0</v>
      </c>
      <c r="CE98" s="48">
        <v>567</v>
      </c>
      <c r="CF98" s="17">
        <v>1</v>
      </c>
      <c r="CG98" s="17">
        <v>10</v>
      </c>
      <c r="CH98" s="17">
        <v>15</v>
      </c>
      <c r="CI98" s="17">
        <v>16</v>
      </c>
      <c r="CJ98" s="17">
        <v>32</v>
      </c>
      <c r="CK98" s="17">
        <v>41</v>
      </c>
      <c r="CL98" s="17">
        <v>28</v>
      </c>
      <c r="CM98" s="58">
        <f>SUM(CF98:CK98)-(45*2)</f>
        <v>25</v>
      </c>
      <c r="CN98" s="55">
        <f>SUM(CF98:CL98)-(45*3)</f>
        <v>8</v>
      </c>
      <c r="CO98" s="17"/>
      <c r="CP98" s="48">
        <f t="shared" si="89"/>
        <v>9</v>
      </c>
      <c r="CQ98" s="48">
        <f t="shared" si="89"/>
        <v>5</v>
      </c>
      <c r="CR98" s="48">
        <f t="shared" si="89"/>
        <v>1</v>
      </c>
      <c r="CS98" s="48">
        <f t="shared" si="89"/>
        <v>16</v>
      </c>
      <c r="CT98" s="48">
        <f t="shared" si="89"/>
        <v>9</v>
      </c>
      <c r="CU98" s="48">
        <f t="shared" si="89"/>
        <v>13</v>
      </c>
      <c r="CV98" s="48">
        <v>6</v>
      </c>
      <c r="CW98" s="48">
        <f>53-45</f>
        <v>8</v>
      </c>
      <c r="CY98" s="23">
        <v>0</v>
      </c>
    </row>
    <row r="99" spans="2:103" s="23" customFormat="1" ht="17.25">
      <c r="B99" s="22"/>
      <c r="C99" s="44">
        <v>568</v>
      </c>
      <c r="D99" s="108" t="s">
        <v>296</v>
      </c>
      <c r="E99" s="48">
        <v>19</v>
      </c>
      <c r="F99" s="63">
        <v>29</v>
      </c>
      <c r="G99" s="63">
        <v>3</v>
      </c>
      <c r="H99" s="48">
        <f>SUM(E99:F99)-(45*1)</f>
        <v>3</v>
      </c>
      <c r="I99" s="48">
        <v>19</v>
      </c>
      <c r="J99" s="49">
        <f>SUM(E99:I99)-(45*1)</f>
        <v>28</v>
      </c>
      <c r="K99" s="49">
        <f>SUM(E99:J99)-(45*2)</f>
        <v>11</v>
      </c>
      <c r="L99" s="49">
        <f>SUM(E99:K99)-(45*2)</f>
        <v>22</v>
      </c>
      <c r="M99" s="49">
        <f>SUM(E99:L99)-(45*2)</f>
        <v>44</v>
      </c>
      <c r="N99" s="49">
        <f>SUM(E99:M99)-(45*3)</f>
        <v>43</v>
      </c>
      <c r="O99" s="49">
        <f>SUM(E99:N99)-(45*4)</f>
        <v>41</v>
      </c>
      <c r="P99" s="49">
        <f>SUM(E99:O99)-(45*5)</f>
        <v>37</v>
      </c>
      <c r="Q99" s="49">
        <f>SUM(E99:P99)-(45*6)</f>
        <v>29</v>
      </c>
      <c r="R99" s="49">
        <f>SUM(E99:Q99)-(45*7)</f>
        <v>13</v>
      </c>
      <c r="S99" s="49">
        <f>SUM(E99:R99)-(45*7)</f>
        <v>26</v>
      </c>
      <c r="T99" s="49">
        <f>SUM(E99:S99)-(45*8)</f>
        <v>7</v>
      </c>
      <c r="U99" s="49">
        <f>SUM(E99:T99)-(45*8)</f>
        <v>14</v>
      </c>
      <c r="V99" s="49">
        <f>SUM(F99:U99)-(45*8)</f>
        <v>9</v>
      </c>
      <c r="W99" s="49">
        <f>SUM(G99:V99)-(45*7)</f>
        <v>34</v>
      </c>
      <c r="X99" s="49">
        <f>SUM(H99:W99)-(45*8)</f>
        <v>20</v>
      </c>
      <c r="Y99" s="49">
        <f>SUM(I99:X99)-(45*8)</f>
        <v>37</v>
      </c>
      <c r="Z99" s="49">
        <f>SUM(J99:Y99)-(45*9)</f>
        <v>10</v>
      </c>
      <c r="AA99" s="49">
        <f>SUM(K99:Z99)-(45*8)</f>
        <v>37</v>
      </c>
      <c r="AB99" s="49">
        <f>SUM(L99:AA99)-(45*9)</f>
        <v>18</v>
      </c>
      <c r="AC99" s="49">
        <f>SUM(M99:AB99)-(45*9)</f>
        <v>14</v>
      </c>
      <c r="AD99" s="49">
        <f>SUM(N99:AC99)-(45*8)</f>
        <v>29</v>
      </c>
      <c r="AE99" s="49">
        <f>SUM(O99:AD99)-(45*8)</f>
        <v>15</v>
      </c>
      <c r="AF99" s="49">
        <f>SUM(P99:AE99)-(45*7)</f>
        <v>34</v>
      </c>
      <c r="AG99" s="49">
        <f>SUM(Q99:AF99)-(45*7)</f>
        <v>31</v>
      </c>
      <c r="AH99" s="49">
        <f>SUM(R99:AG99)-(45*7)</f>
        <v>33</v>
      </c>
      <c r="AI99" s="49">
        <f>SUM(S99:AH99)-(45*8)</f>
        <v>8</v>
      </c>
      <c r="AJ99" s="49">
        <f>SUM(T99:AI99)-(45*7)</f>
        <v>35</v>
      </c>
      <c r="AK99" s="49">
        <f>SUM(U99:AJ99)-(45*8)</f>
        <v>18</v>
      </c>
      <c r="AL99" s="49">
        <f>SUM(V99:AK99)-(45*8)</f>
        <v>22</v>
      </c>
      <c r="AM99" s="49">
        <f>SUM(W99:AL99)-(45*8)</f>
        <v>35</v>
      </c>
      <c r="AN99" s="49">
        <f>SUM(X99:AM99)-(45*8)</f>
        <v>36</v>
      </c>
      <c r="AO99" s="49">
        <f>SUM(Y99:AN99)-(45*9)</f>
        <v>7</v>
      </c>
      <c r="AP99" s="49">
        <f>SUM(Z99:AO99)-(45*8)</f>
        <v>22</v>
      </c>
      <c r="AQ99" s="49">
        <f>SUM(AA99:AP99)-(45*8)</f>
        <v>34</v>
      </c>
      <c r="AR99" s="49">
        <f>SUM(AB99:AQ99)-(45*8)</f>
        <v>31</v>
      </c>
      <c r="AS99" s="49">
        <f>SUM(AC99:AR99)-(45*8)</f>
        <v>44</v>
      </c>
      <c r="AT99" s="49">
        <f>SUM(AD99:AS99)-(45*9)</f>
        <v>29</v>
      </c>
      <c r="AU99" s="49">
        <f>SUM(AE99:AT99)-(45*9)</f>
        <v>29</v>
      </c>
      <c r="AV99" s="49">
        <f>SUM(AF99:AU99)-(45*9)</f>
        <v>43</v>
      </c>
      <c r="AW99" s="49">
        <f>SUM(AG99:AV99)-(45*10)</f>
        <v>7</v>
      </c>
      <c r="AX99" s="49">
        <f>SUM(AH99:AW99)-(45*9)</f>
        <v>28</v>
      </c>
      <c r="AY99" s="49">
        <f>SUM(AI99:AX99)-(45*9)</f>
        <v>23</v>
      </c>
      <c r="AZ99" s="49">
        <f>SUM(AJ99:AY99)-(45*9)</f>
        <v>38</v>
      </c>
      <c r="BA99" s="49">
        <f>SUM(AK99:AZ99)-(45*9)</f>
        <v>41</v>
      </c>
      <c r="BB99" s="49">
        <f>SUM(AL99:BA99)-(45*10)</f>
        <v>19</v>
      </c>
      <c r="BC99" s="49">
        <f>SUM(AM99:BB99)-(45*10)</f>
        <v>16</v>
      </c>
      <c r="BD99" s="49">
        <f>SUM(AN99:BC99)-(45*9)</f>
        <v>42</v>
      </c>
      <c r="BE99" s="49">
        <f>SUM(AO99:BD99)-(45*10)</f>
        <v>3</v>
      </c>
      <c r="BF99" s="49">
        <f>SUM(AP99:BE99)-(45*9)</f>
        <v>44</v>
      </c>
      <c r="BG99" s="49">
        <f>SUM(AQ99:BF99)-(45*10)</f>
        <v>21</v>
      </c>
      <c r="BH99" s="49">
        <f>SUM(AR99:BG99)-(45*10)</f>
        <v>8</v>
      </c>
      <c r="BI99" s="49">
        <f>SUM(AS99:BH99)-(45*9)</f>
        <v>30</v>
      </c>
      <c r="BJ99" s="49">
        <f>SUM(AT99:BI99)-(45*9)</f>
        <v>16</v>
      </c>
      <c r="BK99" s="49">
        <f>SUM(AU99:BJ99)-(45*9)</f>
        <v>3</v>
      </c>
      <c r="BL99" s="49">
        <f>SUM(AV99:BK99)-(45*8)</f>
        <v>22</v>
      </c>
      <c r="BM99" s="49">
        <f>SUM(AW99:BL99)-(45*8)</f>
        <v>1</v>
      </c>
      <c r="BN99" s="49">
        <f>SUM(AX99:BM99)-(45*7)</f>
        <v>40</v>
      </c>
      <c r="BO99" s="49">
        <f>SUM(AY99:BN99)-(45*8)</f>
        <v>7</v>
      </c>
      <c r="BP99" s="49">
        <f>SUM(AZ99:BO99)-(45*7)</f>
        <v>36</v>
      </c>
      <c r="BQ99" s="49">
        <f>SUM(BA99:BP99)-(45*7)</f>
        <v>34</v>
      </c>
      <c r="BR99" s="49">
        <f>SUM(BB99:BQ99)-(45*7)</f>
        <v>27</v>
      </c>
      <c r="BS99" s="49">
        <f>SUM(BC99:BR99)-(45*7)</f>
        <v>35</v>
      </c>
      <c r="BT99" s="49">
        <f>SUM(BD99:BS99)-(45*8)</f>
        <v>9</v>
      </c>
      <c r="BU99" s="49">
        <f>SUM(BE99:BT99)-(45*7)</f>
        <v>21</v>
      </c>
      <c r="BV99" s="49">
        <f>SUM(BF99:BU99)-(45*7)</f>
        <v>39</v>
      </c>
      <c r="BX99" s="190" t="s">
        <v>334</v>
      </c>
      <c r="BY99" s="23">
        <v>3</v>
      </c>
      <c r="BZ99" s="23">
        <v>1</v>
      </c>
      <c r="CE99" s="48">
        <v>568</v>
      </c>
      <c r="CF99" s="17">
        <v>1</v>
      </c>
      <c r="CG99" s="17">
        <v>3</v>
      </c>
      <c r="CH99" s="17">
        <v>17</v>
      </c>
      <c r="CI99" s="17">
        <v>20</v>
      </c>
      <c r="CJ99" s="17">
        <v>31</v>
      </c>
      <c r="CK99" s="17">
        <v>44</v>
      </c>
      <c r="CL99" s="17">
        <v>40</v>
      </c>
      <c r="CM99" s="58">
        <f>SUM(CF99:CK99)-(45*2)</f>
        <v>26</v>
      </c>
      <c r="CN99" s="55">
        <f>SUM(CF99:CL99)-(45*3)</f>
        <v>21</v>
      </c>
      <c r="CO99" s="17"/>
      <c r="CP99" s="48">
        <f t="shared" si="89"/>
        <v>2</v>
      </c>
      <c r="CQ99" s="48">
        <f t="shared" si="89"/>
        <v>14</v>
      </c>
      <c r="CR99" s="48">
        <f t="shared" si="89"/>
        <v>3</v>
      </c>
      <c r="CS99" s="48">
        <f t="shared" si="89"/>
        <v>11</v>
      </c>
      <c r="CT99" s="48">
        <f t="shared" si="89"/>
        <v>13</v>
      </c>
      <c r="CU99" s="48">
        <f t="shared" si="89"/>
        <v>4</v>
      </c>
      <c r="CV99" s="48">
        <v>10</v>
      </c>
      <c r="CW99" s="48">
        <f>50-45</f>
        <v>5</v>
      </c>
      <c r="CY99" s="23">
        <v>3</v>
      </c>
    </row>
    <row r="100" spans="2:103" s="23" customFormat="1" ht="17.25">
      <c r="B100" s="22"/>
      <c r="C100" s="44">
        <v>569</v>
      </c>
      <c r="D100" s="108" t="s">
        <v>297</v>
      </c>
      <c r="E100" s="48">
        <v>26</v>
      </c>
      <c r="F100" s="63">
        <v>36</v>
      </c>
      <c r="G100" s="63">
        <v>4</v>
      </c>
      <c r="H100" s="48">
        <f>SUM(E100:F100)-(45*1)</f>
        <v>17</v>
      </c>
      <c r="I100" s="48">
        <v>20</v>
      </c>
      <c r="J100" s="49">
        <f>SUM(E100:I100)-(45*2)</f>
        <v>13</v>
      </c>
      <c r="K100" s="49">
        <f>SUM(E100:J100)-(45*2)</f>
        <v>26</v>
      </c>
      <c r="L100" s="49">
        <f>SUM(E100:K100)-(45*3)</f>
        <v>7</v>
      </c>
      <c r="M100" s="49">
        <f>SUM(E100:L100)-(45*3)</f>
        <v>14</v>
      </c>
      <c r="N100" s="49">
        <f>SUM(E100:M100)-(45*3)</f>
        <v>28</v>
      </c>
      <c r="O100" s="49">
        <f>SUM(E100:N100)-(45*4)</f>
        <v>11</v>
      </c>
      <c r="P100" s="49">
        <f>SUM(E100:O100)-(45*4)</f>
        <v>22</v>
      </c>
      <c r="Q100" s="49">
        <f>SUM(E100:P100)-(45*4)</f>
        <v>44</v>
      </c>
      <c r="R100" s="49">
        <f>SUM(E100:Q100)-(45*5)</f>
        <v>43</v>
      </c>
      <c r="S100" s="49">
        <f>SUM(E100:R100)-(45*6)</f>
        <v>41</v>
      </c>
      <c r="T100" s="49">
        <f>SUM(E100:S100)-(45*7)</f>
        <v>37</v>
      </c>
      <c r="U100" s="49">
        <f>SUM(E100:T100)-(45*8)</f>
        <v>29</v>
      </c>
      <c r="V100" s="49">
        <f>SUM(F100:U100)-(45*8)</f>
        <v>32</v>
      </c>
      <c r="W100" s="49">
        <f>SUM(G100:V100)-(45*8)</f>
        <v>28</v>
      </c>
      <c r="X100" s="49">
        <f>SUM(H100:W100)-(45*9)</f>
        <v>7</v>
      </c>
      <c r="Y100" s="49">
        <f>SUM(I100:X100)-(45*8)</f>
        <v>42</v>
      </c>
      <c r="Z100" s="49">
        <f>SUM(J100:Y100)-(45*9)</f>
        <v>19</v>
      </c>
      <c r="AA100" s="49">
        <f>SUM(K100:Z100)-(45*9)</f>
        <v>25</v>
      </c>
      <c r="AB100" s="49">
        <f>SUM(L100:AA100)-(45*9)</f>
        <v>24</v>
      </c>
      <c r="AC100" s="49">
        <f>SUM(M100:AB100)-(45*9)</f>
        <v>41</v>
      </c>
      <c r="AD100" s="49">
        <f>SUM(N100:AC100)-(45*10)</f>
        <v>23</v>
      </c>
      <c r="AE100" s="49">
        <f>SUM(O100:AD100)-(45*10)</f>
        <v>18</v>
      </c>
      <c r="AF100" s="49">
        <f>SUM(P100:AE100)-(45*10)</f>
        <v>25</v>
      </c>
      <c r="AG100" s="49">
        <f>SUM(Q100:AF100)-(45*10)</f>
        <v>28</v>
      </c>
      <c r="AH100" s="49">
        <f>SUM(R100:AG100)-(45*10)</f>
        <v>12</v>
      </c>
      <c r="AI100" s="49">
        <f>SUM(S100:AH100)-(45*9)</f>
        <v>26</v>
      </c>
      <c r="AJ100" s="49">
        <f>SUM(T100:AI100)-(45*9)</f>
        <v>11</v>
      </c>
      <c r="AK100" s="49">
        <f>SUM(U100:AJ100)-(45*8)</f>
        <v>30</v>
      </c>
      <c r="AL100" s="49">
        <f>SUM(V100:AK100)-(45*8)</f>
        <v>31</v>
      </c>
      <c r="AM100" s="49">
        <f>SUM(W100:AL100)-(45*8)</f>
        <v>30</v>
      </c>
      <c r="AN100" s="49">
        <f>SUM(X100:AM100)-(45*8)</f>
        <v>32</v>
      </c>
      <c r="AO100" s="49">
        <f>SUM(Y100:AN100)-(45*9)</f>
        <v>12</v>
      </c>
      <c r="AP100" s="49">
        <f>SUM(Z100:AO100)-(45*8)</f>
        <v>27</v>
      </c>
      <c r="AQ100" s="49">
        <f>SUM(AA100:AP100)-(45*8)</f>
        <v>35</v>
      </c>
      <c r="AR100" s="49">
        <f>SUM(AB100:AQ100)-(45*8)</f>
        <v>45</v>
      </c>
      <c r="AS100" s="49">
        <f>SUM(AC100:AR100)-(45*9)</f>
        <v>21</v>
      </c>
      <c r="AT100" s="49">
        <f>SUM(AD100:AS100)-(45*9)</f>
        <v>1</v>
      </c>
      <c r="AU100" s="49">
        <f>SUM(AE100:AT100)-(45*8)</f>
        <v>24</v>
      </c>
      <c r="AV100" s="49">
        <f>SUM(AF100:AU100)-(45*8)</f>
        <v>30</v>
      </c>
      <c r="AW100" s="49">
        <f>SUM(AG100:AV100)-(45*8)</f>
        <v>35</v>
      </c>
      <c r="AX100" s="49">
        <f>SUM(AH100:AW100)-(45*8)</f>
        <v>42</v>
      </c>
      <c r="AY100" s="49">
        <f>SUM(AI100:AX100)-(45*9)</f>
        <v>27</v>
      </c>
      <c r="AZ100" s="49">
        <f>SUM(AJ100:AY100)-(45*9)</f>
        <v>28</v>
      </c>
      <c r="BA100" s="49">
        <f>SUM(AK100:AZ100)-(45*9)</f>
        <v>45</v>
      </c>
      <c r="BB100" s="49">
        <f>SUM(AL100:BA100)-(45*10)</f>
        <v>15</v>
      </c>
      <c r="BC100" s="49">
        <f>SUM(AM100:BB100)-(45*9)</f>
        <v>44</v>
      </c>
      <c r="BD100" s="49">
        <f>SUM(AN100:BC100)-(45*10)</f>
        <v>13</v>
      </c>
      <c r="BE100" s="49">
        <f>SUM(AO100:BD100)-(45*9)</f>
        <v>39</v>
      </c>
      <c r="BF100" s="49">
        <f>SUM(AP100:BE100)-(45*10)</f>
        <v>21</v>
      </c>
      <c r="BG100" s="49">
        <f>SUM(AQ100:BF100)-(45*10)</f>
        <v>15</v>
      </c>
      <c r="BH100" s="49">
        <f>SUM(AR100:BG100)-(45*9)</f>
        <v>40</v>
      </c>
      <c r="BI100" s="49">
        <f>SUM(AS100:BH100)-(45*9)</f>
        <v>35</v>
      </c>
      <c r="BJ100" s="49">
        <f>SUM(AT100:BI100)-(45*10)</f>
        <v>4</v>
      </c>
      <c r="BK100" s="49">
        <f>SUM(AU100:BJ100)-(45*10)</f>
        <v>7</v>
      </c>
      <c r="BL100" s="49">
        <f>SUM(AV100:BK100)-(45*9)</f>
        <v>35</v>
      </c>
      <c r="BM100" s="49">
        <f>SUM(AW100:BL100)-(45*9)</f>
        <v>40</v>
      </c>
      <c r="BN100" s="49">
        <f>SUM(AX100:BM100)-(45*9)</f>
        <v>45</v>
      </c>
      <c r="BO100" s="49">
        <f>SUM(AY100:BN100)-(45*10)</f>
        <v>3</v>
      </c>
      <c r="BP100" s="49">
        <f>SUM(AZ100:BO100)-(45*9)</f>
        <v>24</v>
      </c>
      <c r="BQ100" s="49">
        <f>SUM(BA100:BP100)-(45*9)</f>
        <v>20</v>
      </c>
      <c r="BR100" s="49">
        <f>SUM(BB100:BQ100)-(45*8)</f>
        <v>40</v>
      </c>
      <c r="BS100" s="49">
        <f>SUM(BC100:BR100)-(45*9)</f>
        <v>20</v>
      </c>
      <c r="BT100" s="49">
        <f>SUM(BD100:BS100)-(45*8)</f>
        <v>41</v>
      </c>
      <c r="BU100" s="49">
        <f>SUM(BE100:BT100)-(45*9)</f>
        <v>24</v>
      </c>
      <c r="BV100" s="49">
        <f>SUM(BF100:BU100)-(45*9)</f>
        <v>9</v>
      </c>
      <c r="BX100" s="190" t="s">
        <v>334</v>
      </c>
      <c r="BY100" s="23">
        <v>3</v>
      </c>
      <c r="BZ100" s="23">
        <v>1</v>
      </c>
      <c r="CE100" s="48">
        <v>569</v>
      </c>
      <c r="CF100" s="17">
        <v>3</v>
      </c>
      <c r="CG100" s="17">
        <v>6</v>
      </c>
      <c r="CH100" s="17">
        <v>13</v>
      </c>
      <c r="CI100" s="17">
        <v>23</v>
      </c>
      <c r="CJ100" s="17">
        <v>24</v>
      </c>
      <c r="CK100" s="17">
        <v>35</v>
      </c>
      <c r="CL100" s="17">
        <v>1</v>
      </c>
      <c r="CM100" s="58">
        <f>SUM(CF100:CK100)-(45*2)</f>
        <v>14</v>
      </c>
      <c r="CN100" s="55">
        <f>SUM(CF100:CL100)-(45*2)</f>
        <v>15</v>
      </c>
      <c r="CO100" s="17"/>
      <c r="CP100" s="48">
        <f t="shared" ref="CP100:CU102" si="100">ABS(CF100-CG100)</f>
        <v>3</v>
      </c>
      <c r="CQ100" s="48">
        <f t="shared" si="100"/>
        <v>7</v>
      </c>
      <c r="CR100" s="48">
        <f t="shared" si="100"/>
        <v>10</v>
      </c>
      <c r="CS100" s="48">
        <f t="shared" si="100"/>
        <v>1</v>
      </c>
      <c r="CT100" s="48">
        <f t="shared" si="100"/>
        <v>11</v>
      </c>
      <c r="CU100" s="48">
        <f t="shared" si="100"/>
        <v>34</v>
      </c>
      <c r="CV100" s="48">
        <v>4</v>
      </c>
      <c r="CW100" s="48">
        <v>36</v>
      </c>
      <c r="CY100" s="23">
        <v>3</v>
      </c>
    </row>
    <row r="101" spans="2:103" s="23" customFormat="1" ht="17.25">
      <c r="B101" s="22"/>
      <c r="C101" s="44">
        <v>570</v>
      </c>
      <c r="D101" s="108" t="s">
        <v>298</v>
      </c>
      <c r="E101" s="48">
        <v>2</v>
      </c>
      <c r="F101" s="63">
        <v>13</v>
      </c>
      <c r="G101" s="63">
        <v>1</v>
      </c>
      <c r="H101" s="48">
        <f>SUM(E101:F101)-(45*0)</f>
        <v>15</v>
      </c>
      <c r="I101" s="48">
        <v>12</v>
      </c>
      <c r="J101" s="49">
        <f>SUM(E101:I101)-(45*0)</f>
        <v>43</v>
      </c>
      <c r="K101" s="49">
        <f>SUM(E101:J101)-(45*1)</f>
        <v>41</v>
      </c>
      <c r="L101" s="49">
        <f>SUM(E101:K101)-(45*2)</f>
        <v>37</v>
      </c>
      <c r="M101" s="49">
        <f>SUM(E101:L101)-(45*3)</f>
        <v>29</v>
      </c>
      <c r="N101" s="49">
        <f>SUM(E101:M101)-(45*4)</f>
        <v>13</v>
      </c>
      <c r="O101" s="49">
        <f>SUM(E101:N101)-(45*4)</f>
        <v>26</v>
      </c>
      <c r="P101" s="49">
        <f>SUM(E101:O101)-(45*5)</f>
        <v>7</v>
      </c>
      <c r="Q101" s="49">
        <f>SUM(E101:P101)-(45*5)</f>
        <v>14</v>
      </c>
      <c r="R101" s="49">
        <f>SUM(E101:Q101)-(45*5)</f>
        <v>28</v>
      </c>
      <c r="S101" s="49">
        <f>SUM(E101:R101)-(45*6)</f>
        <v>11</v>
      </c>
      <c r="T101" s="49">
        <f>SUM(E101:S101)-(45*6)</f>
        <v>22</v>
      </c>
      <c r="U101" s="49">
        <f>SUM(E101:T101)-(45*6)</f>
        <v>44</v>
      </c>
      <c r="V101" s="49">
        <f>SUM(F101:U101)-(45*7)</f>
        <v>41</v>
      </c>
      <c r="W101" s="49">
        <f>SUM(G101:V101)-(45*8)</f>
        <v>24</v>
      </c>
      <c r="X101" s="49">
        <f>SUM(H101:W101)-(45*9)</f>
        <v>2</v>
      </c>
      <c r="Y101" s="49">
        <f>SUM(I101:X101)-(45*8)</f>
        <v>34</v>
      </c>
      <c r="Z101" s="49">
        <f>SUM(J101:Y101)-(45*9)</f>
        <v>11</v>
      </c>
      <c r="AA101" s="49">
        <f>SUM(K101:Z101)-(45*8)</f>
        <v>24</v>
      </c>
      <c r="AB101" s="49">
        <f>SUM(L101:AA101)-(45*8)</f>
        <v>7</v>
      </c>
      <c r="AC101" s="49">
        <f t="shared" ref="AC101:AH101" si="101">SUM(M101:AB101)-(45*7)</f>
        <v>22</v>
      </c>
      <c r="AD101" s="49">
        <f t="shared" si="101"/>
        <v>15</v>
      </c>
      <c r="AE101" s="49">
        <f t="shared" si="101"/>
        <v>17</v>
      </c>
      <c r="AF101" s="49">
        <f t="shared" si="101"/>
        <v>8</v>
      </c>
      <c r="AG101" s="49">
        <f t="shared" si="101"/>
        <v>9</v>
      </c>
      <c r="AH101" s="49">
        <f t="shared" si="101"/>
        <v>4</v>
      </c>
      <c r="AI101" s="49">
        <f>SUM(S101:AH101)-(45*6)</f>
        <v>25</v>
      </c>
      <c r="AJ101" s="49">
        <f>SUM(T101:AI101)-(45*6)</f>
        <v>39</v>
      </c>
      <c r="AK101" s="49">
        <f>SUM(U101:AJ101)-(45*7)</f>
        <v>11</v>
      </c>
      <c r="AL101" s="49">
        <f>SUM(V101:AK101)-(45*6)</f>
        <v>23</v>
      </c>
      <c r="AM101" s="49">
        <f>SUM(W101:AL101)-(45*6)</f>
        <v>5</v>
      </c>
      <c r="AN101" s="49">
        <f>SUM(X101:AM101)-(45*5)</f>
        <v>31</v>
      </c>
      <c r="AO101" s="49">
        <f>SUM(Y101:AN101)-(45*6)</f>
        <v>15</v>
      </c>
      <c r="AP101" s="49">
        <f>SUM(Z101:AO101)-(45*5)</f>
        <v>41</v>
      </c>
      <c r="AQ101" s="49">
        <f>SUM(AA101:AP101)-(45*6)</f>
        <v>26</v>
      </c>
      <c r="AR101" s="49">
        <f>SUM(AB101:AQ101)-(45*6)</f>
        <v>28</v>
      </c>
      <c r="AS101" s="49">
        <f>SUM(AC101:AR101)-(45*7)</f>
        <v>4</v>
      </c>
      <c r="AT101" s="49">
        <f>SUM(AD101:AS101)-(45*6)</f>
        <v>31</v>
      </c>
      <c r="AU101" s="49">
        <f>SUM(AE101:AT101)-(45*7)</f>
        <v>2</v>
      </c>
      <c r="AV101" s="49">
        <f>SUM(AF101:AU101)-(45*6)</f>
        <v>32</v>
      </c>
      <c r="AW101" s="49">
        <f>SUM(AG101:AV101)-(45*7)</f>
        <v>11</v>
      </c>
      <c r="AX101" s="49">
        <f>SUM(AH101:AW101)-(45*7)</f>
        <v>13</v>
      </c>
      <c r="AY101" s="49">
        <f>SUM(AI101:AX101)-(45*7)</f>
        <v>22</v>
      </c>
      <c r="AZ101" s="49">
        <f>SUM(AJ101:AY101)-(45*7)</f>
        <v>19</v>
      </c>
      <c r="BA101" s="49">
        <f>SUM(AK101:AZ101)-(45*6)</f>
        <v>44</v>
      </c>
      <c r="BB101" s="49">
        <f>SUM(AL101:BA101)-(45*7)</f>
        <v>32</v>
      </c>
      <c r="BC101" s="49">
        <f>SUM(AM101:BB101)-(45*7)</f>
        <v>41</v>
      </c>
      <c r="BD101" s="49">
        <f>SUM(AN101:BC101)-(45*8)</f>
        <v>32</v>
      </c>
      <c r="BE101" s="49">
        <f>SUM(AO101:BD101)-(45*8)</f>
        <v>33</v>
      </c>
      <c r="BF101" s="49">
        <f>SUM(AP101:BE101)-(45*9)</f>
        <v>6</v>
      </c>
      <c r="BG101" s="49">
        <f>SUM(AQ101:BF101)-(45*8)</f>
        <v>16</v>
      </c>
      <c r="BH101" s="49">
        <f>SUM(AR101:BG101)-(45*8)</f>
        <v>6</v>
      </c>
      <c r="BI101" s="49">
        <f>SUM(AS101:BH101)-(45*7)</f>
        <v>29</v>
      </c>
      <c r="BJ101" s="49">
        <f>SUM(AT101:BI101)-(45*8)</f>
        <v>9</v>
      </c>
      <c r="BK101" s="49">
        <f>SUM(AU101:BJ101)-(45*7)</f>
        <v>32</v>
      </c>
      <c r="BL101" s="49">
        <f>SUM(AV101:BK101)-(45*8)</f>
        <v>17</v>
      </c>
      <c r="BM101" s="49">
        <f>SUM(AW101:BL101)-(45*8)</f>
        <v>2</v>
      </c>
      <c r="BN101" s="49">
        <f>SUM(AX101:BM101)-(45*7)</f>
        <v>38</v>
      </c>
      <c r="BO101" s="49">
        <f>SUM(AY101:BN101)-(45*8)</f>
        <v>18</v>
      </c>
      <c r="BP101" s="49">
        <f>SUM(AZ101:BO101)-(45*8)</f>
        <v>14</v>
      </c>
      <c r="BQ101" s="49">
        <f>SUM(BA101:BP101)-(45*8)</f>
        <v>9</v>
      </c>
      <c r="BR101" s="49">
        <f>SUM(BB101:BQ101)-(45*7)</f>
        <v>19</v>
      </c>
      <c r="BS101" s="49">
        <f>SUM(BC101:BR101)-(45*7)</f>
        <v>6</v>
      </c>
      <c r="BT101" s="49">
        <f>SUM(BD101:BS101)-(45*6)</f>
        <v>16</v>
      </c>
      <c r="BU101" s="49">
        <f>SUM(BE101:BT101)-(45*5)</f>
        <v>45</v>
      </c>
      <c r="BV101" s="49">
        <f>SUM(BF101:BU101)-(45*6)</f>
        <v>12</v>
      </c>
      <c r="BX101" s="190" t="s">
        <v>334</v>
      </c>
      <c r="BY101" s="23">
        <v>3</v>
      </c>
      <c r="BZ101" s="23">
        <v>1</v>
      </c>
      <c r="CE101" s="48">
        <v>570</v>
      </c>
      <c r="CF101" s="17">
        <v>1</v>
      </c>
      <c r="CG101" s="17">
        <v>12</v>
      </c>
      <c r="CH101" s="17">
        <v>26</v>
      </c>
      <c r="CI101" s="17">
        <v>27</v>
      </c>
      <c r="CJ101" s="17">
        <v>29</v>
      </c>
      <c r="CK101" s="17">
        <v>33</v>
      </c>
      <c r="CL101" s="17">
        <v>42</v>
      </c>
      <c r="CM101" s="58">
        <f>SUM(CF101:CK101)-(45*2)</f>
        <v>38</v>
      </c>
      <c r="CN101" s="55">
        <f>SUM(CF101:CL101)-(45*3)</f>
        <v>35</v>
      </c>
      <c r="CO101" s="17"/>
      <c r="CP101" s="48">
        <f t="shared" si="100"/>
        <v>11</v>
      </c>
      <c r="CQ101" s="48">
        <f t="shared" si="100"/>
        <v>14</v>
      </c>
      <c r="CR101" s="48">
        <f t="shared" si="100"/>
        <v>1</v>
      </c>
      <c r="CS101" s="48">
        <f t="shared" si="100"/>
        <v>2</v>
      </c>
      <c r="CT101" s="48">
        <f t="shared" si="100"/>
        <v>4</v>
      </c>
      <c r="CU101" s="48">
        <f t="shared" si="100"/>
        <v>9</v>
      </c>
      <c r="CV101" s="48">
        <v>9</v>
      </c>
      <c r="CW101" s="48">
        <v>38</v>
      </c>
      <c r="CY101" s="23">
        <v>3</v>
      </c>
    </row>
    <row r="102" spans="2:103" ht="17.25">
      <c r="B102" s="152"/>
      <c r="C102" s="44">
        <v>571</v>
      </c>
      <c r="D102" s="108" t="s">
        <v>324</v>
      </c>
      <c r="E102" s="48">
        <v>9</v>
      </c>
      <c r="F102" s="63">
        <v>20</v>
      </c>
      <c r="G102" s="63">
        <v>2</v>
      </c>
      <c r="H102" s="48">
        <f>SUM(E102:F102)-(45*0)</f>
        <v>29</v>
      </c>
      <c r="I102" s="48">
        <v>13</v>
      </c>
      <c r="J102" s="49">
        <f>SUM(E102:I102)-(45*1)</f>
        <v>28</v>
      </c>
      <c r="K102" s="49">
        <f>SUM(E102:J102)-(45*2)</f>
        <v>11</v>
      </c>
      <c r="L102" s="49">
        <f>SUM(E102:K102)-(45*2)</f>
        <v>22</v>
      </c>
      <c r="M102" s="49">
        <f>SUM(E102:L102)-(45*2)</f>
        <v>44</v>
      </c>
      <c r="N102" s="49">
        <f>SUM(E102:M102)-(45*3)</f>
        <v>43</v>
      </c>
      <c r="O102" s="49">
        <f>SUM(E102:N102)-(45*4)</f>
        <v>41</v>
      </c>
      <c r="P102" s="49">
        <f>SUM(E102:O102)-(45*5)</f>
        <v>37</v>
      </c>
      <c r="Q102" s="49">
        <f>SUM(E102:P102)-(45*6)</f>
        <v>29</v>
      </c>
      <c r="R102" s="49">
        <f>SUM(E102:Q102)-(45*7)</f>
        <v>13</v>
      </c>
      <c r="S102" s="49">
        <f>SUM(E102:R102)-(45*7)</f>
        <v>26</v>
      </c>
      <c r="T102" s="49">
        <f>SUM(E102:S102)-(45*8)</f>
        <v>7</v>
      </c>
      <c r="U102" s="49">
        <f>SUM(E102:T102)-(45*8)</f>
        <v>14</v>
      </c>
      <c r="V102" s="49">
        <f>SUM(F102:U102)-(45*8)</f>
        <v>19</v>
      </c>
      <c r="W102" s="49">
        <f>SUM(G102:V102)-(45*8)</f>
        <v>18</v>
      </c>
      <c r="X102" s="49">
        <f>SUM(H102:W102)-(45*8)</f>
        <v>34</v>
      </c>
      <c r="Y102" s="49">
        <f>SUM(I102:X102)-(45*8)</f>
        <v>39</v>
      </c>
      <c r="Z102" s="49">
        <f>SUM(J102:Y102)-(45*9)</f>
        <v>20</v>
      </c>
      <c r="AA102" s="49">
        <f>SUM(K102:Z102)-(45*9)</f>
        <v>12</v>
      </c>
      <c r="AB102" s="49">
        <f>SUM(L102:AA102)-(45*9)</f>
        <v>13</v>
      </c>
      <c r="AC102" s="49">
        <f>SUM(M102:AB102)-(45*9)</f>
        <v>4</v>
      </c>
      <c r="AD102" s="49">
        <f>SUM(N102:AC102)-(45*8)</f>
        <v>9</v>
      </c>
      <c r="AE102" s="49">
        <f t="shared" ref="AE102" si="102">SUM(O102:AD102)-(45*7)</f>
        <v>20</v>
      </c>
      <c r="AF102" s="49">
        <f>SUM(P102:AE102)-(45*6)</f>
        <v>44</v>
      </c>
      <c r="AG102" s="49">
        <f t="shared" ref="AG102" si="103">SUM(Q102:AF102)-(45*7)</f>
        <v>6</v>
      </c>
      <c r="AH102" s="49">
        <f>SUM(R102:AG102)-(45*6)</f>
        <v>28</v>
      </c>
      <c r="AI102" s="49">
        <f>SUM(S102:AH102)-(45*6)</f>
        <v>43</v>
      </c>
      <c r="AJ102" s="49">
        <f>SUM(T102:AI102)-(45*7)</f>
        <v>15</v>
      </c>
      <c r="AK102" s="49">
        <f>SUM(U102:AJ102)-(45*7)</f>
        <v>23</v>
      </c>
      <c r="AL102" s="49">
        <f>SUM(V102:AK102)-(45*7)</f>
        <v>32</v>
      </c>
      <c r="AM102" s="49">
        <f>SUM(W102:AL102)-(45*7)</f>
        <v>45</v>
      </c>
      <c r="AN102" s="49">
        <f>SUM(X102:AM102)-(45*8)</f>
        <v>27</v>
      </c>
      <c r="AO102" s="49">
        <f>SUM(Y102:AN102)-(45*8)</f>
        <v>20</v>
      </c>
      <c r="AP102" s="49">
        <f>SUM(Z102:AO102)-(45*8)</f>
        <v>1</v>
      </c>
      <c r="AQ102" s="49">
        <f>SUM(AA102:AP102)-(45*7)</f>
        <v>27</v>
      </c>
      <c r="AR102" s="49">
        <f>SUM(AB102:AQ102)-(45*7)</f>
        <v>42</v>
      </c>
      <c r="AS102" s="49">
        <f>SUM(AC102:AR102)-(45*8)</f>
        <v>26</v>
      </c>
      <c r="AT102" s="49">
        <f>SUM(AD102:AS102)-(45*9)</f>
        <v>3</v>
      </c>
      <c r="AU102" s="49">
        <f>SUM(AE102:AT102)-(45*8)</f>
        <v>42</v>
      </c>
      <c r="AV102" s="49">
        <f>SUM(AF102:AU102)-(45*9)</f>
        <v>19</v>
      </c>
      <c r="AW102" s="49">
        <f>SUM(AG102:AV102)-(45*8)</f>
        <v>39</v>
      </c>
      <c r="AX102" s="49">
        <f>SUM(AH102:AW102)-(45*9)</f>
        <v>27</v>
      </c>
      <c r="AY102" s="49">
        <f>SUM(AI102:AX102)-(45*9)</f>
        <v>26</v>
      </c>
      <c r="AZ102" s="49">
        <f>SUM(AJ102:AY102)-(45*9)</f>
        <v>9</v>
      </c>
      <c r="BA102" s="49">
        <f>SUM(AK102:AZ102)-(45*9)</f>
        <v>3</v>
      </c>
      <c r="BB102" s="49">
        <f>SUM(AL102:BA102)-(45*8)</f>
        <v>28</v>
      </c>
      <c r="BC102" s="49">
        <f>SUM(AM102:BB102)-(45*8)</f>
        <v>24</v>
      </c>
      <c r="BD102" s="49">
        <f>SUM(AN102:BC102)-(45*8)</f>
        <v>3</v>
      </c>
      <c r="BE102" s="49">
        <f>SUM(AO102:BD102)-(45*7)</f>
        <v>24</v>
      </c>
      <c r="BF102" s="49">
        <f>SUM(AP102:BE102)-(45*7)</f>
        <v>28</v>
      </c>
      <c r="BG102" s="49">
        <f>SUM(AQ102:BF102)-(45*8)</f>
        <v>10</v>
      </c>
      <c r="BH102" s="49">
        <f>SUM(AR102:BG102)-(45*7)</f>
        <v>38</v>
      </c>
      <c r="BI102" s="49">
        <f>SUM(AS102:BH102)-(45*7)</f>
        <v>34</v>
      </c>
      <c r="BJ102" s="49">
        <f>SUM(AT102:BI102)-(45*7)</f>
        <v>42</v>
      </c>
      <c r="BK102" s="49">
        <f>SUM(AU102:BJ102)-(45*8)</f>
        <v>36</v>
      </c>
      <c r="BL102" s="49">
        <f>SUM(AV102:BK102)-(45*8)</f>
        <v>30</v>
      </c>
      <c r="BM102" s="49">
        <f>SUM(AW102:BL102)-(45*8)</f>
        <v>41</v>
      </c>
      <c r="BN102" s="49">
        <f>SUM(AX102:BM102)-(45*8)</f>
        <v>43</v>
      </c>
      <c r="BO102" s="49">
        <f>SUM(AY102:BN102)-(45*9)</f>
        <v>14</v>
      </c>
      <c r="BP102" s="49">
        <f>SUM(AZ102:BO102)-(45*9)</f>
        <v>2</v>
      </c>
      <c r="BQ102" s="49">
        <f>SUM(BA102:BP102)-(45*8)</f>
        <v>40</v>
      </c>
      <c r="BR102" s="49">
        <f>SUM(BB102:BQ102)-(45*9)</f>
        <v>32</v>
      </c>
      <c r="BS102" s="49">
        <f>SUM(BC102:BR102)-(45*9)</f>
        <v>36</v>
      </c>
      <c r="BT102" s="49">
        <f>SUM(BD102:BS102)-(45*10)</f>
        <v>3</v>
      </c>
      <c r="BU102" s="49">
        <f>SUM(BE102:BT102)-(45*10)</f>
        <v>3</v>
      </c>
      <c r="BV102" s="49">
        <f>SUM(BF102:BU102)-(45*9)</f>
        <v>27</v>
      </c>
      <c r="BX102" s="190" t="s">
        <v>333</v>
      </c>
      <c r="BY102" s="128">
        <v>5</v>
      </c>
      <c r="BZ102" s="128">
        <v>0</v>
      </c>
      <c r="CE102" s="48">
        <v>571</v>
      </c>
      <c r="CF102" s="17">
        <v>11</v>
      </c>
      <c r="CG102" s="17">
        <v>18</v>
      </c>
      <c r="CH102" s="17">
        <v>21</v>
      </c>
      <c r="CI102" s="17">
        <v>26</v>
      </c>
      <c r="CJ102" s="17">
        <v>38</v>
      </c>
      <c r="CK102" s="17">
        <v>43</v>
      </c>
      <c r="CL102" s="17">
        <v>29</v>
      </c>
      <c r="CM102" s="58">
        <f>SUM(CF102:CK102)-(45*3)</f>
        <v>22</v>
      </c>
      <c r="CN102" s="55">
        <f>SUM(CF102:CL102)-(45*4)</f>
        <v>6</v>
      </c>
      <c r="CO102" s="38"/>
      <c r="CP102" s="48">
        <f t="shared" si="100"/>
        <v>7</v>
      </c>
      <c r="CQ102" s="48">
        <f t="shared" si="100"/>
        <v>3</v>
      </c>
      <c r="CR102" s="48">
        <f t="shared" si="100"/>
        <v>5</v>
      </c>
      <c r="CS102" s="48">
        <f t="shared" si="100"/>
        <v>12</v>
      </c>
      <c r="CT102" s="48">
        <f t="shared" si="100"/>
        <v>5</v>
      </c>
      <c r="CU102" s="48">
        <f t="shared" si="100"/>
        <v>14</v>
      </c>
      <c r="CV102" s="48">
        <v>7</v>
      </c>
      <c r="CW102" s="48">
        <v>33</v>
      </c>
      <c r="CY102" s="23">
        <v>1</v>
      </c>
    </row>
    <row r="103" spans="2:103" ht="17.25">
      <c r="B103" s="152"/>
      <c r="C103" s="44">
        <v>572</v>
      </c>
      <c r="D103" s="108" t="s">
        <v>327</v>
      </c>
      <c r="E103" s="48">
        <v>16</v>
      </c>
      <c r="F103" s="63">
        <v>27</v>
      </c>
      <c r="G103" s="63">
        <v>3</v>
      </c>
      <c r="H103" s="48">
        <f>SUM(E103:F103)-(45*0)</f>
        <v>43</v>
      </c>
      <c r="I103" s="48">
        <v>14</v>
      </c>
      <c r="J103" s="49">
        <f>SUM(E103:I103)-(45*2)</f>
        <v>13</v>
      </c>
      <c r="K103" s="49">
        <f>SUM(E103:J103)-(45*2)</f>
        <v>26</v>
      </c>
      <c r="L103" s="49">
        <f>SUM(E103:K103)-(45*3)</f>
        <v>7</v>
      </c>
      <c r="M103" s="49">
        <f>SUM(E103:L103)-(45*3)</f>
        <v>14</v>
      </c>
      <c r="N103" s="49">
        <f>SUM(E103:M103)-(45*3)</f>
        <v>28</v>
      </c>
      <c r="O103" s="49">
        <f>SUM(E103:N103)-(45*4)</f>
        <v>11</v>
      </c>
      <c r="P103" s="49">
        <f>SUM(E103:O103)-(45*4)</f>
        <v>22</v>
      </c>
      <c r="Q103" s="49">
        <f>SUM(E103:P103)-(45*4)</f>
        <v>44</v>
      </c>
      <c r="R103" s="49">
        <f>SUM(E103:Q103)-(45*5)</f>
        <v>43</v>
      </c>
      <c r="S103" s="49">
        <f>SUM(E103:R103)-(45*6)</f>
        <v>41</v>
      </c>
      <c r="T103" s="49">
        <f>SUM(E103:S103)-(45*7)</f>
        <v>37</v>
      </c>
      <c r="U103" s="49">
        <f>SUM(E103:T103)-(45*8)</f>
        <v>29</v>
      </c>
      <c r="V103" s="49">
        <f>SUM(F103:U103)-(45*8)</f>
        <v>42</v>
      </c>
      <c r="W103" s="49">
        <f>SUM(G103:V103)-(45*9)</f>
        <v>12</v>
      </c>
      <c r="X103" s="49">
        <f>SUM(H103:W103)-(45*9)</f>
        <v>21</v>
      </c>
      <c r="Y103" s="49">
        <f>SUM(I103:X103)-(45*8)</f>
        <v>44</v>
      </c>
      <c r="Z103" s="49">
        <f>SUM(J103:Y103)-(45*9)</f>
        <v>29</v>
      </c>
      <c r="AA103" s="49">
        <f>SUM(K103:Z103)-(45*9)</f>
        <v>45</v>
      </c>
      <c r="AB103" s="49">
        <f>SUM(L103:AA103)-(45*10)</f>
        <v>19</v>
      </c>
      <c r="AC103" s="49">
        <f>SUM(M103:AB103)-(45*10)</f>
        <v>31</v>
      </c>
      <c r="AD103" s="49">
        <f>SUM(N103:AC103)-(45*11)</f>
        <v>3</v>
      </c>
      <c r="AE103" s="49">
        <f>SUM(O103:AD103)-(45*10)</f>
        <v>23</v>
      </c>
      <c r="AF103" s="49">
        <f>SUM(P103:AE103)-(45*10)</f>
        <v>35</v>
      </c>
      <c r="AG103" s="49">
        <f>SUM(Q103:AF103)-(45*11)</f>
        <v>3</v>
      </c>
      <c r="AH103" s="49">
        <f>SUM(R103:AG103)-(45*10)</f>
        <v>7</v>
      </c>
      <c r="AI103" s="49">
        <f>SUM(S103:AH103)-(45*9)</f>
        <v>16</v>
      </c>
      <c r="AJ103" s="49">
        <f>SUM(T103:AI103)-(45*8)</f>
        <v>36</v>
      </c>
      <c r="AK103" s="49">
        <f>SUM(U103:AJ103)-(45*8)</f>
        <v>35</v>
      </c>
      <c r="AL103" s="49">
        <f>SUM(V103:AK103)-(45*8)</f>
        <v>41</v>
      </c>
      <c r="AM103" s="49">
        <f>SUM(W103:AL103)-(45*8)</f>
        <v>40</v>
      </c>
      <c r="AN103" s="49">
        <f>SUM(X103:AM103)-(45*9)</f>
        <v>23</v>
      </c>
      <c r="AO103" s="49">
        <f>SUM(Y103:AN103)-(45*9)</f>
        <v>25</v>
      </c>
      <c r="AP103" s="49">
        <f>SUM(Z103:AO103)-(45*9)</f>
        <v>6</v>
      </c>
      <c r="AQ103" s="49">
        <f t="shared" ref="AQ103:AR105" si="104">SUM(AA103:AP103)-(45*8)</f>
        <v>28</v>
      </c>
      <c r="AR103" s="49">
        <f t="shared" si="104"/>
        <v>11</v>
      </c>
      <c r="AS103" s="49">
        <f>SUM(AC103:AR103)-(45*8)</f>
        <v>3</v>
      </c>
      <c r="AT103" s="49">
        <f>SUM(AD103:AS103)-(45*7)</f>
        <v>20</v>
      </c>
      <c r="AU103" s="49">
        <f>SUM(AE103:AT103)-(45*7)</f>
        <v>37</v>
      </c>
      <c r="AV103" s="49">
        <f>SUM(AF103:AU103)-(45*8)</f>
        <v>6</v>
      </c>
      <c r="AW103" s="49">
        <f>SUM(AG103:AV103)-(45*7)</f>
        <v>22</v>
      </c>
      <c r="AX103" s="49">
        <f>SUM(AH103:AW103)-(45*7)</f>
        <v>41</v>
      </c>
      <c r="AY103" s="49">
        <f>SUM(AI103:AX103)-(45*8)</f>
        <v>30</v>
      </c>
      <c r="AZ103" s="49">
        <f>SUM(AJ103:AY103)-(45*8)</f>
        <v>44</v>
      </c>
      <c r="BA103" s="49">
        <f>SUM(AK103:AZ103)-(45*9)</f>
        <v>7</v>
      </c>
      <c r="BB103" s="49">
        <f t="shared" ref="BB103:BC105" si="105">SUM(AL103:BA103)-(45*8)</f>
        <v>24</v>
      </c>
      <c r="BC103" s="49">
        <f t="shared" si="105"/>
        <v>7</v>
      </c>
      <c r="BD103" s="49">
        <f>SUM(AN103:BC103)-(45*7)</f>
        <v>19</v>
      </c>
      <c r="BE103" s="49">
        <f>SUM(AO103:BD103)-(45*7)</f>
        <v>15</v>
      </c>
      <c r="BF103" s="49">
        <f>SUM(AP103:BE103)-(45*7)</f>
        <v>5</v>
      </c>
      <c r="BG103" s="49">
        <f>SUM(AQ103:BF103)-(45*7)</f>
        <v>4</v>
      </c>
      <c r="BH103" s="49">
        <f>SUM(AR103:BG103)-(45*6)</f>
        <v>25</v>
      </c>
      <c r="BI103" s="49">
        <f>SUM(AS103:BH103)-(45*6)</f>
        <v>39</v>
      </c>
      <c r="BJ103" s="49">
        <f>SUM(AT103:BI103)-(45*7)</f>
        <v>30</v>
      </c>
      <c r="BK103" s="49">
        <f>SUM(AU103:BJ103)-(45*7)</f>
        <v>40</v>
      </c>
      <c r="BL103" s="49">
        <f>SUM(AV103:BK103)-(45*7)</f>
        <v>43</v>
      </c>
      <c r="BM103" s="49">
        <f>SUM(AW103:BL103)-(45*8)</f>
        <v>35</v>
      </c>
      <c r="BN103" s="49">
        <f>SUM(AX103:BM103)-(45*9)</f>
        <v>3</v>
      </c>
      <c r="BO103" s="49">
        <f>SUM(AY103:BN103)-(45*8)</f>
        <v>10</v>
      </c>
      <c r="BP103" s="49">
        <f>SUM(AZ103:BO103)-(45*7)</f>
        <v>35</v>
      </c>
      <c r="BQ103" s="49">
        <f>SUM(BA103:BP103)-(45*7)</f>
        <v>26</v>
      </c>
      <c r="BR103" s="49">
        <f>SUM(BB103:BQ103)-(45*7)</f>
        <v>45</v>
      </c>
      <c r="BS103" s="49">
        <f>SUM(BC103:BR103)-(45*8)</f>
        <v>21</v>
      </c>
      <c r="BT103" s="49">
        <f>SUM(BD103:BS103)-(45*8)</f>
        <v>35</v>
      </c>
      <c r="BU103" s="49">
        <f>SUM(BE103:BT103)-(45*9)</f>
        <v>6</v>
      </c>
      <c r="BV103" s="49">
        <f>SUM(BF103:BU103)-(45*8)</f>
        <v>42</v>
      </c>
      <c r="BX103" s="39">
        <v>4</v>
      </c>
      <c r="BY103" s="128">
        <v>3</v>
      </c>
      <c r="BZ103" s="128">
        <v>1</v>
      </c>
      <c r="CE103" s="48">
        <v>572</v>
      </c>
      <c r="CF103" s="17">
        <v>3</v>
      </c>
      <c r="CG103" s="17">
        <v>13</v>
      </c>
      <c r="CH103" s="17">
        <v>18</v>
      </c>
      <c r="CI103" s="17">
        <v>33</v>
      </c>
      <c r="CJ103" s="17">
        <v>37</v>
      </c>
      <c r="CK103" s="17">
        <v>45</v>
      </c>
      <c r="CL103" s="17">
        <v>1</v>
      </c>
      <c r="CM103" s="58">
        <f>SUM(CF103:CK103)-(45*3)</f>
        <v>14</v>
      </c>
      <c r="CN103" s="55">
        <f>SUM(CF103:CL103)-(45*3)</f>
        <v>15</v>
      </c>
      <c r="CO103" s="38"/>
      <c r="CP103" s="48">
        <f t="shared" ref="CP103" si="106">ABS(CF103-CG103)</f>
        <v>10</v>
      </c>
      <c r="CQ103" s="48">
        <f t="shared" ref="CQ103" si="107">ABS(CG103-CH103)</f>
        <v>5</v>
      </c>
      <c r="CR103" s="48">
        <f t="shared" ref="CR103" si="108">ABS(CH103-CI103)</f>
        <v>15</v>
      </c>
      <c r="CS103" s="48">
        <f t="shared" ref="CS103" si="109">ABS(CI103-CJ103)</f>
        <v>4</v>
      </c>
      <c r="CT103" s="48">
        <f t="shared" ref="CT103" si="110">ABS(CJ103-CK103)</f>
        <v>8</v>
      </c>
      <c r="CU103" s="48">
        <f t="shared" ref="CU103" si="111">ABS(CK103-CL103)</f>
        <v>44</v>
      </c>
      <c r="CV103" s="48">
        <v>8</v>
      </c>
      <c r="CW103" s="48">
        <f>53-45</f>
        <v>8</v>
      </c>
      <c r="CY103" s="23">
        <v>1</v>
      </c>
    </row>
    <row r="104" spans="2:103" ht="17.25">
      <c r="B104" s="152"/>
      <c r="C104" s="44">
        <v>573</v>
      </c>
      <c r="D104" s="108" t="s">
        <v>328</v>
      </c>
      <c r="E104" s="48">
        <v>23</v>
      </c>
      <c r="F104" s="63">
        <v>34</v>
      </c>
      <c r="G104" s="63">
        <v>4</v>
      </c>
      <c r="H104" s="48">
        <f>SUM(E104:F104)-(45*1)</f>
        <v>12</v>
      </c>
      <c r="I104" s="48">
        <v>15</v>
      </c>
      <c r="J104" s="49">
        <f>SUM(E104:I104)-(45*1)</f>
        <v>43</v>
      </c>
      <c r="K104" s="49">
        <f>SUM(E104:J104)-(45*2)</f>
        <v>41</v>
      </c>
      <c r="L104" s="49">
        <f>SUM(E104:K104)-(45*3)</f>
        <v>37</v>
      </c>
      <c r="M104" s="49">
        <f>SUM(E104:L104)-(45*4)</f>
        <v>29</v>
      </c>
      <c r="N104" s="49">
        <f>SUM(E104:M104)-(45*5)</f>
        <v>13</v>
      </c>
      <c r="O104" s="49">
        <f>SUM(E104:N104)-(45*5)</f>
        <v>26</v>
      </c>
      <c r="P104" s="49">
        <f>SUM(E104:O104)-(45*6)</f>
        <v>7</v>
      </c>
      <c r="Q104" s="49">
        <f>SUM(E104:P104)-(45*6)</f>
        <v>14</v>
      </c>
      <c r="R104" s="49">
        <f>SUM(E104:Q104)-(45*6)</f>
        <v>28</v>
      </c>
      <c r="S104" s="49">
        <f>SUM(E104:R104)-(45*7)</f>
        <v>11</v>
      </c>
      <c r="T104" s="49">
        <f>SUM(E104:S104)-(45*7)</f>
        <v>22</v>
      </c>
      <c r="U104" s="49">
        <f>SUM(E104:T104)-(45*7)</f>
        <v>44</v>
      </c>
      <c r="V104" s="49">
        <f>SUM(F104:U104)-(45*8)</f>
        <v>20</v>
      </c>
      <c r="W104" s="49">
        <f>SUM(G104:V104)-(45*8)</f>
        <v>6</v>
      </c>
      <c r="X104" s="49">
        <f>SUM(H104:W104)-(45*8)</f>
        <v>8</v>
      </c>
      <c r="Y104" s="49">
        <f>SUM(I104:X104)-(45*8)</f>
        <v>4</v>
      </c>
      <c r="Z104" s="49">
        <f>SUM(J104:Y104)-(45*7)</f>
        <v>38</v>
      </c>
      <c r="AA104" s="49">
        <f>SUM(K104:Z104)-(45*7)</f>
        <v>33</v>
      </c>
      <c r="AB104" s="49">
        <f>SUM(L104:AA104)-(45*7)</f>
        <v>25</v>
      </c>
      <c r="AC104" s="49">
        <f>SUM(M104:AB104)-(45*7)</f>
        <v>13</v>
      </c>
      <c r="AD104" s="49">
        <f>SUM(N104:AC104)-(45*6)</f>
        <v>42</v>
      </c>
      <c r="AE104" s="49">
        <f>SUM(O104:AD104)-(45*7)</f>
        <v>26</v>
      </c>
      <c r="AF104" s="49">
        <f>SUM(P104:AE104)-(45*7)</f>
        <v>26</v>
      </c>
      <c r="AG104" s="49">
        <f>SUM(Q104:AF104)-(45*7)</f>
        <v>45</v>
      </c>
      <c r="AH104" s="49">
        <f>SUM(R104:AG104)-(45*8)</f>
        <v>31</v>
      </c>
      <c r="AI104" s="49">
        <f>SUM(S104:AH104)-(45*8)</f>
        <v>34</v>
      </c>
      <c r="AJ104" s="49">
        <f>SUM(T104:AI104)-(45*9)</f>
        <v>12</v>
      </c>
      <c r="AK104" s="49">
        <f>SUM(U104:AJ104)-(45*9)</f>
        <v>2</v>
      </c>
      <c r="AL104" s="49">
        <f>SUM(V104:AK104)-(45*8)</f>
        <v>5</v>
      </c>
      <c r="AM104" s="49">
        <f>SUM(W104:AL104)-(45*7)</f>
        <v>35</v>
      </c>
      <c r="AN104" s="49">
        <f>SUM(X104:AM104)-(45*8)</f>
        <v>19</v>
      </c>
      <c r="AO104" s="49">
        <f>SUM(Y104:AN104)-(45*8)</f>
        <v>30</v>
      </c>
      <c r="AP104" s="49">
        <f>SUM(Z104:AO104)-(45*9)</f>
        <v>11</v>
      </c>
      <c r="AQ104" s="49">
        <f t="shared" si="104"/>
        <v>29</v>
      </c>
      <c r="AR104" s="49">
        <f t="shared" si="104"/>
        <v>25</v>
      </c>
      <c r="AS104" s="49">
        <f>SUM(AC104:AR104)-(45*8)</f>
        <v>25</v>
      </c>
      <c r="AT104" s="49">
        <f>SUM(AD104:AS104)-(45*8)</f>
        <v>37</v>
      </c>
      <c r="AU104" s="49">
        <f>SUM(AE104:AT104)-(45*8)</f>
        <v>32</v>
      </c>
      <c r="AV104" s="49">
        <f>SUM(AF104:AU104)-(45*8)</f>
        <v>38</v>
      </c>
      <c r="AW104" s="49">
        <f>SUM(AG104:AV104)-(45*9)</f>
        <v>5</v>
      </c>
      <c r="AX104" s="49">
        <f>SUM(AH104:AW104)-(45*8)</f>
        <v>10</v>
      </c>
      <c r="AY104" s="49">
        <f>SUM(AI104:AX104)-(45*7)</f>
        <v>34</v>
      </c>
      <c r="AZ104" s="49">
        <f>SUM(AJ104:AY104)-(45*7)</f>
        <v>34</v>
      </c>
      <c r="BA104" s="49">
        <f>SUM(AK104:AZ104)-(45*8)</f>
        <v>11</v>
      </c>
      <c r="BB104" s="49">
        <f t="shared" si="105"/>
        <v>20</v>
      </c>
      <c r="BC104" s="49">
        <f t="shared" si="105"/>
        <v>35</v>
      </c>
      <c r="BD104" s="49">
        <f>SUM(AN104:BC104)-(45*8)</f>
        <v>35</v>
      </c>
      <c r="BE104" s="49">
        <f>SUM(AO104:BD104)-(45*9)</f>
        <v>6</v>
      </c>
      <c r="BF104" s="49">
        <f>SUM(AP104:BE104)-(45*8)</f>
        <v>27</v>
      </c>
      <c r="BG104" s="49">
        <f>SUM(AQ104:BF104)-(45*8)</f>
        <v>43</v>
      </c>
      <c r="BH104" s="49">
        <f>SUM(AR104:BG104)-(45*9)</f>
        <v>12</v>
      </c>
      <c r="BI104" s="49">
        <f>SUM(AS104:BH104)-(45*8)</f>
        <v>44</v>
      </c>
      <c r="BJ104" s="49">
        <f>SUM(AT104:BI104)-(45*9)</f>
        <v>18</v>
      </c>
      <c r="BK104" s="49">
        <f>SUM(AU104:BJ104)-(45*8)</f>
        <v>44</v>
      </c>
      <c r="BL104" s="49">
        <f>SUM(AV104:BK104)-(45*9)</f>
        <v>11</v>
      </c>
      <c r="BM104" s="49">
        <f>SUM(AW104:BL104)-(45*8)</f>
        <v>29</v>
      </c>
      <c r="BN104" s="49">
        <f>SUM(AX104:BM104)-(45*9)</f>
        <v>8</v>
      </c>
      <c r="BO104" s="49">
        <f>SUM(AY104:BN104)-(45*9)</f>
        <v>6</v>
      </c>
      <c r="BP104" s="49">
        <f>SUM(AZ104:BO104)-(45*8)</f>
        <v>23</v>
      </c>
      <c r="BQ104" s="49">
        <f>SUM(BA104:BP104)-(45*8)</f>
        <v>12</v>
      </c>
      <c r="BR104" s="49">
        <f>SUM(BB104:BQ104)-(45*8)</f>
        <v>13</v>
      </c>
      <c r="BS104" s="49">
        <f>SUM(BC104:BR104)-(45*8)</f>
        <v>6</v>
      </c>
      <c r="BT104" s="49">
        <f>SUM(BD104:BS104)-(45*7)</f>
        <v>22</v>
      </c>
      <c r="BU104" s="49">
        <f>SUM(BE104:BT104)-(45*7)</f>
        <v>9</v>
      </c>
      <c r="BV104" s="49">
        <f>SUM(BF104:BU104)-(45*7)</f>
        <v>12</v>
      </c>
      <c r="BX104" s="39">
        <v>6</v>
      </c>
      <c r="BY104" s="23">
        <v>6</v>
      </c>
      <c r="BZ104" s="23">
        <v>0</v>
      </c>
      <c r="CE104" s="60">
        <v>573</v>
      </c>
      <c r="CF104" s="159">
        <v>2</v>
      </c>
      <c r="CG104" s="159">
        <v>4</v>
      </c>
      <c r="CH104" s="159">
        <v>20</v>
      </c>
      <c r="CI104" s="159">
        <v>34</v>
      </c>
      <c r="CJ104" s="159">
        <v>35</v>
      </c>
      <c r="CK104" s="159">
        <v>43</v>
      </c>
      <c r="CL104" s="159">
        <v>14</v>
      </c>
      <c r="CM104" s="58">
        <f>SUM(CF104:CK104)-(45*3)</f>
        <v>3</v>
      </c>
      <c r="CN104" s="55">
        <f>SUM(CF104:CL104)-(45*3)</f>
        <v>17</v>
      </c>
      <c r="CO104" s="38"/>
      <c r="CP104" s="48">
        <f t="shared" ref="CP104" si="112">ABS(CF104-CG104)</f>
        <v>2</v>
      </c>
      <c r="CQ104" s="48">
        <f t="shared" ref="CQ104" si="113">ABS(CG104-CH104)</f>
        <v>16</v>
      </c>
      <c r="CR104" s="48">
        <f t="shared" ref="CR104" si="114">ABS(CH104-CI104)</f>
        <v>14</v>
      </c>
      <c r="CS104" s="48">
        <f t="shared" ref="CS104" si="115">ABS(CI104-CJ104)</f>
        <v>1</v>
      </c>
      <c r="CT104" s="48">
        <f t="shared" ref="CT104" si="116">ABS(CJ104-CK104)</f>
        <v>8</v>
      </c>
      <c r="CU104" s="48">
        <f t="shared" ref="CU104" si="117">ABS(CK104-CL104)</f>
        <v>29</v>
      </c>
      <c r="CV104" s="48">
        <v>8</v>
      </c>
      <c r="CW104" s="48">
        <f>50-45</f>
        <v>5</v>
      </c>
    </row>
    <row r="105" spans="2:103" ht="17.25">
      <c r="B105" s="152"/>
      <c r="C105" s="44">
        <v>574</v>
      </c>
      <c r="D105" s="108" t="s">
        <v>340</v>
      </c>
      <c r="E105" s="48">
        <v>30</v>
      </c>
      <c r="F105" s="63">
        <v>41</v>
      </c>
      <c r="G105" s="63">
        <v>5</v>
      </c>
      <c r="H105" s="48">
        <f>SUM(E105:F105)-(45*1)</f>
        <v>26</v>
      </c>
      <c r="I105" s="48">
        <v>16</v>
      </c>
      <c r="J105" s="49">
        <f>SUM(E105:I105)-(45*2)</f>
        <v>28</v>
      </c>
      <c r="K105" s="49">
        <f>SUM(E105:J105)-(45*3)</f>
        <v>11</v>
      </c>
      <c r="L105" s="49">
        <f>SUM(E105:K105)-(45*3)</f>
        <v>22</v>
      </c>
      <c r="M105" s="49">
        <f>SUM(E105:L105)-(45*3)</f>
        <v>44</v>
      </c>
      <c r="N105" s="49">
        <f>SUM(E105:M105)-(45*4)</f>
        <v>43</v>
      </c>
      <c r="O105" s="49">
        <f>SUM(E105:N105)-(45*5)</f>
        <v>41</v>
      </c>
      <c r="P105" s="49">
        <f>SUM(E105:O105)-(45*6)</f>
        <v>37</v>
      </c>
      <c r="Q105" s="49">
        <f>SUM(E105:P105)-(45*7)</f>
        <v>29</v>
      </c>
      <c r="R105" s="49">
        <f>SUM(E105:Q105)-(45*8)</f>
        <v>13</v>
      </c>
      <c r="S105" s="49">
        <f>SUM(E105:R105)-(45*8)</f>
        <v>26</v>
      </c>
      <c r="T105" s="49">
        <f>SUM(E105:S105)-(45*9)</f>
        <v>7</v>
      </c>
      <c r="U105" s="49">
        <f>SUM(E105:T105)-(45*9)</f>
        <v>14</v>
      </c>
      <c r="V105" s="49">
        <f>SUM(F105:U105)-(45*8)</f>
        <v>43</v>
      </c>
      <c r="W105" s="49">
        <f>SUM(G105:V105)-(45*8)</f>
        <v>45</v>
      </c>
      <c r="X105" s="49">
        <f>SUM(H105:W105)-(45*9)</f>
        <v>40</v>
      </c>
      <c r="Y105" s="49">
        <f>SUM(I105:X105)-(45*10)</f>
        <v>9</v>
      </c>
      <c r="Z105" s="49">
        <f>SUM(J105:Y105)-(45*10)</f>
        <v>2</v>
      </c>
      <c r="AA105" s="49">
        <f t="shared" ref="AA105:AF105" si="118">SUM(K105:Z105)-(45*9)</f>
        <v>21</v>
      </c>
      <c r="AB105" s="49">
        <f t="shared" si="118"/>
        <v>31</v>
      </c>
      <c r="AC105" s="49">
        <f t="shared" si="118"/>
        <v>40</v>
      </c>
      <c r="AD105" s="49">
        <f t="shared" si="118"/>
        <v>36</v>
      </c>
      <c r="AE105" s="49">
        <f t="shared" si="118"/>
        <v>29</v>
      </c>
      <c r="AF105" s="49">
        <f t="shared" si="118"/>
        <v>17</v>
      </c>
      <c r="AG105" s="49">
        <f>SUM(Q105:AF105)-(45*8)</f>
        <v>42</v>
      </c>
      <c r="AH105" s="49">
        <f>SUM(R105:AG105)-(45*9)</f>
        <v>10</v>
      </c>
      <c r="AI105" s="49">
        <f>SUM(S105:AH105)-(45*9)</f>
        <v>7</v>
      </c>
      <c r="AJ105" s="49">
        <f>SUM(T105:AI105)-(45*8)</f>
        <v>33</v>
      </c>
      <c r="AK105" s="49">
        <f>SUM(U105:AJ105)-(45*9)</f>
        <v>14</v>
      </c>
      <c r="AL105" s="49">
        <f>SUM(V105:AK105)-(45*9)</f>
        <v>14</v>
      </c>
      <c r="AM105" s="49">
        <f>SUM(W105:AL105)-(45*8)</f>
        <v>30</v>
      </c>
      <c r="AN105" s="49">
        <f>SUM(X105:AM105)-(45*8)</f>
        <v>15</v>
      </c>
      <c r="AO105" s="49">
        <f>SUM(Y105:AN105)-(45*7)</f>
        <v>35</v>
      </c>
      <c r="AP105" s="49">
        <f>SUM(Z105:AO105)-(45*8)</f>
        <v>16</v>
      </c>
      <c r="AQ105" s="49">
        <f t="shared" si="104"/>
        <v>30</v>
      </c>
      <c r="AR105" s="49">
        <f t="shared" si="104"/>
        <v>39</v>
      </c>
      <c r="AS105" s="49">
        <f>SUM(AC105:AR105)-(45*9)</f>
        <v>2</v>
      </c>
      <c r="AT105" s="49">
        <f>SUM(AD105:AS105)-(45*8)</f>
        <v>9</v>
      </c>
      <c r="AU105" s="49">
        <f>SUM(AE105:AT105)-(45*7)</f>
        <v>27</v>
      </c>
      <c r="AV105" s="49">
        <f>SUM(AF105:AU105)-(45*7)</f>
        <v>25</v>
      </c>
      <c r="AW105" s="49">
        <f>SUM(AG105:AV105)-(45*7)</f>
        <v>33</v>
      </c>
      <c r="AX105" s="49">
        <f>SUM(AH105:AW105)-(45*7)</f>
        <v>24</v>
      </c>
      <c r="AY105" s="49">
        <f>SUM(AI105:AX105)-(45*7)</f>
        <v>38</v>
      </c>
      <c r="AZ105" s="49">
        <f>SUM(AJ105:AY105)-(45*8)</f>
        <v>24</v>
      </c>
      <c r="BA105" s="49">
        <f>SUM(AK105:AZ105)-(45*8)</f>
        <v>15</v>
      </c>
      <c r="BB105" s="49">
        <f t="shared" si="105"/>
        <v>16</v>
      </c>
      <c r="BC105" s="49">
        <f t="shared" si="105"/>
        <v>18</v>
      </c>
      <c r="BD105" s="49">
        <f>SUM(AN105:BC105)-(45*8)</f>
        <v>6</v>
      </c>
      <c r="BE105" s="49">
        <f>SUM(AO105:BD105)-(45*7)</f>
        <v>42</v>
      </c>
      <c r="BF105" s="49">
        <f>SUM(AP105:BE105)-(45*8)</f>
        <v>4</v>
      </c>
      <c r="BG105" s="49">
        <f>SUM(AQ105:BF105)-(45*7)</f>
        <v>37</v>
      </c>
      <c r="BH105" s="49">
        <f>SUM(AR105:BG105)-(45*7)</f>
        <v>44</v>
      </c>
      <c r="BI105" s="49">
        <f>SUM(AS105:BH105)-(45*8)</f>
        <v>4</v>
      </c>
      <c r="BJ105" s="49">
        <f>SUM(AT105:BI105)-(45*8)</f>
        <v>6</v>
      </c>
      <c r="BK105" s="49">
        <f>SUM(AU105:BJ105)-(45*8)</f>
        <v>3</v>
      </c>
      <c r="BL105" s="49">
        <f>SUM(AV105:BK105)-(45*7)</f>
        <v>24</v>
      </c>
      <c r="BM105" s="49">
        <f>SUM(AW105:BL105)-(45*7)</f>
        <v>23</v>
      </c>
      <c r="BN105" s="49">
        <f>SUM(AX105:BM105)-(45*7)</f>
        <v>13</v>
      </c>
      <c r="BO105" s="49">
        <f>SUM(AY105:BN105)-(45*7)</f>
        <v>2</v>
      </c>
      <c r="BP105" s="49">
        <f>SUM(AZ105:BO105)-(45*6)</f>
        <v>11</v>
      </c>
      <c r="BQ105" s="49">
        <f>SUM(BA105:BP105)-(45*5)</f>
        <v>43</v>
      </c>
      <c r="BR105" s="49">
        <f>SUM(BB105:BQ105)-(45*6)</f>
        <v>26</v>
      </c>
      <c r="BS105" s="49">
        <f>SUM(BC105:BR105)-(45*6)</f>
        <v>36</v>
      </c>
      <c r="BT105" s="49">
        <f>SUM(BD105:BS105)-(45*7)</f>
        <v>9</v>
      </c>
      <c r="BU105" s="49">
        <f>SUM(BE105:BT105)-(45*7)</f>
        <v>12</v>
      </c>
      <c r="BV105" s="49">
        <f>SUM(BF105:BU105)-(45*6)</f>
        <v>27</v>
      </c>
    </row>
    <row r="106" spans="2:103" ht="17.25">
      <c r="B106" s="202"/>
      <c r="C106" s="44">
        <v>575</v>
      </c>
      <c r="D106" s="108" t="s">
        <v>343</v>
      </c>
      <c r="E106" s="48">
        <v>37</v>
      </c>
      <c r="F106" s="63">
        <v>48</v>
      </c>
      <c r="G106" s="63">
        <v>6</v>
      </c>
      <c r="H106" s="48">
        <f t="shared" ref="H106:H153" si="119">SUM(E106:F106)-(45*1)</f>
        <v>40</v>
      </c>
      <c r="I106" s="48">
        <v>17</v>
      </c>
      <c r="J106" s="49">
        <f t="shared" ref="J106" si="120">SUM(E106:I106)-(45*1)</f>
        <v>103</v>
      </c>
      <c r="K106" s="49">
        <f t="shared" ref="K106" si="121">SUM(E106:J106)-(45*2)</f>
        <v>161</v>
      </c>
      <c r="L106" s="49">
        <f t="shared" ref="L106:L153" si="122">SUM(E106:K106)-(45*3)</f>
        <v>277</v>
      </c>
      <c r="M106" s="49">
        <f t="shared" ref="M106" si="123">SUM(E106:L106)-(45*4)</f>
        <v>509</v>
      </c>
      <c r="N106" s="49">
        <f t="shared" ref="N106" si="124">SUM(E106:M106)-(45*5)</f>
        <v>973</v>
      </c>
      <c r="O106" s="49">
        <f t="shared" ref="O106:O154" si="125">SUM(E106:N106)-(45*5)</f>
        <v>1946</v>
      </c>
      <c r="P106" s="49">
        <f t="shared" ref="P106:P153" si="126">SUM(E106:O106)-(45*6)</f>
        <v>3847</v>
      </c>
      <c r="Q106" s="49">
        <f t="shared" ref="Q106" si="127">SUM(E106:P106)-(45*6)</f>
        <v>7694</v>
      </c>
      <c r="R106" s="49">
        <f t="shared" ref="R106" si="128">SUM(E106:Q106)-(45*6)</f>
        <v>15388</v>
      </c>
      <c r="S106" s="49">
        <f t="shared" ref="S106" si="129">SUM(E106:R106)-(45*7)</f>
        <v>30731</v>
      </c>
      <c r="T106" s="49">
        <f t="shared" ref="T106" si="130">SUM(E106:S106)-(45*7)</f>
        <v>61462</v>
      </c>
      <c r="U106" s="49">
        <f t="shared" ref="U106" si="131">SUM(E106:T106)-(45*7)</f>
        <v>122924</v>
      </c>
      <c r="V106" s="49">
        <f t="shared" ref="V106:Y106" si="132">SUM(F106:U106)-(45*8)</f>
        <v>245766</v>
      </c>
      <c r="W106" s="49">
        <f t="shared" si="132"/>
        <v>491484</v>
      </c>
      <c r="X106" s="49">
        <f t="shared" si="132"/>
        <v>982962</v>
      </c>
      <c r="Y106" s="49">
        <f t="shared" si="132"/>
        <v>1965884</v>
      </c>
      <c r="Z106" s="49">
        <f t="shared" ref="Z106:AC106" si="133">SUM(J106:Y106)-(45*7)</f>
        <v>3931796</v>
      </c>
      <c r="AA106" s="49">
        <f t="shared" si="133"/>
        <v>7863489</v>
      </c>
      <c r="AB106" s="49">
        <f t="shared" si="133"/>
        <v>15726817</v>
      </c>
      <c r="AC106" s="49">
        <f t="shared" si="133"/>
        <v>31453357</v>
      </c>
      <c r="AD106" s="49">
        <f t="shared" ref="AD106" si="134">SUM(N106:AC106)-(45*6)</f>
        <v>62906250</v>
      </c>
      <c r="AE106" s="49">
        <f t="shared" ref="AE106:AG106" si="135">SUM(O106:AD106)-(45*7)</f>
        <v>125811482</v>
      </c>
      <c r="AF106" s="49">
        <f t="shared" si="135"/>
        <v>251621018</v>
      </c>
      <c r="AG106" s="49">
        <f t="shared" si="135"/>
        <v>503238189</v>
      </c>
      <c r="AH106" s="49">
        <f t="shared" ref="AH106:AI106" si="136">SUM(R106:AG106)-(45*8)</f>
        <v>1006468639</v>
      </c>
      <c r="AI106" s="49">
        <f t="shared" si="136"/>
        <v>2012921890</v>
      </c>
      <c r="AJ106" s="49">
        <f t="shared" ref="AJ106:AK106" si="137">SUM(T106:AI106)-(45*9)</f>
        <v>4025813004</v>
      </c>
      <c r="AK106" s="49">
        <f t="shared" si="137"/>
        <v>8051564546</v>
      </c>
      <c r="AL106" s="49">
        <f t="shared" ref="AL106" si="138">SUM(V106:AK106)-(45*8)</f>
        <v>16103006213</v>
      </c>
      <c r="AM106" s="49">
        <f t="shared" ref="AM106" si="139">SUM(W106:AL106)-(45*7)</f>
        <v>32205766705</v>
      </c>
      <c r="AN106" s="49">
        <f t="shared" ref="AN106:AO106" si="140">SUM(X106:AM106)-(45*8)</f>
        <v>64411041881</v>
      </c>
      <c r="AO106" s="49">
        <f t="shared" si="140"/>
        <v>128821100800</v>
      </c>
      <c r="AP106" s="49">
        <f t="shared" ref="AP106" si="141">SUM(Z106:AO106)-(45*9)</f>
        <v>257640235671</v>
      </c>
      <c r="AQ106" s="49">
        <f t="shared" ref="AQ106:AQ153" si="142">SUM(AA106:AP106)-(45*8)</f>
        <v>515276539591</v>
      </c>
      <c r="AR106" s="49">
        <f t="shared" ref="AR106:AR153" si="143">SUM(AB106:AQ106)-(45*8)</f>
        <v>1030545215693</v>
      </c>
      <c r="AS106" s="49">
        <f t="shared" ref="AS106:AV106" si="144">SUM(AC106:AR106)-(45*8)</f>
        <v>2061074704569</v>
      </c>
      <c r="AT106" s="49">
        <f t="shared" si="144"/>
        <v>4122117955781</v>
      </c>
      <c r="AU106" s="49">
        <f t="shared" si="144"/>
        <v>8244173005312</v>
      </c>
      <c r="AV106" s="49">
        <f t="shared" si="144"/>
        <v>16488220199142</v>
      </c>
      <c r="AW106" s="49">
        <f t="shared" ref="AW106" si="145">SUM(AG106:AV106)-(45*9)</f>
        <v>32976188777221</v>
      </c>
      <c r="AX106" s="49">
        <f t="shared" ref="AX106" si="146">SUM(AH106:AW106)-(45*8)</f>
        <v>65951874316298</v>
      </c>
      <c r="AY106" s="49">
        <f t="shared" ref="AY106:AZ106" si="147">SUM(AI106:AX106)-(45*7)</f>
        <v>131902742164002</v>
      </c>
      <c r="AZ106" s="49">
        <f t="shared" si="147"/>
        <v>263803471406114</v>
      </c>
      <c r="BA106" s="49">
        <f t="shared" ref="BA106:BA153" si="148">SUM(AK106:AZ106)-(45*8)</f>
        <v>527602916999179</v>
      </c>
      <c r="BB106" s="49">
        <f t="shared" ref="BB106:BB153" si="149">SUM(AL106:BA106)-(45*8)</f>
        <v>1055197782433812</v>
      </c>
      <c r="BC106" s="49">
        <f t="shared" ref="BC106:BC153" si="150">SUM(AM106:BB106)-(45*8)</f>
        <v>2110379461861411</v>
      </c>
      <c r="BD106" s="49">
        <f t="shared" ref="BD106:BD153" si="151">SUM(AN106:BC106)-(45*8)</f>
        <v>4220726717956117</v>
      </c>
      <c r="BE106" s="49">
        <f t="shared" ref="BE106" si="152">SUM(AO106:BD106)-(45*9)</f>
        <v>8441389024870308</v>
      </c>
      <c r="BF106" s="49">
        <f t="shared" ref="BF106:BG106" si="153">SUM(AP106:BE106)-(45*8)</f>
        <v>1.688264922863986E+16</v>
      </c>
      <c r="BG106" s="49">
        <f t="shared" si="153"/>
        <v>3.3765040817044048E+16</v>
      </c>
      <c r="BH106" s="49">
        <f t="shared" ref="BH106" si="154">SUM(AR106:BG106)-(45*9)</f>
        <v>6.7529566357548456E+16</v>
      </c>
      <c r="BI106" s="49">
        <f t="shared" ref="BI106:BI153" si="155">SUM(AS106:BH106)-(45*8)</f>
        <v>1.3505810216988128E+17</v>
      </c>
      <c r="BJ106" s="49">
        <f t="shared" ref="BJ106" si="156">SUM(AT106:BI106)-(45*9)</f>
        <v>2.7011414326505792E+17</v>
      </c>
      <c r="BK106" s="49">
        <f t="shared" ref="BK106:BK153" si="157">SUM(AU106:BJ106)-(45*8)</f>
        <v>5.4022416441216013E+17</v>
      </c>
      <c r="BL106" s="49">
        <f t="shared" ref="BL106" si="158">SUM(AV106:BK106)-(45*9)</f>
        <v>1.0804400846513149E+18</v>
      </c>
      <c r="BM106" s="49">
        <f t="shared" ref="BM106" si="159">SUM(AW106:BL106)-(45*8)</f>
        <v>2.1608636810824307E+18</v>
      </c>
      <c r="BN106" s="49">
        <f t="shared" ref="BN106:BO106" si="160">SUM(AX106:BM106)-(45*9)</f>
        <v>4.321694385976084E+18</v>
      </c>
      <c r="BO106" s="49">
        <f t="shared" si="160"/>
        <v>8.6433228200778527E+18</v>
      </c>
      <c r="BP106" s="49">
        <f t="shared" ref="BP106:BS106" si="161">SUM(AZ106:BO106)-(45*8)</f>
        <v>1.7286513737413542E+19</v>
      </c>
      <c r="BQ106" s="49">
        <f t="shared" si="161"/>
        <v>3.4572763671355679E+19</v>
      </c>
      <c r="BR106" s="49">
        <f t="shared" si="161"/>
        <v>6.9144999739794358E+19</v>
      </c>
      <c r="BS106" s="49">
        <f t="shared" si="161"/>
        <v>1.3828894428180627E+20</v>
      </c>
      <c r="BT106" s="49">
        <f t="shared" ref="BT106:BV106" si="162">SUM(BD106:BS106)-(45*7)</f>
        <v>2.7657577818415071E+20</v>
      </c>
      <c r="BU106" s="49">
        <f t="shared" si="162"/>
        <v>5.5314733564158345E+20</v>
      </c>
      <c r="BV106" s="49">
        <f t="shared" si="162"/>
        <v>1.1062862298941421E+21</v>
      </c>
    </row>
    <row r="107" spans="2:103" ht="17.25">
      <c r="B107" s="207"/>
      <c r="C107" s="44">
        <v>576</v>
      </c>
      <c r="D107" s="108" t="s">
        <v>344</v>
      </c>
      <c r="E107" s="48">
        <v>44</v>
      </c>
      <c r="F107" s="63">
        <v>55</v>
      </c>
      <c r="G107" s="63">
        <v>7</v>
      </c>
      <c r="H107" s="48">
        <f t="shared" si="119"/>
        <v>54</v>
      </c>
      <c r="I107" s="48">
        <v>18</v>
      </c>
      <c r="J107" s="49">
        <f t="shared" ref="J107" si="163">SUM(E107:I107)-(45*2)</f>
        <v>88</v>
      </c>
      <c r="K107" s="49">
        <f t="shared" ref="K107" si="164">SUM(E107:J107)-(45*3)</f>
        <v>131</v>
      </c>
      <c r="L107" s="49">
        <f t="shared" si="122"/>
        <v>262</v>
      </c>
      <c r="M107" s="49">
        <f t="shared" ref="M107" si="165">SUM(E107:L107)-(45*3)</f>
        <v>524</v>
      </c>
      <c r="N107" s="49">
        <f t="shared" ref="N107" si="166">SUM(E107:M107)-(45*4)</f>
        <v>1003</v>
      </c>
      <c r="O107" s="49">
        <f t="shared" si="125"/>
        <v>1961</v>
      </c>
      <c r="P107" s="49">
        <f t="shared" si="126"/>
        <v>3877</v>
      </c>
      <c r="Q107" s="49">
        <f t="shared" ref="Q107" si="167">SUM(E107:P107)-(45*7)</f>
        <v>7709</v>
      </c>
      <c r="R107" s="49">
        <f t="shared" ref="R107" si="168">SUM(E107:Q107)-(45*8)</f>
        <v>15373</v>
      </c>
      <c r="S107" s="49">
        <f t="shared" ref="S107" si="169">SUM(E107:R107)-(45*8)</f>
        <v>30746</v>
      </c>
      <c r="T107" s="49">
        <f t="shared" ref="T107" si="170">SUM(E107:S107)-(45*9)</f>
        <v>61447</v>
      </c>
      <c r="U107" s="49">
        <f t="shared" ref="U107" si="171">SUM(E107:T107)-(45*9)</f>
        <v>122894</v>
      </c>
      <c r="V107" s="49">
        <f t="shared" ref="V107:W107" si="172">SUM(F107:U107)-(45*8)</f>
        <v>245789</v>
      </c>
      <c r="W107" s="49">
        <f t="shared" si="172"/>
        <v>491523</v>
      </c>
      <c r="X107" s="49">
        <f t="shared" ref="X107" si="173">SUM(H107:W107)-(45*9)</f>
        <v>982994</v>
      </c>
      <c r="Y107" s="49">
        <f t="shared" ref="Y107:Z107" si="174">SUM(I107:X107)-(45*10)</f>
        <v>1965889</v>
      </c>
      <c r="Z107" s="49">
        <f t="shared" si="174"/>
        <v>3931760</v>
      </c>
      <c r="AA107" s="49">
        <f t="shared" ref="AA107" si="175">SUM(K107:Z107)-(45*9)</f>
        <v>7863477</v>
      </c>
      <c r="AB107" s="49">
        <f t="shared" ref="AB107" si="176">SUM(L107:AA107)-(45*9)</f>
        <v>15726823</v>
      </c>
      <c r="AC107" s="49">
        <f t="shared" ref="AC107" si="177">SUM(M107:AB107)-(45*9)</f>
        <v>31453384</v>
      </c>
      <c r="AD107" s="49">
        <f t="shared" ref="AD107" si="178">SUM(N107:AC107)-(45*9)</f>
        <v>62906244</v>
      </c>
      <c r="AE107" s="49">
        <f t="shared" ref="AE107" si="179">SUM(O107:AD107)-(45*9)</f>
        <v>125811485</v>
      </c>
      <c r="AF107" s="49">
        <f t="shared" ref="AF107" si="180">SUM(P107:AE107)-(45*9)</f>
        <v>251621009</v>
      </c>
      <c r="AG107" s="49">
        <f t="shared" ref="AG107" si="181">SUM(Q107:AF107)-(45*8)</f>
        <v>503238186</v>
      </c>
      <c r="AH107" s="49">
        <f t="shared" ref="AH107:AI107" si="182">SUM(R107:AG107)-(45*9)</f>
        <v>1006468618</v>
      </c>
      <c r="AI107" s="49">
        <f t="shared" si="182"/>
        <v>2012921863</v>
      </c>
      <c r="AJ107" s="49">
        <f t="shared" ref="AJ107" si="183">SUM(T107:AI107)-(45*8)</f>
        <v>4025813025</v>
      </c>
      <c r="AK107" s="49">
        <f t="shared" ref="AK107:AL107" si="184">SUM(U107:AJ107)-(45*9)</f>
        <v>8051564558</v>
      </c>
      <c r="AL107" s="49">
        <f t="shared" si="184"/>
        <v>16103006222</v>
      </c>
      <c r="AM107" s="49">
        <f t="shared" ref="AM107:AN107" si="185">SUM(W107:AL107)-(45*8)</f>
        <v>32205766700</v>
      </c>
      <c r="AN107" s="49">
        <f t="shared" si="185"/>
        <v>64411041877</v>
      </c>
      <c r="AO107" s="49">
        <f t="shared" ref="AO107" si="186">SUM(Y107:AN107)-(45*7)</f>
        <v>128821100805</v>
      </c>
      <c r="AP107" s="49">
        <f t="shared" ref="AP107" si="187">SUM(Z107:AO107)-(45*8)</f>
        <v>257640235676</v>
      </c>
      <c r="AQ107" s="49">
        <f t="shared" si="142"/>
        <v>515276539592</v>
      </c>
      <c r="AR107" s="49">
        <f t="shared" si="143"/>
        <v>1030545215707</v>
      </c>
      <c r="AS107" s="49">
        <f t="shared" ref="AS107" si="188">SUM(AC107:AR107)-(45*9)</f>
        <v>2061074704546</v>
      </c>
      <c r="AT107" s="49">
        <f t="shared" ref="AT107:AT153" si="189">SUM(AD107:AS107)-(45*8)</f>
        <v>4122117955753</v>
      </c>
      <c r="AU107" s="49">
        <f t="shared" ref="AU107:AY107" si="190">SUM(AE107:AT107)-(45*7)</f>
        <v>8244173005307</v>
      </c>
      <c r="AV107" s="49">
        <f t="shared" si="190"/>
        <v>16488220199129</v>
      </c>
      <c r="AW107" s="49">
        <f t="shared" si="190"/>
        <v>32976188777249</v>
      </c>
      <c r="AX107" s="49">
        <f t="shared" si="190"/>
        <v>65951874316312</v>
      </c>
      <c r="AY107" s="49">
        <f t="shared" si="190"/>
        <v>131902742164006</v>
      </c>
      <c r="AZ107" s="49">
        <f t="shared" ref="AZ107" si="191">SUM(AJ107:AY107)-(45*8)</f>
        <v>263803471406104</v>
      </c>
      <c r="BA107" s="49">
        <f t="shared" si="148"/>
        <v>527602916999183</v>
      </c>
      <c r="BB107" s="49">
        <f t="shared" si="149"/>
        <v>1055197782433808</v>
      </c>
      <c r="BC107" s="49">
        <f t="shared" si="150"/>
        <v>2110379461861394</v>
      </c>
      <c r="BD107" s="49">
        <f t="shared" si="151"/>
        <v>4220726717956088</v>
      </c>
      <c r="BE107" s="49">
        <f t="shared" ref="BE107" si="192">SUM(AO107:BD107)-(45*7)</f>
        <v>8441389024870344</v>
      </c>
      <c r="BF107" s="49">
        <f t="shared" ref="BF107:BF153" si="193">SUM(AP107:BE107)-(45*8)</f>
        <v>1.6882649228639838E+16</v>
      </c>
      <c r="BG107" s="49">
        <f t="shared" ref="BG107:BH107" si="194">SUM(AQ107:BF107)-(45*7)</f>
        <v>3.3765040817044044E+16</v>
      </c>
      <c r="BH107" s="49">
        <f t="shared" si="194"/>
        <v>6.7529566357548504E+16</v>
      </c>
      <c r="BI107" s="49">
        <f t="shared" si="155"/>
        <v>1.3505810216988125E+17</v>
      </c>
      <c r="BJ107" s="49">
        <f t="shared" ref="BJ107" si="195">SUM(AT107:BI107)-(45*8)</f>
        <v>2.7011414326505795E+17</v>
      </c>
      <c r="BK107" s="49">
        <f t="shared" si="157"/>
        <v>5.4022416441216013E+17</v>
      </c>
      <c r="BL107" s="49">
        <f t="shared" ref="BL107:BO107" si="196">SUM(AV107:BK107)-(45*7)</f>
        <v>1.0804400846513151E+18</v>
      </c>
      <c r="BM107" s="49">
        <f t="shared" si="196"/>
        <v>2.160863681082431E+18</v>
      </c>
      <c r="BN107" s="49">
        <f t="shared" si="196"/>
        <v>4.3216943859760845E+18</v>
      </c>
      <c r="BO107" s="49">
        <f t="shared" si="196"/>
        <v>8.6433228200778527E+18</v>
      </c>
      <c r="BP107" s="49">
        <f t="shared" ref="BP107" si="197">SUM(AZ107:BO107)-(45*6)</f>
        <v>1.7286513737413542E+19</v>
      </c>
      <c r="BQ107" s="49">
        <f t="shared" ref="BQ107" si="198">SUM(BA107:BP107)-(45*5)</f>
        <v>3.4572763671355679E+19</v>
      </c>
      <c r="BR107" s="49">
        <f t="shared" ref="BR107:BS107" si="199">SUM(BB107:BQ107)-(45*6)</f>
        <v>6.9144999739794358E+19</v>
      </c>
      <c r="BS107" s="49">
        <f t="shared" si="199"/>
        <v>1.3828894428180627E+20</v>
      </c>
      <c r="BT107" s="49">
        <f t="shared" ref="BT107:BU107" si="200">SUM(BD107:BS107)-(45*7)</f>
        <v>2.7657577818415071E+20</v>
      </c>
      <c r="BU107" s="49">
        <f t="shared" si="200"/>
        <v>5.5314733564158345E+20</v>
      </c>
      <c r="BV107" s="49">
        <f t="shared" ref="BV107" si="201">SUM(BF107:BU107)-(45*6)</f>
        <v>1.1062862298941421E+21</v>
      </c>
    </row>
    <row r="108" spans="2:103" ht="17.25">
      <c r="B108" s="207"/>
      <c r="C108" s="44">
        <v>577</v>
      </c>
      <c r="D108" s="108" t="s">
        <v>345</v>
      </c>
      <c r="E108" s="48">
        <v>51</v>
      </c>
      <c r="F108" s="63">
        <v>62</v>
      </c>
      <c r="G108" s="63">
        <v>8</v>
      </c>
      <c r="H108" s="48">
        <f t="shared" si="119"/>
        <v>68</v>
      </c>
      <c r="I108" s="48">
        <v>19</v>
      </c>
      <c r="J108" s="49">
        <f t="shared" ref="J108" si="202">SUM(E108:I108)-(45*1)</f>
        <v>163</v>
      </c>
      <c r="K108" s="49">
        <f t="shared" ref="K108" si="203">SUM(E108:J108)-(45*2)</f>
        <v>281</v>
      </c>
      <c r="L108" s="49">
        <f t="shared" si="122"/>
        <v>517</v>
      </c>
      <c r="M108" s="49">
        <f t="shared" ref="M108" si="204">SUM(E108:L108)-(45*4)</f>
        <v>989</v>
      </c>
      <c r="N108" s="49">
        <f t="shared" ref="N108" si="205">SUM(E108:M108)-(45*5)</f>
        <v>1933</v>
      </c>
      <c r="O108" s="49">
        <f t="shared" si="125"/>
        <v>3866</v>
      </c>
      <c r="P108" s="49">
        <f t="shared" si="126"/>
        <v>7687</v>
      </c>
      <c r="Q108" s="49">
        <f t="shared" ref="Q108" si="206">SUM(E108:P108)-(45*6)</f>
        <v>15374</v>
      </c>
      <c r="R108" s="49">
        <f t="shared" ref="R108" si="207">SUM(E108:Q108)-(45*6)</f>
        <v>30748</v>
      </c>
      <c r="S108" s="49">
        <f t="shared" ref="S108" si="208">SUM(E108:R108)-(45*7)</f>
        <v>61451</v>
      </c>
      <c r="T108" s="49">
        <f t="shared" ref="T108" si="209">SUM(E108:S108)-(45*7)</f>
        <v>122902</v>
      </c>
      <c r="U108" s="49">
        <f t="shared" ref="U108" si="210">SUM(E108:T108)-(45*7)</f>
        <v>245804</v>
      </c>
      <c r="V108" s="49">
        <f t="shared" ref="V108:Y108" si="211">SUM(F108:U108)-(45*8)</f>
        <v>491512</v>
      </c>
      <c r="W108" s="49">
        <f t="shared" si="211"/>
        <v>982962</v>
      </c>
      <c r="X108" s="49">
        <f t="shared" si="211"/>
        <v>1965916</v>
      </c>
      <c r="Y108" s="49">
        <f t="shared" si="211"/>
        <v>3931764</v>
      </c>
      <c r="Z108" s="49">
        <f t="shared" ref="Z108:AC108" si="212">SUM(J108:Y108)-(45*7)</f>
        <v>7863554</v>
      </c>
      <c r="AA108" s="49">
        <f t="shared" si="212"/>
        <v>15726945</v>
      </c>
      <c r="AB108" s="49">
        <f t="shared" si="212"/>
        <v>31453609</v>
      </c>
      <c r="AC108" s="49">
        <f t="shared" si="212"/>
        <v>62906701</v>
      </c>
      <c r="AD108" s="49">
        <f t="shared" ref="AD108" si="213">SUM(N108:AC108)-(45*6)</f>
        <v>125812458</v>
      </c>
      <c r="AE108" s="49">
        <f t="shared" ref="AE108:AG108" si="214">SUM(O108:AD108)-(45*7)</f>
        <v>251622938</v>
      </c>
      <c r="AF108" s="49">
        <f t="shared" si="214"/>
        <v>503242010</v>
      </c>
      <c r="AG108" s="49">
        <f t="shared" si="214"/>
        <v>1006476333</v>
      </c>
      <c r="AH108" s="49">
        <f t="shared" ref="AH108:AI108" si="215">SUM(R108:AG108)-(45*8)</f>
        <v>2012937247</v>
      </c>
      <c r="AI108" s="49">
        <f t="shared" si="215"/>
        <v>4025843746</v>
      </c>
      <c r="AJ108" s="49">
        <f t="shared" ref="AJ108:AK108" si="216">SUM(T108:AI108)-(45*9)</f>
        <v>8051625996</v>
      </c>
      <c r="AK108" s="49">
        <f t="shared" si="216"/>
        <v>16103129090</v>
      </c>
      <c r="AL108" s="49">
        <f t="shared" ref="AL108" si="217">SUM(V108:AK108)-(45*8)</f>
        <v>32206012421</v>
      </c>
      <c r="AM108" s="49">
        <f t="shared" ref="AM108" si="218">SUM(W108:AL108)-(45*7)</f>
        <v>64411533375</v>
      </c>
      <c r="AN108" s="49">
        <f t="shared" ref="AN108:AO108" si="219">SUM(X108:AM108)-(45*8)</f>
        <v>128822083743</v>
      </c>
      <c r="AO108" s="49">
        <f t="shared" si="219"/>
        <v>257642201570</v>
      </c>
      <c r="AP108" s="49">
        <f t="shared" ref="AP108" si="220">SUM(Z108:AO108)-(45*9)</f>
        <v>515280471331</v>
      </c>
      <c r="AQ108" s="49">
        <f t="shared" si="142"/>
        <v>1030553079153</v>
      </c>
      <c r="AR108" s="49">
        <f t="shared" si="143"/>
        <v>2061090431361</v>
      </c>
      <c r="AS108" s="49">
        <f t="shared" ref="AS108" si="221">SUM(AC108:AR108)-(45*8)</f>
        <v>4122149409113</v>
      </c>
      <c r="AT108" s="49">
        <f t="shared" si="189"/>
        <v>8244235911525</v>
      </c>
      <c r="AU108" s="49">
        <f t="shared" ref="AU108:AV108" si="222">SUM(AE108:AT108)-(45*8)</f>
        <v>16488346010592</v>
      </c>
      <c r="AV108" s="49">
        <f t="shared" si="222"/>
        <v>32976440398246</v>
      </c>
      <c r="AW108" s="49">
        <f t="shared" ref="AW108" si="223">SUM(AG108:AV108)-(45*9)</f>
        <v>65952377554437</v>
      </c>
      <c r="AX108" s="49">
        <f t="shared" ref="AX108" si="224">SUM(AH108:AW108)-(45*8)</f>
        <v>131903748632586</v>
      </c>
      <c r="AY108" s="49">
        <f t="shared" ref="AY108:AZ108" si="225">SUM(AI108:AX108)-(45*7)</f>
        <v>263805484327970</v>
      </c>
      <c r="AZ108" s="49">
        <f t="shared" si="225"/>
        <v>527606942812194</v>
      </c>
      <c r="BA108" s="49">
        <f t="shared" si="148"/>
        <v>1055205833998347</v>
      </c>
      <c r="BB108" s="49">
        <f t="shared" si="149"/>
        <v>2110395564867604</v>
      </c>
      <c r="BC108" s="49">
        <f t="shared" si="150"/>
        <v>4220758923722787</v>
      </c>
      <c r="BD108" s="49">
        <f t="shared" si="151"/>
        <v>8441453435912199</v>
      </c>
      <c r="BE108" s="49">
        <f t="shared" ref="BE108" si="226">SUM(AO108:BD108)-(45*9)</f>
        <v>1.6882778049740612E+16</v>
      </c>
      <c r="BF108" s="49">
        <f t="shared" si="193"/>
        <v>3.3765298457279696E+16</v>
      </c>
      <c r="BG108" s="49">
        <f t="shared" ref="BG108" si="227">SUM(AQ108:BF108)-(45*8)</f>
        <v>6.7530081634088064E+16</v>
      </c>
      <c r="BH108" s="49">
        <f t="shared" ref="BH108" si="228">SUM(AR108:BG108)-(45*9)</f>
        <v>1.3505913271509693E+17</v>
      </c>
      <c r="BI108" s="49">
        <f t="shared" si="155"/>
        <v>2.7011620433976253E+17</v>
      </c>
      <c r="BJ108" s="49">
        <f t="shared" ref="BJ108" si="229">SUM(AT108:BI108)-(45*9)</f>
        <v>5.4022828653011597E+17</v>
      </c>
      <c r="BK108" s="49">
        <f t="shared" si="157"/>
        <v>1.0804483288243204E+18</v>
      </c>
      <c r="BL108" s="49">
        <f t="shared" ref="BL108" si="230">SUM(AV108:BK108)-(45*9)</f>
        <v>2.1608801693026299E+18</v>
      </c>
      <c r="BM108" s="49">
        <f t="shared" ref="BM108" si="231">SUM(AW108:BL108)-(45*8)</f>
        <v>4.3217273621648614E+18</v>
      </c>
      <c r="BN108" s="49">
        <f t="shared" ref="BN108:BO108" si="232">SUM(AX108:BM108)-(45*9)</f>
        <v>8.643388771952169E+18</v>
      </c>
      <c r="BO108" s="49">
        <f t="shared" si="232"/>
        <v>1.7286645640155705E+19</v>
      </c>
      <c r="BP108" s="49">
        <f t="shared" ref="BP108:BS108" si="233">SUM(AZ108:BO108)-(45*8)</f>
        <v>3.4573027474827084E+19</v>
      </c>
      <c r="BQ108" s="49">
        <f t="shared" si="233"/>
        <v>6.9145527342711357E+19</v>
      </c>
      <c r="BR108" s="49">
        <f t="shared" si="233"/>
        <v>1.3828999947958872E+20</v>
      </c>
      <c r="BS108" s="49">
        <f t="shared" si="233"/>
        <v>2.7657788856361255E+20</v>
      </c>
      <c r="BT108" s="49">
        <f t="shared" ref="BT108:BV108" si="234">SUM(BD108:BS108)-(45*7)</f>
        <v>5.5315155636830142E+20</v>
      </c>
      <c r="BU108" s="49">
        <f t="shared" si="234"/>
        <v>1.1062946712831669E+21</v>
      </c>
      <c r="BV108" s="49">
        <f t="shared" si="234"/>
        <v>2.2125724597882842E+21</v>
      </c>
    </row>
    <row r="109" spans="2:103" ht="17.25">
      <c r="B109" s="207"/>
      <c r="C109" s="44">
        <v>578</v>
      </c>
      <c r="D109" s="108" t="s">
        <v>346</v>
      </c>
      <c r="E109" s="48">
        <v>58</v>
      </c>
      <c r="F109" s="63">
        <v>69</v>
      </c>
      <c r="G109" s="63">
        <v>9</v>
      </c>
      <c r="H109" s="48">
        <f t="shared" si="119"/>
        <v>82</v>
      </c>
      <c r="I109" s="48">
        <v>20</v>
      </c>
      <c r="J109" s="49">
        <f t="shared" ref="J109" si="235">SUM(E109:I109)-(45*2)</f>
        <v>148</v>
      </c>
      <c r="K109" s="49">
        <f t="shared" ref="K109" si="236">SUM(E109:J109)-(45*3)</f>
        <v>251</v>
      </c>
      <c r="L109" s="49">
        <f t="shared" si="122"/>
        <v>502</v>
      </c>
      <c r="M109" s="49">
        <f t="shared" ref="M109" si="237">SUM(E109:L109)-(45*3)</f>
        <v>1004</v>
      </c>
      <c r="N109" s="49">
        <f t="shared" ref="N109" si="238">SUM(E109:M109)-(45*4)</f>
        <v>1963</v>
      </c>
      <c r="O109" s="49">
        <f t="shared" si="125"/>
        <v>3881</v>
      </c>
      <c r="P109" s="49">
        <f t="shared" si="126"/>
        <v>7717</v>
      </c>
      <c r="Q109" s="49">
        <f t="shared" ref="Q109" si="239">SUM(E109:P109)-(45*7)</f>
        <v>15389</v>
      </c>
      <c r="R109" s="49">
        <f t="shared" ref="R109" si="240">SUM(E109:Q109)-(45*8)</f>
        <v>30733</v>
      </c>
      <c r="S109" s="49">
        <f t="shared" ref="S109" si="241">SUM(E109:R109)-(45*8)</f>
        <v>61466</v>
      </c>
      <c r="T109" s="49">
        <f t="shared" ref="T109" si="242">SUM(E109:S109)-(45*9)</f>
        <v>122887</v>
      </c>
      <c r="U109" s="49">
        <f t="shared" ref="U109" si="243">SUM(E109:T109)-(45*9)</f>
        <v>245774</v>
      </c>
      <c r="V109" s="49">
        <f t="shared" ref="V109:W109" si="244">SUM(F109:U109)-(45*8)</f>
        <v>491535</v>
      </c>
      <c r="W109" s="49">
        <f t="shared" si="244"/>
        <v>983001</v>
      </c>
      <c r="X109" s="49">
        <f t="shared" ref="X109" si="245">SUM(H109:W109)-(45*9)</f>
        <v>1965948</v>
      </c>
      <c r="Y109" s="49">
        <f t="shared" ref="Y109:Z109" si="246">SUM(I109:X109)-(45*10)</f>
        <v>3931769</v>
      </c>
      <c r="Z109" s="49">
        <f t="shared" si="246"/>
        <v>7863518</v>
      </c>
      <c r="AA109" s="49">
        <f t="shared" ref="AA109" si="247">SUM(K109:Z109)-(45*9)</f>
        <v>15726933</v>
      </c>
      <c r="AB109" s="49">
        <f t="shared" ref="AB109" si="248">SUM(L109:AA109)-(45*9)</f>
        <v>31453615</v>
      </c>
      <c r="AC109" s="49">
        <f t="shared" ref="AC109" si="249">SUM(M109:AB109)-(45*9)</f>
        <v>62906728</v>
      </c>
      <c r="AD109" s="49">
        <f t="shared" ref="AD109" si="250">SUM(N109:AC109)-(45*9)</f>
        <v>125812452</v>
      </c>
      <c r="AE109" s="49">
        <f t="shared" ref="AE109" si="251">SUM(O109:AD109)-(45*9)</f>
        <v>251622941</v>
      </c>
      <c r="AF109" s="49">
        <f t="shared" ref="AF109" si="252">SUM(P109:AE109)-(45*9)</f>
        <v>503242001</v>
      </c>
      <c r="AG109" s="49">
        <f t="shared" ref="AG109" si="253">SUM(Q109:AF109)-(45*8)</f>
        <v>1006476330</v>
      </c>
      <c r="AH109" s="49">
        <f t="shared" ref="AH109:AI109" si="254">SUM(R109:AG109)-(45*9)</f>
        <v>2012937226</v>
      </c>
      <c r="AI109" s="49">
        <f t="shared" si="254"/>
        <v>4025843719</v>
      </c>
      <c r="AJ109" s="49">
        <f t="shared" ref="AJ109" si="255">SUM(T109:AI109)-(45*8)</f>
        <v>8051626017</v>
      </c>
      <c r="AK109" s="49">
        <f t="shared" ref="AK109:AL109" si="256">SUM(U109:AJ109)-(45*9)</f>
        <v>16103129102</v>
      </c>
      <c r="AL109" s="49">
        <f t="shared" si="256"/>
        <v>32206012430</v>
      </c>
      <c r="AM109" s="49">
        <f t="shared" ref="AM109:AN109" si="257">SUM(W109:AL109)-(45*8)</f>
        <v>64411533370</v>
      </c>
      <c r="AN109" s="49">
        <f t="shared" si="257"/>
        <v>128822083739</v>
      </c>
      <c r="AO109" s="49">
        <f t="shared" ref="AO109" si="258">SUM(Y109:AN109)-(45*7)</f>
        <v>257642201575</v>
      </c>
      <c r="AP109" s="49">
        <f t="shared" ref="AP109" si="259">SUM(Z109:AO109)-(45*8)</f>
        <v>515280471336</v>
      </c>
      <c r="AQ109" s="49">
        <f t="shared" si="142"/>
        <v>1030553079154</v>
      </c>
      <c r="AR109" s="49">
        <f t="shared" si="143"/>
        <v>2061090431375</v>
      </c>
      <c r="AS109" s="49">
        <f t="shared" ref="AS109" si="260">SUM(AC109:AR109)-(45*9)</f>
        <v>4122149409090</v>
      </c>
      <c r="AT109" s="49">
        <f t="shared" si="189"/>
        <v>8244235911497</v>
      </c>
      <c r="AU109" s="49">
        <f t="shared" ref="AU109:AY109" si="261">SUM(AE109:AT109)-(45*7)</f>
        <v>16488346010587</v>
      </c>
      <c r="AV109" s="49">
        <f t="shared" si="261"/>
        <v>32976440398233</v>
      </c>
      <c r="AW109" s="49">
        <f t="shared" si="261"/>
        <v>65952377554465</v>
      </c>
      <c r="AX109" s="49">
        <f t="shared" si="261"/>
        <v>131903748632600</v>
      </c>
      <c r="AY109" s="49">
        <f t="shared" si="261"/>
        <v>263805484327974</v>
      </c>
      <c r="AZ109" s="49">
        <f t="shared" ref="AZ109" si="262">SUM(AJ109:AY109)-(45*8)</f>
        <v>527606942812184</v>
      </c>
      <c r="BA109" s="49">
        <f t="shared" si="148"/>
        <v>1055205833998351</v>
      </c>
      <c r="BB109" s="49">
        <f t="shared" si="149"/>
        <v>2110395564867600</v>
      </c>
      <c r="BC109" s="49">
        <f t="shared" si="150"/>
        <v>4220758923722770</v>
      </c>
      <c r="BD109" s="49">
        <f t="shared" si="151"/>
        <v>8441453435912170</v>
      </c>
      <c r="BE109" s="49">
        <f t="shared" ref="BE109" si="263">SUM(AO109:BD109)-(45*7)</f>
        <v>1.6882778049740644E+16</v>
      </c>
      <c r="BF109" s="49">
        <f t="shared" si="193"/>
        <v>3.3765298457279672E+16</v>
      </c>
      <c r="BG109" s="49">
        <f t="shared" ref="BG109:BH109" si="264">SUM(AQ109:BF109)-(45*7)</f>
        <v>6.7530081634088056E+16</v>
      </c>
      <c r="BH109" s="49">
        <f t="shared" si="264"/>
        <v>1.3505913271509696E+17</v>
      </c>
      <c r="BI109" s="49">
        <f t="shared" si="155"/>
        <v>2.701162043397625E+17</v>
      </c>
      <c r="BJ109" s="49">
        <f t="shared" ref="BJ109" si="265">SUM(AT109:BI109)-(45*8)</f>
        <v>5.4022828653011584E+17</v>
      </c>
      <c r="BK109" s="49">
        <f t="shared" si="157"/>
        <v>1.0804483288243203E+18</v>
      </c>
      <c r="BL109" s="49">
        <f t="shared" ref="BL109:BO109" si="266">SUM(AV109:BK109)-(45*7)</f>
        <v>2.1608801693026301E+18</v>
      </c>
      <c r="BM109" s="49">
        <f t="shared" si="266"/>
        <v>4.3217273621648614E+18</v>
      </c>
      <c r="BN109" s="49">
        <f t="shared" si="266"/>
        <v>8.643388771952169E+18</v>
      </c>
      <c r="BO109" s="49">
        <f t="shared" si="266"/>
        <v>1.7286645640155705E+19</v>
      </c>
      <c r="BP109" s="49">
        <f t="shared" ref="BP109" si="267">SUM(AZ109:BO109)-(45*6)</f>
        <v>3.4573027474827084E+19</v>
      </c>
      <c r="BQ109" s="49">
        <f t="shared" ref="BQ109" si="268">SUM(BA109:BP109)-(45*5)</f>
        <v>6.9145527342711357E+19</v>
      </c>
      <c r="BR109" s="49">
        <f t="shared" ref="BR109:BS109" si="269">SUM(BB109:BQ109)-(45*6)</f>
        <v>1.3828999947958872E+20</v>
      </c>
      <c r="BS109" s="49">
        <f t="shared" si="269"/>
        <v>2.7657788856361255E+20</v>
      </c>
      <c r="BT109" s="49">
        <f t="shared" ref="BT109:BU109" si="270">SUM(BD109:BS109)-(45*7)</f>
        <v>5.5315155636830142E+20</v>
      </c>
      <c r="BU109" s="49">
        <f t="shared" si="270"/>
        <v>1.1062946712831669E+21</v>
      </c>
      <c r="BV109" s="49">
        <f t="shared" ref="BV109" si="271">SUM(BF109:BU109)-(45*6)</f>
        <v>2.2125724597882842E+21</v>
      </c>
    </row>
    <row r="110" spans="2:103" ht="17.25">
      <c r="B110" s="207"/>
      <c r="C110" s="44">
        <v>579</v>
      </c>
      <c r="D110" s="108" t="s">
        <v>347</v>
      </c>
      <c r="E110" s="48">
        <v>65</v>
      </c>
      <c r="F110" s="63">
        <v>76</v>
      </c>
      <c r="G110" s="63">
        <v>10</v>
      </c>
      <c r="H110" s="48">
        <f t="shared" si="119"/>
        <v>96</v>
      </c>
      <c r="I110" s="48">
        <v>21</v>
      </c>
      <c r="J110" s="49">
        <f t="shared" ref="J110" si="272">SUM(E110:I110)-(45*1)</f>
        <v>223</v>
      </c>
      <c r="K110" s="49">
        <f t="shared" ref="K110" si="273">SUM(E110:J110)-(45*2)</f>
        <v>401</v>
      </c>
      <c r="L110" s="49">
        <f t="shared" si="122"/>
        <v>757</v>
      </c>
      <c r="M110" s="49">
        <f t="shared" ref="M110" si="274">SUM(E110:L110)-(45*4)</f>
        <v>1469</v>
      </c>
      <c r="N110" s="49">
        <f t="shared" ref="N110" si="275">SUM(E110:M110)-(45*5)</f>
        <v>2893</v>
      </c>
      <c r="O110" s="49">
        <f t="shared" si="125"/>
        <v>5786</v>
      </c>
      <c r="P110" s="49">
        <f t="shared" si="126"/>
        <v>11527</v>
      </c>
      <c r="Q110" s="49">
        <f t="shared" ref="Q110" si="276">SUM(E110:P110)-(45*6)</f>
        <v>23054</v>
      </c>
      <c r="R110" s="49">
        <f t="shared" ref="R110" si="277">SUM(E110:Q110)-(45*6)</f>
        <v>46108</v>
      </c>
      <c r="S110" s="49">
        <f t="shared" ref="S110" si="278">SUM(E110:R110)-(45*7)</f>
        <v>92171</v>
      </c>
      <c r="T110" s="49">
        <f t="shared" ref="T110" si="279">SUM(E110:S110)-(45*7)</f>
        <v>184342</v>
      </c>
      <c r="U110" s="49">
        <f t="shared" ref="U110" si="280">SUM(E110:T110)-(45*7)</f>
        <v>368684</v>
      </c>
      <c r="V110" s="49">
        <f t="shared" ref="V110:Y110" si="281">SUM(F110:U110)-(45*8)</f>
        <v>737258</v>
      </c>
      <c r="W110" s="49">
        <f t="shared" si="281"/>
        <v>1474440</v>
      </c>
      <c r="X110" s="49">
        <f t="shared" si="281"/>
        <v>2948870</v>
      </c>
      <c r="Y110" s="49">
        <f t="shared" si="281"/>
        <v>5897644</v>
      </c>
      <c r="Z110" s="49">
        <f t="shared" ref="Z110:AC110" si="282">SUM(J110:Y110)-(45*7)</f>
        <v>11795312</v>
      </c>
      <c r="AA110" s="49">
        <f t="shared" si="282"/>
        <v>23590401</v>
      </c>
      <c r="AB110" s="49">
        <f t="shared" si="282"/>
        <v>47180401</v>
      </c>
      <c r="AC110" s="49">
        <f t="shared" si="282"/>
        <v>94360045</v>
      </c>
      <c r="AD110" s="49">
        <f t="shared" ref="AD110" si="283">SUM(N110:AC110)-(45*6)</f>
        <v>188718666</v>
      </c>
      <c r="AE110" s="49">
        <f t="shared" ref="AE110:AG110" si="284">SUM(O110:AD110)-(45*7)</f>
        <v>377434394</v>
      </c>
      <c r="AF110" s="49">
        <f t="shared" si="284"/>
        <v>754863002</v>
      </c>
      <c r="AG110" s="49">
        <f t="shared" si="284"/>
        <v>1509714477</v>
      </c>
      <c r="AH110" s="49">
        <f t="shared" ref="AH110:AI110" si="285">SUM(R110:AG110)-(45*8)</f>
        <v>3019405855</v>
      </c>
      <c r="AI110" s="49">
        <f t="shared" si="285"/>
        <v>6038765602</v>
      </c>
      <c r="AJ110" s="49">
        <f t="shared" ref="AJ110:AK110" si="286">SUM(T110:AI110)-(45*9)</f>
        <v>12077438988</v>
      </c>
      <c r="AK110" s="49">
        <f t="shared" si="286"/>
        <v>24154693634</v>
      </c>
      <c r="AL110" s="49">
        <f t="shared" ref="AL110" si="287">SUM(V110:AK110)-(45*8)</f>
        <v>48309018629</v>
      </c>
      <c r="AM110" s="49">
        <f t="shared" ref="AM110" si="288">SUM(W110:AL110)-(45*7)</f>
        <v>96617300045</v>
      </c>
      <c r="AN110" s="49">
        <f t="shared" ref="AN110:AO110" si="289">SUM(X110:AM110)-(45*8)</f>
        <v>193233125605</v>
      </c>
      <c r="AO110" s="49">
        <f t="shared" si="289"/>
        <v>386463302340</v>
      </c>
      <c r="AP110" s="49">
        <f t="shared" ref="AP110" si="290">SUM(Z110:AO110)-(45*9)</f>
        <v>772920706991</v>
      </c>
      <c r="AQ110" s="49">
        <f t="shared" si="142"/>
        <v>1545829618715</v>
      </c>
      <c r="AR110" s="49">
        <f t="shared" si="143"/>
        <v>3091635647029</v>
      </c>
      <c r="AS110" s="49">
        <f t="shared" ref="AS110" si="291">SUM(AC110:AR110)-(45*8)</f>
        <v>6183224113657</v>
      </c>
      <c r="AT110" s="49">
        <f t="shared" si="189"/>
        <v>12366353867269</v>
      </c>
      <c r="AU110" s="49">
        <f t="shared" ref="AU110:AV110" si="292">SUM(AE110:AT110)-(45*8)</f>
        <v>24732519015872</v>
      </c>
      <c r="AV110" s="49">
        <f t="shared" si="292"/>
        <v>49464660597350</v>
      </c>
      <c r="AW110" s="49">
        <f t="shared" ref="AW110" si="293">SUM(AG110:AV110)-(45*9)</f>
        <v>98928566331653</v>
      </c>
      <c r="AX110" s="49">
        <f t="shared" ref="AX110" si="294">SUM(AH110:AW110)-(45*8)</f>
        <v>197855622948874</v>
      </c>
      <c r="AY110" s="49">
        <f t="shared" ref="AY110:AZ110" si="295">SUM(AI110:AX110)-(45*7)</f>
        <v>395708226491938</v>
      </c>
      <c r="AZ110" s="49">
        <f t="shared" si="295"/>
        <v>791410414218274</v>
      </c>
      <c r="BA110" s="49">
        <f t="shared" si="148"/>
        <v>1582808750997515</v>
      </c>
      <c r="BB110" s="49">
        <f t="shared" si="149"/>
        <v>3165593347301396</v>
      </c>
      <c r="BC110" s="49">
        <f t="shared" si="150"/>
        <v>6331138385584163</v>
      </c>
      <c r="BD110" s="49">
        <f t="shared" si="151"/>
        <v>1.266218015386828E+16</v>
      </c>
      <c r="BE110" s="49">
        <f t="shared" ref="BE110" si="296">SUM(AO110:BD110)-(45*9)</f>
        <v>2.5324167074610912E+16</v>
      </c>
      <c r="BF110" s="49">
        <f t="shared" si="193"/>
        <v>5.0647947685919528E+16</v>
      </c>
      <c r="BG110" s="49">
        <f t="shared" ref="BG110" si="297">SUM(AQ110:BF110)-(45*8)</f>
        <v>1.0129512245113206E+17</v>
      </c>
      <c r="BH110" s="49">
        <f t="shared" ref="BH110" si="298">SUM(AR110:BG110)-(45*9)</f>
        <v>2.0258869907264534E+17</v>
      </c>
      <c r="BI110" s="49">
        <f t="shared" si="155"/>
        <v>4.0517430650964371E+17</v>
      </c>
      <c r="BJ110" s="49">
        <f t="shared" ref="BJ110" si="299">SUM(AT110:BI110)-(45*9)</f>
        <v>8.1034242979517376E+17</v>
      </c>
      <c r="BK110" s="49">
        <f t="shared" si="157"/>
        <v>1.6206724932364803E+18</v>
      </c>
      <c r="BL110" s="49">
        <f t="shared" ref="BL110" si="300">SUM(AV110:BK110)-(45*9)</f>
        <v>3.2413202539539441E+18</v>
      </c>
      <c r="BM110" s="49">
        <f t="shared" ref="BM110" si="301">SUM(AW110:BL110)-(45*8)</f>
        <v>6.4825910432472924E+18</v>
      </c>
      <c r="BN110" s="49">
        <f t="shared" ref="BN110:BO110" si="302">SUM(AX110:BM110)-(45*9)</f>
        <v>1.2965083157928253E+19</v>
      </c>
      <c r="BO110" s="49">
        <f t="shared" si="302"/>
        <v>2.5929968460233556E+19</v>
      </c>
      <c r="BP110" s="49">
        <f t="shared" ref="BP110:BS110" si="303">SUM(AZ110:BO110)-(45*8)</f>
        <v>5.1859541212240626E+19</v>
      </c>
      <c r="BQ110" s="49">
        <f t="shared" si="303"/>
        <v>1.0371829101406703E+20</v>
      </c>
      <c r="BR110" s="49">
        <f t="shared" si="303"/>
        <v>2.0743499921938304E+20</v>
      </c>
      <c r="BS110" s="49">
        <f t="shared" si="303"/>
        <v>4.1486683284541879E+20</v>
      </c>
      <c r="BT110" s="49">
        <f t="shared" ref="BT110:BV110" si="304">SUM(BD110:BS110)-(45*7)</f>
        <v>8.2972733455245194E+20</v>
      </c>
      <c r="BU110" s="49">
        <f t="shared" si="304"/>
        <v>1.65944200692475E+21</v>
      </c>
      <c r="BV110" s="49">
        <f t="shared" si="304"/>
        <v>3.3188586896824258E+21</v>
      </c>
    </row>
    <row r="111" spans="2:103" ht="17.25">
      <c r="B111" s="207"/>
      <c r="C111" s="44">
        <v>580</v>
      </c>
      <c r="D111" s="108" t="s">
        <v>348</v>
      </c>
      <c r="E111" s="48">
        <v>72</v>
      </c>
      <c r="F111" s="63">
        <v>83</v>
      </c>
      <c r="G111" s="63">
        <v>11</v>
      </c>
      <c r="H111" s="48">
        <f t="shared" si="119"/>
        <v>110</v>
      </c>
      <c r="I111" s="48">
        <v>22</v>
      </c>
      <c r="J111" s="49">
        <f t="shared" ref="J111" si="305">SUM(E111:I111)-(45*2)</f>
        <v>208</v>
      </c>
      <c r="K111" s="49">
        <f t="shared" ref="K111" si="306">SUM(E111:J111)-(45*3)</f>
        <v>371</v>
      </c>
      <c r="L111" s="49">
        <f t="shared" si="122"/>
        <v>742</v>
      </c>
      <c r="M111" s="49">
        <f t="shared" ref="M111" si="307">SUM(E111:L111)-(45*3)</f>
        <v>1484</v>
      </c>
      <c r="N111" s="49">
        <f t="shared" ref="N111" si="308">SUM(E111:M111)-(45*4)</f>
        <v>2923</v>
      </c>
      <c r="O111" s="49">
        <f t="shared" si="125"/>
        <v>5801</v>
      </c>
      <c r="P111" s="49">
        <f t="shared" si="126"/>
        <v>11557</v>
      </c>
      <c r="Q111" s="49">
        <f t="shared" ref="Q111" si="309">SUM(E111:P111)-(45*7)</f>
        <v>23069</v>
      </c>
      <c r="R111" s="49">
        <f t="shared" ref="R111" si="310">SUM(E111:Q111)-(45*8)</f>
        <v>46093</v>
      </c>
      <c r="S111" s="49">
        <f t="shared" ref="S111" si="311">SUM(E111:R111)-(45*8)</f>
        <v>92186</v>
      </c>
      <c r="T111" s="49">
        <f t="shared" ref="T111" si="312">SUM(E111:S111)-(45*9)</f>
        <v>184327</v>
      </c>
      <c r="U111" s="49">
        <f t="shared" ref="U111" si="313">SUM(E111:T111)-(45*9)</f>
        <v>368654</v>
      </c>
      <c r="V111" s="49">
        <f t="shared" ref="V111:W111" si="314">SUM(F111:U111)-(45*8)</f>
        <v>737281</v>
      </c>
      <c r="W111" s="49">
        <f t="shared" si="314"/>
        <v>1474479</v>
      </c>
      <c r="X111" s="49">
        <f t="shared" ref="X111" si="315">SUM(H111:W111)-(45*9)</f>
        <v>2948902</v>
      </c>
      <c r="Y111" s="49">
        <f t="shared" ref="Y111:Z111" si="316">SUM(I111:X111)-(45*10)</f>
        <v>5897649</v>
      </c>
      <c r="Z111" s="49">
        <f t="shared" si="316"/>
        <v>11795276</v>
      </c>
      <c r="AA111" s="49">
        <f t="shared" ref="AA111" si="317">SUM(K111:Z111)-(45*9)</f>
        <v>23590389</v>
      </c>
      <c r="AB111" s="49">
        <f t="shared" ref="AB111" si="318">SUM(L111:AA111)-(45*9)</f>
        <v>47180407</v>
      </c>
      <c r="AC111" s="49">
        <f t="shared" ref="AC111" si="319">SUM(M111:AB111)-(45*9)</f>
        <v>94360072</v>
      </c>
      <c r="AD111" s="49">
        <f t="shared" ref="AD111" si="320">SUM(N111:AC111)-(45*9)</f>
        <v>188718660</v>
      </c>
      <c r="AE111" s="49">
        <f t="shared" ref="AE111" si="321">SUM(O111:AD111)-(45*9)</f>
        <v>377434397</v>
      </c>
      <c r="AF111" s="49">
        <f t="shared" ref="AF111" si="322">SUM(P111:AE111)-(45*9)</f>
        <v>754862993</v>
      </c>
      <c r="AG111" s="49">
        <f t="shared" ref="AG111" si="323">SUM(Q111:AF111)-(45*8)</f>
        <v>1509714474</v>
      </c>
      <c r="AH111" s="49">
        <f t="shared" ref="AH111:AI111" si="324">SUM(R111:AG111)-(45*9)</f>
        <v>3019405834</v>
      </c>
      <c r="AI111" s="49">
        <f t="shared" si="324"/>
        <v>6038765575</v>
      </c>
      <c r="AJ111" s="49">
        <f t="shared" ref="AJ111" si="325">SUM(T111:AI111)-(45*8)</f>
        <v>12077439009</v>
      </c>
      <c r="AK111" s="49">
        <f t="shared" ref="AK111:AL111" si="326">SUM(U111:AJ111)-(45*9)</f>
        <v>24154693646</v>
      </c>
      <c r="AL111" s="49">
        <f t="shared" si="326"/>
        <v>48309018638</v>
      </c>
      <c r="AM111" s="49">
        <f t="shared" ref="AM111:AN111" si="327">SUM(W111:AL111)-(45*8)</f>
        <v>96617300040</v>
      </c>
      <c r="AN111" s="49">
        <f t="shared" si="327"/>
        <v>193233125601</v>
      </c>
      <c r="AO111" s="49">
        <f t="shared" ref="AO111" si="328">SUM(Y111:AN111)-(45*7)</f>
        <v>386463302345</v>
      </c>
      <c r="AP111" s="49">
        <f t="shared" ref="AP111" si="329">SUM(Z111:AO111)-(45*8)</f>
        <v>772920706996</v>
      </c>
      <c r="AQ111" s="49">
        <f t="shared" si="142"/>
        <v>1545829618716</v>
      </c>
      <c r="AR111" s="49">
        <f t="shared" si="143"/>
        <v>3091635647043</v>
      </c>
      <c r="AS111" s="49">
        <f t="shared" ref="AS111" si="330">SUM(AC111:AR111)-(45*9)</f>
        <v>6183224113634</v>
      </c>
      <c r="AT111" s="49">
        <f t="shared" si="189"/>
        <v>12366353867241</v>
      </c>
      <c r="AU111" s="49">
        <f t="shared" ref="AU111:AY111" si="331">SUM(AE111:AT111)-(45*7)</f>
        <v>24732519015867</v>
      </c>
      <c r="AV111" s="49">
        <f t="shared" si="331"/>
        <v>49464660597337</v>
      </c>
      <c r="AW111" s="49">
        <f t="shared" si="331"/>
        <v>98928566331681</v>
      </c>
      <c r="AX111" s="49">
        <f t="shared" si="331"/>
        <v>197855622948888</v>
      </c>
      <c r="AY111" s="49">
        <f t="shared" si="331"/>
        <v>395708226491942</v>
      </c>
      <c r="AZ111" s="49">
        <f t="shared" ref="AZ111" si="332">SUM(AJ111:AY111)-(45*8)</f>
        <v>791410414218264</v>
      </c>
      <c r="BA111" s="49">
        <f t="shared" si="148"/>
        <v>1582808750997519</v>
      </c>
      <c r="BB111" s="49">
        <f t="shared" si="149"/>
        <v>3165593347301392</v>
      </c>
      <c r="BC111" s="49">
        <f t="shared" si="150"/>
        <v>6331138385584146</v>
      </c>
      <c r="BD111" s="49">
        <f t="shared" si="151"/>
        <v>1.2662180153868252E+16</v>
      </c>
      <c r="BE111" s="49">
        <f t="shared" ref="BE111" si="333">SUM(AO111:BD111)-(45*7)</f>
        <v>2.5324167074610948E+16</v>
      </c>
      <c r="BF111" s="49">
        <f t="shared" si="193"/>
        <v>5.0647947685919512E+16</v>
      </c>
      <c r="BG111" s="49">
        <f t="shared" ref="BG111:BH111" si="334">SUM(AQ111:BF111)-(45*7)</f>
        <v>1.0129512245113206E+17</v>
      </c>
      <c r="BH111" s="49">
        <f t="shared" si="334"/>
        <v>2.0258869907264541E+17</v>
      </c>
      <c r="BI111" s="49">
        <f t="shared" si="155"/>
        <v>4.0517430650964371E+17</v>
      </c>
      <c r="BJ111" s="49">
        <f t="shared" ref="BJ111" si="335">SUM(AT111:BI111)-(45*8)</f>
        <v>8.1034242979517376E+17</v>
      </c>
      <c r="BK111" s="49">
        <f t="shared" si="157"/>
        <v>1.6206724932364803E+18</v>
      </c>
      <c r="BL111" s="49">
        <f t="shared" ref="BL111:BO111" si="336">SUM(AV111:BK111)-(45*7)</f>
        <v>3.2413202539539446E+18</v>
      </c>
      <c r="BM111" s="49">
        <f t="shared" si="336"/>
        <v>6.4825910432472924E+18</v>
      </c>
      <c r="BN111" s="49">
        <f t="shared" si="336"/>
        <v>1.2965083157928253E+19</v>
      </c>
      <c r="BO111" s="49">
        <f t="shared" si="336"/>
        <v>2.5929968460233556E+19</v>
      </c>
      <c r="BP111" s="49">
        <f t="shared" ref="BP111" si="337">SUM(AZ111:BO111)-(45*6)</f>
        <v>5.1859541212240626E+19</v>
      </c>
      <c r="BQ111" s="49">
        <f t="shared" ref="BQ111" si="338">SUM(BA111:BP111)-(45*5)</f>
        <v>1.0371829101406703E+20</v>
      </c>
      <c r="BR111" s="49">
        <f t="shared" ref="BR111:BS111" si="339">SUM(BB111:BQ111)-(45*6)</f>
        <v>2.0743499921938304E+20</v>
      </c>
      <c r="BS111" s="49">
        <f t="shared" si="339"/>
        <v>4.1486683284541879E+20</v>
      </c>
      <c r="BT111" s="49">
        <f t="shared" ref="BT111:BU111" si="340">SUM(BD111:BS111)-(45*7)</f>
        <v>8.2972733455245194E+20</v>
      </c>
      <c r="BU111" s="49">
        <f t="shared" si="340"/>
        <v>1.65944200692475E+21</v>
      </c>
      <c r="BV111" s="49">
        <f t="shared" ref="BV111" si="341">SUM(BF111:BU111)-(45*6)</f>
        <v>3.3188586896824258E+21</v>
      </c>
    </row>
    <row r="112" spans="2:103" ht="17.25">
      <c r="B112" s="207"/>
      <c r="C112" s="44">
        <v>581</v>
      </c>
      <c r="D112" s="108" t="s">
        <v>349</v>
      </c>
      <c r="E112" s="48">
        <v>79</v>
      </c>
      <c r="F112" s="63">
        <v>90</v>
      </c>
      <c r="G112" s="63">
        <v>12</v>
      </c>
      <c r="H112" s="48">
        <f t="shared" si="119"/>
        <v>124</v>
      </c>
      <c r="I112" s="48">
        <v>23</v>
      </c>
      <c r="J112" s="49">
        <f t="shared" ref="J112" si="342">SUM(E112:I112)-(45*1)</f>
        <v>283</v>
      </c>
      <c r="K112" s="49">
        <f t="shared" ref="K112" si="343">SUM(E112:J112)-(45*2)</f>
        <v>521</v>
      </c>
      <c r="L112" s="49">
        <f t="shared" si="122"/>
        <v>997</v>
      </c>
      <c r="M112" s="49">
        <f t="shared" ref="M112" si="344">SUM(E112:L112)-(45*4)</f>
        <v>1949</v>
      </c>
      <c r="N112" s="49">
        <f t="shared" ref="N112" si="345">SUM(E112:M112)-(45*5)</f>
        <v>3853</v>
      </c>
      <c r="O112" s="49">
        <f t="shared" si="125"/>
        <v>7706</v>
      </c>
      <c r="P112" s="49">
        <f t="shared" si="126"/>
        <v>15367</v>
      </c>
      <c r="Q112" s="49">
        <f t="shared" ref="Q112" si="346">SUM(E112:P112)-(45*6)</f>
        <v>30734</v>
      </c>
      <c r="R112" s="49">
        <f t="shared" ref="R112" si="347">SUM(E112:Q112)-(45*6)</f>
        <v>61468</v>
      </c>
      <c r="S112" s="49">
        <f t="shared" ref="S112" si="348">SUM(E112:R112)-(45*7)</f>
        <v>122891</v>
      </c>
      <c r="T112" s="49">
        <f t="shared" ref="T112" si="349">SUM(E112:S112)-(45*7)</f>
        <v>245782</v>
      </c>
      <c r="U112" s="49">
        <f t="shared" ref="U112" si="350">SUM(E112:T112)-(45*7)</f>
        <v>491564</v>
      </c>
      <c r="V112" s="49">
        <f t="shared" ref="V112:Y112" si="351">SUM(F112:U112)-(45*8)</f>
        <v>983004</v>
      </c>
      <c r="W112" s="49">
        <f t="shared" si="351"/>
        <v>1965918</v>
      </c>
      <c r="X112" s="49">
        <f t="shared" si="351"/>
        <v>3931824</v>
      </c>
      <c r="Y112" s="49">
        <f t="shared" si="351"/>
        <v>7863524</v>
      </c>
      <c r="Z112" s="49">
        <f t="shared" ref="Z112:AC112" si="352">SUM(J112:Y112)-(45*7)</f>
        <v>15727070</v>
      </c>
      <c r="AA112" s="49">
        <f t="shared" si="352"/>
        <v>31453857</v>
      </c>
      <c r="AB112" s="49">
        <f t="shared" si="352"/>
        <v>62907193</v>
      </c>
      <c r="AC112" s="49">
        <f t="shared" si="352"/>
        <v>125813389</v>
      </c>
      <c r="AD112" s="49">
        <f t="shared" ref="AD112" si="353">SUM(N112:AC112)-(45*6)</f>
        <v>251624874</v>
      </c>
      <c r="AE112" s="49">
        <f t="shared" ref="AE112:AG112" si="354">SUM(O112:AD112)-(45*7)</f>
        <v>503245850</v>
      </c>
      <c r="AF112" s="49">
        <f t="shared" si="354"/>
        <v>1006483994</v>
      </c>
      <c r="AG112" s="49">
        <f t="shared" si="354"/>
        <v>2012952621</v>
      </c>
      <c r="AH112" s="49">
        <f t="shared" ref="AH112:AI112" si="355">SUM(R112:AG112)-(45*8)</f>
        <v>4025874463</v>
      </c>
      <c r="AI112" s="49">
        <f t="shared" si="355"/>
        <v>8051687458</v>
      </c>
      <c r="AJ112" s="49">
        <f t="shared" ref="AJ112:AK112" si="356">SUM(T112:AI112)-(45*9)</f>
        <v>16103251980</v>
      </c>
      <c r="AK112" s="49">
        <f t="shared" si="356"/>
        <v>32206258178</v>
      </c>
      <c r="AL112" s="49">
        <f t="shared" ref="AL112" si="357">SUM(V112:AK112)-(45*8)</f>
        <v>64412024837</v>
      </c>
      <c r="AM112" s="49">
        <f t="shared" ref="AM112" si="358">SUM(W112:AL112)-(45*7)</f>
        <v>128823066715</v>
      </c>
      <c r="AN112" s="49">
        <f t="shared" ref="AN112:AO112" si="359">SUM(X112:AM112)-(45*8)</f>
        <v>257644167467</v>
      </c>
      <c r="AO112" s="49">
        <f t="shared" si="359"/>
        <v>515284403110</v>
      </c>
      <c r="AP112" s="49">
        <f t="shared" ref="AP112" si="360">SUM(Z112:AO112)-(45*9)</f>
        <v>1030560942651</v>
      </c>
      <c r="AQ112" s="49">
        <f t="shared" si="142"/>
        <v>2061106158277</v>
      </c>
      <c r="AR112" s="49">
        <f t="shared" si="143"/>
        <v>4122180862697</v>
      </c>
      <c r="AS112" s="49">
        <f t="shared" ref="AS112" si="361">SUM(AC112:AR112)-(45*8)</f>
        <v>8244298818201</v>
      </c>
      <c r="AT112" s="49">
        <f t="shared" si="189"/>
        <v>16488471823013</v>
      </c>
      <c r="AU112" s="49">
        <f t="shared" ref="AU112:AV112" si="362">SUM(AE112:AT112)-(45*8)</f>
        <v>32976692021152</v>
      </c>
      <c r="AV112" s="49">
        <f t="shared" si="362"/>
        <v>65952880796454</v>
      </c>
      <c r="AW112" s="49">
        <f t="shared" ref="AW112" si="363">SUM(AG112:AV112)-(45*9)</f>
        <v>131904755108869</v>
      </c>
      <c r="AX112" s="49">
        <f t="shared" ref="AX112" si="364">SUM(AH112:AW112)-(45*8)</f>
        <v>263807497265162</v>
      </c>
      <c r="AY112" s="49">
        <f t="shared" ref="AY112:AZ112" si="365">SUM(AI112:AX112)-(45*7)</f>
        <v>527610968655906</v>
      </c>
      <c r="AZ112" s="49">
        <f t="shared" si="365"/>
        <v>1055213885624354</v>
      </c>
      <c r="BA112" s="49">
        <f t="shared" si="148"/>
        <v>2110411667996683</v>
      </c>
      <c r="BB112" s="49">
        <f t="shared" si="149"/>
        <v>4220791129735188</v>
      </c>
      <c r="BC112" s="49">
        <f t="shared" si="150"/>
        <v>8441517847445539</v>
      </c>
      <c r="BD112" s="49">
        <f t="shared" si="151"/>
        <v>1.6882906871824364E+16</v>
      </c>
      <c r="BE112" s="49">
        <f t="shared" ref="BE112" si="366">SUM(AO112:BD112)-(45*9)</f>
        <v>3.3765556099481216E+16</v>
      </c>
      <c r="BF112" s="49">
        <f t="shared" si="193"/>
        <v>6.7530596914559368E+16</v>
      </c>
      <c r="BG112" s="49">
        <f t="shared" ref="BG112" si="367">SUM(AQ112:BF112)-(45*8)</f>
        <v>1.350601632681761E+17</v>
      </c>
      <c r="BH112" s="49">
        <f t="shared" ref="BH112" si="368">SUM(AR112:BG112)-(45*9)</f>
        <v>2.7011826543019386E+17</v>
      </c>
      <c r="BI112" s="49">
        <f t="shared" si="155"/>
        <v>5.4023240867952499E+17</v>
      </c>
      <c r="BJ112" s="49">
        <f t="shared" ref="BJ112" si="369">SUM(AT112:BI112)-(45*9)</f>
        <v>1.0804565730602318E+18</v>
      </c>
      <c r="BK112" s="49">
        <f t="shared" si="157"/>
        <v>2.1608966576486408E+18</v>
      </c>
      <c r="BL112" s="49">
        <f t="shared" ref="BL112" si="370">SUM(AV112:BK112)-(45*9)</f>
        <v>4.3217603386052603E+18</v>
      </c>
      <c r="BM112" s="49">
        <f t="shared" ref="BM112" si="371">SUM(AW112:BL112)-(45*8)</f>
        <v>8.6434547243297239E+18</v>
      </c>
      <c r="BN112" s="49">
        <f t="shared" ref="BN112:BO112" si="372">SUM(AX112:BM112)-(45*9)</f>
        <v>1.728677754390434E+19</v>
      </c>
      <c r="BO112" s="49">
        <f t="shared" si="372"/>
        <v>3.4573291280311415E+19</v>
      </c>
      <c r="BP112" s="49">
        <f t="shared" ref="BP112:BS112" si="373">SUM(AZ112:BO112)-(45*8)</f>
        <v>6.9146054949654168E+19</v>
      </c>
      <c r="BQ112" s="49">
        <f t="shared" si="373"/>
        <v>1.3829105468542271E+20</v>
      </c>
      <c r="BR112" s="49">
        <f t="shared" si="373"/>
        <v>2.7657999895917743E+20</v>
      </c>
      <c r="BS112" s="49">
        <f t="shared" si="373"/>
        <v>5.531557771272251E+20</v>
      </c>
      <c r="BT112" s="49">
        <f t="shared" ref="BT112:BV112" si="374">SUM(BD112:BS112)-(45*7)</f>
        <v>1.1063031127366028E+21</v>
      </c>
      <c r="BU112" s="49">
        <f t="shared" si="374"/>
        <v>2.2125893425663338E+21</v>
      </c>
      <c r="BV112" s="49">
        <f t="shared" si="374"/>
        <v>4.4251449195765684E+21</v>
      </c>
    </row>
    <row r="113" spans="2:74" ht="17.25">
      <c r="B113" s="207"/>
      <c r="C113" s="44">
        <v>582</v>
      </c>
      <c r="D113" s="108" t="s">
        <v>350</v>
      </c>
      <c r="E113" s="48">
        <v>86</v>
      </c>
      <c r="F113" s="63">
        <v>97</v>
      </c>
      <c r="G113" s="63">
        <v>13</v>
      </c>
      <c r="H113" s="48">
        <f t="shared" si="119"/>
        <v>138</v>
      </c>
      <c r="I113" s="48">
        <v>24</v>
      </c>
      <c r="J113" s="49">
        <f t="shared" ref="J113" si="375">SUM(E113:I113)-(45*2)</f>
        <v>268</v>
      </c>
      <c r="K113" s="49">
        <f t="shared" ref="K113" si="376">SUM(E113:J113)-(45*3)</f>
        <v>491</v>
      </c>
      <c r="L113" s="49">
        <f t="shared" si="122"/>
        <v>982</v>
      </c>
      <c r="M113" s="49">
        <f t="shared" ref="M113" si="377">SUM(E113:L113)-(45*3)</f>
        <v>1964</v>
      </c>
      <c r="N113" s="49">
        <f t="shared" ref="N113" si="378">SUM(E113:M113)-(45*4)</f>
        <v>3883</v>
      </c>
      <c r="O113" s="49">
        <f t="shared" si="125"/>
        <v>7721</v>
      </c>
      <c r="P113" s="49">
        <f t="shared" si="126"/>
        <v>15397</v>
      </c>
      <c r="Q113" s="49">
        <f t="shared" ref="Q113" si="379">SUM(E113:P113)-(45*7)</f>
        <v>30749</v>
      </c>
      <c r="R113" s="49">
        <f t="shared" ref="R113" si="380">SUM(E113:Q113)-(45*8)</f>
        <v>61453</v>
      </c>
      <c r="S113" s="49">
        <f t="shared" ref="S113" si="381">SUM(E113:R113)-(45*8)</f>
        <v>122906</v>
      </c>
      <c r="T113" s="49">
        <f t="shared" ref="T113" si="382">SUM(E113:S113)-(45*9)</f>
        <v>245767</v>
      </c>
      <c r="U113" s="49">
        <f t="shared" ref="U113" si="383">SUM(E113:T113)-(45*9)</f>
        <v>491534</v>
      </c>
      <c r="V113" s="49">
        <f t="shared" ref="V113:W113" si="384">SUM(F113:U113)-(45*8)</f>
        <v>983027</v>
      </c>
      <c r="W113" s="49">
        <f t="shared" si="384"/>
        <v>1965957</v>
      </c>
      <c r="X113" s="49">
        <f t="shared" ref="X113" si="385">SUM(H113:W113)-(45*9)</f>
        <v>3931856</v>
      </c>
      <c r="Y113" s="49">
        <f t="shared" ref="Y113:Z113" si="386">SUM(I113:X113)-(45*10)</f>
        <v>7863529</v>
      </c>
      <c r="Z113" s="49">
        <f t="shared" si="386"/>
        <v>15727034</v>
      </c>
      <c r="AA113" s="49">
        <f t="shared" ref="AA113" si="387">SUM(K113:Z113)-(45*9)</f>
        <v>31453845</v>
      </c>
      <c r="AB113" s="49">
        <f t="shared" ref="AB113" si="388">SUM(L113:AA113)-(45*9)</f>
        <v>62907199</v>
      </c>
      <c r="AC113" s="49">
        <f t="shared" ref="AC113" si="389">SUM(M113:AB113)-(45*9)</f>
        <v>125813416</v>
      </c>
      <c r="AD113" s="49">
        <f t="shared" ref="AD113" si="390">SUM(N113:AC113)-(45*9)</f>
        <v>251624868</v>
      </c>
      <c r="AE113" s="49">
        <f t="shared" ref="AE113" si="391">SUM(O113:AD113)-(45*9)</f>
        <v>503245853</v>
      </c>
      <c r="AF113" s="49">
        <f t="shared" ref="AF113" si="392">SUM(P113:AE113)-(45*9)</f>
        <v>1006483985</v>
      </c>
      <c r="AG113" s="49">
        <f t="shared" ref="AG113" si="393">SUM(Q113:AF113)-(45*8)</f>
        <v>2012952618</v>
      </c>
      <c r="AH113" s="49">
        <f t="shared" ref="AH113:AI113" si="394">SUM(R113:AG113)-(45*9)</f>
        <v>4025874442</v>
      </c>
      <c r="AI113" s="49">
        <f t="shared" si="394"/>
        <v>8051687431</v>
      </c>
      <c r="AJ113" s="49">
        <f t="shared" ref="AJ113" si="395">SUM(T113:AI113)-(45*8)</f>
        <v>16103252001</v>
      </c>
      <c r="AK113" s="49">
        <f t="shared" ref="AK113:AL113" si="396">SUM(U113:AJ113)-(45*9)</f>
        <v>32206258190</v>
      </c>
      <c r="AL113" s="49">
        <f t="shared" si="396"/>
        <v>64412024846</v>
      </c>
      <c r="AM113" s="49">
        <f t="shared" ref="AM113:AN113" si="397">SUM(W113:AL113)-(45*8)</f>
        <v>128823066710</v>
      </c>
      <c r="AN113" s="49">
        <f t="shared" si="397"/>
        <v>257644167463</v>
      </c>
      <c r="AO113" s="49">
        <f t="shared" ref="AO113" si="398">SUM(Y113:AN113)-(45*7)</f>
        <v>515284403115</v>
      </c>
      <c r="AP113" s="49">
        <f t="shared" ref="AP113" si="399">SUM(Z113:AO113)-(45*8)</f>
        <v>1030560942656</v>
      </c>
      <c r="AQ113" s="49">
        <f t="shared" si="142"/>
        <v>2061106158278</v>
      </c>
      <c r="AR113" s="49">
        <f t="shared" si="143"/>
        <v>4122180862711</v>
      </c>
      <c r="AS113" s="49">
        <f t="shared" ref="AS113" si="400">SUM(AC113:AR113)-(45*9)</f>
        <v>8244298818178</v>
      </c>
      <c r="AT113" s="49">
        <f t="shared" si="189"/>
        <v>16488471822985</v>
      </c>
      <c r="AU113" s="49">
        <f t="shared" ref="AU113:AY113" si="401">SUM(AE113:AT113)-(45*7)</f>
        <v>32976692021147</v>
      </c>
      <c r="AV113" s="49">
        <f t="shared" si="401"/>
        <v>65952880796441</v>
      </c>
      <c r="AW113" s="49">
        <f t="shared" si="401"/>
        <v>131904755108897</v>
      </c>
      <c r="AX113" s="49">
        <f t="shared" si="401"/>
        <v>263807497265176</v>
      </c>
      <c r="AY113" s="49">
        <f t="shared" si="401"/>
        <v>527610968655910</v>
      </c>
      <c r="AZ113" s="49">
        <f t="shared" ref="AZ113" si="402">SUM(AJ113:AY113)-(45*8)</f>
        <v>1055213885624344</v>
      </c>
      <c r="BA113" s="49">
        <f t="shared" si="148"/>
        <v>2110411667996687</v>
      </c>
      <c r="BB113" s="49">
        <f t="shared" si="149"/>
        <v>4220791129735184</v>
      </c>
      <c r="BC113" s="49">
        <f t="shared" si="150"/>
        <v>8441517847445522</v>
      </c>
      <c r="BD113" s="49">
        <f t="shared" si="151"/>
        <v>1.6882906871824334E+16</v>
      </c>
      <c r="BE113" s="49">
        <f t="shared" ref="BE113" si="403">SUM(AO113:BD113)-(45*7)</f>
        <v>3.3765556099481252E+16</v>
      </c>
      <c r="BF113" s="49">
        <f t="shared" si="193"/>
        <v>6.7530596914559336E+16</v>
      </c>
      <c r="BG113" s="49">
        <f t="shared" ref="BG113:BH113" si="404">SUM(AQ113:BF113)-(45*7)</f>
        <v>1.3506016326817606E+17</v>
      </c>
      <c r="BH113" s="49">
        <f t="shared" si="404"/>
        <v>2.7011826543019386E+17</v>
      </c>
      <c r="BI113" s="49">
        <f t="shared" si="155"/>
        <v>5.4023240867952493E+17</v>
      </c>
      <c r="BJ113" s="49">
        <f t="shared" ref="BJ113" si="405">SUM(AT113:BI113)-(45*8)</f>
        <v>1.0804565730602317E+18</v>
      </c>
      <c r="BK113" s="49">
        <f t="shared" si="157"/>
        <v>2.1608966576486405E+18</v>
      </c>
      <c r="BL113" s="49">
        <f t="shared" ref="BL113:BO113" si="406">SUM(AV113:BK113)-(45*7)</f>
        <v>4.3217603386052593E+18</v>
      </c>
      <c r="BM113" s="49">
        <f t="shared" si="406"/>
        <v>8.6434547243297229E+18</v>
      </c>
      <c r="BN113" s="49">
        <f t="shared" si="406"/>
        <v>1.7286777543904338E+19</v>
      </c>
      <c r="BO113" s="49">
        <f t="shared" si="406"/>
        <v>3.4573291280311411E+19</v>
      </c>
      <c r="BP113" s="49">
        <f t="shared" ref="BP113" si="407">SUM(AZ113:BO113)-(45*6)</f>
        <v>6.9146054949654168E+19</v>
      </c>
      <c r="BQ113" s="49">
        <f t="shared" ref="BQ113" si="408">SUM(BA113:BP113)-(45*5)</f>
        <v>1.3829105468542271E+20</v>
      </c>
      <c r="BR113" s="49">
        <f t="shared" ref="BR113:BS113" si="409">SUM(BB113:BQ113)-(45*6)</f>
        <v>2.7657999895917743E+20</v>
      </c>
      <c r="BS113" s="49">
        <f t="shared" si="409"/>
        <v>5.531557771272251E+20</v>
      </c>
      <c r="BT113" s="49">
        <f t="shared" ref="BT113:BU113" si="410">SUM(BD113:BS113)-(45*7)</f>
        <v>1.1063031127366028E+21</v>
      </c>
      <c r="BU113" s="49">
        <f t="shared" si="410"/>
        <v>2.2125893425663338E+21</v>
      </c>
      <c r="BV113" s="49">
        <f t="shared" ref="BV113" si="411">SUM(BF113:BU113)-(45*6)</f>
        <v>4.4251449195765684E+21</v>
      </c>
    </row>
    <row r="114" spans="2:74" ht="17.25">
      <c r="B114" s="207"/>
      <c r="C114" s="44">
        <v>583</v>
      </c>
      <c r="D114" s="108" t="s">
        <v>351</v>
      </c>
      <c r="E114" s="48">
        <v>93</v>
      </c>
      <c r="F114" s="63">
        <v>104</v>
      </c>
      <c r="G114" s="63">
        <v>14</v>
      </c>
      <c r="H114" s="48">
        <f t="shared" si="119"/>
        <v>152</v>
      </c>
      <c r="I114" s="48">
        <v>25</v>
      </c>
      <c r="J114" s="49">
        <f t="shared" ref="J114" si="412">SUM(E114:I114)-(45*1)</f>
        <v>343</v>
      </c>
      <c r="K114" s="49">
        <f t="shared" ref="K114" si="413">SUM(E114:J114)-(45*2)</f>
        <v>641</v>
      </c>
      <c r="L114" s="49">
        <f t="shared" si="122"/>
        <v>1237</v>
      </c>
      <c r="M114" s="49">
        <f t="shared" ref="M114" si="414">SUM(E114:L114)-(45*4)</f>
        <v>2429</v>
      </c>
      <c r="N114" s="49">
        <f t="shared" ref="N114" si="415">SUM(E114:M114)-(45*5)</f>
        <v>4813</v>
      </c>
      <c r="O114" s="49">
        <f t="shared" si="125"/>
        <v>9626</v>
      </c>
      <c r="P114" s="49">
        <f t="shared" si="126"/>
        <v>19207</v>
      </c>
      <c r="Q114" s="49">
        <f t="shared" ref="Q114" si="416">SUM(E114:P114)-(45*6)</f>
        <v>38414</v>
      </c>
      <c r="R114" s="49">
        <f t="shared" ref="R114" si="417">SUM(E114:Q114)-(45*6)</f>
        <v>76828</v>
      </c>
      <c r="S114" s="49">
        <f t="shared" ref="S114" si="418">SUM(E114:R114)-(45*7)</f>
        <v>153611</v>
      </c>
      <c r="T114" s="49">
        <f t="shared" ref="T114" si="419">SUM(E114:S114)-(45*7)</f>
        <v>307222</v>
      </c>
      <c r="U114" s="49">
        <f t="shared" ref="U114" si="420">SUM(E114:T114)-(45*7)</f>
        <v>614444</v>
      </c>
      <c r="V114" s="49">
        <f t="shared" ref="V114:Y114" si="421">SUM(F114:U114)-(45*8)</f>
        <v>1228750</v>
      </c>
      <c r="W114" s="49">
        <f t="shared" si="421"/>
        <v>2457396</v>
      </c>
      <c r="X114" s="49">
        <f t="shared" si="421"/>
        <v>4914778</v>
      </c>
      <c r="Y114" s="49">
        <f t="shared" si="421"/>
        <v>9829404</v>
      </c>
      <c r="Z114" s="49">
        <f t="shared" ref="Z114:AC114" si="422">SUM(J114:Y114)-(45*7)</f>
        <v>19658828</v>
      </c>
      <c r="AA114" s="49">
        <f t="shared" si="422"/>
        <v>39317313</v>
      </c>
      <c r="AB114" s="49">
        <f t="shared" si="422"/>
        <v>78633985</v>
      </c>
      <c r="AC114" s="49">
        <f t="shared" si="422"/>
        <v>157266733</v>
      </c>
      <c r="AD114" s="49">
        <f t="shared" ref="AD114" si="423">SUM(N114:AC114)-(45*6)</f>
        <v>314531082</v>
      </c>
      <c r="AE114" s="49">
        <f t="shared" ref="AE114:AG114" si="424">SUM(O114:AD114)-(45*7)</f>
        <v>629057306</v>
      </c>
      <c r="AF114" s="49">
        <f t="shared" si="424"/>
        <v>1258104986</v>
      </c>
      <c r="AG114" s="49">
        <f t="shared" si="424"/>
        <v>2516190765</v>
      </c>
      <c r="AH114" s="49">
        <f t="shared" ref="AH114:AI114" si="425">SUM(R114:AG114)-(45*8)</f>
        <v>5032343071</v>
      </c>
      <c r="AI114" s="49">
        <f t="shared" si="425"/>
        <v>10064609314</v>
      </c>
      <c r="AJ114" s="49">
        <f t="shared" ref="AJ114:AK114" si="426">SUM(T114:AI114)-(45*9)</f>
        <v>20129064972</v>
      </c>
      <c r="AK114" s="49">
        <f t="shared" si="426"/>
        <v>40257822722</v>
      </c>
      <c r="AL114" s="49">
        <f t="shared" ref="AL114" si="427">SUM(V114:AK114)-(45*8)</f>
        <v>80515031045</v>
      </c>
      <c r="AM114" s="49">
        <f t="shared" ref="AM114" si="428">SUM(W114:AL114)-(45*7)</f>
        <v>161028833385</v>
      </c>
      <c r="AN114" s="49">
        <f t="shared" ref="AN114:AO114" si="429">SUM(X114:AM114)-(45*8)</f>
        <v>322055209329</v>
      </c>
      <c r="AO114" s="49">
        <f t="shared" si="429"/>
        <v>644105503880</v>
      </c>
      <c r="AP114" s="49">
        <f t="shared" ref="AP114" si="430">SUM(Z114:AO114)-(45*9)</f>
        <v>1288201178311</v>
      </c>
      <c r="AQ114" s="49">
        <f t="shared" si="142"/>
        <v>2576382697839</v>
      </c>
      <c r="AR114" s="49">
        <f t="shared" si="143"/>
        <v>5152726078365</v>
      </c>
      <c r="AS114" s="49">
        <f t="shared" ref="AS114" si="431">SUM(AC114:AR114)-(45*8)</f>
        <v>10305373522745</v>
      </c>
      <c r="AT114" s="49">
        <f t="shared" si="189"/>
        <v>20610589778757</v>
      </c>
      <c r="AU114" s="49">
        <f t="shared" ref="AU114:AV114" si="432">SUM(AE114:AT114)-(45*8)</f>
        <v>41220865026432</v>
      </c>
      <c r="AV114" s="49">
        <f t="shared" si="432"/>
        <v>82441100995558</v>
      </c>
      <c r="AW114" s="49">
        <f t="shared" ref="AW114" si="433">SUM(AG114:AV114)-(45*9)</f>
        <v>164880943886085</v>
      </c>
      <c r="AX114" s="49">
        <f t="shared" ref="AX114" si="434">SUM(AH114:AW114)-(45*8)</f>
        <v>329759371581450</v>
      </c>
      <c r="AY114" s="49">
        <f t="shared" ref="AY114:AZ114" si="435">SUM(AI114:AX114)-(45*7)</f>
        <v>659513710819874</v>
      </c>
      <c r="AZ114" s="49">
        <f t="shared" si="435"/>
        <v>1319017357030434</v>
      </c>
      <c r="BA114" s="49">
        <f t="shared" si="148"/>
        <v>2638014584995851</v>
      </c>
      <c r="BB114" s="49">
        <f t="shared" si="149"/>
        <v>5275988912168980</v>
      </c>
      <c r="BC114" s="49">
        <f t="shared" si="150"/>
        <v>1.0551897309306916E+16</v>
      </c>
      <c r="BD114" s="49">
        <f t="shared" si="151"/>
        <v>2.1103633589780448E+16</v>
      </c>
      <c r="BE114" s="49">
        <f t="shared" ref="BE114" si="436">SUM(AO114:BD114)-(45*9)</f>
        <v>4.2206945124351512E+16</v>
      </c>
      <c r="BF114" s="49">
        <f t="shared" si="193"/>
        <v>8.44132461431992E+16</v>
      </c>
      <c r="BG114" s="49">
        <f t="shared" ref="BG114" si="437">SUM(AQ114:BF114)-(45*8)</f>
        <v>1.688252040852201E+17</v>
      </c>
      <c r="BH114" s="49">
        <f t="shared" ref="BH114" si="438">SUM(AR114:BG114)-(45*9)</f>
        <v>3.3764783178774234E+17</v>
      </c>
      <c r="BI114" s="49">
        <f t="shared" si="155"/>
        <v>6.7529051084940634E+17</v>
      </c>
      <c r="BJ114" s="49">
        <f t="shared" ref="BJ114" si="439">SUM(AT114:BI114)-(45*9)</f>
        <v>1.3505707163252897E+18</v>
      </c>
      <c r="BK114" s="49">
        <f t="shared" si="157"/>
        <v>2.7011208220608005E+18</v>
      </c>
      <c r="BL114" s="49">
        <f t="shared" ref="BL114" si="440">SUM(AV114:BK114)-(45*9)</f>
        <v>5.402200423256576E+18</v>
      </c>
      <c r="BM114" s="49">
        <f t="shared" ref="BM114" si="441">SUM(AW114:BL114)-(45*8)</f>
        <v>1.0804318405412155E+19</v>
      </c>
      <c r="BN114" s="49">
        <f t="shared" ref="BN114:BO114" si="442">SUM(AX114:BM114)-(45*9)</f>
        <v>2.1608471929880424E+19</v>
      </c>
      <c r="BO114" s="49">
        <f t="shared" si="442"/>
        <v>4.3216614100389265E+19</v>
      </c>
      <c r="BP114" s="49">
        <f t="shared" ref="BP114:BS114" si="443">SUM(AZ114:BO114)-(45*8)</f>
        <v>8.6432568687067709E+19</v>
      </c>
      <c r="BQ114" s="49">
        <f t="shared" si="443"/>
        <v>1.728638183567784E+20</v>
      </c>
      <c r="BR114" s="49">
        <f t="shared" si="443"/>
        <v>3.4572499869897182E+20</v>
      </c>
      <c r="BS114" s="49">
        <f t="shared" si="443"/>
        <v>6.9144472140903141E+20</v>
      </c>
      <c r="BT114" s="49">
        <f t="shared" ref="BT114:BV114" si="444">SUM(BD114:BS114)-(45*7)</f>
        <v>1.3828788909207535E+21</v>
      </c>
      <c r="BU114" s="49">
        <f t="shared" si="444"/>
        <v>2.7657366782079171E+21</v>
      </c>
      <c r="BV114" s="49">
        <f t="shared" si="444"/>
        <v>5.53143114947071E+21</v>
      </c>
    </row>
    <row r="115" spans="2:74" ht="17.25">
      <c r="B115" s="207"/>
      <c r="C115" s="44">
        <v>584</v>
      </c>
      <c r="D115" s="108" t="s">
        <v>352</v>
      </c>
      <c r="E115" s="48">
        <v>100</v>
      </c>
      <c r="F115" s="63">
        <v>111</v>
      </c>
      <c r="G115" s="63">
        <v>15</v>
      </c>
      <c r="H115" s="48">
        <f t="shared" si="119"/>
        <v>166</v>
      </c>
      <c r="I115" s="48">
        <v>26</v>
      </c>
      <c r="J115" s="49">
        <f t="shared" ref="J115" si="445">SUM(E115:I115)-(45*2)</f>
        <v>328</v>
      </c>
      <c r="K115" s="49">
        <f t="shared" ref="K115" si="446">SUM(E115:J115)-(45*3)</f>
        <v>611</v>
      </c>
      <c r="L115" s="49">
        <f t="shared" si="122"/>
        <v>1222</v>
      </c>
      <c r="M115" s="49">
        <f t="shared" ref="M115" si="447">SUM(E115:L115)-(45*3)</f>
        <v>2444</v>
      </c>
      <c r="N115" s="49">
        <f t="shared" ref="N115" si="448">SUM(E115:M115)-(45*4)</f>
        <v>4843</v>
      </c>
      <c r="O115" s="49">
        <f t="shared" si="125"/>
        <v>9641</v>
      </c>
      <c r="P115" s="49">
        <f t="shared" si="126"/>
        <v>19237</v>
      </c>
      <c r="Q115" s="49">
        <f t="shared" ref="Q115" si="449">SUM(E115:P115)-(45*7)</f>
        <v>38429</v>
      </c>
      <c r="R115" s="49">
        <f t="shared" ref="R115" si="450">SUM(E115:Q115)-(45*8)</f>
        <v>76813</v>
      </c>
      <c r="S115" s="49">
        <f t="shared" ref="S115" si="451">SUM(E115:R115)-(45*8)</f>
        <v>153626</v>
      </c>
      <c r="T115" s="49">
        <f t="shared" ref="T115" si="452">SUM(E115:S115)-(45*9)</f>
        <v>307207</v>
      </c>
      <c r="U115" s="49">
        <f t="shared" ref="U115" si="453">SUM(E115:T115)-(45*9)</f>
        <v>614414</v>
      </c>
      <c r="V115" s="49">
        <f t="shared" ref="V115:W115" si="454">SUM(F115:U115)-(45*8)</f>
        <v>1228773</v>
      </c>
      <c r="W115" s="49">
        <f t="shared" si="454"/>
        <v>2457435</v>
      </c>
      <c r="X115" s="49">
        <f t="shared" ref="X115" si="455">SUM(H115:W115)-(45*9)</f>
        <v>4914810</v>
      </c>
      <c r="Y115" s="49">
        <f t="shared" ref="Y115:Z115" si="456">SUM(I115:X115)-(45*10)</f>
        <v>9829409</v>
      </c>
      <c r="Z115" s="49">
        <f t="shared" si="456"/>
        <v>19658792</v>
      </c>
      <c r="AA115" s="49">
        <f t="shared" ref="AA115" si="457">SUM(K115:Z115)-(45*9)</f>
        <v>39317301</v>
      </c>
      <c r="AB115" s="49">
        <f t="shared" ref="AB115" si="458">SUM(L115:AA115)-(45*9)</f>
        <v>78633991</v>
      </c>
      <c r="AC115" s="49">
        <f t="shared" ref="AC115" si="459">SUM(M115:AB115)-(45*9)</f>
        <v>157266760</v>
      </c>
      <c r="AD115" s="49">
        <f t="shared" ref="AD115" si="460">SUM(N115:AC115)-(45*9)</f>
        <v>314531076</v>
      </c>
      <c r="AE115" s="49">
        <f t="shared" ref="AE115" si="461">SUM(O115:AD115)-(45*9)</f>
        <v>629057309</v>
      </c>
      <c r="AF115" s="49">
        <f t="shared" ref="AF115" si="462">SUM(P115:AE115)-(45*9)</f>
        <v>1258104977</v>
      </c>
      <c r="AG115" s="49">
        <f t="shared" ref="AG115" si="463">SUM(Q115:AF115)-(45*8)</f>
        <v>2516190762</v>
      </c>
      <c r="AH115" s="49">
        <f t="shared" ref="AH115:AI115" si="464">SUM(R115:AG115)-(45*9)</f>
        <v>5032343050</v>
      </c>
      <c r="AI115" s="49">
        <f t="shared" si="464"/>
        <v>10064609287</v>
      </c>
      <c r="AJ115" s="49">
        <f t="shared" ref="AJ115" si="465">SUM(T115:AI115)-(45*8)</f>
        <v>20129064993</v>
      </c>
      <c r="AK115" s="49">
        <f t="shared" ref="AK115:AL115" si="466">SUM(U115:AJ115)-(45*9)</f>
        <v>40257822734</v>
      </c>
      <c r="AL115" s="49">
        <f t="shared" si="466"/>
        <v>80515031054</v>
      </c>
      <c r="AM115" s="49">
        <f t="shared" ref="AM115:AN115" si="467">SUM(W115:AL115)-(45*8)</f>
        <v>161028833380</v>
      </c>
      <c r="AN115" s="49">
        <f t="shared" si="467"/>
        <v>322055209325</v>
      </c>
      <c r="AO115" s="49">
        <f t="shared" ref="AO115" si="468">SUM(Y115:AN115)-(45*7)</f>
        <v>644105503885</v>
      </c>
      <c r="AP115" s="49">
        <f t="shared" ref="AP115" si="469">SUM(Z115:AO115)-(45*8)</f>
        <v>1288201178316</v>
      </c>
      <c r="AQ115" s="49">
        <f t="shared" si="142"/>
        <v>2576382697840</v>
      </c>
      <c r="AR115" s="49">
        <f t="shared" si="143"/>
        <v>5152726078379</v>
      </c>
      <c r="AS115" s="49">
        <f t="shared" ref="AS115" si="470">SUM(AC115:AR115)-(45*9)</f>
        <v>10305373522722</v>
      </c>
      <c r="AT115" s="49">
        <f t="shared" si="189"/>
        <v>20610589778729</v>
      </c>
      <c r="AU115" s="49">
        <f t="shared" ref="AU115:AY115" si="471">SUM(AE115:AT115)-(45*7)</f>
        <v>41220865026427</v>
      </c>
      <c r="AV115" s="49">
        <f t="shared" si="471"/>
        <v>82441100995545</v>
      </c>
      <c r="AW115" s="49">
        <f t="shared" si="471"/>
        <v>164880943886113</v>
      </c>
      <c r="AX115" s="49">
        <f t="shared" si="471"/>
        <v>329759371581464</v>
      </c>
      <c r="AY115" s="49">
        <f t="shared" si="471"/>
        <v>659513710819878</v>
      </c>
      <c r="AZ115" s="49">
        <f t="shared" ref="AZ115" si="472">SUM(AJ115:AY115)-(45*8)</f>
        <v>1319017357030424</v>
      </c>
      <c r="BA115" s="49">
        <f t="shared" si="148"/>
        <v>2638014584995855</v>
      </c>
      <c r="BB115" s="49">
        <f t="shared" si="149"/>
        <v>5275988912168976</v>
      </c>
      <c r="BC115" s="49">
        <f t="shared" si="150"/>
        <v>1.0551897309306898E+16</v>
      </c>
      <c r="BD115" s="49">
        <f t="shared" si="151"/>
        <v>2.1103633589780416E+16</v>
      </c>
      <c r="BE115" s="49">
        <f t="shared" ref="BE115" si="473">SUM(AO115:BD115)-(45*7)</f>
        <v>4.2206945124351552E+16</v>
      </c>
      <c r="BF115" s="49">
        <f t="shared" si="193"/>
        <v>8.4413246143199168E+16</v>
      </c>
      <c r="BG115" s="49">
        <f t="shared" ref="BG115:BH115" si="474">SUM(AQ115:BF115)-(45*7)</f>
        <v>1.6882520408522006E+17</v>
      </c>
      <c r="BH115" s="49">
        <f t="shared" si="474"/>
        <v>3.3764783178774227E+17</v>
      </c>
      <c r="BI115" s="49">
        <f t="shared" si="155"/>
        <v>6.7529051084940608E+17</v>
      </c>
      <c r="BJ115" s="49">
        <f t="shared" ref="BJ115" si="475">SUM(AT115:BI115)-(45*8)</f>
        <v>1.3505707163252897E+18</v>
      </c>
      <c r="BK115" s="49">
        <f t="shared" si="157"/>
        <v>2.7011208220608005E+18</v>
      </c>
      <c r="BL115" s="49">
        <f t="shared" ref="BL115:BO115" si="476">SUM(AV115:BK115)-(45*7)</f>
        <v>5.402200423256574E+18</v>
      </c>
      <c r="BM115" s="49">
        <f t="shared" si="476"/>
        <v>1.0804318405412153E+19</v>
      </c>
      <c r="BN115" s="49">
        <f t="shared" si="476"/>
        <v>2.160847192988042E+19</v>
      </c>
      <c r="BO115" s="49">
        <f t="shared" si="476"/>
        <v>4.3216614100389257E+19</v>
      </c>
      <c r="BP115" s="49">
        <f t="shared" ref="BP115" si="477">SUM(AZ115:BO115)-(45*6)</f>
        <v>8.6432568687067693E+19</v>
      </c>
      <c r="BQ115" s="49">
        <f t="shared" ref="BQ115" si="478">SUM(BA115:BP115)-(45*5)</f>
        <v>1.7286381835677837E+20</v>
      </c>
      <c r="BR115" s="49">
        <f t="shared" ref="BR115:BS115" si="479">SUM(BB115:BQ115)-(45*6)</f>
        <v>3.4572499869897169E+20</v>
      </c>
      <c r="BS115" s="49">
        <f t="shared" si="479"/>
        <v>6.9144472140903127E+20</v>
      </c>
      <c r="BT115" s="49">
        <f t="shared" ref="BT115:BU115" si="480">SUM(BD115:BS115)-(45*7)</f>
        <v>1.3828788909207532E+21</v>
      </c>
      <c r="BU115" s="49">
        <f t="shared" si="480"/>
        <v>2.7657366782079166E+21</v>
      </c>
      <c r="BV115" s="49">
        <f t="shared" ref="BV115" si="481">SUM(BF115:BU115)-(45*6)</f>
        <v>5.5314311494707089E+21</v>
      </c>
    </row>
    <row r="116" spans="2:74" ht="17.25">
      <c r="B116" s="207"/>
      <c r="C116" s="44">
        <v>585</v>
      </c>
      <c r="D116" s="108" t="s">
        <v>353</v>
      </c>
      <c r="E116" s="48">
        <v>107</v>
      </c>
      <c r="F116" s="63">
        <v>118</v>
      </c>
      <c r="G116" s="63">
        <v>16</v>
      </c>
      <c r="H116" s="48">
        <f t="shared" si="119"/>
        <v>180</v>
      </c>
      <c r="I116" s="48">
        <v>27</v>
      </c>
      <c r="J116" s="49">
        <f t="shared" ref="J116" si="482">SUM(E116:I116)-(45*1)</f>
        <v>403</v>
      </c>
      <c r="K116" s="49">
        <f t="shared" ref="K116" si="483">SUM(E116:J116)-(45*2)</f>
        <v>761</v>
      </c>
      <c r="L116" s="49">
        <f t="shared" si="122"/>
        <v>1477</v>
      </c>
      <c r="M116" s="49">
        <f t="shared" ref="M116" si="484">SUM(E116:L116)-(45*4)</f>
        <v>2909</v>
      </c>
      <c r="N116" s="49">
        <f t="shared" ref="N116" si="485">SUM(E116:M116)-(45*5)</f>
        <v>5773</v>
      </c>
      <c r="O116" s="49">
        <f t="shared" si="125"/>
        <v>11546</v>
      </c>
      <c r="P116" s="49">
        <f t="shared" si="126"/>
        <v>23047</v>
      </c>
      <c r="Q116" s="49">
        <f t="shared" ref="Q116" si="486">SUM(E116:P116)-(45*6)</f>
        <v>46094</v>
      </c>
      <c r="R116" s="49">
        <f t="shared" ref="R116" si="487">SUM(E116:Q116)-(45*6)</f>
        <v>92188</v>
      </c>
      <c r="S116" s="49">
        <f t="shared" ref="S116" si="488">SUM(E116:R116)-(45*7)</f>
        <v>184331</v>
      </c>
      <c r="T116" s="49">
        <f t="shared" ref="T116" si="489">SUM(E116:S116)-(45*7)</f>
        <v>368662</v>
      </c>
      <c r="U116" s="49">
        <f t="shared" ref="U116" si="490">SUM(E116:T116)-(45*7)</f>
        <v>737324</v>
      </c>
      <c r="V116" s="49">
        <f t="shared" ref="V116:Y116" si="491">SUM(F116:U116)-(45*8)</f>
        <v>1474496</v>
      </c>
      <c r="W116" s="49">
        <f t="shared" si="491"/>
        <v>2948874</v>
      </c>
      <c r="X116" s="49">
        <f t="shared" si="491"/>
        <v>5897732</v>
      </c>
      <c r="Y116" s="49">
        <f t="shared" si="491"/>
        <v>11795284</v>
      </c>
      <c r="Z116" s="49">
        <f t="shared" ref="Z116:AC116" si="492">SUM(J116:Y116)-(45*7)</f>
        <v>23590586</v>
      </c>
      <c r="AA116" s="49">
        <f t="shared" si="492"/>
        <v>47180769</v>
      </c>
      <c r="AB116" s="49">
        <f t="shared" si="492"/>
        <v>94360777</v>
      </c>
      <c r="AC116" s="49">
        <f t="shared" si="492"/>
        <v>188720077</v>
      </c>
      <c r="AD116" s="49">
        <f t="shared" ref="AD116" si="493">SUM(N116:AC116)-(45*6)</f>
        <v>377437290</v>
      </c>
      <c r="AE116" s="49">
        <f t="shared" ref="AE116:AG116" si="494">SUM(O116:AD116)-(45*7)</f>
        <v>754868762</v>
      </c>
      <c r="AF116" s="49">
        <f t="shared" si="494"/>
        <v>1509725978</v>
      </c>
      <c r="AG116" s="49">
        <f t="shared" si="494"/>
        <v>3019428909</v>
      </c>
      <c r="AH116" s="49">
        <f t="shared" ref="AH116:AI116" si="495">SUM(R116:AG116)-(45*8)</f>
        <v>6038811679</v>
      </c>
      <c r="AI116" s="49">
        <f t="shared" si="495"/>
        <v>12077531170</v>
      </c>
      <c r="AJ116" s="49">
        <f t="shared" ref="AJ116:AK116" si="496">SUM(T116:AI116)-(45*9)</f>
        <v>24154877964</v>
      </c>
      <c r="AK116" s="49">
        <f t="shared" si="496"/>
        <v>48309387266</v>
      </c>
      <c r="AL116" s="49">
        <f t="shared" ref="AL116" si="497">SUM(V116:AK116)-(45*8)</f>
        <v>96618037253</v>
      </c>
      <c r="AM116" s="49">
        <f t="shared" ref="AM116" si="498">SUM(W116:AL116)-(45*7)</f>
        <v>193234600055</v>
      </c>
      <c r="AN116" s="49">
        <f t="shared" ref="AN116:AO116" si="499">SUM(X116:AM116)-(45*8)</f>
        <v>386466251191</v>
      </c>
      <c r="AO116" s="49">
        <f t="shared" si="499"/>
        <v>772926604650</v>
      </c>
      <c r="AP116" s="49">
        <f t="shared" ref="AP116" si="500">SUM(Z116:AO116)-(45*9)</f>
        <v>1545841413971</v>
      </c>
      <c r="AQ116" s="49">
        <f t="shared" si="142"/>
        <v>3091659237401</v>
      </c>
      <c r="AR116" s="49">
        <f t="shared" si="143"/>
        <v>6183271294033</v>
      </c>
      <c r="AS116" s="49">
        <f t="shared" ref="AS116" si="501">SUM(AC116:AR116)-(45*8)</f>
        <v>12366448227289</v>
      </c>
      <c r="AT116" s="49">
        <f t="shared" si="189"/>
        <v>24732707734501</v>
      </c>
      <c r="AU116" s="49">
        <f t="shared" ref="AU116:AV116" si="502">SUM(AE116:AT116)-(45*8)</f>
        <v>49465038031712</v>
      </c>
      <c r="AV116" s="49">
        <f t="shared" si="502"/>
        <v>98929321194662</v>
      </c>
      <c r="AW116" s="49">
        <f t="shared" ref="AW116" si="503">SUM(AG116:AV116)-(45*9)</f>
        <v>197857132663301</v>
      </c>
      <c r="AX116" s="49">
        <f t="shared" ref="AX116" si="504">SUM(AH116:AW116)-(45*8)</f>
        <v>395711245897738</v>
      </c>
      <c r="AY116" s="49">
        <f t="shared" ref="AY116:AZ116" si="505">SUM(AI116:AX116)-(45*7)</f>
        <v>791416452983842</v>
      </c>
      <c r="AZ116" s="49">
        <f t="shared" si="505"/>
        <v>1582820828436514</v>
      </c>
      <c r="BA116" s="49">
        <f t="shared" si="148"/>
        <v>3165617501995019</v>
      </c>
      <c r="BB116" s="49">
        <f t="shared" si="149"/>
        <v>6331186694602772</v>
      </c>
      <c r="BC116" s="49">
        <f t="shared" si="150"/>
        <v>1.2662276771168292E+16</v>
      </c>
      <c r="BD116" s="49">
        <f t="shared" si="151"/>
        <v>2.5324360307736528E+16</v>
      </c>
      <c r="BE116" s="49">
        <f t="shared" ref="BE116" si="506">SUM(AO116:BD116)-(45*9)</f>
        <v>5.0648334149221816E+16</v>
      </c>
      <c r="BF116" s="49">
        <f t="shared" si="193"/>
        <v>1.0129589537183904E+17</v>
      </c>
      <c r="BG116" s="49">
        <f t="shared" ref="BG116" si="507">SUM(AQ116:BF116)-(45*8)</f>
        <v>2.025902449022641E+17</v>
      </c>
      <c r="BH116" s="49">
        <f t="shared" ref="BH116" si="508">SUM(AR116:BG116)-(45*9)</f>
        <v>4.0517739814529075E+17</v>
      </c>
      <c r="BI116" s="49">
        <f t="shared" si="155"/>
        <v>8.1034861301928742E+17</v>
      </c>
      <c r="BJ116" s="49">
        <f t="shared" ref="BJ116" si="509">SUM(AT116:BI116)-(45*9)</f>
        <v>1.6206848595903475E+18</v>
      </c>
      <c r="BK116" s="49">
        <f t="shared" si="157"/>
        <v>3.2413449864729605E+18</v>
      </c>
      <c r="BL116" s="49">
        <f t="shared" ref="BL116" si="510">SUM(AV116:BK116)-(45*9)</f>
        <v>6.4826405079078892E+18</v>
      </c>
      <c r="BM116" s="49">
        <f t="shared" ref="BM116" si="511">SUM(AW116:BL116)-(45*8)</f>
        <v>1.2965182086494585E+19</v>
      </c>
      <c r="BN116" s="49">
        <f t="shared" ref="BN116:BO116" si="512">SUM(AX116:BM116)-(45*9)</f>
        <v>2.5930166315856507E+19</v>
      </c>
      <c r="BO116" s="49">
        <f t="shared" si="512"/>
        <v>5.1859936920467112E+19</v>
      </c>
      <c r="BP116" s="49">
        <f t="shared" ref="BP116:BS116" si="513">SUM(AZ116:BO116)-(45*8)</f>
        <v>1.0371908242448125E+20</v>
      </c>
      <c r="BQ116" s="49">
        <f t="shared" si="513"/>
        <v>2.0743658202813406E+20</v>
      </c>
      <c r="BR116" s="49">
        <f t="shared" si="513"/>
        <v>4.1486999843876608E+20</v>
      </c>
      <c r="BS116" s="49">
        <f t="shared" si="513"/>
        <v>8.2973366569083758E+20</v>
      </c>
      <c r="BT116" s="49">
        <f t="shared" ref="BT116:BV116" si="514">SUM(BD116:BS116)-(45*7)</f>
        <v>1.6594546691049039E+21</v>
      </c>
      <c r="BU116" s="49">
        <f t="shared" si="514"/>
        <v>3.3188840138494999E+21</v>
      </c>
      <c r="BV116" s="49">
        <f t="shared" si="514"/>
        <v>6.6377173793648515E+21</v>
      </c>
    </row>
    <row r="117" spans="2:74" ht="17.25">
      <c r="B117" s="207"/>
      <c r="C117" s="44">
        <v>586</v>
      </c>
      <c r="D117" s="108" t="s">
        <v>354</v>
      </c>
      <c r="E117" s="48">
        <v>114</v>
      </c>
      <c r="F117" s="63">
        <v>125</v>
      </c>
      <c r="G117" s="63">
        <v>17</v>
      </c>
      <c r="H117" s="48">
        <f t="shared" si="119"/>
        <v>194</v>
      </c>
      <c r="I117" s="48">
        <v>28</v>
      </c>
      <c r="J117" s="49">
        <f t="shared" ref="J117" si="515">SUM(E117:I117)-(45*2)</f>
        <v>388</v>
      </c>
      <c r="K117" s="49">
        <f t="shared" ref="K117" si="516">SUM(E117:J117)-(45*3)</f>
        <v>731</v>
      </c>
      <c r="L117" s="49">
        <f t="shared" si="122"/>
        <v>1462</v>
      </c>
      <c r="M117" s="49">
        <f t="shared" ref="M117" si="517">SUM(E117:L117)-(45*3)</f>
        <v>2924</v>
      </c>
      <c r="N117" s="49">
        <f t="shared" ref="N117" si="518">SUM(E117:M117)-(45*4)</f>
        <v>5803</v>
      </c>
      <c r="O117" s="49">
        <f t="shared" si="125"/>
        <v>11561</v>
      </c>
      <c r="P117" s="49">
        <f t="shared" si="126"/>
        <v>23077</v>
      </c>
      <c r="Q117" s="49">
        <f t="shared" ref="Q117" si="519">SUM(E117:P117)-(45*7)</f>
        <v>46109</v>
      </c>
      <c r="R117" s="49">
        <f t="shared" ref="R117" si="520">SUM(E117:Q117)-(45*8)</f>
        <v>92173</v>
      </c>
      <c r="S117" s="49">
        <f t="shared" ref="S117" si="521">SUM(E117:R117)-(45*8)</f>
        <v>184346</v>
      </c>
      <c r="T117" s="49">
        <f t="shared" ref="T117" si="522">SUM(E117:S117)-(45*9)</f>
        <v>368647</v>
      </c>
      <c r="U117" s="49">
        <f t="shared" ref="U117" si="523">SUM(E117:T117)-(45*9)</f>
        <v>737294</v>
      </c>
      <c r="V117" s="49">
        <f t="shared" ref="V117:W117" si="524">SUM(F117:U117)-(45*8)</f>
        <v>1474519</v>
      </c>
      <c r="W117" s="49">
        <f t="shared" si="524"/>
        <v>2948913</v>
      </c>
      <c r="X117" s="49">
        <f t="shared" ref="X117" si="525">SUM(H117:W117)-(45*9)</f>
        <v>5897764</v>
      </c>
      <c r="Y117" s="49">
        <f t="shared" ref="Y117:Z117" si="526">SUM(I117:X117)-(45*10)</f>
        <v>11795289</v>
      </c>
      <c r="Z117" s="49">
        <f t="shared" si="526"/>
        <v>23590550</v>
      </c>
      <c r="AA117" s="49">
        <f t="shared" ref="AA117" si="527">SUM(K117:Z117)-(45*9)</f>
        <v>47180757</v>
      </c>
      <c r="AB117" s="49">
        <f t="shared" ref="AB117" si="528">SUM(L117:AA117)-(45*9)</f>
        <v>94360783</v>
      </c>
      <c r="AC117" s="49">
        <f t="shared" ref="AC117" si="529">SUM(M117:AB117)-(45*9)</f>
        <v>188720104</v>
      </c>
      <c r="AD117" s="49">
        <f t="shared" ref="AD117" si="530">SUM(N117:AC117)-(45*9)</f>
        <v>377437284</v>
      </c>
      <c r="AE117" s="49">
        <f t="shared" ref="AE117" si="531">SUM(O117:AD117)-(45*9)</f>
        <v>754868765</v>
      </c>
      <c r="AF117" s="49">
        <f t="shared" ref="AF117" si="532">SUM(P117:AE117)-(45*9)</f>
        <v>1509725969</v>
      </c>
      <c r="AG117" s="49">
        <f t="shared" ref="AG117" si="533">SUM(Q117:AF117)-(45*8)</f>
        <v>3019428906</v>
      </c>
      <c r="AH117" s="49">
        <f t="shared" ref="AH117:AI117" si="534">SUM(R117:AG117)-(45*9)</f>
        <v>6038811658</v>
      </c>
      <c r="AI117" s="49">
        <f t="shared" si="534"/>
        <v>12077531143</v>
      </c>
      <c r="AJ117" s="49">
        <f t="shared" ref="AJ117" si="535">SUM(T117:AI117)-(45*8)</f>
        <v>24154877985</v>
      </c>
      <c r="AK117" s="49">
        <f t="shared" ref="AK117:AL117" si="536">SUM(U117:AJ117)-(45*9)</f>
        <v>48309387278</v>
      </c>
      <c r="AL117" s="49">
        <f t="shared" si="536"/>
        <v>96618037262</v>
      </c>
      <c r="AM117" s="49">
        <f t="shared" ref="AM117:AN117" si="537">SUM(W117:AL117)-(45*8)</f>
        <v>193234600050</v>
      </c>
      <c r="AN117" s="49">
        <f t="shared" si="537"/>
        <v>386466251187</v>
      </c>
      <c r="AO117" s="49">
        <f t="shared" ref="AO117" si="538">SUM(Y117:AN117)-(45*7)</f>
        <v>772926604655</v>
      </c>
      <c r="AP117" s="49">
        <f t="shared" ref="AP117" si="539">SUM(Z117:AO117)-(45*8)</f>
        <v>1545841413976</v>
      </c>
      <c r="AQ117" s="49">
        <f t="shared" si="142"/>
        <v>3091659237402</v>
      </c>
      <c r="AR117" s="49">
        <f t="shared" si="143"/>
        <v>6183271294047</v>
      </c>
      <c r="AS117" s="49">
        <f t="shared" ref="AS117" si="540">SUM(AC117:AR117)-(45*9)</f>
        <v>12366448227266</v>
      </c>
      <c r="AT117" s="49">
        <f t="shared" si="189"/>
        <v>24732707734473</v>
      </c>
      <c r="AU117" s="49">
        <f t="shared" ref="AU117:AY117" si="541">SUM(AE117:AT117)-(45*7)</f>
        <v>49465038031707</v>
      </c>
      <c r="AV117" s="49">
        <f t="shared" si="541"/>
        <v>98929321194649</v>
      </c>
      <c r="AW117" s="49">
        <f t="shared" si="541"/>
        <v>197857132663329</v>
      </c>
      <c r="AX117" s="49">
        <f t="shared" si="541"/>
        <v>395711245897752</v>
      </c>
      <c r="AY117" s="49">
        <f t="shared" si="541"/>
        <v>791416452983846</v>
      </c>
      <c r="AZ117" s="49">
        <f t="shared" ref="AZ117" si="542">SUM(AJ117:AY117)-(45*8)</f>
        <v>1582820828436504</v>
      </c>
      <c r="BA117" s="49">
        <f t="shared" si="148"/>
        <v>3165617501995023</v>
      </c>
      <c r="BB117" s="49">
        <f t="shared" si="149"/>
        <v>6331186694602768</v>
      </c>
      <c r="BC117" s="49">
        <f t="shared" si="150"/>
        <v>1.2662276771168274E+16</v>
      </c>
      <c r="BD117" s="49">
        <f t="shared" si="151"/>
        <v>2.5324360307736496E+16</v>
      </c>
      <c r="BE117" s="49">
        <f t="shared" ref="BE117" si="543">SUM(AO117:BD117)-(45*7)</f>
        <v>5.0648334149221856E+16</v>
      </c>
      <c r="BF117" s="49">
        <f t="shared" si="193"/>
        <v>1.0129589537183901E+17</v>
      </c>
      <c r="BG117" s="49">
        <f t="shared" ref="BG117:BH117" si="544">SUM(AQ117:BF117)-(45*7)</f>
        <v>2.0259024490226406E+17</v>
      </c>
      <c r="BH117" s="49">
        <f t="shared" si="544"/>
        <v>4.0517739814529075E+17</v>
      </c>
      <c r="BI117" s="49">
        <f t="shared" si="155"/>
        <v>8.1034861301928742E+17</v>
      </c>
      <c r="BJ117" s="49">
        <f t="shared" ref="BJ117" si="545">SUM(AT117:BI117)-(45*8)</f>
        <v>1.6206848595903475E+18</v>
      </c>
      <c r="BK117" s="49">
        <f t="shared" si="157"/>
        <v>3.2413449864729605E+18</v>
      </c>
      <c r="BL117" s="49">
        <f t="shared" ref="BL117:BO117" si="546">SUM(AV117:BK117)-(45*7)</f>
        <v>6.4826405079078892E+18</v>
      </c>
      <c r="BM117" s="49">
        <f t="shared" si="546"/>
        <v>1.2965182086494585E+19</v>
      </c>
      <c r="BN117" s="49">
        <f t="shared" si="546"/>
        <v>2.5930166315856503E+19</v>
      </c>
      <c r="BO117" s="49">
        <f t="shared" si="546"/>
        <v>5.1859936920467112E+19</v>
      </c>
      <c r="BP117" s="49">
        <f t="shared" ref="BP117" si="547">SUM(AZ117:BO117)-(45*6)</f>
        <v>1.0371908242448123E+20</v>
      </c>
      <c r="BQ117" s="49">
        <f t="shared" ref="BQ117" si="548">SUM(BA117:BP117)-(45*5)</f>
        <v>2.0743658202813406E+20</v>
      </c>
      <c r="BR117" s="49">
        <f t="shared" ref="BR117:BS117" si="549">SUM(BB117:BQ117)-(45*6)</f>
        <v>4.1486999843876608E+20</v>
      </c>
      <c r="BS117" s="49">
        <f t="shared" si="549"/>
        <v>8.2973366569083758E+20</v>
      </c>
      <c r="BT117" s="49">
        <f t="shared" ref="BT117:BU117" si="550">SUM(BD117:BS117)-(45*7)</f>
        <v>1.6594546691049039E+21</v>
      </c>
      <c r="BU117" s="49">
        <f t="shared" si="550"/>
        <v>3.3188840138494999E+21</v>
      </c>
      <c r="BV117" s="49">
        <f t="shared" ref="BV117" si="551">SUM(BF117:BU117)-(45*6)</f>
        <v>6.6377173793648505E+21</v>
      </c>
    </row>
    <row r="118" spans="2:74" ht="17.25">
      <c r="B118" s="207"/>
      <c r="C118" s="44">
        <v>587</v>
      </c>
      <c r="D118" s="108" t="s">
        <v>355</v>
      </c>
      <c r="E118" s="48">
        <v>121</v>
      </c>
      <c r="F118" s="63">
        <v>132</v>
      </c>
      <c r="G118" s="63">
        <v>18</v>
      </c>
      <c r="H118" s="48">
        <f t="shared" si="119"/>
        <v>208</v>
      </c>
      <c r="I118" s="48">
        <v>29</v>
      </c>
      <c r="J118" s="49">
        <f t="shared" ref="J118" si="552">SUM(E118:I118)-(45*1)</f>
        <v>463</v>
      </c>
      <c r="K118" s="49">
        <f t="shared" ref="K118" si="553">SUM(E118:J118)-(45*2)</f>
        <v>881</v>
      </c>
      <c r="L118" s="49">
        <f t="shared" si="122"/>
        <v>1717</v>
      </c>
      <c r="M118" s="49">
        <f t="shared" ref="M118" si="554">SUM(E118:L118)-(45*4)</f>
        <v>3389</v>
      </c>
      <c r="N118" s="49">
        <f t="shared" ref="N118" si="555">SUM(E118:M118)-(45*5)</f>
        <v>6733</v>
      </c>
      <c r="O118" s="49">
        <f t="shared" si="125"/>
        <v>13466</v>
      </c>
      <c r="P118" s="49">
        <f t="shared" si="126"/>
        <v>26887</v>
      </c>
      <c r="Q118" s="49">
        <f t="shared" ref="Q118" si="556">SUM(E118:P118)-(45*6)</f>
        <v>53774</v>
      </c>
      <c r="R118" s="49">
        <f t="shared" ref="R118" si="557">SUM(E118:Q118)-(45*6)</f>
        <v>107548</v>
      </c>
      <c r="S118" s="49">
        <f t="shared" ref="S118" si="558">SUM(E118:R118)-(45*7)</f>
        <v>215051</v>
      </c>
      <c r="T118" s="49">
        <f t="shared" ref="T118" si="559">SUM(E118:S118)-(45*7)</f>
        <v>430102</v>
      </c>
      <c r="U118" s="49">
        <f t="shared" ref="U118" si="560">SUM(E118:T118)-(45*7)</f>
        <v>860204</v>
      </c>
      <c r="V118" s="49">
        <f t="shared" ref="V118:Y118" si="561">SUM(F118:U118)-(45*8)</f>
        <v>1720242</v>
      </c>
      <c r="W118" s="49">
        <f t="shared" si="561"/>
        <v>3440352</v>
      </c>
      <c r="X118" s="49">
        <f t="shared" si="561"/>
        <v>6880686</v>
      </c>
      <c r="Y118" s="49">
        <f t="shared" si="561"/>
        <v>13761164</v>
      </c>
      <c r="Z118" s="49">
        <f t="shared" ref="Z118:AC118" si="562">SUM(J118:Y118)-(45*7)</f>
        <v>27522344</v>
      </c>
      <c r="AA118" s="49">
        <f t="shared" si="562"/>
        <v>55044225</v>
      </c>
      <c r="AB118" s="49">
        <f t="shared" si="562"/>
        <v>110087569</v>
      </c>
      <c r="AC118" s="49">
        <f t="shared" si="562"/>
        <v>220173421</v>
      </c>
      <c r="AD118" s="49">
        <f t="shared" ref="AD118" si="563">SUM(N118:AC118)-(45*6)</f>
        <v>440343498</v>
      </c>
      <c r="AE118" s="49">
        <f t="shared" ref="AE118:AG118" si="564">SUM(O118:AD118)-(45*7)</f>
        <v>880680218</v>
      </c>
      <c r="AF118" s="49">
        <f t="shared" si="564"/>
        <v>1761346970</v>
      </c>
      <c r="AG118" s="49">
        <f t="shared" si="564"/>
        <v>3522667053</v>
      </c>
      <c r="AH118" s="49">
        <f t="shared" ref="AH118:AI118" si="565">SUM(R118:AG118)-(45*8)</f>
        <v>7045280287</v>
      </c>
      <c r="AI118" s="49">
        <f t="shared" si="565"/>
        <v>14090453026</v>
      </c>
      <c r="AJ118" s="49">
        <f t="shared" ref="AJ118:AK118" si="566">SUM(T118:AI118)-(45*9)</f>
        <v>28180690956</v>
      </c>
      <c r="AK118" s="49">
        <f t="shared" si="566"/>
        <v>56360951810</v>
      </c>
      <c r="AL118" s="49">
        <f t="shared" ref="AL118" si="567">SUM(V118:AK118)-(45*8)</f>
        <v>112721043461</v>
      </c>
      <c r="AM118" s="49">
        <f t="shared" ref="AM118" si="568">SUM(W118:AL118)-(45*7)</f>
        <v>225440366725</v>
      </c>
      <c r="AN118" s="49">
        <f t="shared" ref="AN118:AO118" si="569">SUM(X118:AM118)-(45*8)</f>
        <v>450877293053</v>
      </c>
      <c r="AO118" s="49">
        <f t="shared" si="569"/>
        <v>901747705420</v>
      </c>
      <c r="AP118" s="49">
        <f t="shared" ref="AP118" si="570">SUM(Z118:AO118)-(45*9)</f>
        <v>1803481649631</v>
      </c>
      <c r="AQ118" s="49">
        <f t="shared" si="142"/>
        <v>3606935776963</v>
      </c>
      <c r="AR118" s="49">
        <f t="shared" si="143"/>
        <v>7213816509701</v>
      </c>
      <c r="AS118" s="49">
        <f t="shared" ref="AS118" si="571">SUM(AC118:AR118)-(45*8)</f>
        <v>14427522931833</v>
      </c>
      <c r="AT118" s="49">
        <f t="shared" si="189"/>
        <v>28854825690245</v>
      </c>
      <c r="AU118" s="49">
        <f t="shared" ref="AU118:AV118" si="572">SUM(AE118:AT118)-(45*8)</f>
        <v>57709211036992</v>
      </c>
      <c r="AV118" s="49">
        <f t="shared" si="572"/>
        <v>115417541393766</v>
      </c>
      <c r="AW118" s="49">
        <f t="shared" ref="AW118" si="573">SUM(AG118:AV118)-(45*9)</f>
        <v>230833321440517</v>
      </c>
      <c r="AX118" s="49">
        <f t="shared" ref="AX118" si="574">SUM(AH118:AW118)-(45*8)</f>
        <v>461663120214026</v>
      </c>
      <c r="AY118" s="49">
        <f t="shared" ref="AY118:AZ118" si="575">SUM(AI118:AX118)-(45*7)</f>
        <v>923319195147810</v>
      </c>
      <c r="AZ118" s="49">
        <f t="shared" si="575"/>
        <v>1846624299842594</v>
      </c>
      <c r="BA118" s="49">
        <f t="shared" si="148"/>
        <v>3693220418994187</v>
      </c>
      <c r="BB118" s="49">
        <f t="shared" si="149"/>
        <v>7386384477036564</v>
      </c>
      <c r="BC118" s="49">
        <f t="shared" si="150"/>
        <v>1.4772656233029668E+16</v>
      </c>
      <c r="BD118" s="49">
        <f t="shared" si="151"/>
        <v>2.9545087025692608E+16</v>
      </c>
      <c r="BE118" s="49">
        <f t="shared" ref="BE118" si="576">SUM(AO118:BD118)-(45*9)</f>
        <v>5.908972317409212E+16</v>
      </c>
      <c r="BF118" s="49">
        <f t="shared" si="193"/>
        <v>1.1817854460047888E+17</v>
      </c>
      <c r="BG118" s="49">
        <f t="shared" ref="BG118" si="577">SUM(AQ118:BF118)-(45*8)</f>
        <v>2.3635528571930813E+17</v>
      </c>
      <c r="BH118" s="49">
        <f t="shared" ref="BH118" si="578">SUM(AR118:BG118)-(45*9)</f>
        <v>4.727069645028393E+17</v>
      </c>
      <c r="BI118" s="49">
        <f t="shared" si="155"/>
        <v>9.454067151891689E+17</v>
      </c>
      <c r="BJ118" s="49">
        <f t="shared" ref="BJ118" si="579">SUM(AT118:BI118)-(45*9)</f>
        <v>1.8907990028554058E+18</v>
      </c>
      <c r="BK118" s="49">
        <f t="shared" si="157"/>
        <v>3.7815691508851215E+18</v>
      </c>
      <c r="BL118" s="49">
        <f t="shared" ref="BL118" si="580">SUM(AV118:BK118)-(45*9)</f>
        <v>7.5630805925592064E+18</v>
      </c>
      <c r="BM118" s="49">
        <f t="shared" ref="BM118" si="581">SUM(AW118:BL118)-(45*8)</f>
        <v>1.5126045767577018E+19</v>
      </c>
      <c r="BN118" s="49">
        <f t="shared" ref="BN118:BO118" si="582">SUM(AX118:BM118)-(45*9)</f>
        <v>3.0251860701832598E+19</v>
      </c>
      <c r="BO118" s="49">
        <f t="shared" si="582"/>
        <v>6.0503259740544975E+19</v>
      </c>
      <c r="BP118" s="49">
        <f t="shared" ref="BP118:BS118" si="583">SUM(AZ118:BO118)-(45*8)</f>
        <v>1.2100559616189481E+20</v>
      </c>
      <c r="BQ118" s="49">
        <f t="shared" si="583"/>
        <v>2.4200934569948978E+20</v>
      </c>
      <c r="BR118" s="49">
        <f t="shared" si="583"/>
        <v>4.8401499817856054E+20</v>
      </c>
      <c r="BS118" s="49">
        <f t="shared" si="583"/>
        <v>9.6802260997264402E+20</v>
      </c>
      <c r="BT118" s="49">
        <f t="shared" ref="BT118:BV118" si="584">SUM(BD118:BS118)-(45*7)</f>
        <v>1.9360304472890551E+21</v>
      </c>
      <c r="BU118" s="49">
        <f t="shared" si="584"/>
        <v>3.8720313494910843E+21</v>
      </c>
      <c r="BV118" s="49">
        <f t="shared" si="584"/>
        <v>7.7440036092589942E+21</v>
      </c>
    </row>
    <row r="119" spans="2:74" ht="17.25">
      <c r="B119" s="207"/>
      <c r="C119" s="44">
        <v>588</v>
      </c>
      <c r="D119" s="108" t="s">
        <v>356</v>
      </c>
      <c r="E119" s="48">
        <v>128</v>
      </c>
      <c r="F119" s="63">
        <v>139</v>
      </c>
      <c r="G119" s="63">
        <v>19</v>
      </c>
      <c r="H119" s="48">
        <f t="shared" si="119"/>
        <v>222</v>
      </c>
      <c r="I119" s="48">
        <v>30</v>
      </c>
      <c r="J119" s="49">
        <f t="shared" ref="J119" si="585">SUM(E119:I119)-(45*2)</f>
        <v>448</v>
      </c>
      <c r="K119" s="49">
        <f t="shared" ref="K119" si="586">SUM(E119:J119)-(45*3)</f>
        <v>851</v>
      </c>
      <c r="L119" s="49">
        <f t="shared" si="122"/>
        <v>1702</v>
      </c>
      <c r="M119" s="49">
        <f t="shared" ref="M119" si="587">SUM(E119:L119)-(45*3)</f>
        <v>3404</v>
      </c>
      <c r="N119" s="49">
        <f t="shared" ref="N119" si="588">SUM(E119:M119)-(45*4)</f>
        <v>6763</v>
      </c>
      <c r="O119" s="49">
        <f t="shared" si="125"/>
        <v>13481</v>
      </c>
      <c r="P119" s="49">
        <f t="shared" si="126"/>
        <v>26917</v>
      </c>
      <c r="Q119" s="49">
        <f t="shared" ref="Q119" si="589">SUM(E119:P119)-(45*7)</f>
        <v>53789</v>
      </c>
      <c r="R119" s="49">
        <f t="shared" ref="R119" si="590">SUM(E119:Q119)-(45*8)</f>
        <v>107533</v>
      </c>
      <c r="S119" s="49">
        <f t="shared" ref="S119" si="591">SUM(E119:R119)-(45*8)</f>
        <v>215066</v>
      </c>
      <c r="T119" s="49">
        <f t="shared" ref="T119" si="592">SUM(E119:S119)-(45*9)</f>
        <v>430087</v>
      </c>
      <c r="U119" s="49">
        <f t="shared" ref="U119" si="593">SUM(E119:T119)-(45*9)</f>
        <v>860174</v>
      </c>
      <c r="V119" s="49">
        <f t="shared" ref="V119:W119" si="594">SUM(F119:U119)-(45*8)</f>
        <v>1720265</v>
      </c>
      <c r="W119" s="49">
        <f t="shared" si="594"/>
        <v>3440391</v>
      </c>
      <c r="X119" s="49">
        <f t="shared" ref="X119" si="595">SUM(H119:W119)-(45*9)</f>
        <v>6880718</v>
      </c>
      <c r="Y119" s="49">
        <f t="shared" ref="Y119:Z119" si="596">SUM(I119:X119)-(45*10)</f>
        <v>13761169</v>
      </c>
      <c r="Z119" s="49">
        <f t="shared" si="596"/>
        <v>27522308</v>
      </c>
      <c r="AA119" s="49">
        <f t="shared" ref="AA119" si="597">SUM(K119:Z119)-(45*9)</f>
        <v>55044213</v>
      </c>
      <c r="AB119" s="49">
        <f t="shared" ref="AB119" si="598">SUM(L119:AA119)-(45*9)</f>
        <v>110087575</v>
      </c>
      <c r="AC119" s="49">
        <f t="shared" ref="AC119" si="599">SUM(M119:AB119)-(45*9)</f>
        <v>220173448</v>
      </c>
      <c r="AD119" s="49">
        <f t="shared" ref="AD119" si="600">SUM(N119:AC119)-(45*9)</f>
        <v>440343492</v>
      </c>
      <c r="AE119" s="49">
        <f t="shared" ref="AE119" si="601">SUM(O119:AD119)-(45*9)</f>
        <v>880680221</v>
      </c>
      <c r="AF119" s="49">
        <f t="shared" ref="AF119" si="602">SUM(P119:AE119)-(45*9)</f>
        <v>1761346961</v>
      </c>
      <c r="AG119" s="49">
        <f t="shared" ref="AG119" si="603">SUM(Q119:AF119)-(45*8)</f>
        <v>3522667050</v>
      </c>
      <c r="AH119" s="49">
        <f t="shared" ref="AH119:AI119" si="604">SUM(R119:AG119)-(45*9)</f>
        <v>7045280266</v>
      </c>
      <c r="AI119" s="49">
        <f t="shared" si="604"/>
        <v>14090452999</v>
      </c>
      <c r="AJ119" s="49">
        <f t="shared" ref="AJ119" si="605">SUM(T119:AI119)-(45*8)</f>
        <v>28180690977</v>
      </c>
      <c r="AK119" s="49">
        <f t="shared" ref="AK119:AL119" si="606">SUM(U119:AJ119)-(45*9)</f>
        <v>56360951822</v>
      </c>
      <c r="AL119" s="49">
        <f t="shared" si="606"/>
        <v>112721043470</v>
      </c>
      <c r="AM119" s="49">
        <f t="shared" ref="AM119:AN119" si="607">SUM(W119:AL119)-(45*8)</f>
        <v>225440366720</v>
      </c>
      <c r="AN119" s="49">
        <f t="shared" si="607"/>
        <v>450877293049</v>
      </c>
      <c r="AO119" s="49">
        <f t="shared" ref="AO119" si="608">SUM(Y119:AN119)-(45*7)</f>
        <v>901747705425</v>
      </c>
      <c r="AP119" s="49">
        <f t="shared" ref="AP119" si="609">SUM(Z119:AO119)-(45*8)</f>
        <v>1803481649636</v>
      </c>
      <c r="AQ119" s="49">
        <f t="shared" si="142"/>
        <v>3606935776964</v>
      </c>
      <c r="AR119" s="49">
        <f t="shared" si="143"/>
        <v>7213816509715</v>
      </c>
      <c r="AS119" s="49">
        <f t="shared" ref="AS119" si="610">SUM(AC119:AR119)-(45*9)</f>
        <v>14427522931810</v>
      </c>
      <c r="AT119" s="49">
        <f t="shared" si="189"/>
        <v>28854825690217</v>
      </c>
      <c r="AU119" s="49">
        <f t="shared" ref="AU119:AY119" si="611">SUM(AE119:AT119)-(45*7)</f>
        <v>57709211036987</v>
      </c>
      <c r="AV119" s="49">
        <f t="shared" si="611"/>
        <v>115417541393753</v>
      </c>
      <c r="AW119" s="49">
        <f t="shared" si="611"/>
        <v>230833321440545</v>
      </c>
      <c r="AX119" s="49">
        <f t="shared" si="611"/>
        <v>461663120214040</v>
      </c>
      <c r="AY119" s="49">
        <f t="shared" si="611"/>
        <v>923319195147814</v>
      </c>
      <c r="AZ119" s="49">
        <f t="shared" ref="AZ119" si="612">SUM(AJ119:AY119)-(45*8)</f>
        <v>1846624299842584</v>
      </c>
      <c r="BA119" s="49">
        <f t="shared" si="148"/>
        <v>3693220418994191</v>
      </c>
      <c r="BB119" s="49">
        <f t="shared" si="149"/>
        <v>7386384477036560</v>
      </c>
      <c r="BC119" s="49">
        <f t="shared" si="150"/>
        <v>1.477265623302965E+16</v>
      </c>
      <c r="BD119" s="49">
        <f t="shared" si="151"/>
        <v>2.954508702569258E+16</v>
      </c>
      <c r="BE119" s="49">
        <f t="shared" ref="BE119" si="613">SUM(AO119:BD119)-(45*7)</f>
        <v>5.9089723174092152E+16</v>
      </c>
      <c r="BF119" s="49">
        <f t="shared" si="193"/>
        <v>1.1817854460047885E+17</v>
      </c>
      <c r="BG119" s="49">
        <f t="shared" ref="BG119:BH119" si="614">SUM(AQ119:BF119)-(45*7)</f>
        <v>2.363552857193081E+17</v>
      </c>
      <c r="BH119" s="49">
        <f t="shared" si="614"/>
        <v>4.7270696450283923E+17</v>
      </c>
      <c r="BI119" s="49">
        <f t="shared" si="155"/>
        <v>9.4540671518916877E+17</v>
      </c>
      <c r="BJ119" s="49">
        <f t="shared" ref="BJ119" si="615">SUM(AT119:BI119)-(45*8)</f>
        <v>1.8907990028554058E+18</v>
      </c>
      <c r="BK119" s="49">
        <f t="shared" si="157"/>
        <v>3.7815691508851215E+18</v>
      </c>
      <c r="BL119" s="49">
        <f t="shared" ref="BL119:BO119" si="616">SUM(AV119:BK119)-(45*7)</f>
        <v>7.5630805925592064E+18</v>
      </c>
      <c r="BM119" s="49">
        <f t="shared" si="616"/>
        <v>1.5126045767577018E+19</v>
      </c>
      <c r="BN119" s="49">
        <f t="shared" si="616"/>
        <v>3.0251860701832598E+19</v>
      </c>
      <c r="BO119" s="49">
        <f t="shared" si="616"/>
        <v>6.0503259740544975E+19</v>
      </c>
      <c r="BP119" s="49">
        <f t="shared" ref="BP119" si="617">SUM(AZ119:BO119)-(45*6)</f>
        <v>1.2100559616189481E+20</v>
      </c>
      <c r="BQ119" s="49">
        <f t="shared" ref="BQ119" si="618">SUM(BA119:BP119)-(45*5)</f>
        <v>2.4200934569948978E+20</v>
      </c>
      <c r="BR119" s="49">
        <f t="shared" ref="BR119:BS119" si="619">SUM(BB119:BQ119)-(45*6)</f>
        <v>4.8401499817856054E+20</v>
      </c>
      <c r="BS119" s="49">
        <f t="shared" si="619"/>
        <v>9.6802260997264402E+20</v>
      </c>
      <c r="BT119" s="49">
        <f t="shared" ref="BT119:BU119" si="620">SUM(BD119:BS119)-(45*7)</f>
        <v>1.9360304472890551E+21</v>
      </c>
      <c r="BU119" s="49">
        <f t="shared" si="620"/>
        <v>3.8720313494910843E+21</v>
      </c>
      <c r="BV119" s="49">
        <f t="shared" ref="BV119" si="621">SUM(BF119:BU119)-(45*6)</f>
        <v>7.7440036092589942E+21</v>
      </c>
    </row>
    <row r="120" spans="2:74" ht="17.25">
      <c r="B120" s="207"/>
      <c r="C120" s="44">
        <v>589</v>
      </c>
      <c r="D120" s="108" t="s">
        <v>357</v>
      </c>
      <c r="E120" s="48">
        <v>135</v>
      </c>
      <c r="F120" s="63">
        <v>146</v>
      </c>
      <c r="G120" s="63">
        <v>20</v>
      </c>
      <c r="H120" s="48">
        <f t="shared" si="119"/>
        <v>236</v>
      </c>
      <c r="I120" s="48">
        <v>31</v>
      </c>
      <c r="J120" s="49">
        <f t="shared" ref="J120" si="622">SUM(E120:I120)-(45*1)</f>
        <v>523</v>
      </c>
      <c r="K120" s="49">
        <f t="shared" ref="K120" si="623">SUM(E120:J120)-(45*2)</f>
        <v>1001</v>
      </c>
      <c r="L120" s="49">
        <f t="shared" si="122"/>
        <v>1957</v>
      </c>
      <c r="M120" s="49">
        <f t="shared" ref="M120" si="624">SUM(E120:L120)-(45*4)</f>
        <v>3869</v>
      </c>
      <c r="N120" s="49">
        <f t="shared" ref="N120" si="625">SUM(E120:M120)-(45*5)</f>
        <v>7693</v>
      </c>
      <c r="O120" s="49">
        <f t="shared" si="125"/>
        <v>15386</v>
      </c>
      <c r="P120" s="49">
        <f t="shared" si="126"/>
        <v>30727</v>
      </c>
      <c r="Q120" s="49">
        <f t="shared" ref="Q120" si="626">SUM(E120:P120)-(45*6)</f>
        <v>61454</v>
      </c>
      <c r="R120" s="49">
        <f t="shared" ref="R120" si="627">SUM(E120:Q120)-(45*6)</f>
        <v>122908</v>
      </c>
      <c r="S120" s="49">
        <f t="shared" ref="S120" si="628">SUM(E120:R120)-(45*7)</f>
        <v>245771</v>
      </c>
      <c r="T120" s="49">
        <f t="shared" ref="T120" si="629">SUM(E120:S120)-(45*7)</f>
        <v>491542</v>
      </c>
      <c r="U120" s="49">
        <f t="shared" ref="U120" si="630">SUM(E120:T120)-(45*7)</f>
        <v>983084</v>
      </c>
      <c r="V120" s="49">
        <f t="shared" ref="V120:Y120" si="631">SUM(F120:U120)-(45*8)</f>
        <v>1965988</v>
      </c>
      <c r="W120" s="49">
        <f t="shared" si="631"/>
        <v>3931830</v>
      </c>
      <c r="X120" s="49">
        <f t="shared" si="631"/>
        <v>7863640</v>
      </c>
      <c r="Y120" s="49">
        <f t="shared" si="631"/>
        <v>15727044</v>
      </c>
      <c r="Z120" s="49">
        <f t="shared" ref="Z120:AC120" si="632">SUM(J120:Y120)-(45*7)</f>
        <v>31454102</v>
      </c>
      <c r="AA120" s="49">
        <f t="shared" si="632"/>
        <v>62907681</v>
      </c>
      <c r="AB120" s="49">
        <f t="shared" si="632"/>
        <v>125814361</v>
      </c>
      <c r="AC120" s="49">
        <f t="shared" si="632"/>
        <v>251626765</v>
      </c>
      <c r="AD120" s="49">
        <f t="shared" ref="AD120" si="633">SUM(N120:AC120)-(45*6)</f>
        <v>503249706</v>
      </c>
      <c r="AE120" s="49">
        <f t="shared" ref="AE120:AG120" si="634">SUM(O120:AD120)-(45*7)</f>
        <v>1006491674</v>
      </c>
      <c r="AF120" s="49">
        <f t="shared" si="634"/>
        <v>2012967962</v>
      </c>
      <c r="AG120" s="49">
        <f t="shared" si="634"/>
        <v>4025905197</v>
      </c>
      <c r="AH120" s="49">
        <f t="shared" ref="AH120:AI120" si="635">SUM(R120:AG120)-(45*8)</f>
        <v>8051748895</v>
      </c>
      <c r="AI120" s="49">
        <f t="shared" si="635"/>
        <v>16103374882</v>
      </c>
      <c r="AJ120" s="49">
        <f t="shared" ref="AJ120:AK120" si="636">SUM(T120:AI120)-(45*9)</f>
        <v>32206503948</v>
      </c>
      <c r="AK120" s="49">
        <f t="shared" si="636"/>
        <v>64412516354</v>
      </c>
      <c r="AL120" s="49">
        <f t="shared" ref="AL120" si="637">SUM(V120:AK120)-(45*8)</f>
        <v>128824049669</v>
      </c>
      <c r="AM120" s="49">
        <f t="shared" ref="AM120" si="638">SUM(W120:AL120)-(45*7)</f>
        <v>257646133395</v>
      </c>
      <c r="AN120" s="49">
        <f t="shared" ref="AN120:AO120" si="639">SUM(X120:AM120)-(45*8)</f>
        <v>515288334915</v>
      </c>
      <c r="AO120" s="49">
        <f t="shared" si="639"/>
        <v>1030568806190</v>
      </c>
      <c r="AP120" s="49">
        <f t="shared" ref="AP120" si="640">SUM(Z120:AO120)-(45*9)</f>
        <v>2061121885291</v>
      </c>
      <c r="AQ120" s="49">
        <f t="shared" si="142"/>
        <v>4122212316525</v>
      </c>
      <c r="AR120" s="49">
        <f t="shared" si="143"/>
        <v>8244361725369</v>
      </c>
      <c r="AS120" s="49">
        <f t="shared" ref="AS120" si="641">SUM(AC120:AR120)-(45*8)</f>
        <v>16488597636377</v>
      </c>
      <c r="AT120" s="49">
        <f t="shared" si="189"/>
        <v>32976943645989</v>
      </c>
      <c r="AU120" s="49">
        <f t="shared" ref="AU120:AV120" si="642">SUM(AE120:AT120)-(45*8)</f>
        <v>65953384042272</v>
      </c>
      <c r="AV120" s="49">
        <f t="shared" si="642"/>
        <v>131905761592870</v>
      </c>
      <c r="AW120" s="49">
        <f t="shared" ref="AW120" si="643">SUM(AG120:AV120)-(45*9)</f>
        <v>263809510217733</v>
      </c>
      <c r="AX120" s="49">
        <f t="shared" ref="AX120" si="644">SUM(AH120:AW120)-(45*8)</f>
        <v>527614994530314</v>
      </c>
      <c r="AY120" s="49">
        <f t="shared" ref="AY120:AZ120" si="645">SUM(AI120:AX120)-(45*7)</f>
        <v>1055221937311778</v>
      </c>
      <c r="AZ120" s="49">
        <f t="shared" si="645"/>
        <v>2110427771248674</v>
      </c>
      <c r="BA120" s="49">
        <f t="shared" si="148"/>
        <v>4220823335993355</v>
      </c>
      <c r="BB120" s="49">
        <f t="shared" si="149"/>
        <v>8441582259470356</v>
      </c>
      <c r="BC120" s="49">
        <f t="shared" si="150"/>
        <v>1.6883035694891044E+16</v>
      </c>
      <c r="BD120" s="49">
        <f t="shared" si="151"/>
        <v>3.3765813743648692E+16</v>
      </c>
      <c r="BE120" s="49">
        <f t="shared" ref="BE120" si="646">SUM(AO120:BD120)-(45*9)</f>
        <v>6.7531112198962424E+16</v>
      </c>
      <c r="BF120" s="49">
        <f t="shared" si="193"/>
        <v>1.3506119382911872E+17</v>
      </c>
      <c r="BG120" s="49">
        <f t="shared" ref="BG120" si="647">SUM(AQ120:BF120)-(45*8)</f>
        <v>2.7012032653635213E+17</v>
      </c>
      <c r="BH120" s="49">
        <f t="shared" ref="BH120" si="648">SUM(AR120:BG120)-(45*9)</f>
        <v>5.4023653086038771E+17</v>
      </c>
      <c r="BI120" s="49">
        <f t="shared" si="155"/>
        <v>1.0804648173590501E+18</v>
      </c>
      <c r="BJ120" s="49">
        <f t="shared" ref="BJ120" si="649">SUM(AT120:BI120)-(45*9)</f>
        <v>2.1609131461204636E+18</v>
      </c>
      <c r="BK120" s="49">
        <f t="shared" si="157"/>
        <v>4.3217933152972815E+18</v>
      </c>
      <c r="BL120" s="49">
        <f t="shared" ref="BL120" si="650">SUM(AV120:BK120)-(45*9)</f>
        <v>8.6435206772105216E+18</v>
      </c>
      <c r="BM120" s="49">
        <f t="shared" ref="BM120" si="651">SUM(AW120:BL120)-(45*8)</f>
        <v>1.728690944865945E+19</v>
      </c>
      <c r="BN120" s="49">
        <f t="shared" ref="BN120:BO120" si="652">SUM(AX120:BM120)-(45*9)</f>
        <v>3.4573555087808684E+19</v>
      </c>
      <c r="BO120" s="49">
        <f t="shared" si="652"/>
        <v>6.9146582560622838E+19</v>
      </c>
      <c r="BP120" s="49">
        <f t="shared" ref="BP120:BS120" si="653">SUM(AZ120:BO120)-(45*8)</f>
        <v>1.3829210989930837E+20</v>
      </c>
      <c r="BQ120" s="49">
        <f t="shared" si="653"/>
        <v>2.765821093708455E+20</v>
      </c>
      <c r="BR120" s="49">
        <f t="shared" si="653"/>
        <v>5.53159997918355E+20</v>
      </c>
      <c r="BS120" s="49">
        <f t="shared" si="653"/>
        <v>1.1063115542544505E+21</v>
      </c>
      <c r="BT120" s="49">
        <f t="shared" ref="BT120:BV120" si="654">SUM(BD120:BS120)-(45*7)</f>
        <v>2.2126062254732062E+21</v>
      </c>
      <c r="BU120" s="49">
        <f t="shared" si="654"/>
        <v>4.4251786851326687E+21</v>
      </c>
      <c r="BV120" s="49">
        <f t="shared" si="654"/>
        <v>8.8502898391531389E+21</v>
      </c>
    </row>
    <row r="121" spans="2:74" ht="17.25">
      <c r="B121" s="207"/>
      <c r="C121" s="44">
        <v>590</v>
      </c>
      <c r="D121" s="108" t="s">
        <v>358</v>
      </c>
      <c r="E121" s="48">
        <v>142</v>
      </c>
      <c r="F121" s="63">
        <v>153</v>
      </c>
      <c r="G121" s="63">
        <v>21</v>
      </c>
      <c r="H121" s="48">
        <f t="shared" si="119"/>
        <v>250</v>
      </c>
      <c r="I121" s="48">
        <v>32</v>
      </c>
      <c r="J121" s="49">
        <f t="shared" ref="J121" si="655">SUM(E121:I121)-(45*2)</f>
        <v>508</v>
      </c>
      <c r="K121" s="49">
        <f t="shared" ref="K121" si="656">SUM(E121:J121)-(45*3)</f>
        <v>971</v>
      </c>
      <c r="L121" s="49">
        <f t="shared" si="122"/>
        <v>1942</v>
      </c>
      <c r="M121" s="49">
        <f t="shared" ref="M121" si="657">SUM(E121:L121)-(45*3)</f>
        <v>3884</v>
      </c>
      <c r="N121" s="49">
        <f t="shared" ref="N121" si="658">SUM(E121:M121)-(45*4)</f>
        <v>7723</v>
      </c>
      <c r="O121" s="49">
        <f t="shared" si="125"/>
        <v>15401</v>
      </c>
      <c r="P121" s="49">
        <f t="shared" si="126"/>
        <v>30757</v>
      </c>
      <c r="Q121" s="49">
        <f t="shared" ref="Q121" si="659">SUM(E121:P121)-(45*7)</f>
        <v>61469</v>
      </c>
      <c r="R121" s="49">
        <f t="shared" ref="R121" si="660">SUM(E121:Q121)-(45*8)</f>
        <v>122893</v>
      </c>
      <c r="S121" s="49">
        <f t="shared" ref="S121" si="661">SUM(E121:R121)-(45*8)</f>
        <v>245786</v>
      </c>
      <c r="T121" s="49">
        <f t="shared" ref="T121" si="662">SUM(E121:S121)-(45*9)</f>
        <v>491527</v>
      </c>
      <c r="U121" s="49">
        <f t="shared" ref="U121" si="663">SUM(E121:T121)-(45*9)</f>
        <v>983054</v>
      </c>
      <c r="V121" s="49">
        <f t="shared" ref="V121:W121" si="664">SUM(F121:U121)-(45*8)</f>
        <v>1966011</v>
      </c>
      <c r="W121" s="49">
        <f t="shared" si="664"/>
        <v>3931869</v>
      </c>
      <c r="X121" s="49">
        <f t="shared" ref="X121" si="665">SUM(H121:W121)-(45*9)</f>
        <v>7863672</v>
      </c>
      <c r="Y121" s="49">
        <f t="shared" ref="Y121:Z121" si="666">SUM(I121:X121)-(45*10)</f>
        <v>15727049</v>
      </c>
      <c r="Z121" s="49">
        <f t="shared" si="666"/>
        <v>31454066</v>
      </c>
      <c r="AA121" s="49">
        <f t="shared" ref="AA121" si="667">SUM(K121:Z121)-(45*9)</f>
        <v>62907669</v>
      </c>
      <c r="AB121" s="49">
        <f t="shared" ref="AB121" si="668">SUM(L121:AA121)-(45*9)</f>
        <v>125814367</v>
      </c>
      <c r="AC121" s="49">
        <f t="shared" ref="AC121" si="669">SUM(M121:AB121)-(45*9)</f>
        <v>251626792</v>
      </c>
      <c r="AD121" s="49">
        <f t="shared" ref="AD121" si="670">SUM(N121:AC121)-(45*9)</f>
        <v>503249700</v>
      </c>
      <c r="AE121" s="49">
        <f t="shared" ref="AE121" si="671">SUM(O121:AD121)-(45*9)</f>
        <v>1006491677</v>
      </c>
      <c r="AF121" s="49">
        <f t="shared" ref="AF121" si="672">SUM(P121:AE121)-(45*9)</f>
        <v>2012967953</v>
      </c>
      <c r="AG121" s="49">
        <f t="shared" ref="AG121" si="673">SUM(Q121:AF121)-(45*8)</f>
        <v>4025905194</v>
      </c>
      <c r="AH121" s="49">
        <f t="shared" ref="AH121:AI121" si="674">SUM(R121:AG121)-(45*9)</f>
        <v>8051748874</v>
      </c>
      <c r="AI121" s="49">
        <f t="shared" si="674"/>
        <v>16103374855</v>
      </c>
      <c r="AJ121" s="49">
        <f t="shared" ref="AJ121" si="675">SUM(T121:AI121)-(45*8)</f>
        <v>32206503969</v>
      </c>
      <c r="AK121" s="49">
        <f t="shared" ref="AK121:AL121" si="676">SUM(U121:AJ121)-(45*9)</f>
        <v>64412516366</v>
      </c>
      <c r="AL121" s="49">
        <f t="shared" si="676"/>
        <v>128824049678</v>
      </c>
      <c r="AM121" s="49">
        <f t="shared" ref="AM121:AN121" si="677">SUM(W121:AL121)-(45*8)</f>
        <v>257646133390</v>
      </c>
      <c r="AN121" s="49">
        <f t="shared" si="677"/>
        <v>515288334911</v>
      </c>
      <c r="AO121" s="49">
        <f t="shared" ref="AO121" si="678">SUM(Y121:AN121)-(45*7)</f>
        <v>1030568806195</v>
      </c>
      <c r="AP121" s="49">
        <f t="shared" ref="AP121" si="679">SUM(Z121:AO121)-(45*8)</f>
        <v>2061121885296</v>
      </c>
      <c r="AQ121" s="49">
        <f t="shared" si="142"/>
        <v>4122212316526</v>
      </c>
      <c r="AR121" s="49">
        <f t="shared" si="143"/>
        <v>8244361725383</v>
      </c>
      <c r="AS121" s="49">
        <f t="shared" ref="AS121" si="680">SUM(AC121:AR121)-(45*9)</f>
        <v>16488597636354</v>
      </c>
      <c r="AT121" s="49">
        <f t="shared" si="189"/>
        <v>32976943645961</v>
      </c>
      <c r="AU121" s="49">
        <f t="shared" ref="AU121:AY121" si="681">SUM(AE121:AT121)-(45*7)</f>
        <v>65953384042267</v>
      </c>
      <c r="AV121" s="49">
        <f t="shared" si="681"/>
        <v>131905761592857</v>
      </c>
      <c r="AW121" s="49">
        <f t="shared" si="681"/>
        <v>263809510217761</v>
      </c>
      <c r="AX121" s="49">
        <f t="shared" si="681"/>
        <v>527614994530328</v>
      </c>
      <c r="AY121" s="49">
        <f t="shared" si="681"/>
        <v>1055221937311782</v>
      </c>
      <c r="AZ121" s="49">
        <f t="shared" ref="AZ121" si="682">SUM(AJ121:AY121)-(45*8)</f>
        <v>2110427771248664</v>
      </c>
      <c r="BA121" s="49">
        <f t="shared" si="148"/>
        <v>4220823335993359</v>
      </c>
      <c r="BB121" s="49">
        <f t="shared" si="149"/>
        <v>8441582259470352</v>
      </c>
      <c r="BC121" s="49">
        <f t="shared" si="150"/>
        <v>1.6883035694891026E+16</v>
      </c>
      <c r="BD121" s="49">
        <f t="shared" si="151"/>
        <v>3.3765813743648664E+16</v>
      </c>
      <c r="BE121" s="49">
        <f t="shared" ref="BE121" si="683">SUM(AO121:BD121)-(45*7)</f>
        <v>6.7531112198962464E+16</v>
      </c>
      <c r="BF121" s="49">
        <f t="shared" si="193"/>
        <v>1.3506119382911869E+17</v>
      </c>
      <c r="BG121" s="49">
        <f t="shared" ref="BG121:BH121" si="684">SUM(AQ121:BF121)-(45*7)</f>
        <v>2.7012032653635213E+17</v>
      </c>
      <c r="BH121" s="49">
        <f t="shared" si="684"/>
        <v>5.4023653086038771E+17</v>
      </c>
      <c r="BI121" s="49">
        <f t="shared" si="155"/>
        <v>1.08046481735905E+18</v>
      </c>
      <c r="BJ121" s="49">
        <f t="shared" ref="BJ121" si="685">SUM(AT121:BI121)-(45*8)</f>
        <v>2.1609131461204636E+18</v>
      </c>
      <c r="BK121" s="49">
        <f t="shared" si="157"/>
        <v>4.3217933152972815E+18</v>
      </c>
      <c r="BL121" s="49">
        <f t="shared" ref="BL121:BO121" si="686">SUM(AV121:BK121)-(45*7)</f>
        <v>8.6435206772105216E+18</v>
      </c>
      <c r="BM121" s="49">
        <f t="shared" si="686"/>
        <v>1.728690944865945E+19</v>
      </c>
      <c r="BN121" s="49">
        <f t="shared" si="686"/>
        <v>3.4573555087808684E+19</v>
      </c>
      <c r="BO121" s="49">
        <f t="shared" si="686"/>
        <v>6.9146582560622838E+19</v>
      </c>
      <c r="BP121" s="49">
        <f t="shared" ref="BP121" si="687">SUM(AZ121:BO121)-(45*6)</f>
        <v>1.3829210989930837E+20</v>
      </c>
      <c r="BQ121" s="49">
        <f t="shared" ref="BQ121" si="688">SUM(BA121:BP121)-(45*5)</f>
        <v>2.765821093708455E+20</v>
      </c>
      <c r="BR121" s="49">
        <f t="shared" ref="BR121:BS121" si="689">SUM(BB121:BQ121)-(45*6)</f>
        <v>5.53159997918355E+20</v>
      </c>
      <c r="BS121" s="49">
        <f t="shared" si="689"/>
        <v>1.1063115542544505E+21</v>
      </c>
      <c r="BT121" s="49">
        <f t="shared" ref="BT121:BU121" si="690">SUM(BD121:BS121)-(45*7)</f>
        <v>2.2126062254732062E+21</v>
      </c>
      <c r="BU121" s="49">
        <f t="shared" si="690"/>
        <v>4.4251786851326687E+21</v>
      </c>
      <c r="BV121" s="49">
        <f t="shared" ref="BV121" si="691">SUM(BF121:BU121)-(45*6)</f>
        <v>8.8502898391531389E+21</v>
      </c>
    </row>
    <row r="122" spans="2:74" ht="17.25">
      <c r="B122" s="207"/>
      <c r="C122" s="44">
        <v>591</v>
      </c>
      <c r="D122" s="108" t="s">
        <v>359</v>
      </c>
      <c r="E122" s="48">
        <v>149</v>
      </c>
      <c r="F122" s="63">
        <v>160</v>
      </c>
      <c r="G122" s="63">
        <v>22</v>
      </c>
      <c r="H122" s="48">
        <f t="shared" si="119"/>
        <v>264</v>
      </c>
      <c r="I122" s="48">
        <v>33</v>
      </c>
      <c r="J122" s="49">
        <f t="shared" ref="J122" si="692">SUM(E122:I122)-(45*1)</f>
        <v>583</v>
      </c>
      <c r="K122" s="49">
        <f t="shared" ref="K122" si="693">SUM(E122:J122)-(45*2)</f>
        <v>1121</v>
      </c>
      <c r="L122" s="49">
        <f t="shared" si="122"/>
        <v>2197</v>
      </c>
      <c r="M122" s="49">
        <f t="shared" ref="M122" si="694">SUM(E122:L122)-(45*4)</f>
        <v>4349</v>
      </c>
      <c r="N122" s="49">
        <f t="shared" ref="N122" si="695">SUM(E122:M122)-(45*5)</f>
        <v>8653</v>
      </c>
      <c r="O122" s="49">
        <f t="shared" si="125"/>
        <v>17306</v>
      </c>
      <c r="P122" s="49">
        <f t="shared" si="126"/>
        <v>34567</v>
      </c>
      <c r="Q122" s="49">
        <f t="shared" ref="Q122" si="696">SUM(E122:P122)-(45*6)</f>
        <v>69134</v>
      </c>
      <c r="R122" s="49">
        <f t="shared" ref="R122" si="697">SUM(E122:Q122)-(45*6)</f>
        <v>138268</v>
      </c>
      <c r="S122" s="49">
        <f t="shared" ref="S122" si="698">SUM(E122:R122)-(45*7)</f>
        <v>276491</v>
      </c>
      <c r="T122" s="49">
        <f t="shared" ref="T122" si="699">SUM(E122:S122)-(45*7)</f>
        <v>552982</v>
      </c>
      <c r="U122" s="49">
        <f t="shared" ref="U122" si="700">SUM(E122:T122)-(45*7)</f>
        <v>1105964</v>
      </c>
      <c r="V122" s="49">
        <f t="shared" ref="V122:Y122" si="701">SUM(F122:U122)-(45*8)</f>
        <v>2211734</v>
      </c>
      <c r="W122" s="49">
        <f t="shared" si="701"/>
        <v>4423308</v>
      </c>
      <c r="X122" s="49">
        <f t="shared" si="701"/>
        <v>8846594</v>
      </c>
      <c r="Y122" s="49">
        <f t="shared" si="701"/>
        <v>17692924</v>
      </c>
      <c r="Z122" s="49">
        <f t="shared" ref="Z122:AC122" si="702">SUM(J122:Y122)-(45*7)</f>
        <v>35385860</v>
      </c>
      <c r="AA122" s="49">
        <f t="shared" si="702"/>
        <v>70771137</v>
      </c>
      <c r="AB122" s="49">
        <f t="shared" si="702"/>
        <v>141541153</v>
      </c>
      <c r="AC122" s="49">
        <f t="shared" si="702"/>
        <v>283080109</v>
      </c>
      <c r="AD122" s="49">
        <f t="shared" ref="AD122" si="703">SUM(N122:AC122)-(45*6)</f>
        <v>566155914</v>
      </c>
      <c r="AE122" s="49">
        <f t="shared" ref="AE122:AG122" si="704">SUM(O122:AD122)-(45*7)</f>
        <v>1132303130</v>
      </c>
      <c r="AF122" s="49">
        <f t="shared" si="704"/>
        <v>2264588954</v>
      </c>
      <c r="AG122" s="49">
        <f t="shared" si="704"/>
        <v>4529143341</v>
      </c>
      <c r="AH122" s="49">
        <f t="shared" ref="AH122:AI122" si="705">SUM(R122:AG122)-(45*8)</f>
        <v>9058217503</v>
      </c>
      <c r="AI122" s="49">
        <f t="shared" si="705"/>
        <v>18116296738</v>
      </c>
      <c r="AJ122" s="49">
        <f t="shared" ref="AJ122:AK122" si="706">SUM(T122:AI122)-(45*9)</f>
        <v>36232316940</v>
      </c>
      <c r="AK122" s="49">
        <f t="shared" si="706"/>
        <v>72464080898</v>
      </c>
      <c r="AL122" s="49">
        <f t="shared" ref="AL122" si="707">SUM(V122:AK122)-(45*8)</f>
        <v>144927055877</v>
      </c>
      <c r="AM122" s="49">
        <f t="shared" ref="AM122" si="708">SUM(W122:AL122)-(45*7)</f>
        <v>289851900065</v>
      </c>
      <c r="AN122" s="49">
        <f t="shared" ref="AN122:AO122" si="709">SUM(X122:AM122)-(45*8)</f>
        <v>579699376777</v>
      </c>
      <c r="AO122" s="49">
        <f t="shared" si="709"/>
        <v>1159389906960</v>
      </c>
      <c r="AP122" s="49">
        <f t="shared" ref="AP122" si="710">SUM(Z122:AO122)-(45*9)</f>
        <v>2318762120951</v>
      </c>
      <c r="AQ122" s="49">
        <f t="shared" si="142"/>
        <v>4637488856087</v>
      </c>
      <c r="AR122" s="49">
        <f t="shared" si="143"/>
        <v>9274906941037</v>
      </c>
      <c r="AS122" s="49">
        <f t="shared" ref="AS122" si="711">SUM(AC122:AR122)-(45*8)</f>
        <v>18549672340921</v>
      </c>
      <c r="AT122" s="49">
        <f t="shared" si="189"/>
        <v>37099061601733</v>
      </c>
      <c r="AU122" s="49">
        <f t="shared" ref="AU122:AV122" si="712">SUM(AE122:AT122)-(45*8)</f>
        <v>74197557047552</v>
      </c>
      <c r="AV122" s="49">
        <f t="shared" si="712"/>
        <v>148393981791974</v>
      </c>
      <c r="AW122" s="49">
        <f t="shared" ref="AW122" si="713">SUM(AG122:AV122)-(45*9)</f>
        <v>296785698994949</v>
      </c>
      <c r="AX122" s="49">
        <f t="shared" ref="AX122" si="714">SUM(AH122:AW122)-(45*8)</f>
        <v>593566868846602</v>
      </c>
      <c r="AY122" s="49">
        <f t="shared" ref="AY122:AZ122" si="715">SUM(AI122:AX122)-(45*7)</f>
        <v>1187124679475746</v>
      </c>
      <c r="AZ122" s="49">
        <f t="shared" si="715"/>
        <v>2374231242654754</v>
      </c>
      <c r="BA122" s="49">
        <f t="shared" si="148"/>
        <v>4748426252992523</v>
      </c>
      <c r="BB122" s="49">
        <f t="shared" si="149"/>
        <v>9496780041904148</v>
      </c>
      <c r="BC122" s="49">
        <f t="shared" si="150"/>
        <v>1.899341515675242E+16</v>
      </c>
      <c r="BD122" s="49">
        <f t="shared" si="151"/>
        <v>3.7986540461604776E+16</v>
      </c>
      <c r="BE122" s="49">
        <f t="shared" ref="BE122" si="716">SUM(AO122:BD122)-(45*9)</f>
        <v>7.597250122383272E+16</v>
      </c>
      <c r="BF122" s="49">
        <f t="shared" si="193"/>
        <v>1.5194384305775856E+17</v>
      </c>
      <c r="BG122" s="49">
        <f t="shared" ref="BG122" si="717">SUM(AQ122:BF122)-(45*8)</f>
        <v>3.038853673533961E+17</v>
      </c>
      <c r="BH122" s="49">
        <f t="shared" ref="BH122" si="718">SUM(AR122:BG122)-(45*9)</f>
        <v>6.0776609721793613E+17</v>
      </c>
      <c r="BI122" s="49">
        <f t="shared" si="155"/>
        <v>1.2155229195289313E+18</v>
      </c>
      <c r="BJ122" s="49">
        <f t="shared" ref="BJ122" si="719">SUM(AT122:BI122)-(45*9)</f>
        <v>2.4310272893855217E+18</v>
      </c>
      <c r="BK122" s="49">
        <f t="shared" si="157"/>
        <v>4.862017479709442E+18</v>
      </c>
      <c r="BL122" s="49">
        <f t="shared" ref="BL122" si="720">SUM(AV122:BK122)-(45*9)</f>
        <v>9.7239607618618368E+18</v>
      </c>
      <c r="BM122" s="49">
        <f t="shared" ref="BM122" si="721">SUM(AW122:BL122)-(45*8)</f>
        <v>1.9447773129741881E+19</v>
      </c>
      <c r="BN122" s="49">
        <f t="shared" ref="BN122:BO122" si="722">SUM(AX122:BM122)-(45*9)</f>
        <v>3.8895249473784766E+19</v>
      </c>
      <c r="BO122" s="49">
        <f t="shared" si="722"/>
        <v>7.7789905380700684E+19</v>
      </c>
      <c r="BP122" s="49">
        <f t="shared" ref="BP122:BS122" si="723">SUM(AZ122:BO122)-(45*8)</f>
        <v>1.5557862363672189E+20</v>
      </c>
      <c r="BQ122" s="49">
        <f t="shared" si="723"/>
        <v>3.1115487304220115E+20</v>
      </c>
      <c r="BR122" s="49">
        <f t="shared" si="723"/>
        <v>6.2230499765814926E+20</v>
      </c>
      <c r="BS122" s="49">
        <f t="shared" si="723"/>
        <v>1.2446004985362566E+21</v>
      </c>
      <c r="BT122" s="49">
        <f t="shared" ref="BT122:BV122" si="724">SUM(BD122:BS122)-(45*7)</f>
        <v>2.4891820036573563E+21</v>
      </c>
      <c r="BU122" s="49">
        <f t="shared" si="724"/>
        <v>4.9783260207742515E+21</v>
      </c>
      <c r="BV122" s="49">
        <f t="shared" si="724"/>
        <v>9.9565760690472794E+21</v>
      </c>
    </row>
    <row r="123" spans="2:74" ht="17.25">
      <c r="B123" s="207"/>
      <c r="C123" s="44">
        <v>592</v>
      </c>
      <c r="D123" s="108" t="s">
        <v>360</v>
      </c>
      <c r="E123" s="48">
        <v>156</v>
      </c>
      <c r="F123" s="63">
        <v>167</v>
      </c>
      <c r="G123" s="63">
        <v>23</v>
      </c>
      <c r="H123" s="48">
        <f t="shared" si="119"/>
        <v>278</v>
      </c>
      <c r="I123" s="48">
        <v>34</v>
      </c>
      <c r="J123" s="49">
        <f t="shared" ref="J123" si="725">SUM(E123:I123)-(45*2)</f>
        <v>568</v>
      </c>
      <c r="K123" s="49">
        <f t="shared" ref="K123" si="726">SUM(E123:J123)-(45*3)</f>
        <v>1091</v>
      </c>
      <c r="L123" s="49">
        <f t="shared" si="122"/>
        <v>2182</v>
      </c>
      <c r="M123" s="49">
        <f t="shared" ref="M123" si="727">SUM(E123:L123)-(45*3)</f>
        <v>4364</v>
      </c>
      <c r="N123" s="49">
        <f t="shared" ref="N123" si="728">SUM(E123:M123)-(45*4)</f>
        <v>8683</v>
      </c>
      <c r="O123" s="49">
        <f t="shared" si="125"/>
        <v>17321</v>
      </c>
      <c r="P123" s="49">
        <f t="shared" si="126"/>
        <v>34597</v>
      </c>
      <c r="Q123" s="49">
        <f t="shared" ref="Q123" si="729">SUM(E123:P123)-(45*7)</f>
        <v>69149</v>
      </c>
      <c r="R123" s="49">
        <f t="shared" ref="R123" si="730">SUM(E123:Q123)-(45*8)</f>
        <v>138253</v>
      </c>
      <c r="S123" s="49">
        <f t="shared" ref="S123" si="731">SUM(E123:R123)-(45*8)</f>
        <v>276506</v>
      </c>
      <c r="T123" s="49">
        <f t="shared" ref="T123" si="732">SUM(E123:S123)-(45*9)</f>
        <v>552967</v>
      </c>
      <c r="U123" s="49">
        <f t="shared" ref="U123" si="733">SUM(E123:T123)-(45*9)</f>
        <v>1105934</v>
      </c>
      <c r="V123" s="49">
        <f t="shared" ref="V123:W123" si="734">SUM(F123:U123)-(45*8)</f>
        <v>2211757</v>
      </c>
      <c r="W123" s="49">
        <f t="shared" si="734"/>
        <v>4423347</v>
      </c>
      <c r="X123" s="49">
        <f t="shared" ref="X123" si="735">SUM(H123:W123)-(45*9)</f>
        <v>8846626</v>
      </c>
      <c r="Y123" s="49">
        <f t="shared" ref="Y123:Z123" si="736">SUM(I123:X123)-(45*10)</f>
        <v>17692929</v>
      </c>
      <c r="Z123" s="49">
        <f t="shared" si="736"/>
        <v>35385824</v>
      </c>
      <c r="AA123" s="49">
        <f t="shared" ref="AA123" si="737">SUM(K123:Z123)-(45*9)</f>
        <v>70771125</v>
      </c>
      <c r="AB123" s="49">
        <f t="shared" ref="AB123" si="738">SUM(L123:AA123)-(45*9)</f>
        <v>141541159</v>
      </c>
      <c r="AC123" s="49">
        <f t="shared" ref="AC123" si="739">SUM(M123:AB123)-(45*9)</f>
        <v>283080136</v>
      </c>
      <c r="AD123" s="49">
        <f t="shared" ref="AD123" si="740">SUM(N123:AC123)-(45*9)</f>
        <v>566155908</v>
      </c>
      <c r="AE123" s="49">
        <f t="shared" ref="AE123" si="741">SUM(O123:AD123)-(45*9)</f>
        <v>1132303133</v>
      </c>
      <c r="AF123" s="49">
        <f t="shared" ref="AF123" si="742">SUM(P123:AE123)-(45*9)</f>
        <v>2264588945</v>
      </c>
      <c r="AG123" s="49">
        <f t="shared" ref="AG123" si="743">SUM(Q123:AF123)-(45*8)</f>
        <v>4529143338</v>
      </c>
      <c r="AH123" s="49">
        <f t="shared" ref="AH123:AI123" si="744">SUM(R123:AG123)-(45*9)</f>
        <v>9058217482</v>
      </c>
      <c r="AI123" s="49">
        <f t="shared" si="744"/>
        <v>18116296711</v>
      </c>
      <c r="AJ123" s="49">
        <f t="shared" ref="AJ123" si="745">SUM(T123:AI123)-(45*8)</f>
        <v>36232316961</v>
      </c>
      <c r="AK123" s="49">
        <f t="shared" ref="AK123:AL123" si="746">SUM(U123:AJ123)-(45*9)</f>
        <v>72464080910</v>
      </c>
      <c r="AL123" s="49">
        <f t="shared" si="746"/>
        <v>144927055886</v>
      </c>
      <c r="AM123" s="49">
        <f t="shared" ref="AM123:AN123" si="747">SUM(W123:AL123)-(45*8)</f>
        <v>289851900060</v>
      </c>
      <c r="AN123" s="49">
        <f t="shared" si="747"/>
        <v>579699376773</v>
      </c>
      <c r="AO123" s="49">
        <f t="shared" ref="AO123" si="748">SUM(Y123:AN123)-(45*7)</f>
        <v>1159389906965</v>
      </c>
      <c r="AP123" s="49">
        <f t="shared" ref="AP123" si="749">SUM(Z123:AO123)-(45*8)</f>
        <v>2318762120956</v>
      </c>
      <c r="AQ123" s="49">
        <f t="shared" si="142"/>
        <v>4637488856088</v>
      </c>
      <c r="AR123" s="49">
        <f t="shared" si="143"/>
        <v>9274906941051</v>
      </c>
      <c r="AS123" s="49">
        <f t="shared" ref="AS123" si="750">SUM(AC123:AR123)-(45*9)</f>
        <v>18549672340898</v>
      </c>
      <c r="AT123" s="49">
        <f t="shared" si="189"/>
        <v>37099061601705</v>
      </c>
      <c r="AU123" s="49">
        <f t="shared" ref="AU123:AY123" si="751">SUM(AE123:AT123)-(45*7)</f>
        <v>74197557047547</v>
      </c>
      <c r="AV123" s="49">
        <f t="shared" si="751"/>
        <v>148393981791961</v>
      </c>
      <c r="AW123" s="49">
        <f t="shared" si="751"/>
        <v>296785698994977</v>
      </c>
      <c r="AX123" s="49">
        <f t="shared" si="751"/>
        <v>593566868846616</v>
      </c>
      <c r="AY123" s="49">
        <f t="shared" si="751"/>
        <v>1187124679475750</v>
      </c>
      <c r="AZ123" s="49">
        <f t="shared" ref="AZ123" si="752">SUM(AJ123:AY123)-(45*8)</f>
        <v>2374231242654744</v>
      </c>
      <c r="BA123" s="49">
        <f t="shared" si="148"/>
        <v>4748426252992527</v>
      </c>
      <c r="BB123" s="49">
        <f t="shared" si="149"/>
        <v>9496780041904144</v>
      </c>
      <c r="BC123" s="49">
        <f t="shared" si="150"/>
        <v>1.89934151567524E+16</v>
      </c>
      <c r="BD123" s="49">
        <f t="shared" si="151"/>
        <v>3.7986540461604744E+16</v>
      </c>
      <c r="BE123" s="49">
        <f t="shared" ref="BE123" si="753">SUM(AO123:BD123)-(45*7)</f>
        <v>7.5972501223832752E+16</v>
      </c>
      <c r="BF123" s="49">
        <f t="shared" si="193"/>
        <v>1.519438430577585E+17</v>
      </c>
      <c r="BG123" s="49">
        <f t="shared" ref="BG123:BH123" si="754">SUM(AQ123:BF123)-(45*7)</f>
        <v>3.0388536735339603E+17</v>
      </c>
      <c r="BH123" s="49">
        <f t="shared" si="754"/>
        <v>6.0776609721793613E+17</v>
      </c>
      <c r="BI123" s="49">
        <f t="shared" si="155"/>
        <v>1.2155229195289311E+18</v>
      </c>
      <c r="BJ123" s="49">
        <f t="shared" ref="BJ123" si="755">SUM(AT123:BI123)-(45*8)</f>
        <v>2.4310272893855212E+18</v>
      </c>
      <c r="BK123" s="49">
        <f t="shared" si="157"/>
        <v>4.862017479709441E+18</v>
      </c>
      <c r="BL123" s="49">
        <f t="shared" ref="BL123:BO123" si="756">SUM(AV123:BK123)-(45*7)</f>
        <v>9.7239607618618348E+18</v>
      </c>
      <c r="BM123" s="49">
        <f t="shared" si="756"/>
        <v>1.9447773129741877E+19</v>
      </c>
      <c r="BN123" s="49">
        <f t="shared" si="756"/>
        <v>3.8895249473784758E+19</v>
      </c>
      <c r="BO123" s="49">
        <f t="shared" si="756"/>
        <v>7.7789905380700668E+19</v>
      </c>
      <c r="BP123" s="49">
        <f t="shared" ref="BP123" si="757">SUM(AZ123:BO123)-(45*6)</f>
        <v>1.5557862363672186E+20</v>
      </c>
      <c r="BQ123" s="49">
        <f t="shared" ref="BQ123" si="758">SUM(BA123:BP123)-(45*5)</f>
        <v>3.1115487304220108E+20</v>
      </c>
      <c r="BR123" s="49">
        <f t="shared" ref="BR123:BS123" si="759">SUM(BB123:BQ123)-(45*6)</f>
        <v>6.2230499765814913E+20</v>
      </c>
      <c r="BS123" s="49">
        <f t="shared" si="759"/>
        <v>1.2446004985362564E+21</v>
      </c>
      <c r="BT123" s="49">
        <f t="shared" ref="BT123:BU123" si="760">SUM(BD123:BS123)-(45*7)</f>
        <v>2.4891820036573563E+21</v>
      </c>
      <c r="BU123" s="49">
        <f t="shared" si="760"/>
        <v>4.9783260207742504E+21</v>
      </c>
      <c r="BV123" s="49">
        <f t="shared" ref="BV123" si="761">SUM(BF123:BU123)-(45*6)</f>
        <v>9.9565760690472773E+21</v>
      </c>
    </row>
    <row r="124" spans="2:74" ht="17.25">
      <c r="B124" s="207"/>
      <c r="C124" s="44">
        <v>593</v>
      </c>
      <c r="D124" s="108" t="s">
        <v>361</v>
      </c>
      <c r="E124" s="48">
        <v>163</v>
      </c>
      <c r="F124" s="63">
        <v>174</v>
      </c>
      <c r="G124" s="63">
        <v>24</v>
      </c>
      <c r="H124" s="48">
        <f t="shared" si="119"/>
        <v>292</v>
      </c>
      <c r="I124" s="48">
        <v>35</v>
      </c>
      <c r="J124" s="49">
        <f t="shared" ref="J124" si="762">SUM(E124:I124)-(45*1)</f>
        <v>643</v>
      </c>
      <c r="K124" s="49">
        <f t="shared" ref="K124" si="763">SUM(E124:J124)-(45*2)</f>
        <v>1241</v>
      </c>
      <c r="L124" s="49">
        <f t="shared" si="122"/>
        <v>2437</v>
      </c>
      <c r="M124" s="49">
        <f t="shared" ref="M124" si="764">SUM(E124:L124)-(45*4)</f>
        <v>4829</v>
      </c>
      <c r="N124" s="49">
        <f t="shared" ref="N124" si="765">SUM(E124:M124)-(45*5)</f>
        <v>9613</v>
      </c>
      <c r="O124" s="49">
        <f t="shared" si="125"/>
        <v>19226</v>
      </c>
      <c r="P124" s="49">
        <f t="shared" si="126"/>
        <v>38407</v>
      </c>
      <c r="Q124" s="49">
        <f t="shared" ref="Q124" si="766">SUM(E124:P124)-(45*6)</f>
        <v>76814</v>
      </c>
      <c r="R124" s="49">
        <f t="shared" ref="R124" si="767">SUM(E124:Q124)-(45*6)</f>
        <v>153628</v>
      </c>
      <c r="S124" s="49">
        <f t="shared" ref="S124" si="768">SUM(E124:R124)-(45*7)</f>
        <v>307211</v>
      </c>
      <c r="T124" s="49">
        <f t="shared" ref="T124" si="769">SUM(E124:S124)-(45*7)</f>
        <v>614422</v>
      </c>
      <c r="U124" s="49">
        <f t="shared" ref="U124" si="770">SUM(E124:T124)-(45*7)</f>
        <v>1228844</v>
      </c>
      <c r="V124" s="49">
        <f t="shared" ref="V124:Y124" si="771">SUM(F124:U124)-(45*8)</f>
        <v>2457480</v>
      </c>
      <c r="W124" s="49">
        <f t="shared" si="771"/>
        <v>4914786</v>
      </c>
      <c r="X124" s="49">
        <f t="shared" si="771"/>
        <v>9829548</v>
      </c>
      <c r="Y124" s="49">
        <f t="shared" si="771"/>
        <v>19658804</v>
      </c>
      <c r="Z124" s="49">
        <f t="shared" ref="Z124:AC124" si="772">SUM(J124:Y124)-(45*7)</f>
        <v>39317618</v>
      </c>
      <c r="AA124" s="49">
        <f t="shared" si="772"/>
        <v>78634593</v>
      </c>
      <c r="AB124" s="49">
        <f t="shared" si="772"/>
        <v>157267945</v>
      </c>
      <c r="AC124" s="49">
        <f t="shared" si="772"/>
        <v>314533453</v>
      </c>
      <c r="AD124" s="49">
        <f t="shared" ref="AD124" si="773">SUM(N124:AC124)-(45*6)</f>
        <v>629062122</v>
      </c>
      <c r="AE124" s="49">
        <f t="shared" ref="AE124:AG124" si="774">SUM(O124:AD124)-(45*7)</f>
        <v>1258114586</v>
      </c>
      <c r="AF124" s="49">
        <f t="shared" si="774"/>
        <v>2516209946</v>
      </c>
      <c r="AG124" s="49">
        <f t="shared" si="774"/>
        <v>5032381485</v>
      </c>
      <c r="AH124" s="49">
        <f t="shared" ref="AH124:AI124" si="775">SUM(R124:AG124)-(45*8)</f>
        <v>10064686111</v>
      </c>
      <c r="AI124" s="49">
        <f t="shared" si="775"/>
        <v>20129218594</v>
      </c>
      <c r="AJ124" s="49">
        <f t="shared" ref="AJ124:AK124" si="776">SUM(T124:AI124)-(45*9)</f>
        <v>40258129932</v>
      </c>
      <c r="AK124" s="49">
        <f t="shared" si="776"/>
        <v>80515645442</v>
      </c>
      <c r="AL124" s="49">
        <f t="shared" ref="AL124" si="777">SUM(V124:AK124)-(45*8)</f>
        <v>161030062085</v>
      </c>
      <c r="AM124" s="49">
        <f t="shared" ref="AM124" si="778">SUM(W124:AL124)-(45*7)</f>
        <v>322057666735</v>
      </c>
      <c r="AN124" s="49">
        <f t="shared" ref="AN124:AO124" si="779">SUM(X124:AM124)-(45*8)</f>
        <v>644110418639</v>
      </c>
      <c r="AO124" s="49">
        <f t="shared" si="779"/>
        <v>1288211007730</v>
      </c>
      <c r="AP124" s="49">
        <f t="shared" ref="AP124" si="780">SUM(Z124:AO124)-(45*9)</f>
        <v>2576402356611</v>
      </c>
      <c r="AQ124" s="49">
        <f t="shared" si="142"/>
        <v>5152765395649</v>
      </c>
      <c r="AR124" s="49">
        <f t="shared" si="143"/>
        <v>10305452156705</v>
      </c>
      <c r="AS124" s="49">
        <f t="shared" ref="AS124" si="781">SUM(AC124:AR124)-(45*8)</f>
        <v>20610747045465</v>
      </c>
      <c r="AT124" s="49">
        <f t="shared" si="189"/>
        <v>41221179557477</v>
      </c>
      <c r="AU124" s="49">
        <f t="shared" ref="AU124:AV124" si="782">SUM(AE124:AT124)-(45*8)</f>
        <v>82441730052832</v>
      </c>
      <c r="AV124" s="49">
        <f t="shared" si="782"/>
        <v>164882201991078</v>
      </c>
      <c r="AW124" s="49">
        <f t="shared" ref="AW124" si="783">SUM(AG124:AV124)-(45*9)</f>
        <v>329761887772165</v>
      </c>
      <c r="AX124" s="49">
        <f t="shared" ref="AX124" si="784">SUM(AH124:AW124)-(45*8)</f>
        <v>659518743162890</v>
      </c>
      <c r="AY124" s="49">
        <f t="shared" ref="AY124:AZ124" si="785">SUM(AI124:AX124)-(45*7)</f>
        <v>1319027421639714</v>
      </c>
      <c r="AZ124" s="49">
        <f t="shared" si="785"/>
        <v>2638034714060834</v>
      </c>
      <c r="BA124" s="49">
        <f t="shared" si="148"/>
        <v>5276029169991691</v>
      </c>
      <c r="BB124" s="49">
        <f t="shared" si="149"/>
        <v>1.055197782433794E+16</v>
      </c>
      <c r="BC124" s="49">
        <f t="shared" si="150"/>
        <v>2.1103794618613796E+16</v>
      </c>
      <c r="BD124" s="49">
        <f t="shared" si="151"/>
        <v>4.2207267179560856E+16</v>
      </c>
      <c r="BE124" s="49">
        <f t="shared" ref="BE124" si="786">SUM(AO124:BD124)-(45*9)</f>
        <v>8.4413890248703024E+16</v>
      </c>
      <c r="BF124" s="49">
        <f t="shared" si="193"/>
        <v>1.6882649228639837E+17</v>
      </c>
      <c r="BG124" s="49">
        <f t="shared" ref="BG124" si="787">SUM(AQ124:BF124)-(45*8)</f>
        <v>3.3765040817044006E+17</v>
      </c>
      <c r="BH124" s="49">
        <f t="shared" ref="BH124" si="788">SUM(AR124:BG124)-(45*9)</f>
        <v>6.7529566357548454E+17</v>
      </c>
      <c r="BI124" s="49">
        <f t="shared" si="155"/>
        <v>1.3505810216988127E+18</v>
      </c>
      <c r="BJ124" s="49">
        <f t="shared" ref="BJ124" si="789">SUM(AT124:BI124)-(45*9)</f>
        <v>2.7011414326505795E+18</v>
      </c>
      <c r="BK124" s="49">
        <f t="shared" si="157"/>
        <v>5.402241644121602E+18</v>
      </c>
      <c r="BL124" s="49">
        <f t="shared" ref="BL124" si="790">SUM(AV124:BK124)-(45*9)</f>
        <v>1.0804400846513152E+19</v>
      </c>
      <c r="BM124" s="49">
        <f t="shared" ref="BM124" si="791">SUM(AW124:BL124)-(45*8)</f>
        <v>2.1608636810824311E+19</v>
      </c>
      <c r="BN124" s="49">
        <f t="shared" ref="BN124:BO124" si="792">SUM(AX124:BM124)-(45*9)</f>
        <v>4.3216943859760849E+19</v>
      </c>
      <c r="BO124" s="49">
        <f t="shared" si="792"/>
        <v>8.6433228200778531E+19</v>
      </c>
      <c r="BP124" s="49">
        <f t="shared" ref="BP124:BS124" si="793">SUM(AZ124:BO124)-(45*8)</f>
        <v>1.7286513737413542E+20</v>
      </c>
      <c r="BQ124" s="49">
        <f t="shared" si="793"/>
        <v>3.457276367135568E+20</v>
      </c>
      <c r="BR124" s="49">
        <f t="shared" si="793"/>
        <v>6.9144999739794365E+20</v>
      </c>
      <c r="BS124" s="49">
        <f t="shared" si="793"/>
        <v>1.3828894428180628E+21</v>
      </c>
      <c r="BT124" s="49">
        <f t="shared" ref="BT124:BV124" si="794">SUM(BD124:BS124)-(45*7)</f>
        <v>2.765757781841507E+21</v>
      </c>
      <c r="BU124" s="49">
        <f t="shared" si="794"/>
        <v>5.5314733564158343E+21</v>
      </c>
      <c r="BV124" s="49">
        <f t="shared" si="794"/>
        <v>1.106286229894142E+22</v>
      </c>
    </row>
    <row r="125" spans="2:74" ht="17.25">
      <c r="B125" s="207"/>
      <c r="C125" s="44">
        <v>594</v>
      </c>
      <c r="D125" s="108" t="s">
        <v>362</v>
      </c>
      <c r="E125" s="48">
        <v>170</v>
      </c>
      <c r="F125" s="63">
        <v>181</v>
      </c>
      <c r="G125" s="63">
        <v>25</v>
      </c>
      <c r="H125" s="48">
        <f t="shared" si="119"/>
        <v>306</v>
      </c>
      <c r="I125" s="48">
        <v>36</v>
      </c>
      <c r="J125" s="49">
        <f t="shared" ref="J125" si="795">SUM(E125:I125)-(45*2)</f>
        <v>628</v>
      </c>
      <c r="K125" s="49">
        <f t="shared" ref="K125" si="796">SUM(E125:J125)-(45*3)</f>
        <v>1211</v>
      </c>
      <c r="L125" s="49">
        <f t="shared" si="122"/>
        <v>2422</v>
      </c>
      <c r="M125" s="49">
        <f t="shared" ref="M125" si="797">SUM(E125:L125)-(45*3)</f>
        <v>4844</v>
      </c>
      <c r="N125" s="49">
        <f t="shared" ref="N125" si="798">SUM(E125:M125)-(45*4)</f>
        <v>9643</v>
      </c>
      <c r="O125" s="49">
        <f t="shared" si="125"/>
        <v>19241</v>
      </c>
      <c r="P125" s="49">
        <f t="shared" si="126"/>
        <v>38437</v>
      </c>
      <c r="Q125" s="49">
        <f t="shared" ref="Q125" si="799">SUM(E125:P125)-(45*7)</f>
        <v>76829</v>
      </c>
      <c r="R125" s="49">
        <f t="shared" ref="R125" si="800">SUM(E125:Q125)-(45*8)</f>
        <v>153613</v>
      </c>
      <c r="S125" s="49">
        <f t="shared" ref="S125" si="801">SUM(E125:R125)-(45*8)</f>
        <v>307226</v>
      </c>
      <c r="T125" s="49">
        <f t="shared" ref="T125" si="802">SUM(E125:S125)-(45*9)</f>
        <v>614407</v>
      </c>
      <c r="U125" s="49">
        <f t="shared" ref="U125" si="803">SUM(E125:T125)-(45*9)</f>
        <v>1228814</v>
      </c>
      <c r="V125" s="49">
        <f t="shared" ref="V125:W125" si="804">SUM(F125:U125)-(45*8)</f>
        <v>2457503</v>
      </c>
      <c r="W125" s="49">
        <f t="shared" si="804"/>
        <v>4914825</v>
      </c>
      <c r="X125" s="49">
        <f t="shared" ref="X125" si="805">SUM(H125:W125)-(45*9)</f>
        <v>9829580</v>
      </c>
      <c r="Y125" s="49">
        <f t="shared" ref="Y125:Z125" si="806">SUM(I125:X125)-(45*10)</f>
        <v>19658809</v>
      </c>
      <c r="Z125" s="49">
        <f t="shared" si="806"/>
        <v>39317582</v>
      </c>
      <c r="AA125" s="49">
        <f t="shared" ref="AA125" si="807">SUM(K125:Z125)-(45*9)</f>
        <v>78634581</v>
      </c>
      <c r="AB125" s="49">
        <f t="shared" ref="AB125" si="808">SUM(L125:AA125)-(45*9)</f>
        <v>157267951</v>
      </c>
      <c r="AC125" s="49">
        <f t="shared" ref="AC125" si="809">SUM(M125:AB125)-(45*9)</f>
        <v>314533480</v>
      </c>
      <c r="AD125" s="49">
        <f t="shared" ref="AD125" si="810">SUM(N125:AC125)-(45*9)</f>
        <v>629062116</v>
      </c>
      <c r="AE125" s="49">
        <f t="shared" ref="AE125" si="811">SUM(O125:AD125)-(45*9)</f>
        <v>1258114589</v>
      </c>
      <c r="AF125" s="49">
        <f t="shared" ref="AF125" si="812">SUM(P125:AE125)-(45*9)</f>
        <v>2516209937</v>
      </c>
      <c r="AG125" s="49">
        <f t="shared" ref="AG125" si="813">SUM(Q125:AF125)-(45*8)</f>
        <v>5032381482</v>
      </c>
      <c r="AH125" s="49">
        <f t="shared" ref="AH125:AI125" si="814">SUM(R125:AG125)-(45*9)</f>
        <v>10064686090</v>
      </c>
      <c r="AI125" s="49">
        <f t="shared" si="814"/>
        <v>20129218567</v>
      </c>
      <c r="AJ125" s="49">
        <f t="shared" ref="AJ125" si="815">SUM(T125:AI125)-(45*8)</f>
        <v>40258129953</v>
      </c>
      <c r="AK125" s="49">
        <f t="shared" ref="AK125:AL125" si="816">SUM(U125:AJ125)-(45*9)</f>
        <v>80515645454</v>
      </c>
      <c r="AL125" s="49">
        <f t="shared" si="816"/>
        <v>161030062094</v>
      </c>
      <c r="AM125" s="49">
        <f t="shared" ref="AM125:AN125" si="817">SUM(W125:AL125)-(45*8)</f>
        <v>322057666730</v>
      </c>
      <c r="AN125" s="49">
        <f t="shared" si="817"/>
        <v>644110418635</v>
      </c>
      <c r="AO125" s="49">
        <f t="shared" ref="AO125" si="818">SUM(Y125:AN125)-(45*7)</f>
        <v>1288211007735</v>
      </c>
      <c r="AP125" s="49">
        <f t="shared" ref="AP125" si="819">SUM(Z125:AO125)-(45*8)</f>
        <v>2576402356616</v>
      </c>
      <c r="AQ125" s="49">
        <f t="shared" si="142"/>
        <v>5152765395650</v>
      </c>
      <c r="AR125" s="49">
        <f t="shared" si="143"/>
        <v>10305452156719</v>
      </c>
      <c r="AS125" s="49">
        <f t="shared" ref="AS125" si="820">SUM(AC125:AR125)-(45*9)</f>
        <v>20610747045442</v>
      </c>
      <c r="AT125" s="49">
        <f t="shared" si="189"/>
        <v>41221179557449</v>
      </c>
      <c r="AU125" s="49">
        <f t="shared" ref="AU125:AY125" si="821">SUM(AE125:AT125)-(45*7)</f>
        <v>82441730052827</v>
      </c>
      <c r="AV125" s="49">
        <f t="shared" si="821"/>
        <v>164882201991065</v>
      </c>
      <c r="AW125" s="49">
        <f t="shared" si="821"/>
        <v>329761887772193</v>
      </c>
      <c r="AX125" s="49">
        <f t="shared" si="821"/>
        <v>659518743162904</v>
      </c>
      <c r="AY125" s="49">
        <f t="shared" si="821"/>
        <v>1319027421639718</v>
      </c>
      <c r="AZ125" s="49">
        <f t="shared" ref="AZ125" si="822">SUM(AJ125:AY125)-(45*8)</f>
        <v>2638034714060824</v>
      </c>
      <c r="BA125" s="49">
        <f t="shared" si="148"/>
        <v>5276029169991695</v>
      </c>
      <c r="BB125" s="49">
        <f t="shared" si="149"/>
        <v>1.0551977824337936E+16</v>
      </c>
      <c r="BC125" s="49">
        <f t="shared" si="150"/>
        <v>2.1103794618613776E+16</v>
      </c>
      <c r="BD125" s="49">
        <f t="shared" si="151"/>
        <v>4.2207267179560824E+16</v>
      </c>
      <c r="BE125" s="49">
        <f t="shared" ref="BE125" si="823">SUM(AO125:BD125)-(45*7)</f>
        <v>8.441389024870304E+16</v>
      </c>
      <c r="BF125" s="49">
        <f t="shared" si="193"/>
        <v>1.6882649228639834E+17</v>
      </c>
      <c r="BG125" s="49">
        <f t="shared" ref="BG125:BH125" si="824">SUM(AQ125:BF125)-(45*7)</f>
        <v>3.3765040817044006E+17</v>
      </c>
      <c r="BH125" s="49">
        <f t="shared" si="824"/>
        <v>6.7529566357548454E+17</v>
      </c>
      <c r="BI125" s="49">
        <f t="shared" si="155"/>
        <v>1.3505810216988124E+18</v>
      </c>
      <c r="BJ125" s="49">
        <f t="shared" ref="BJ125" si="825">SUM(AT125:BI125)-(45*8)</f>
        <v>2.7011414326505789E+18</v>
      </c>
      <c r="BK125" s="49">
        <f t="shared" si="157"/>
        <v>5.402241644121601E+18</v>
      </c>
      <c r="BL125" s="49">
        <f t="shared" ref="BL125:BO125" si="826">SUM(AV125:BK125)-(45*7)</f>
        <v>1.0804400846513148E+19</v>
      </c>
      <c r="BM125" s="49">
        <f t="shared" si="826"/>
        <v>2.1608636810824307E+19</v>
      </c>
      <c r="BN125" s="49">
        <f t="shared" si="826"/>
        <v>4.3216943859760841E+19</v>
      </c>
      <c r="BO125" s="49">
        <f t="shared" si="826"/>
        <v>8.6433228200778514E+19</v>
      </c>
      <c r="BP125" s="49">
        <f t="shared" ref="BP125" si="827">SUM(AZ125:BO125)-(45*6)</f>
        <v>1.7286513737413539E+20</v>
      </c>
      <c r="BQ125" s="49">
        <f t="shared" ref="BQ125" si="828">SUM(BA125:BP125)-(45*5)</f>
        <v>3.4572763671355674E+20</v>
      </c>
      <c r="BR125" s="49">
        <f t="shared" ref="BR125:BS125" si="829">SUM(BB125:BQ125)-(45*6)</f>
        <v>6.9144999739794339E+20</v>
      </c>
      <c r="BS125" s="49">
        <f t="shared" si="829"/>
        <v>1.3828894428180625E+21</v>
      </c>
      <c r="BT125" s="49">
        <f t="shared" ref="BT125:BU125" si="830">SUM(BD125:BS125)-(45*7)</f>
        <v>2.7657577818415065E+21</v>
      </c>
      <c r="BU125" s="49">
        <f t="shared" si="830"/>
        <v>5.5314733564158332E+21</v>
      </c>
      <c r="BV125" s="49">
        <f t="shared" ref="BV125" si="831">SUM(BF125:BU125)-(45*6)</f>
        <v>1.1062862298941418E+22</v>
      </c>
    </row>
    <row r="126" spans="2:74" ht="17.25">
      <c r="B126" s="207"/>
      <c r="C126" s="44">
        <v>595</v>
      </c>
      <c r="D126" s="108" t="s">
        <v>363</v>
      </c>
      <c r="E126" s="48">
        <v>177</v>
      </c>
      <c r="F126" s="63">
        <v>188</v>
      </c>
      <c r="G126" s="63">
        <v>26</v>
      </c>
      <c r="H126" s="48">
        <f t="shared" si="119"/>
        <v>320</v>
      </c>
      <c r="I126" s="48">
        <v>37</v>
      </c>
      <c r="J126" s="49">
        <f t="shared" ref="J126" si="832">SUM(E126:I126)-(45*1)</f>
        <v>703</v>
      </c>
      <c r="K126" s="49">
        <f t="shared" ref="K126" si="833">SUM(E126:J126)-(45*2)</f>
        <v>1361</v>
      </c>
      <c r="L126" s="49">
        <f t="shared" si="122"/>
        <v>2677</v>
      </c>
      <c r="M126" s="49">
        <f t="shared" ref="M126" si="834">SUM(E126:L126)-(45*4)</f>
        <v>5309</v>
      </c>
      <c r="N126" s="49">
        <f t="shared" ref="N126" si="835">SUM(E126:M126)-(45*5)</f>
        <v>10573</v>
      </c>
      <c r="O126" s="49">
        <f t="shared" si="125"/>
        <v>21146</v>
      </c>
      <c r="P126" s="49">
        <f t="shared" si="126"/>
        <v>42247</v>
      </c>
      <c r="Q126" s="49">
        <f t="shared" ref="Q126" si="836">SUM(E126:P126)-(45*6)</f>
        <v>84494</v>
      </c>
      <c r="R126" s="49">
        <f t="shared" ref="R126" si="837">SUM(E126:Q126)-(45*6)</f>
        <v>168988</v>
      </c>
      <c r="S126" s="49">
        <f t="shared" ref="S126" si="838">SUM(E126:R126)-(45*7)</f>
        <v>337931</v>
      </c>
      <c r="T126" s="49">
        <f t="shared" ref="T126" si="839">SUM(E126:S126)-(45*7)</f>
        <v>675862</v>
      </c>
      <c r="U126" s="49">
        <f t="shared" ref="U126" si="840">SUM(E126:T126)-(45*7)</f>
        <v>1351724</v>
      </c>
      <c r="V126" s="49">
        <f t="shared" ref="V126:Y126" si="841">SUM(F126:U126)-(45*8)</f>
        <v>2703226</v>
      </c>
      <c r="W126" s="49">
        <f t="shared" si="841"/>
        <v>5406264</v>
      </c>
      <c r="X126" s="49">
        <f t="shared" si="841"/>
        <v>10812502</v>
      </c>
      <c r="Y126" s="49">
        <f t="shared" si="841"/>
        <v>21624684</v>
      </c>
      <c r="Z126" s="49">
        <f t="shared" ref="Z126:AC126" si="842">SUM(J126:Y126)-(45*7)</f>
        <v>43249376</v>
      </c>
      <c r="AA126" s="49">
        <f t="shared" si="842"/>
        <v>86498049</v>
      </c>
      <c r="AB126" s="49">
        <f t="shared" si="842"/>
        <v>172994737</v>
      </c>
      <c r="AC126" s="49">
        <f t="shared" si="842"/>
        <v>345986797</v>
      </c>
      <c r="AD126" s="49">
        <f t="shared" ref="AD126" si="843">SUM(N126:AC126)-(45*6)</f>
        <v>691968330</v>
      </c>
      <c r="AE126" s="49">
        <f t="shared" ref="AE126:AG126" si="844">SUM(O126:AD126)-(45*7)</f>
        <v>1383926042</v>
      </c>
      <c r="AF126" s="49">
        <f t="shared" si="844"/>
        <v>2767830938</v>
      </c>
      <c r="AG126" s="49">
        <f t="shared" si="844"/>
        <v>5535619629</v>
      </c>
      <c r="AH126" s="49">
        <f t="shared" ref="AH126:AI126" si="845">SUM(R126:AG126)-(45*8)</f>
        <v>11071154719</v>
      </c>
      <c r="AI126" s="49">
        <f t="shared" si="845"/>
        <v>22142140450</v>
      </c>
      <c r="AJ126" s="49">
        <f t="shared" ref="AJ126:AK126" si="846">SUM(T126:AI126)-(45*9)</f>
        <v>44283942924</v>
      </c>
      <c r="AK126" s="49">
        <f t="shared" si="846"/>
        <v>88567209986</v>
      </c>
      <c r="AL126" s="49">
        <f t="shared" ref="AL126" si="847">SUM(V126:AK126)-(45*8)</f>
        <v>177133068293</v>
      </c>
      <c r="AM126" s="49">
        <f t="shared" ref="AM126" si="848">SUM(W126:AL126)-(45*7)</f>
        <v>354263433405</v>
      </c>
      <c r="AN126" s="49">
        <f t="shared" ref="AN126:AO126" si="849">SUM(X126:AM126)-(45*8)</f>
        <v>708521460501</v>
      </c>
      <c r="AO126" s="49">
        <f t="shared" si="849"/>
        <v>1417032108500</v>
      </c>
      <c r="AP126" s="49">
        <f t="shared" ref="AP126" si="850">SUM(Z126:AO126)-(45*9)</f>
        <v>2834042592271</v>
      </c>
      <c r="AQ126" s="49">
        <f t="shared" si="142"/>
        <v>5668041935211</v>
      </c>
      <c r="AR126" s="49">
        <f t="shared" si="143"/>
        <v>11335997372373</v>
      </c>
      <c r="AS126" s="49">
        <f t="shared" ref="AS126" si="851">SUM(AC126:AR126)-(45*8)</f>
        <v>22671821750009</v>
      </c>
      <c r="AT126" s="49">
        <f t="shared" si="189"/>
        <v>45343297513221</v>
      </c>
      <c r="AU126" s="49">
        <f t="shared" ref="AU126:AV126" si="852">SUM(AE126:AT126)-(45*8)</f>
        <v>90685903058112</v>
      </c>
      <c r="AV126" s="49">
        <f t="shared" si="852"/>
        <v>181370422190182</v>
      </c>
      <c r="AW126" s="49">
        <f t="shared" ref="AW126" si="853">SUM(AG126:AV126)-(45*9)</f>
        <v>362738076549381</v>
      </c>
      <c r="AX126" s="49">
        <f t="shared" ref="AX126" si="854">SUM(AH126:AW126)-(45*8)</f>
        <v>725470617479178</v>
      </c>
      <c r="AY126" s="49">
        <f t="shared" ref="AY126:AZ126" si="855">SUM(AI126:AX126)-(45*7)</f>
        <v>1450930163803682</v>
      </c>
      <c r="AZ126" s="49">
        <f t="shared" si="855"/>
        <v>2901838185466914</v>
      </c>
      <c r="BA126" s="49">
        <f t="shared" si="148"/>
        <v>5803632086990859</v>
      </c>
      <c r="BB126" s="49">
        <f t="shared" si="149"/>
        <v>1.1607175606771732E+16</v>
      </c>
      <c r="BC126" s="49">
        <f t="shared" si="150"/>
        <v>2.3214174080475172E+16</v>
      </c>
      <c r="BD126" s="49">
        <f t="shared" si="151"/>
        <v>4.6427993897516936E+16</v>
      </c>
      <c r="BE126" s="49">
        <f t="shared" ref="BE126" si="856">SUM(AO126:BD126)-(45*9)</f>
        <v>9.2855279273573328E+16</v>
      </c>
      <c r="BF126" s="49">
        <f t="shared" si="193"/>
        <v>1.8570914151503821E+17</v>
      </c>
      <c r="BG126" s="49">
        <f t="shared" ref="BG126" si="857">SUM(AQ126:BF126)-(45*8)</f>
        <v>3.714154489874841E+17</v>
      </c>
      <c r="BH126" s="49">
        <f t="shared" ref="BH126" si="858">SUM(AR126:BG126)-(45*9)</f>
        <v>7.4282522993303309E+17</v>
      </c>
      <c r="BI126" s="49">
        <f t="shared" si="155"/>
        <v>1.4856391238686938E+18</v>
      </c>
      <c r="BJ126" s="49">
        <f t="shared" ref="BJ126" si="859">SUM(AT126:BI126)-(45*9)</f>
        <v>2.9712555759156372E+18</v>
      </c>
      <c r="BK126" s="49">
        <f t="shared" si="157"/>
        <v>5.942465808533762E+18</v>
      </c>
      <c r="BL126" s="49">
        <f t="shared" ref="BL126" si="860">SUM(AV126:BK126)-(45*9)</f>
        <v>1.1884840931164465E+19</v>
      </c>
      <c r="BM126" s="49">
        <f t="shared" ref="BM126" si="861">SUM(AW126:BL126)-(45*8)</f>
        <v>2.376950049190674E+19</v>
      </c>
      <c r="BN126" s="49">
        <f t="shared" ref="BN126:BO126" si="862">SUM(AX126:BM126)-(45*9)</f>
        <v>4.7538638245736931E+19</v>
      </c>
      <c r="BO126" s="49">
        <f t="shared" si="862"/>
        <v>9.5076551020856377E+19</v>
      </c>
      <c r="BP126" s="49">
        <f t="shared" ref="BP126:BS126" si="863">SUM(AZ126:BO126)-(45*8)</f>
        <v>1.9015165111154894E+20</v>
      </c>
      <c r="BQ126" s="49">
        <f t="shared" si="863"/>
        <v>3.8030040038491239E+20</v>
      </c>
      <c r="BR126" s="49">
        <f t="shared" si="863"/>
        <v>7.6059499713773778E+20</v>
      </c>
      <c r="BS126" s="49">
        <f t="shared" si="863"/>
        <v>1.521178387099869E+21</v>
      </c>
      <c r="BT126" s="49">
        <f t="shared" ref="BT126:BV126" si="864">SUM(BD126:BS126)-(45*7)</f>
        <v>3.0423335600256576E+21</v>
      </c>
      <c r="BU126" s="49">
        <f t="shared" si="864"/>
        <v>6.0846206920574181E+21</v>
      </c>
      <c r="BV126" s="49">
        <f t="shared" si="864"/>
        <v>1.2169148528835563E+22</v>
      </c>
    </row>
    <row r="127" spans="2:74" ht="17.25">
      <c r="B127" s="207"/>
      <c r="C127" s="44">
        <v>596</v>
      </c>
      <c r="D127" s="108" t="s">
        <v>364</v>
      </c>
      <c r="E127" s="48">
        <v>184</v>
      </c>
      <c r="F127" s="63">
        <v>195</v>
      </c>
      <c r="G127" s="63">
        <v>27</v>
      </c>
      <c r="H127" s="48">
        <f t="shared" si="119"/>
        <v>334</v>
      </c>
      <c r="I127" s="48">
        <v>38</v>
      </c>
      <c r="J127" s="49">
        <f t="shared" ref="J127" si="865">SUM(E127:I127)-(45*2)</f>
        <v>688</v>
      </c>
      <c r="K127" s="49">
        <f t="shared" ref="K127" si="866">SUM(E127:J127)-(45*3)</f>
        <v>1331</v>
      </c>
      <c r="L127" s="49">
        <f t="shared" si="122"/>
        <v>2662</v>
      </c>
      <c r="M127" s="49">
        <f t="shared" ref="M127" si="867">SUM(E127:L127)-(45*3)</f>
        <v>5324</v>
      </c>
      <c r="N127" s="49">
        <f t="shared" ref="N127" si="868">SUM(E127:M127)-(45*4)</f>
        <v>10603</v>
      </c>
      <c r="O127" s="49">
        <f t="shared" si="125"/>
        <v>21161</v>
      </c>
      <c r="P127" s="49">
        <f t="shared" si="126"/>
        <v>42277</v>
      </c>
      <c r="Q127" s="49">
        <f t="shared" ref="Q127" si="869">SUM(E127:P127)-(45*7)</f>
        <v>84509</v>
      </c>
      <c r="R127" s="49">
        <f t="shared" ref="R127" si="870">SUM(E127:Q127)-(45*8)</f>
        <v>168973</v>
      </c>
      <c r="S127" s="49">
        <f t="shared" ref="S127" si="871">SUM(E127:R127)-(45*8)</f>
        <v>337946</v>
      </c>
      <c r="T127" s="49">
        <f t="shared" ref="T127" si="872">SUM(E127:S127)-(45*9)</f>
        <v>675847</v>
      </c>
      <c r="U127" s="49">
        <f t="shared" ref="U127" si="873">SUM(E127:T127)-(45*9)</f>
        <v>1351694</v>
      </c>
      <c r="V127" s="49">
        <f t="shared" ref="V127:W127" si="874">SUM(F127:U127)-(45*8)</f>
        <v>2703249</v>
      </c>
      <c r="W127" s="49">
        <f t="shared" si="874"/>
        <v>5406303</v>
      </c>
      <c r="X127" s="49">
        <f t="shared" ref="X127" si="875">SUM(H127:W127)-(45*9)</f>
        <v>10812534</v>
      </c>
      <c r="Y127" s="49">
        <f t="shared" ref="Y127:Z127" si="876">SUM(I127:X127)-(45*10)</f>
        <v>21624689</v>
      </c>
      <c r="Z127" s="49">
        <f t="shared" si="876"/>
        <v>43249340</v>
      </c>
      <c r="AA127" s="49">
        <f t="shared" ref="AA127" si="877">SUM(K127:Z127)-(45*9)</f>
        <v>86498037</v>
      </c>
      <c r="AB127" s="49">
        <f t="shared" ref="AB127" si="878">SUM(L127:AA127)-(45*9)</f>
        <v>172994743</v>
      </c>
      <c r="AC127" s="49">
        <f t="shared" ref="AC127" si="879">SUM(M127:AB127)-(45*9)</f>
        <v>345986824</v>
      </c>
      <c r="AD127" s="49">
        <f t="shared" ref="AD127" si="880">SUM(N127:AC127)-(45*9)</f>
        <v>691968324</v>
      </c>
      <c r="AE127" s="49">
        <f t="shared" ref="AE127" si="881">SUM(O127:AD127)-(45*9)</f>
        <v>1383926045</v>
      </c>
      <c r="AF127" s="49">
        <f t="shared" ref="AF127" si="882">SUM(P127:AE127)-(45*9)</f>
        <v>2767830929</v>
      </c>
      <c r="AG127" s="49">
        <f t="shared" ref="AG127" si="883">SUM(Q127:AF127)-(45*8)</f>
        <v>5535619626</v>
      </c>
      <c r="AH127" s="49">
        <f t="shared" ref="AH127:AI127" si="884">SUM(R127:AG127)-(45*9)</f>
        <v>11071154698</v>
      </c>
      <c r="AI127" s="49">
        <f t="shared" si="884"/>
        <v>22142140423</v>
      </c>
      <c r="AJ127" s="49">
        <f t="shared" ref="AJ127" si="885">SUM(T127:AI127)-(45*8)</f>
        <v>44283942945</v>
      </c>
      <c r="AK127" s="49">
        <f t="shared" ref="AK127:AL127" si="886">SUM(U127:AJ127)-(45*9)</f>
        <v>88567209998</v>
      </c>
      <c r="AL127" s="49">
        <f t="shared" si="886"/>
        <v>177133068302</v>
      </c>
      <c r="AM127" s="49">
        <f t="shared" ref="AM127:AN127" si="887">SUM(W127:AL127)-(45*8)</f>
        <v>354263433400</v>
      </c>
      <c r="AN127" s="49">
        <f t="shared" si="887"/>
        <v>708521460497</v>
      </c>
      <c r="AO127" s="49">
        <f t="shared" ref="AO127" si="888">SUM(Y127:AN127)-(45*7)</f>
        <v>1417032108505</v>
      </c>
      <c r="AP127" s="49">
        <f t="shared" ref="AP127" si="889">SUM(Z127:AO127)-(45*8)</f>
        <v>2834042592276</v>
      </c>
      <c r="AQ127" s="49">
        <f t="shared" si="142"/>
        <v>5668041935212</v>
      </c>
      <c r="AR127" s="49">
        <f t="shared" si="143"/>
        <v>11335997372387</v>
      </c>
      <c r="AS127" s="49">
        <f t="shared" ref="AS127" si="890">SUM(AC127:AR127)-(45*9)</f>
        <v>22671821749986</v>
      </c>
      <c r="AT127" s="49">
        <f t="shared" si="189"/>
        <v>45343297513193</v>
      </c>
      <c r="AU127" s="49">
        <f t="shared" ref="AU127:AY127" si="891">SUM(AE127:AT127)-(45*7)</f>
        <v>90685903058107</v>
      </c>
      <c r="AV127" s="49">
        <f t="shared" si="891"/>
        <v>181370422190169</v>
      </c>
      <c r="AW127" s="49">
        <f t="shared" si="891"/>
        <v>362738076549409</v>
      </c>
      <c r="AX127" s="49">
        <f t="shared" si="891"/>
        <v>725470617479192</v>
      </c>
      <c r="AY127" s="49">
        <f t="shared" si="891"/>
        <v>1450930163803686</v>
      </c>
      <c r="AZ127" s="49">
        <f t="shared" ref="AZ127" si="892">SUM(AJ127:AY127)-(45*8)</f>
        <v>2901838185466904</v>
      </c>
      <c r="BA127" s="49">
        <f t="shared" si="148"/>
        <v>5803632086990863</v>
      </c>
      <c r="BB127" s="49">
        <f t="shared" si="149"/>
        <v>1.1607175606771728E+16</v>
      </c>
      <c r="BC127" s="49">
        <f t="shared" si="150"/>
        <v>2.3214174080475152E+16</v>
      </c>
      <c r="BD127" s="49">
        <f t="shared" si="151"/>
        <v>4.6427993897516904E+16</v>
      </c>
      <c r="BE127" s="49">
        <f t="shared" ref="BE127" si="893">SUM(AO127:BD127)-(45*7)</f>
        <v>9.2855279273573344E+16</v>
      </c>
      <c r="BF127" s="49">
        <f t="shared" si="193"/>
        <v>1.8570914151503818E+17</v>
      </c>
      <c r="BG127" s="49">
        <f t="shared" ref="BG127:BH127" si="894">SUM(AQ127:BF127)-(45*7)</f>
        <v>3.714154489874841E+17</v>
      </c>
      <c r="BH127" s="49">
        <f t="shared" si="894"/>
        <v>7.4282522993303296E+17</v>
      </c>
      <c r="BI127" s="49">
        <f t="shared" si="155"/>
        <v>1.4856391238686935E+18</v>
      </c>
      <c r="BJ127" s="49">
        <f t="shared" ref="BJ127" si="895">SUM(AT127:BI127)-(45*8)</f>
        <v>2.9712555759156367E+18</v>
      </c>
      <c r="BK127" s="49">
        <f t="shared" si="157"/>
        <v>5.942465808533761E+18</v>
      </c>
      <c r="BL127" s="49">
        <f t="shared" ref="BL127:BO127" si="896">SUM(AV127:BK127)-(45*7)</f>
        <v>1.1884840931164463E+19</v>
      </c>
      <c r="BM127" s="49">
        <f t="shared" si="896"/>
        <v>2.3769500491906736E+19</v>
      </c>
      <c r="BN127" s="49">
        <f t="shared" si="896"/>
        <v>4.7538638245736923E+19</v>
      </c>
      <c r="BO127" s="49">
        <f t="shared" si="896"/>
        <v>9.5076551020856377E+19</v>
      </c>
      <c r="BP127" s="49">
        <f t="shared" ref="BP127" si="897">SUM(AZ127:BO127)-(45*6)</f>
        <v>1.9015165111154894E+20</v>
      </c>
      <c r="BQ127" s="49">
        <f t="shared" ref="BQ127" si="898">SUM(BA127:BP127)-(45*5)</f>
        <v>3.8030040038491239E+20</v>
      </c>
      <c r="BR127" s="49">
        <f t="shared" ref="BR127:BS127" si="899">SUM(BB127:BQ127)-(45*6)</f>
        <v>7.6059499713773778E+20</v>
      </c>
      <c r="BS127" s="49">
        <f t="shared" si="899"/>
        <v>1.521178387099869E+21</v>
      </c>
      <c r="BT127" s="49">
        <f t="shared" ref="BT127:BU127" si="900">SUM(BD127:BS127)-(45*7)</f>
        <v>3.0423335600256576E+21</v>
      </c>
      <c r="BU127" s="49">
        <f t="shared" si="900"/>
        <v>6.0846206920574181E+21</v>
      </c>
      <c r="BV127" s="49">
        <f t="shared" ref="BV127" si="901">SUM(BF127:BU127)-(45*6)</f>
        <v>1.2169148528835563E+22</v>
      </c>
    </row>
    <row r="128" spans="2:74" ht="17.25">
      <c r="B128" s="207"/>
      <c r="C128" s="44">
        <v>597</v>
      </c>
      <c r="D128" s="108" t="s">
        <v>365</v>
      </c>
      <c r="E128" s="48">
        <v>191</v>
      </c>
      <c r="F128" s="63">
        <v>202</v>
      </c>
      <c r="G128" s="63">
        <v>28</v>
      </c>
      <c r="H128" s="48">
        <f t="shared" si="119"/>
        <v>348</v>
      </c>
      <c r="I128" s="48">
        <v>39</v>
      </c>
      <c r="J128" s="49">
        <f t="shared" ref="J128" si="902">SUM(E128:I128)-(45*1)</f>
        <v>763</v>
      </c>
      <c r="K128" s="49">
        <f t="shared" ref="K128" si="903">SUM(E128:J128)-(45*2)</f>
        <v>1481</v>
      </c>
      <c r="L128" s="49">
        <f t="shared" si="122"/>
        <v>2917</v>
      </c>
      <c r="M128" s="49">
        <f t="shared" ref="M128" si="904">SUM(E128:L128)-(45*4)</f>
        <v>5789</v>
      </c>
      <c r="N128" s="49">
        <f t="shared" ref="N128" si="905">SUM(E128:M128)-(45*5)</f>
        <v>11533</v>
      </c>
      <c r="O128" s="49">
        <f t="shared" si="125"/>
        <v>23066</v>
      </c>
      <c r="P128" s="49">
        <f t="shared" si="126"/>
        <v>46087</v>
      </c>
      <c r="Q128" s="49">
        <f t="shared" ref="Q128" si="906">SUM(E128:P128)-(45*6)</f>
        <v>92174</v>
      </c>
      <c r="R128" s="49">
        <f t="shared" ref="R128" si="907">SUM(E128:Q128)-(45*6)</f>
        <v>184348</v>
      </c>
      <c r="S128" s="49">
        <f t="shared" ref="S128" si="908">SUM(E128:R128)-(45*7)</f>
        <v>368651</v>
      </c>
      <c r="T128" s="49">
        <f t="shared" ref="T128" si="909">SUM(E128:S128)-(45*7)</f>
        <v>737302</v>
      </c>
      <c r="U128" s="49">
        <f t="shared" ref="U128" si="910">SUM(E128:T128)-(45*7)</f>
        <v>1474604</v>
      </c>
      <c r="V128" s="49">
        <f t="shared" ref="V128:Y128" si="911">SUM(F128:U128)-(45*8)</f>
        <v>2948972</v>
      </c>
      <c r="W128" s="49">
        <f t="shared" si="911"/>
        <v>5897742</v>
      </c>
      <c r="X128" s="49">
        <f t="shared" si="911"/>
        <v>11795456</v>
      </c>
      <c r="Y128" s="49">
        <f t="shared" si="911"/>
        <v>23590564</v>
      </c>
      <c r="Z128" s="49">
        <f t="shared" ref="Z128:AC128" si="912">SUM(J128:Y128)-(45*7)</f>
        <v>47181134</v>
      </c>
      <c r="AA128" s="49">
        <f t="shared" si="912"/>
        <v>94361505</v>
      </c>
      <c r="AB128" s="49">
        <f t="shared" si="912"/>
        <v>188721529</v>
      </c>
      <c r="AC128" s="49">
        <f t="shared" si="912"/>
        <v>377440141</v>
      </c>
      <c r="AD128" s="49">
        <f t="shared" ref="AD128" si="913">SUM(N128:AC128)-(45*6)</f>
        <v>754874538</v>
      </c>
      <c r="AE128" s="49">
        <f t="shared" ref="AE128:AG128" si="914">SUM(O128:AD128)-(45*7)</f>
        <v>1509737498</v>
      </c>
      <c r="AF128" s="49">
        <f t="shared" si="914"/>
        <v>3019451930</v>
      </c>
      <c r="AG128" s="49">
        <f t="shared" si="914"/>
        <v>6038857773</v>
      </c>
      <c r="AH128" s="49">
        <f t="shared" ref="AH128:AI128" si="915">SUM(R128:AG128)-(45*8)</f>
        <v>12077623327</v>
      </c>
      <c r="AI128" s="49">
        <f t="shared" si="915"/>
        <v>24155062306</v>
      </c>
      <c r="AJ128" s="49">
        <f t="shared" ref="AJ128:AK128" si="916">SUM(T128:AI128)-(45*9)</f>
        <v>48309755916</v>
      </c>
      <c r="AK128" s="49">
        <f t="shared" si="916"/>
        <v>96618774530</v>
      </c>
      <c r="AL128" s="49">
        <f t="shared" ref="AL128" si="917">SUM(V128:AK128)-(45*8)</f>
        <v>193236074501</v>
      </c>
      <c r="AM128" s="49">
        <f t="shared" ref="AM128" si="918">SUM(W128:AL128)-(45*7)</f>
        <v>386469200075</v>
      </c>
      <c r="AN128" s="49">
        <f t="shared" ref="AN128:AO128" si="919">SUM(X128:AM128)-(45*8)</f>
        <v>772932502363</v>
      </c>
      <c r="AO128" s="49">
        <f t="shared" si="919"/>
        <v>1545853209270</v>
      </c>
      <c r="AP128" s="49">
        <f t="shared" ref="AP128" si="920">SUM(Z128:AO128)-(45*9)</f>
        <v>3091682827931</v>
      </c>
      <c r="AQ128" s="49">
        <f t="shared" si="142"/>
        <v>6183318474773</v>
      </c>
      <c r="AR128" s="49">
        <f t="shared" si="143"/>
        <v>12366542588041</v>
      </c>
      <c r="AS128" s="49">
        <f t="shared" ref="AS128" si="921">SUM(AC128:AR128)-(45*8)</f>
        <v>24732896454553</v>
      </c>
      <c r="AT128" s="49">
        <f t="shared" si="189"/>
        <v>49465415468965</v>
      </c>
      <c r="AU128" s="49">
        <f t="shared" ref="AU128:AV128" si="922">SUM(AE128:AT128)-(45*8)</f>
        <v>98930076063392</v>
      </c>
      <c r="AV128" s="49">
        <f t="shared" si="922"/>
        <v>197858642389286</v>
      </c>
      <c r="AW128" s="49">
        <f t="shared" ref="AW128" si="923">SUM(AG128:AV128)-(45*9)</f>
        <v>395714265326597</v>
      </c>
      <c r="AX128" s="49">
        <f t="shared" ref="AX128" si="924">SUM(AH128:AW128)-(45*8)</f>
        <v>791422491795466</v>
      </c>
      <c r="AY128" s="49">
        <f t="shared" ref="AY128:AZ128" si="925">SUM(AI128:AX128)-(45*7)</f>
        <v>1582832905967650</v>
      </c>
      <c r="AZ128" s="49">
        <f t="shared" si="925"/>
        <v>3165641656872994</v>
      </c>
      <c r="BA128" s="49">
        <f t="shared" si="148"/>
        <v>6331235003990027</v>
      </c>
      <c r="BB128" s="49">
        <f t="shared" si="149"/>
        <v>1.2662373389205524E+16</v>
      </c>
      <c r="BC128" s="49">
        <f t="shared" si="150"/>
        <v>2.5324553542336548E+16</v>
      </c>
      <c r="BD128" s="49">
        <f t="shared" si="151"/>
        <v>5.0648720615473016E+16</v>
      </c>
      <c r="BE128" s="49">
        <f t="shared" ref="BE128" si="926">SUM(AO128:BD128)-(45*9)</f>
        <v>1.0129666829844363E+17</v>
      </c>
      <c r="BF128" s="49">
        <f t="shared" si="193"/>
        <v>2.0259179074367805E+17</v>
      </c>
      <c r="BG128" s="49">
        <f t="shared" ref="BG128" si="927">SUM(AQ128:BF128)-(45*8)</f>
        <v>4.0518048980452813E+17</v>
      </c>
      <c r="BH128" s="49">
        <f t="shared" ref="BH128" si="928">SUM(AR128:BG128)-(45*9)</f>
        <v>8.103547962905815E+17</v>
      </c>
      <c r="BI128" s="49">
        <f t="shared" si="155"/>
        <v>1.6206972260385751E+18</v>
      </c>
      <c r="BJ128" s="49">
        <f t="shared" ref="BJ128" si="929">SUM(AT128:BI128)-(45*9)</f>
        <v>3.2413697191806956E+18</v>
      </c>
      <c r="BK128" s="49">
        <f t="shared" si="157"/>
        <v>6.482689972945922E+18</v>
      </c>
      <c r="BL128" s="49">
        <f t="shared" ref="BL128" si="930">SUM(AV128:BK128)-(45*9)</f>
        <v>1.2965281015815782E+19</v>
      </c>
      <c r="BM128" s="49">
        <f t="shared" ref="BM128" si="931">SUM(AW128:BL128)-(45*8)</f>
        <v>2.5930364172989174E+19</v>
      </c>
      <c r="BN128" s="49">
        <f t="shared" ref="BN128:BO128" si="932">SUM(AX128:BM128)-(45*9)</f>
        <v>5.1860332631713022E+19</v>
      </c>
      <c r="BO128" s="49">
        <f t="shared" si="932"/>
        <v>1.0371987384093426E+20</v>
      </c>
      <c r="BP128" s="49">
        <f t="shared" ref="BP128:BS128" si="933">SUM(AZ128:BO128)-(45*8)</f>
        <v>2.0743816484896254E+20</v>
      </c>
      <c r="BQ128" s="49">
        <f t="shared" si="933"/>
        <v>4.1487316405626824E+20</v>
      </c>
      <c r="BR128" s="49">
        <f t="shared" si="933"/>
        <v>8.2973999687753243E+20</v>
      </c>
      <c r="BS128" s="49">
        <f t="shared" si="933"/>
        <v>1.6594673313816757E+21</v>
      </c>
      <c r="BT128" s="49">
        <f t="shared" ref="BT128:BV128" si="934">SUM(BD128:BS128)-(45*7)</f>
        <v>3.3189093382098088E+21</v>
      </c>
      <c r="BU128" s="49">
        <f t="shared" si="934"/>
        <v>6.637768027699002E+21</v>
      </c>
      <c r="BV128" s="49">
        <f t="shared" si="934"/>
        <v>1.3275434758729705E+22</v>
      </c>
    </row>
    <row r="129" spans="2:74" ht="17.25">
      <c r="B129" s="207"/>
      <c r="C129" s="44">
        <v>598</v>
      </c>
      <c r="D129" s="108" t="s">
        <v>366</v>
      </c>
      <c r="E129" s="48">
        <v>198</v>
      </c>
      <c r="F129" s="63">
        <v>209</v>
      </c>
      <c r="G129" s="63">
        <v>29</v>
      </c>
      <c r="H129" s="48">
        <f t="shared" si="119"/>
        <v>362</v>
      </c>
      <c r="I129" s="48">
        <v>40</v>
      </c>
      <c r="J129" s="49">
        <f t="shared" ref="J129" si="935">SUM(E129:I129)-(45*2)</f>
        <v>748</v>
      </c>
      <c r="K129" s="49">
        <f t="shared" ref="K129" si="936">SUM(E129:J129)-(45*3)</f>
        <v>1451</v>
      </c>
      <c r="L129" s="49">
        <f t="shared" si="122"/>
        <v>2902</v>
      </c>
      <c r="M129" s="49">
        <f t="shared" ref="M129" si="937">SUM(E129:L129)-(45*3)</f>
        <v>5804</v>
      </c>
      <c r="N129" s="49">
        <f t="shared" ref="N129" si="938">SUM(E129:M129)-(45*4)</f>
        <v>11563</v>
      </c>
      <c r="O129" s="49">
        <f t="shared" si="125"/>
        <v>23081</v>
      </c>
      <c r="P129" s="49">
        <f t="shared" si="126"/>
        <v>46117</v>
      </c>
      <c r="Q129" s="49">
        <f t="shared" ref="Q129" si="939">SUM(E129:P129)-(45*7)</f>
        <v>92189</v>
      </c>
      <c r="R129" s="49">
        <f t="shared" ref="R129" si="940">SUM(E129:Q129)-(45*8)</f>
        <v>184333</v>
      </c>
      <c r="S129" s="49">
        <f t="shared" ref="S129" si="941">SUM(E129:R129)-(45*8)</f>
        <v>368666</v>
      </c>
      <c r="T129" s="49">
        <f t="shared" ref="T129" si="942">SUM(E129:S129)-(45*9)</f>
        <v>737287</v>
      </c>
      <c r="U129" s="49">
        <f t="shared" ref="U129" si="943">SUM(E129:T129)-(45*9)</f>
        <v>1474574</v>
      </c>
      <c r="V129" s="49">
        <f t="shared" ref="V129:W129" si="944">SUM(F129:U129)-(45*8)</f>
        <v>2948995</v>
      </c>
      <c r="W129" s="49">
        <f t="shared" si="944"/>
        <v>5897781</v>
      </c>
      <c r="X129" s="49">
        <f t="shared" ref="X129" si="945">SUM(H129:W129)-(45*9)</f>
        <v>11795488</v>
      </c>
      <c r="Y129" s="49">
        <f t="shared" ref="Y129:Z129" si="946">SUM(I129:X129)-(45*10)</f>
        <v>23590569</v>
      </c>
      <c r="Z129" s="49">
        <f t="shared" si="946"/>
        <v>47181098</v>
      </c>
      <c r="AA129" s="49">
        <f t="shared" ref="AA129" si="947">SUM(K129:Z129)-(45*9)</f>
        <v>94361493</v>
      </c>
      <c r="AB129" s="49">
        <f t="shared" ref="AB129" si="948">SUM(L129:AA129)-(45*9)</f>
        <v>188721535</v>
      </c>
      <c r="AC129" s="49">
        <f t="shared" ref="AC129" si="949">SUM(M129:AB129)-(45*9)</f>
        <v>377440168</v>
      </c>
      <c r="AD129" s="49">
        <f t="shared" ref="AD129" si="950">SUM(N129:AC129)-(45*9)</f>
        <v>754874532</v>
      </c>
      <c r="AE129" s="49">
        <f t="shared" ref="AE129" si="951">SUM(O129:AD129)-(45*9)</f>
        <v>1509737501</v>
      </c>
      <c r="AF129" s="49">
        <f t="shared" ref="AF129" si="952">SUM(P129:AE129)-(45*9)</f>
        <v>3019451921</v>
      </c>
      <c r="AG129" s="49">
        <f t="shared" ref="AG129" si="953">SUM(Q129:AF129)-(45*8)</f>
        <v>6038857770</v>
      </c>
      <c r="AH129" s="49">
        <f t="shared" ref="AH129:AI129" si="954">SUM(R129:AG129)-(45*9)</f>
        <v>12077623306</v>
      </c>
      <c r="AI129" s="49">
        <f t="shared" si="954"/>
        <v>24155062279</v>
      </c>
      <c r="AJ129" s="49">
        <f t="shared" ref="AJ129" si="955">SUM(T129:AI129)-(45*8)</f>
        <v>48309755937</v>
      </c>
      <c r="AK129" s="49">
        <f t="shared" ref="AK129:AL129" si="956">SUM(U129:AJ129)-(45*9)</f>
        <v>96618774542</v>
      </c>
      <c r="AL129" s="49">
        <f t="shared" si="956"/>
        <v>193236074510</v>
      </c>
      <c r="AM129" s="49">
        <f t="shared" ref="AM129:AN129" si="957">SUM(W129:AL129)-(45*8)</f>
        <v>386469200070</v>
      </c>
      <c r="AN129" s="49">
        <f t="shared" si="957"/>
        <v>772932502359</v>
      </c>
      <c r="AO129" s="49">
        <f t="shared" ref="AO129" si="958">SUM(Y129:AN129)-(45*7)</f>
        <v>1545853209275</v>
      </c>
      <c r="AP129" s="49">
        <f t="shared" ref="AP129" si="959">SUM(Z129:AO129)-(45*8)</f>
        <v>3091682827936</v>
      </c>
      <c r="AQ129" s="49">
        <f t="shared" si="142"/>
        <v>6183318474774</v>
      </c>
      <c r="AR129" s="49">
        <f t="shared" si="143"/>
        <v>12366542588055</v>
      </c>
      <c r="AS129" s="49">
        <f t="shared" ref="AS129" si="960">SUM(AC129:AR129)-(45*9)</f>
        <v>24732896454530</v>
      </c>
      <c r="AT129" s="49">
        <f t="shared" si="189"/>
        <v>49465415468937</v>
      </c>
      <c r="AU129" s="49">
        <f t="shared" ref="AU129:AY129" si="961">SUM(AE129:AT129)-(45*7)</f>
        <v>98930076063387</v>
      </c>
      <c r="AV129" s="49">
        <f t="shared" si="961"/>
        <v>197858642389273</v>
      </c>
      <c r="AW129" s="49">
        <f t="shared" si="961"/>
        <v>395714265326625</v>
      </c>
      <c r="AX129" s="49">
        <f t="shared" si="961"/>
        <v>791422491795480</v>
      </c>
      <c r="AY129" s="49">
        <f t="shared" si="961"/>
        <v>1582832905967654</v>
      </c>
      <c r="AZ129" s="49">
        <f t="shared" ref="AZ129" si="962">SUM(AJ129:AY129)-(45*8)</f>
        <v>3165641656872984</v>
      </c>
      <c r="BA129" s="49">
        <f t="shared" si="148"/>
        <v>6331235003990031</v>
      </c>
      <c r="BB129" s="49">
        <f t="shared" si="149"/>
        <v>1.266237338920552E+16</v>
      </c>
      <c r="BC129" s="49">
        <f t="shared" si="150"/>
        <v>2.5324553542336528E+16</v>
      </c>
      <c r="BD129" s="49">
        <f t="shared" si="151"/>
        <v>5.0648720615472984E+16</v>
      </c>
      <c r="BE129" s="49">
        <f t="shared" ref="BE129" si="963">SUM(AO129:BD129)-(45*7)</f>
        <v>1.0129666829844365E+17</v>
      </c>
      <c r="BF129" s="49">
        <f t="shared" si="193"/>
        <v>2.0259179074367798E+17</v>
      </c>
      <c r="BG129" s="49">
        <f t="shared" ref="BG129:BH129" si="964">SUM(AQ129:BF129)-(45*7)</f>
        <v>4.0518048980452806E+17</v>
      </c>
      <c r="BH129" s="49">
        <f t="shared" si="964"/>
        <v>8.103547962905815E+17</v>
      </c>
      <c r="BI129" s="49">
        <f t="shared" si="155"/>
        <v>1.6206972260385748E+18</v>
      </c>
      <c r="BJ129" s="49">
        <f t="shared" ref="BJ129" si="965">SUM(AT129:BI129)-(45*8)</f>
        <v>3.241369719180695E+18</v>
      </c>
      <c r="BK129" s="49">
        <f t="shared" si="157"/>
        <v>6.482689972945922E+18</v>
      </c>
      <c r="BL129" s="49">
        <f t="shared" ref="BL129:BO129" si="966">SUM(AV129:BK129)-(45*7)</f>
        <v>1.296528101581578E+19</v>
      </c>
      <c r="BM129" s="49">
        <f t="shared" si="966"/>
        <v>2.593036417298917E+19</v>
      </c>
      <c r="BN129" s="49">
        <f t="shared" si="966"/>
        <v>5.1860332631713014E+19</v>
      </c>
      <c r="BO129" s="49">
        <f t="shared" si="966"/>
        <v>1.0371987384093422E+20</v>
      </c>
      <c r="BP129" s="49">
        <f t="shared" ref="BP129" si="967">SUM(AZ129:BO129)-(45*6)</f>
        <v>2.074381648489625E+20</v>
      </c>
      <c r="BQ129" s="49">
        <f t="shared" ref="BQ129" si="968">SUM(BA129:BP129)-(45*5)</f>
        <v>4.1487316405626811E+20</v>
      </c>
      <c r="BR129" s="49">
        <f t="shared" ref="BR129:BS129" si="969">SUM(BB129:BQ129)-(45*6)</f>
        <v>8.2973999687753217E+20</v>
      </c>
      <c r="BS129" s="49">
        <f t="shared" si="969"/>
        <v>1.6594673313816752E+21</v>
      </c>
      <c r="BT129" s="49">
        <f t="shared" ref="BT129:BU129" si="970">SUM(BD129:BS129)-(45*7)</f>
        <v>3.3189093382098078E+21</v>
      </c>
      <c r="BU129" s="49">
        <f t="shared" si="970"/>
        <v>6.6377680276989999E+21</v>
      </c>
      <c r="BV129" s="49">
        <f t="shared" ref="BV129" si="971">SUM(BF129:BU129)-(45*6)</f>
        <v>1.3275434758729703E+22</v>
      </c>
    </row>
    <row r="130" spans="2:74" ht="17.25">
      <c r="B130" s="207"/>
      <c r="C130" s="44">
        <v>599</v>
      </c>
      <c r="D130" s="108" t="s">
        <v>367</v>
      </c>
      <c r="E130" s="48">
        <v>205</v>
      </c>
      <c r="F130" s="63">
        <v>216</v>
      </c>
      <c r="G130" s="63">
        <v>30</v>
      </c>
      <c r="H130" s="48">
        <f t="shared" si="119"/>
        <v>376</v>
      </c>
      <c r="I130" s="48">
        <v>41</v>
      </c>
      <c r="J130" s="49">
        <f t="shared" ref="J130" si="972">SUM(E130:I130)-(45*1)</f>
        <v>823</v>
      </c>
      <c r="K130" s="49">
        <f t="shared" ref="K130" si="973">SUM(E130:J130)-(45*2)</f>
        <v>1601</v>
      </c>
      <c r="L130" s="49">
        <f t="shared" si="122"/>
        <v>3157</v>
      </c>
      <c r="M130" s="49">
        <f t="shared" ref="M130" si="974">SUM(E130:L130)-(45*4)</f>
        <v>6269</v>
      </c>
      <c r="N130" s="49">
        <f t="shared" ref="N130" si="975">SUM(E130:M130)-(45*5)</f>
        <v>12493</v>
      </c>
      <c r="O130" s="49">
        <f t="shared" si="125"/>
        <v>24986</v>
      </c>
      <c r="P130" s="49">
        <f t="shared" si="126"/>
        <v>49927</v>
      </c>
      <c r="Q130" s="49">
        <f t="shared" ref="Q130" si="976">SUM(E130:P130)-(45*6)</f>
        <v>99854</v>
      </c>
      <c r="R130" s="49">
        <f t="shared" ref="R130" si="977">SUM(E130:Q130)-(45*6)</f>
        <v>199708</v>
      </c>
      <c r="S130" s="49">
        <f t="shared" ref="S130" si="978">SUM(E130:R130)-(45*7)</f>
        <v>399371</v>
      </c>
      <c r="T130" s="49">
        <f t="shared" ref="T130" si="979">SUM(E130:S130)-(45*7)</f>
        <v>798742</v>
      </c>
      <c r="U130" s="49">
        <f t="shared" ref="U130" si="980">SUM(E130:T130)-(45*7)</f>
        <v>1597484</v>
      </c>
      <c r="V130" s="49">
        <f t="shared" ref="V130:Y130" si="981">SUM(F130:U130)-(45*8)</f>
        <v>3194718</v>
      </c>
      <c r="W130" s="49">
        <f t="shared" si="981"/>
        <v>6389220</v>
      </c>
      <c r="X130" s="49">
        <f t="shared" si="981"/>
        <v>12778410</v>
      </c>
      <c r="Y130" s="49">
        <f t="shared" si="981"/>
        <v>25556444</v>
      </c>
      <c r="Z130" s="49">
        <f t="shared" ref="Z130:AC130" si="982">SUM(J130:Y130)-(45*7)</f>
        <v>51112892</v>
      </c>
      <c r="AA130" s="49">
        <f t="shared" si="982"/>
        <v>102224961</v>
      </c>
      <c r="AB130" s="49">
        <f t="shared" si="982"/>
        <v>204448321</v>
      </c>
      <c r="AC130" s="49">
        <f t="shared" si="982"/>
        <v>408893485</v>
      </c>
      <c r="AD130" s="49">
        <f t="shared" ref="AD130" si="983">SUM(N130:AC130)-(45*6)</f>
        <v>817780746</v>
      </c>
      <c r="AE130" s="49">
        <f t="shared" ref="AE130:AG130" si="984">SUM(O130:AD130)-(45*7)</f>
        <v>1635548954</v>
      </c>
      <c r="AF130" s="49">
        <f t="shared" si="984"/>
        <v>3271072922</v>
      </c>
      <c r="AG130" s="49">
        <f t="shared" si="984"/>
        <v>6542095917</v>
      </c>
      <c r="AH130" s="49">
        <f t="shared" ref="AH130:AI130" si="985">SUM(R130:AG130)-(45*8)</f>
        <v>13084091935</v>
      </c>
      <c r="AI130" s="49">
        <f t="shared" si="985"/>
        <v>26167984162</v>
      </c>
      <c r="AJ130" s="49">
        <f t="shared" ref="AJ130:AK130" si="986">SUM(T130:AI130)-(45*9)</f>
        <v>52335568908</v>
      </c>
      <c r="AK130" s="49">
        <f t="shared" si="986"/>
        <v>104670339074</v>
      </c>
      <c r="AL130" s="49">
        <f t="shared" ref="AL130" si="987">SUM(V130:AK130)-(45*8)</f>
        <v>209339080709</v>
      </c>
      <c r="AM130" s="49">
        <f t="shared" ref="AM130" si="988">SUM(W130:AL130)-(45*7)</f>
        <v>418674966745</v>
      </c>
      <c r="AN130" s="49">
        <f t="shared" ref="AN130:AO130" si="989">SUM(X130:AM130)-(45*8)</f>
        <v>837343544225</v>
      </c>
      <c r="AO130" s="49">
        <f t="shared" si="989"/>
        <v>1674674310040</v>
      </c>
      <c r="AP130" s="49">
        <f t="shared" ref="AP130" si="990">SUM(Z130:AO130)-(45*9)</f>
        <v>3349323063591</v>
      </c>
      <c r="AQ130" s="49">
        <f t="shared" si="142"/>
        <v>6698595014335</v>
      </c>
      <c r="AR130" s="49">
        <f t="shared" si="143"/>
        <v>13397087803709</v>
      </c>
      <c r="AS130" s="49">
        <f t="shared" ref="AS130" si="991">SUM(AC130:AR130)-(45*8)</f>
        <v>26793971159097</v>
      </c>
      <c r="AT130" s="49">
        <f t="shared" si="189"/>
        <v>53587533424709</v>
      </c>
      <c r="AU130" s="49">
        <f t="shared" ref="AU130:AV130" si="992">SUM(AE130:AT130)-(45*8)</f>
        <v>107174249068672</v>
      </c>
      <c r="AV130" s="49">
        <f t="shared" si="992"/>
        <v>214346862588390</v>
      </c>
      <c r="AW130" s="49">
        <f t="shared" ref="AW130" si="993">SUM(AG130:AV130)-(45*9)</f>
        <v>428690454103813</v>
      </c>
      <c r="AX130" s="49">
        <f t="shared" ref="AX130" si="994">SUM(AH130:AW130)-(45*8)</f>
        <v>857374366111754</v>
      </c>
      <c r="AY130" s="49">
        <f t="shared" ref="AY130:AZ130" si="995">SUM(AI130:AX130)-(45*7)</f>
        <v>1714735648131618</v>
      </c>
      <c r="AZ130" s="49">
        <f t="shared" si="995"/>
        <v>3429445128279074</v>
      </c>
      <c r="BA130" s="49">
        <f t="shared" si="148"/>
        <v>6858837920989195</v>
      </c>
      <c r="BB130" s="49">
        <f t="shared" si="149"/>
        <v>1.3717571171639316E+16</v>
      </c>
      <c r="BC130" s="49">
        <f t="shared" si="150"/>
        <v>2.7434933004197924E+16</v>
      </c>
      <c r="BD130" s="49">
        <f t="shared" si="151"/>
        <v>5.4869447333429096E+16</v>
      </c>
      <c r="BE130" s="49">
        <f t="shared" ref="BE130" si="996">SUM(AO130:BD130)-(45*9)</f>
        <v>1.0973805732331394E+17</v>
      </c>
      <c r="BF130" s="49">
        <f t="shared" si="193"/>
        <v>2.1947443997231786E+17</v>
      </c>
      <c r="BG130" s="49">
        <f t="shared" ref="BG130" si="997">SUM(AQ130:BF130)-(45*8)</f>
        <v>4.389455306215721E+17</v>
      </c>
      <c r="BH130" s="49">
        <f t="shared" ref="BH130" si="998">SUM(AR130:BG130)-(45*9)</f>
        <v>8.7788436264812992E+17</v>
      </c>
      <c r="BI130" s="49">
        <f t="shared" si="155"/>
        <v>1.7557553282084562E+18</v>
      </c>
      <c r="BJ130" s="49">
        <f t="shared" ref="BJ130" si="999">SUM(AT130:BI130)-(45*9)</f>
        <v>3.5114838624457528E+18</v>
      </c>
      <c r="BK130" s="49">
        <f t="shared" si="157"/>
        <v>7.022914137358082E+18</v>
      </c>
      <c r="BL130" s="49">
        <f t="shared" ref="BL130" si="1000">SUM(AV130:BK130)-(45*9)</f>
        <v>1.4045721100467096E+19</v>
      </c>
      <c r="BM130" s="49">
        <f t="shared" ref="BM130" si="1001">SUM(AW130:BL130)-(45*8)</f>
        <v>2.8091227854071603E+19</v>
      </c>
      <c r="BN130" s="49">
        <f t="shared" ref="BN130:BO130" si="1002">SUM(AX130:BM130)-(45*9)</f>
        <v>5.6182027017689104E+19</v>
      </c>
      <c r="BO130" s="49">
        <f t="shared" si="1002"/>
        <v>1.123631966610121E+20</v>
      </c>
      <c r="BP130" s="49">
        <f t="shared" ref="BP130:BS130" si="1003">SUM(AZ130:BO130)-(45*8)</f>
        <v>2.2472467858637606E+20</v>
      </c>
      <c r="BQ130" s="49">
        <f t="shared" si="1003"/>
        <v>4.4944592772762383E+20</v>
      </c>
      <c r="BR130" s="49">
        <f t="shared" si="1003"/>
        <v>8.9888499661732669E+20</v>
      </c>
      <c r="BS130" s="49">
        <f t="shared" si="1003"/>
        <v>1.7977562756634819E+21</v>
      </c>
      <c r="BT130" s="49">
        <f t="shared" ref="BT130:BV130" si="1004">SUM(BD130:BS130)-(45*7)</f>
        <v>3.5954851163939595E+21</v>
      </c>
      <c r="BU130" s="49">
        <f t="shared" si="1004"/>
        <v>7.1909153633405858E+21</v>
      </c>
      <c r="BV130" s="49">
        <f t="shared" si="1004"/>
        <v>1.4381720988623848E+22</v>
      </c>
    </row>
    <row r="131" spans="2:74" ht="17.25">
      <c r="B131" s="207"/>
      <c r="C131" s="44">
        <v>600</v>
      </c>
      <c r="D131" s="108" t="s">
        <v>368</v>
      </c>
      <c r="E131" s="48">
        <v>212</v>
      </c>
      <c r="F131" s="63">
        <v>223</v>
      </c>
      <c r="G131" s="63">
        <v>31</v>
      </c>
      <c r="H131" s="48">
        <f t="shared" si="119"/>
        <v>390</v>
      </c>
      <c r="I131" s="48">
        <v>42</v>
      </c>
      <c r="J131" s="49">
        <f t="shared" ref="J131" si="1005">SUM(E131:I131)-(45*2)</f>
        <v>808</v>
      </c>
      <c r="K131" s="49">
        <f t="shared" ref="K131" si="1006">SUM(E131:J131)-(45*3)</f>
        <v>1571</v>
      </c>
      <c r="L131" s="49">
        <f t="shared" si="122"/>
        <v>3142</v>
      </c>
      <c r="M131" s="49">
        <f t="shared" ref="M131" si="1007">SUM(E131:L131)-(45*3)</f>
        <v>6284</v>
      </c>
      <c r="N131" s="49">
        <f t="shared" ref="N131" si="1008">SUM(E131:M131)-(45*4)</f>
        <v>12523</v>
      </c>
      <c r="O131" s="49">
        <f t="shared" si="125"/>
        <v>25001</v>
      </c>
      <c r="P131" s="49">
        <f t="shared" si="126"/>
        <v>49957</v>
      </c>
      <c r="Q131" s="49">
        <f t="shared" ref="Q131" si="1009">SUM(E131:P131)-(45*7)</f>
        <v>99869</v>
      </c>
      <c r="R131" s="49">
        <f t="shared" ref="R131" si="1010">SUM(E131:Q131)-(45*8)</f>
        <v>199693</v>
      </c>
      <c r="S131" s="49">
        <f t="shared" ref="S131" si="1011">SUM(E131:R131)-(45*8)</f>
        <v>399386</v>
      </c>
      <c r="T131" s="49">
        <f t="shared" ref="T131" si="1012">SUM(E131:S131)-(45*9)</f>
        <v>798727</v>
      </c>
      <c r="U131" s="49">
        <f t="shared" ref="U131" si="1013">SUM(E131:T131)-(45*9)</f>
        <v>1597454</v>
      </c>
      <c r="V131" s="49">
        <f t="shared" ref="V131:W131" si="1014">SUM(F131:U131)-(45*8)</f>
        <v>3194741</v>
      </c>
      <c r="W131" s="49">
        <f t="shared" si="1014"/>
        <v>6389259</v>
      </c>
      <c r="X131" s="49">
        <f t="shared" ref="X131" si="1015">SUM(H131:W131)-(45*9)</f>
        <v>12778442</v>
      </c>
      <c r="Y131" s="49">
        <f t="shared" ref="Y131:Z131" si="1016">SUM(I131:X131)-(45*10)</f>
        <v>25556449</v>
      </c>
      <c r="Z131" s="49">
        <f t="shared" si="1016"/>
        <v>51112856</v>
      </c>
      <c r="AA131" s="49">
        <f t="shared" ref="AA131" si="1017">SUM(K131:Z131)-(45*9)</f>
        <v>102224949</v>
      </c>
      <c r="AB131" s="49">
        <f t="shared" ref="AB131" si="1018">SUM(L131:AA131)-(45*9)</f>
        <v>204448327</v>
      </c>
      <c r="AC131" s="49">
        <f t="shared" ref="AC131" si="1019">SUM(M131:AB131)-(45*9)</f>
        <v>408893512</v>
      </c>
      <c r="AD131" s="49">
        <f t="shared" ref="AD131" si="1020">SUM(N131:AC131)-(45*9)</f>
        <v>817780740</v>
      </c>
      <c r="AE131" s="49">
        <f t="shared" ref="AE131" si="1021">SUM(O131:AD131)-(45*9)</f>
        <v>1635548957</v>
      </c>
      <c r="AF131" s="49">
        <f t="shared" ref="AF131" si="1022">SUM(P131:AE131)-(45*9)</f>
        <v>3271072913</v>
      </c>
      <c r="AG131" s="49">
        <f t="shared" ref="AG131" si="1023">SUM(Q131:AF131)-(45*8)</f>
        <v>6542095914</v>
      </c>
      <c r="AH131" s="49">
        <f t="shared" ref="AH131:AI131" si="1024">SUM(R131:AG131)-(45*9)</f>
        <v>13084091914</v>
      </c>
      <c r="AI131" s="49">
        <f t="shared" si="1024"/>
        <v>26167984135</v>
      </c>
      <c r="AJ131" s="49">
        <f t="shared" ref="AJ131" si="1025">SUM(T131:AI131)-(45*8)</f>
        <v>52335568929</v>
      </c>
      <c r="AK131" s="49">
        <f t="shared" ref="AK131:AL131" si="1026">SUM(U131:AJ131)-(45*9)</f>
        <v>104670339086</v>
      </c>
      <c r="AL131" s="49">
        <f t="shared" si="1026"/>
        <v>209339080718</v>
      </c>
      <c r="AM131" s="49">
        <f t="shared" ref="AM131:AN131" si="1027">SUM(W131:AL131)-(45*8)</f>
        <v>418674966740</v>
      </c>
      <c r="AN131" s="49">
        <f t="shared" si="1027"/>
        <v>837343544221</v>
      </c>
      <c r="AO131" s="49">
        <f t="shared" ref="AO131" si="1028">SUM(Y131:AN131)-(45*7)</f>
        <v>1674674310045</v>
      </c>
      <c r="AP131" s="49">
        <f t="shared" ref="AP131" si="1029">SUM(Z131:AO131)-(45*8)</f>
        <v>3349323063596</v>
      </c>
      <c r="AQ131" s="49">
        <f t="shared" si="142"/>
        <v>6698595014336</v>
      </c>
      <c r="AR131" s="49">
        <f t="shared" si="143"/>
        <v>13397087803723</v>
      </c>
      <c r="AS131" s="49">
        <f t="shared" ref="AS131" si="1030">SUM(AC131:AR131)-(45*9)</f>
        <v>26793971159074</v>
      </c>
      <c r="AT131" s="49">
        <f t="shared" si="189"/>
        <v>53587533424681</v>
      </c>
      <c r="AU131" s="49">
        <f t="shared" ref="AU131:AY131" si="1031">SUM(AE131:AT131)-(45*7)</f>
        <v>107174249068667</v>
      </c>
      <c r="AV131" s="49">
        <f t="shared" si="1031"/>
        <v>214346862588377</v>
      </c>
      <c r="AW131" s="49">
        <f t="shared" si="1031"/>
        <v>428690454103841</v>
      </c>
      <c r="AX131" s="49">
        <f t="shared" si="1031"/>
        <v>857374366111768</v>
      </c>
      <c r="AY131" s="49">
        <f t="shared" si="1031"/>
        <v>1714735648131622</v>
      </c>
      <c r="AZ131" s="49">
        <f t="shared" ref="AZ131" si="1032">SUM(AJ131:AY131)-(45*8)</f>
        <v>3429445128279064</v>
      </c>
      <c r="BA131" s="49">
        <f t="shared" si="148"/>
        <v>6858837920989199</v>
      </c>
      <c r="BB131" s="49">
        <f t="shared" si="149"/>
        <v>1.3717571171639312E+16</v>
      </c>
      <c r="BC131" s="49">
        <f t="shared" si="150"/>
        <v>2.7434933004197904E+16</v>
      </c>
      <c r="BD131" s="49">
        <f t="shared" si="151"/>
        <v>5.4869447333429072E+16</v>
      </c>
      <c r="BE131" s="49">
        <f t="shared" ref="BE131" si="1033">SUM(AO131:BD131)-(45*7)</f>
        <v>1.0973805732331395E+17</v>
      </c>
      <c r="BF131" s="49">
        <f t="shared" si="193"/>
        <v>2.1947443997231786E+17</v>
      </c>
      <c r="BG131" s="49">
        <f t="shared" ref="BG131:BH131" si="1034">SUM(AQ131:BF131)-(45*7)</f>
        <v>4.3894553062157216E+17</v>
      </c>
      <c r="BH131" s="49">
        <f t="shared" si="1034"/>
        <v>8.7788436264813005E+17</v>
      </c>
      <c r="BI131" s="49">
        <f t="shared" si="155"/>
        <v>1.7557553282084564E+18</v>
      </c>
      <c r="BJ131" s="49">
        <f t="shared" ref="BJ131" si="1035">SUM(AT131:BI131)-(45*8)</f>
        <v>3.5114838624457533E+18</v>
      </c>
      <c r="BK131" s="49">
        <f t="shared" si="157"/>
        <v>7.022914137358082E+18</v>
      </c>
      <c r="BL131" s="49">
        <f t="shared" ref="BL131:BO131" si="1036">SUM(AV131:BK131)-(45*7)</f>
        <v>1.4045721100467096E+19</v>
      </c>
      <c r="BM131" s="49">
        <f t="shared" si="1036"/>
        <v>2.8091227854071603E+19</v>
      </c>
      <c r="BN131" s="49">
        <f t="shared" si="1036"/>
        <v>5.6182027017689104E+19</v>
      </c>
      <c r="BO131" s="49">
        <f t="shared" si="1036"/>
        <v>1.123631966610121E+20</v>
      </c>
      <c r="BP131" s="49">
        <f t="shared" ref="BP131" si="1037">SUM(AZ131:BO131)-(45*6)</f>
        <v>2.2472467858637606E+20</v>
      </c>
      <c r="BQ131" s="49">
        <f t="shared" ref="BQ131" si="1038">SUM(BA131:BP131)-(45*5)</f>
        <v>4.4944592772762383E+20</v>
      </c>
      <c r="BR131" s="49">
        <f t="shared" ref="BR131:BS131" si="1039">SUM(BB131:BQ131)-(45*6)</f>
        <v>8.9888499661732669E+20</v>
      </c>
      <c r="BS131" s="49">
        <f t="shared" si="1039"/>
        <v>1.7977562756634819E+21</v>
      </c>
      <c r="BT131" s="49">
        <f t="shared" ref="BT131:BU131" si="1040">SUM(BD131:BS131)-(45*7)</f>
        <v>3.5954851163939595E+21</v>
      </c>
      <c r="BU131" s="49">
        <f t="shared" si="1040"/>
        <v>7.1909153633405858E+21</v>
      </c>
      <c r="BV131" s="49">
        <f t="shared" ref="BV131" si="1041">SUM(BF131:BU131)-(45*6)</f>
        <v>1.4381720988623848E+22</v>
      </c>
    </row>
    <row r="132" spans="2:74" ht="17.25">
      <c r="B132" s="207"/>
      <c r="C132" s="44">
        <v>601</v>
      </c>
      <c r="D132" s="108" t="s">
        <v>369</v>
      </c>
      <c r="E132" s="48">
        <v>219</v>
      </c>
      <c r="F132" s="63">
        <v>230</v>
      </c>
      <c r="G132" s="63">
        <v>32</v>
      </c>
      <c r="H132" s="48">
        <f t="shared" si="119"/>
        <v>404</v>
      </c>
      <c r="I132" s="48">
        <v>43</v>
      </c>
      <c r="J132" s="49">
        <f t="shared" ref="J132" si="1042">SUM(E132:I132)-(45*1)</f>
        <v>883</v>
      </c>
      <c r="K132" s="49">
        <f t="shared" ref="K132" si="1043">SUM(E132:J132)-(45*2)</f>
        <v>1721</v>
      </c>
      <c r="L132" s="49">
        <f t="shared" si="122"/>
        <v>3397</v>
      </c>
      <c r="M132" s="49">
        <f t="shared" ref="M132" si="1044">SUM(E132:L132)-(45*4)</f>
        <v>6749</v>
      </c>
      <c r="N132" s="49">
        <f t="shared" ref="N132" si="1045">SUM(E132:M132)-(45*5)</f>
        <v>13453</v>
      </c>
      <c r="O132" s="49">
        <f t="shared" si="125"/>
        <v>26906</v>
      </c>
      <c r="P132" s="49">
        <f t="shared" si="126"/>
        <v>53767</v>
      </c>
      <c r="Q132" s="49">
        <f t="shared" ref="Q132" si="1046">SUM(E132:P132)-(45*6)</f>
        <v>107534</v>
      </c>
      <c r="R132" s="49">
        <f t="shared" ref="R132" si="1047">SUM(E132:Q132)-(45*6)</f>
        <v>215068</v>
      </c>
      <c r="S132" s="49">
        <f t="shared" ref="S132" si="1048">SUM(E132:R132)-(45*7)</f>
        <v>430091</v>
      </c>
      <c r="T132" s="49">
        <f t="shared" ref="T132" si="1049">SUM(E132:S132)-(45*7)</f>
        <v>860182</v>
      </c>
      <c r="U132" s="49">
        <f t="shared" ref="U132" si="1050">SUM(E132:T132)-(45*7)</f>
        <v>1720364</v>
      </c>
      <c r="V132" s="49">
        <f t="shared" ref="V132:Y132" si="1051">SUM(F132:U132)-(45*8)</f>
        <v>3440464</v>
      </c>
      <c r="W132" s="49">
        <f t="shared" si="1051"/>
        <v>6880698</v>
      </c>
      <c r="X132" s="49">
        <f t="shared" si="1051"/>
        <v>13761364</v>
      </c>
      <c r="Y132" s="49">
        <f t="shared" si="1051"/>
        <v>27522324</v>
      </c>
      <c r="Z132" s="49">
        <f t="shared" ref="Z132:AC132" si="1052">SUM(J132:Y132)-(45*7)</f>
        <v>55044650</v>
      </c>
      <c r="AA132" s="49">
        <f t="shared" si="1052"/>
        <v>110088417</v>
      </c>
      <c r="AB132" s="49">
        <f t="shared" si="1052"/>
        <v>220175113</v>
      </c>
      <c r="AC132" s="49">
        <f t="shared" si="1052"/>
        <v>440346829</v>
      </c>
      <c r="AD132" s="49">
        <f t="shared" ref="AD132" si="1053">SUM(N132:AC132)-(45*6)</f>
        <v>880686954</v>
      </c>
      <c r="AE132" s="49">
        <f t="shared" ref="AE132:AG132" si="1054">SUM(O132:AD132)-(45*7)</f>
        <v>1761360410</v>
      </c>
      <c r="AF132" s="49">
        <f t="shared" si="1054"/>
        <v>3522693914</v>
      </c>
      <c r="AG132" s="49">
        <f t="shared" si="1054"/>
        <v>7045334061</v>
      </c>
      <c r="AH132" s="49">
        <f t="shared" ref="AH132:AI132" si="1055">SUM(R132:AG132)-(45*8)</f>
        <v>14090560543</v>
      </c>
      <c r="AI132" s="49">
        <f t="shared" si="1055"/>
        <v>28180906018</v>
      </c>
      <c r="AJ132" s="49">
        <f t="shared" ref="AJ132:AK132" si="1056">SUM(T132:AI132)-(45*9)</f>
        <v>56361381900</v>
      </c>
      <c r="AK132" s="49">
        <f t="shared" si="1056"/>
        <v>112721903618</v>
      </c>
      <c r="AL132" s="49">
        <f t="shared" ref="AL132" si="1057">SUM(V132:AK132)-(45*8)</f>
        <v>225442086917</v>
      </c>
      <c r="AM132" s="49">
        <f t="shared" ref="AM132" si="1058">SUM(W132:AL132)-(45*7)</f>
        <v>450880733415</v>
      </c>
      <c r="AN132" s="49">
        <f t="shared" ref="AN132:AO132" si="1059">SUM(X132:AM132)-(45*8)</f>
        <v>901754586087</v>
      </c>
      <c r="AO132" s="49">
        <f t="shared" si="1059"/>
        <v>1803495410810</v>
      </c>
      <c r="AP132" s="49">
        <f t="shared" ref="AP132" si="1060">SUM(Z132:AO132)-(45*9)</f>
        <v>3606963299251</v>
      </c>
      <c r="AQ132" s="49">
        <f t="shared" si="142"/>
        <v>7213871553897</v>
      </c>
      <c r="AR132" s="49">
        <f t="shared" si="143"/>
        <v>14427633019377</v>
      </c>
      <c r="AS132" s="49">
        <f t="shared" ref="AS132" si="1061">SUM(AC132:AR132)-(45*8)</f>
        <v>28855045863641</v>
      </c>
      <c r="AT132" s="49">
        <f t="shared" si="189"/>
        <v>57709651380453</v>
      </c>
      <c r="AU132" s="49">
        <f t="shared" ref="AU132:AV132" si="1062">SUM(AE132:AT132)-(45*8)</f>
        <v>115418422073952</v>
      </c>
      <c r="AV132" s="49">
        <f t="shared" si="1062"/>
        <v>230835082787494</v>
      </c>
      <c r="AW132" s="49">
        <f t="shared" ref="AW132" si="1063">SUM(AG132:AV132)-(45*9)</f>
        <v>461666642881029</v>
      </c>
      <c r="AX132" s="49">
        <f t="shared" ref="AX132" si="1064">SUM(AH132:AW132)-(45*8)</f>
        <v>923326240428042</v>
      </c>
      <c r="AY132" s="49">
        <f t="shared" ref="AY132:AZ132" si="1065">SUM(AI132:AX132)-(45*7)</f>
        <v>1846638390295586</v>
      </c>
      <c r="AZ132" s="49">
        <f t="shared" si="1065"/>
        <v>3693248599685154</v>
      </c>
      <c r="BA132" s="49">
        <f t="shared" si="148"/>
        <v>7386440837988363</v>
      </c>
      <c r="BB132" s="49">
        <f t="shared" si="149"/>
        <v>1.4772768954073108E+16</v>
      </c>
      <c r="BC132" s="49">
        <f t="shared" si="150"/>
        <v>2.95453124660593E+16</v>
      </c>
      <c r="BD132" s="49">
        <f t="shared" si="151"/>
        <v>5.9090174051385184E+16</v>
      </c>
      <c r="BE132" s="49">
        <f t="shared" ref="BE132" si="1066">SUM(AO132:BD132)-(45*9)</f>
        <v>1.1817944634818424E+17</v>
      </c>
      <c r="BF132" s="49">
        <f t="shared" si="193"/>
        <v>2.3635708920095773E+17</v>
      </c>
      <c r="BG132" s="49">
        <f t="shared" ref="BG132" si="1067">SUM(AQ132:BF132)-(45*8)</f>
        <v>4.7271057143861619E+17</v>
      </c>
      <c r="BH132" s="49">
        <f t="shared" ref="BH132" si="1068">SUM(AR132:BG132)-(45*9)</f>
        <v>9.4541392900567846E+17</v>
      </c>
      <c r="BI132" s="49">
        <f t="shared" si="155"/>
        <v>1.8908134303783375E+18</v>
      </c>
      <c r="BJ132" s="49">
        <f t="shared" ref="BJ132" si="1069">SUM(AT132:BI132)-(45*9)</f>
        <v>3.7815980057108116E+18</v>
      </c>
      <c r="BK132" s="49">
        <f t="shared" si="157"/>
        <v>7.5631383017702431E+18</v>
      </c>
      <c r="BL132" s="49">
        <f t="shared" ref="BL132" si="1070">SUM(AV132:BK132)-(45*9)</f>
        <v>1.5126161185118413E+19</v>
      </c>
      <c r="BM132" s="49">
        <f t="shared" ref="BM132" si="1071">SUM(AW132:BL132)-(45*8)</f>
        <v>3.0252091535154037E+19</v>
      </c>
      <c r="BN132" s="49">
        <f t="shared" ref="BN132:BO132" si="1072">SUM(AX132:BM132)-(45*9)</f>
        <v>6.0503721403665195E+19</v>
      </c>
      <c r="BO132" s="49">
        <f t="shared" si="1072"/>
        <v>1.2100651948108995E+20</v>
      </c>
      <c r="BP132" s="49">
        <f t="shared" ref="BP132:BS132" si="1073">SUM(AZ132:BO132)-(45*8)</f>
        <v>2.4201119232378962E+20</v>
      </c>
      <c r="BQ132" s="49">
        <f t="shared" si="1073"/>
        <v>4.8401869139897955E+20</v>
      </c>
      <c r="BR132" s="49">
        <f t="shared" si="1073"/>
        <v>9.6802999635712108E+20</v>
      </c>
      <c r="BS132" s="49">
        <f t="shared" si="1073"/>
        <v>1.936045219945288E+21</v>
      </c>
      <c r="BT132" s="49">
        <f t="shared" ref="BT132:BV132" si="1074">SUM(BD132:BS132)-(45*7)</f>
        <v>3.8720608945781101E+21</v>
      </c>
      <c r="BU132" s="49">
        <f t="shared" si="1074"/>
        <v>7.7440626989821686E+21</v>
      </c>
      <c r="BV132" s="49">
        <f t="shared" si="1074"/>
        <v>1.5488007218517988E+22</v>
      </c>
    </row>
    <row r="133" spans="2:74" ht="17.25">
      <c r="B133" s="207"/>
      <c r="C133" s="44">
        <v>602</v>
      </c>
      <c r="D133" s="108" t="s">
        <v>370</v>
      </c>
      <c r="E133" s="48">
        <v>226</v>
      </c>
      <c r="F133" s="63">
        <v>237</v>
      </c>
      <c r="G133" s="63">
        <v>33</v>
      </c>
      <c r="H133" s="48">
        <f t="shared" si="119"/>
        <v>418</v>
      </c>
      <c r="I133" s="48">
        <v>44</v>
      </c>
      <c r="J133" s="49">
        <f t="shared" ref="J133" si="1075">SUM(E133:I133)-(45*2)</f>
        <v>868</v>
      </c>
      <c r="K133" s="49">
        <f t="shared" ref="K133" si="1076">SUM(E133:J133)-(45*3)</f>
        <v>1691</v>
      </c>
      <c r="L133" s="49">
        <f t="shared" si="122"/>
        <v>3382</v>
      </c>
      <c r="M133" s="49">
        <f t="shared" ref="M133" si="1077">SUM(E133:L133)-(45*3)</f>
        <v>6764</v>
      </c>
      <c r="N133" s="49">
        <f t="shared" ref="N133" si="1078">SUM(E133:M133)-(45*4)</f>
        <v>13483</v>
      </c>
      <c r="O133" s="49">
        <f t="shared" si="125"/>
        <v>26921</v>
      </c>
      <c r="P133" s="49">
        <f t="shared" si="126"/>
        <v>53797</v>
      </c>
      <c r="Q133" s="49">
        <f t="shared" ref="Q133" si="1079">SUM(E133:P133)-(45*7)</f>
        <v>107549</v>
      </c>
      <c r="R133" s="49">
        <f t="shared" ref="R133" si="1080">SUM(E133:Q133)-(45*8)</f>
        <v>215053</v>
      </c>
      <c r="S133" s="49">
        <f t="shared" ref="S133" si="1081">SUM(E133:R133)-(45*8)</f>
        <v>430106</v>
      </c>
      <c r="T133" s="49">
        <f t="shared" ref="T133" si="1082">SUM(E133:S133)-(45*9)</f>
        <v>860167</v>
      </c>
      <c r="U133" s="49">
        <f t="shared" ref="U133" si="1083">SUM(E133:T133)-(45*9)</f>
        <v>1720334</v>
      </c>
      <c r="V133" s="49">
        <f t="shared" ref="V133:W133" si="1084">SUM(F133:U133)-(45*8)</f>
        <v>3440487</v>
      </c>
      <c r="W133" s="49">
        <f t="shared" si="1084"/>
        <v>6880737</v>
      </c>
      <c r="X133" s="49">
        <f t="shared" ref="X133" si="1085">SUM(H133:W133)-(45*9)</f>
        <v>13761396</v>
      </c>
      <c r="Y133" s="49">
        <f t="shared" ref="Y133:Z133" si="1086">SUM(I133:X133)-(45*10)</f>
        <v>27522329</v>
      </c>
      <c r="Z133" s="49">
        <f t="shared" si="1086"/>
        <v>55044614</v>
      </c>
      <c r="AA133" s="49">
        <f t="shared" ref="AA133" si="1087">SUM(K133:Z133)-(45*9)</f>
        <v>110088405</v>
      </c>
      <c r="AB133" s="49">
        <f t="shared" ref="AB133" si="1088">SUM(L133:AA133)-(45*9)</f>
        <v>220175119</v>
      </c>
      <c r="AC133" s="49">
        <f t="shared" ref="AC133" si="1089">SUM(M133:AB133)-(45*9)</f>
        <v>440346856</v>
      </c>
      <c r="AD133" s="49">
        <f t="shared" ref="AD133" si="1090">SUM(N133:AC133)-(45*9)</f>
        <v>880686948</v>
      </c>
      <c r="AE133" s="49">
        <f t="shared" ref="AE133" si="1091">SUM(O133:AD133)-(45*9)</f>
        <v>1761360413</v>
      </c>
      <c r="AF133" s="49">
        <f t="shared" ref="AF133" si="1092">SUM(P133:AE133)-(45*9)</f>
        <v>3522693905</v>
      </c>
      <c r="AG133" s="49">
        <f t="shared" ref="AG133" si="1093">SUM(Q133:AF133)-(45*8)</f>
        <v>7045334058</v>
      </c>
      <c r="AH133" s="49">
        <f t="shared" ref="AH133:AI133" si="1094">SUM(R133:AG133)-(45*9)</f>
        <v>14090560522</v>
      </c>
      <c r="AI133" s="49">
        <f t="shared" si="1094"/>
        <v>28180905991</v>
      </c>
      <c r="AJ133" s="49">
        <f t="shared" ref="AJ133" si="1095">SUM(T133:AI133)-(45*8)</f>
        <v>56361381921</v>
      </c>
      <c r="AK133" s="49">
        <f t="shared" ref="AK133:AL133" si="1096">SUM(U133:AJ133)-(45*9)</f>
        <v>112721903630</v>
      </c>
      <c r="AL133" s="49">
        <f t="shared" si="1096"/>
        <v>225442086926</v>
      </c>
      <c r="AM133" s="49">
        <f t="shared" ref="AM133:AN133" si="1097">SUM(W133:AL133)-(45*8)</f>
        <v>450880733410</v>
      </c>
      <c r="AN133" s="49">
        <f t="shared" si="1097"/>
        <v>901754586083</v>
      </c>
      <c r="AO133" s="49">
        <f t="shared" ref="AO133" si="1098">SUM(Y133:AN133)-(45*7)</f>
        <v>1803495410815</v>
      </c>
      <c r="AP133" s="49">
        <f t="shared" ref="AP133" si="1099">SUM(Z133:AO133)-(45*8)</f>
        <v>3606963299256</v>
      </c>
      <c r="AQ133" s="49">
        <f t="shared" si="142"/>
        <v>7213871553898</v>
      </c>
      <c r="AR133" s="49">
        <f t="shared" si="143"/>
        <v>14427633019391</v>
      </c>
      <c r="AS133" s="49">
        <f t="shared" ref="AS133" si="1100">SUM(AC133:AR133)-(45*9)</f>
        <v>28855045863618</v>
      </c>
      <c r="AT133" s="49">
        <f t="shared" si="189"/>
        <v>57709651380425</v>
      </c>
      <c r="AU133" s="49">
        <f t="shared" ref="AU133:AY133" si="1101">SUM(AE133:AT133)-(45*7)</f>
        <v>115418422073947</v>
      </c>
      <c r="AV133" s="49">
        <f t="shared" si="1101"/>
        <v>230835082787481</v>
      </c>
      <c r="AW133" s="49">
        <f t="shared" si="1101"/>
        <v>461666642881057</v>
      </c>
      <c r="AX133" s="49">
        <f t="shared" si="1101"/>
        <v>923326240428056</v>
      </c>
      <c r="AY133" s="49">
        <f t="shared" si="1101"/>
        <v>1846638390295590</v>
      </c>
      <c r="AZ133" s="49">
        <f t="shared" ref="AZ133" si="1102">SUM(AJ133:AY133)-(45*8)</f>
        <v>3693248599685144</v>
      </c>
      <c r="BA133" s="49">
        <f t="shared" si="148"/>
        <v>7386440837988367</v>
      </c>
      <c r="BB133" s="49">
        <f t="shared" si="149"/>
        <v>1.4772768954073104E+16</v>
      </c>
      <c r="BC133" s="49">
        <f t="shared" si="150"/>
        <v>2.954531246605928E+16</v>
      </c>
      <c r="BD133" s="49">
        <f t="shared" si="151"/>
        <v>5.9090174051385152E+16</v>
      </c>
      <c r="BE133" s="49">
        <f t="shared" ref="BE133" si="1103">SUM(AO133:BD133)-(45*7)</f>
        <v>1.1817944634818426E+17</v>
      </c>
      <c r="BF133" s="49">
        <f t="shared" si="193"/>
        <v>2.3635708920095766E+17</v>
      </c>
      <c r="BG133" s="49">
        <f t="shared" ref="BG133:BH133" si="1104">SUM(AQ133:BF133)-(45*7)</f>
        <v>4.7271057143861613E+17</v>
      </c>
      <c r="BH133" s="49">
        <f t="shared" si="1104"/>
        <v>9.4541392900567834E+17</v>
      </c>
      <c r="BI133" s="49">
        <f t="shared" si="155"/>
        <v>1.8908134303783373E+18</v>
      </c>
      <c r="BJ133" s="49">
        <f t="shared" ref="BJ133" si="1105">SUM(AT133:BI133)-(45*8)</f>
        <v>3.7815980057108106E+18</v>
      </c>
      <c r="BK133" s="49">
        <f t="shared" si="157"/>
        <v>7.563138301770242E+18</v>
      </c>
      <c r="BL133" s="49">
        <f t="shared" ref="BL133:BO133" si="1106">SUM(AV133:BK133)-(45*7)</f>
        <v>1.5126161185118409E+19</v>
      </c>
      <c r="BM133" s="49">
        <f t="shared" si="1106"/>
        <v>3.0252091535154029E+19</v>
      </c>
      <c r="BN133" s="49">
        <f t="shared" si="1106"/>
        <v>6.0503721403665179E+19</v>
      </c>
      <c r="BO133" s="49">
        <f t="shared" si="1106"/>
        <v>1.2100651948108992E+20</v>
      </c>
      <c r="BP133" s="49">
        <f t="shared" ref="BP133" si="1107">SUM(AZ133:BO133)-(45*6)</f>
        <v>2.4201119232378955E+20</v>
      </c>
      <c r="BQ133" s="49">
        <f t="shared" ref="BQ133" si="1108">SUM(BA133:BP133)-(45*5)</f>
        <v>4.8401869139897942E+20</v>
      </c>
      <c r="BR133" s="49">
        <f t="shared" ref="BR133:BS133" si="1109">SUM(BB133:BQ133)-(45*6)</f>
        <v>9.6802999635712082E+20</v>
      </c>
      <c r="BS133" s="49">
        <f t="shared" si="1109"/>
        <v>1.9360452199452875E+21</v>
      </c>
      <c r="BT133" s="49">
        <f t="shared" ref="BT133:BU133" si="1110">SUM(BD133:BS133)-(45*7)</f>
        <v>3.8720608945781091E+21</v>
      </c>
      <c r="BU133" s="49">
        <f t="shared" si="1110"/>
        <v>7.7440626989821665E+21</v>
      </c>
      <c r="BV133" s="49">
        <f t="shared" ref="BV133" si="1111">SUM(BF133:BU133)-(45*6)</f>
        <v>1.5488007218517984E+22</v>
      </c>
    </row>
    <row r="134" spans="2:74" ht="17.25">
      <c r="B134" s="207"/>
      <c r="C134" s="44">
        <v>603</v>
      </c>
      <c r="D134" s="108" t="s">
        <v>371</v>
      </c>
      <c r="E134" s="48">
        <v>233</v>
      </c>
      <c r="F134" s="63">
        <v>244</v>
      </c>
      <c r="G134" s="63">
        <v>34</v>
      </c>
      <c r="H134" s="48">
        <f t="shared" si="119"/>
        <v>432</v>
      </c>
      <c r="I134" s="48">
        <v>45</v>
      </c>
      <c r="J134" s="49">
        <f t="shared" ref="J134" si="1112">SUM(E134:I134)-(45*1)</f>
        <v>943</v>
      </c>
      <c r="K134" s="49">
        <f t="shared" ref="K134" si="1113">SUM(E134:J134)-(45*2)</f>
        <v>1841</v>
      </c>
      <c r="L134" s="49">
        <f t="shared" si="122"/>
        <v>3637</v>
      </c>
      <c r="M134" s="49">
        <f t="shared" ref="M134" si="1114">SUM(E134:L134)-(45*4)</f>
        <v>7229</v>
      </c>
      <c r="N134" s="49">
        <f t="shared" ref="N134" si="1115">SUM(E134:M134)-(45*5)</f>
        <v>14413</v>
      </c>
      <c r="O134" s="49">
        <f t="shared" si="125"/>
        <v>28826</v>
      </c>
      <c r="P134" s="49">
        <f t="shared" si="126"/>
        <v>57607</v>
      </c>
      <c r="Q134" s="49">
        <f t="shared" ref="Q134" si="1116">SUM(E134:P134)-(45*6)</f>
        <v>115214</v>
      </c>
      <c r="R134" s="49">
        <f t="shared" ref="R134" si="1117">SUM(E134:Q134)-(45*6)</f>
        <v>230428</v>
      </c>
      <c r="S134" s="49">
        <f t="shared" ref="S134" si="1118">SUM(E134:R134)-(45*7)</f>
        <v>460811</v>
      </c>
      <c r="T134" s="49">
        <f t="shared" ref="T134" si="1119">SUM(E134:S134)-(45*7)</f>
        <v>921622</v>
      </c>
      <c r="U134" s="49">
        <f t="shared" ref="U134" si="1120">SUM(E134:T134)-(45*7)</f>
        <v>1843244</v>
      </c>
      <c r="V134" s="49">
        <f t="shared" ref="V134:Y134" si="1121">SUM(F134:U134)-(45*8)</f>
        <v>3686210</v>
      </c>
      <c r="W134" s="49">
        <f t="shared" si="1121"/>
        <v>7372176</v>
      </c>
      <c r="X134" s="49">
        <f t="shared" si="1121"/>
        <v>14744318</v>
      </c>
      <c r="Y134" s="49">
        <f t="shared" si="1121"/>
        <v>29488204</v>
      </c>
      <c r="Z134" s="49">
        <f t="shared" ref="Z134:AC134" si="1122">SUM(J134:Y134)-(45*7)</f>
        <v>58976408</v>
      </c>
      <c r="AA134" s="49">
        <f t="shared" si="1122"/>
        <v>117951873</v>
      </c>
      <c r="AB134" s="49">
        <f t="shared" si="1122"/>
        <v>235901905</v>
      </c>
      <c r="AC134" s="49">
        <f t="shared" si="1122"/>
        <v>471800173</v>
      </c>
      <c r="AD134" s="49">
        <f t="shared" ref="AD134" si="1123">SUM(N134:AC134)-(45*6)</f>
        <v>943593162</v>
      </c>
      <c r="AE134" s="49">
        <f t="shared" ref="AE134:AG134" si="1124">SUM(O134:AD134)-(45*7)</f>
        <v>1887171866</v>
      </c>
      <c r="AF134" s="49">
        <f t="shared" si="1124"/>
        <v>3774314906</v>
      </c>
      <c r="AG134" s="49">
        <f t="shared" si="1124"/>
        <v>7548572205</v>
      </c>
      <c r="AH134" s="49">
        <f t="shared" ref="AH134:AI134" si="1125">SUM(R134:AG134)-(45*8)</f>
        <v>15097029151</v>
      </c>
      <c r="AI134" s="49">
        <f t="shared" si="1125"/>
        <v>30193827874</v>
      </c>
      <c r="AJ134" s="49">
        <f t="shared" ref="AJ134:AK134" si="1126">SUM(T134:AI134)-(45*9)</f>
        <v>60387194892</v>
      </c>
      <c r="AK134" s="49">
        <f t="shared" si="1126"/>
        <v>120773468162</v>
      </c>
      <c r="AL134" s="49">
        <f t="shared" ref="AL134" si="1127">SUM(V134:AK134)-(45*8)</f>
        <v>241545093125</v>
      </c>
      <c r="AM134" s="49">
        <f t="shared" ref="AM134" si="1128">SUM(W134:AL134)-(45*7)</f>
        <v>483086500085</v>
      </c>
      <c r="AN134" s="49">
        <f t="shared" ref="AN134:AO134" si="1129">SUM(X134:AM134)-(45*8)</f>
        <v>966165627949</v>
      </c>
      <c r="AO134" s="49">
        <f t="shared" si="1129"/>
        <v>1932316511580</v>
      </c>
      <c r="AP134" s="49">
        <f t="shared" ref="AP134" si="1130">SUM(Z134:AO134)-(45*9)</f>
        <v>3864603534911</v>
      </c>
      <c r="AQ134" s="49">
        <f t="shared" si="142"/>
        <v>7729148093459</v>
      </c>
      <c r="AR134" s="49">
        <f t="shared" si="143"/>
        <v>15458178235045</v>
      </c>
      <c r="AS134" s="49">
        <f t="shared" ref="AS134" si="1131">SUM(AC134:AR134)-(45*8)</f>
        <v>30916120568185</v>
      </c>
      <c r="AT134" s="49">
        <f t="shared" si="189"/>
        <v>61831769336197</v>
      </c>
      <c r="AU134" s="49">
        <f t="shared" ref="AU134:AV134" si="1132">SUM(AE134:AT134)-(45*8)</f>
        <v>123662595079232</v>
      </c>
      <c r="AV134" s="49">
        <f t="shared" si="1132"/>
        <v>247323302986598</v>
      </c>
      <c r="AW134" s="49">
        <f t="shared" ref="AW134" si="1133">SUM(AG134:AV134)-(45*9)</f>
        <v>494642831658245</v>
      </c>
      <c r="AX134" s="49">
        <f t="shared" ref="AX134" si="1134">SUM(AH134:AW134)-(45*8)</f>
        <v>989278114744330</v>
      </c>
      <c r="AY134" s="49">
        <f t="shared" ref="AY134:AZ134" si="1135">SUM(AI134:AX134)-(45*7)</f>
        <v>1978541132459554</v>
      </c>
      <c r="AZ134" s="49">
        <f t="shared" si="1135"/>
        <v>3957052071091234</v>
      </c>
      <c r="BA134" s="49">
        <f t="shared" si="148"/>
        <v>7914043754987531</v>
      </c>
      <c r="BB134" s="49">
        <f t="shared" si="149"/>
        <v>1.58279667365069E+16</v>
      </c>
      <c r="BC134" s="49">
        <f t="shared" si="150"/>
        <v>3.1655691927920676E+16</v>
      </c>
      <c r="BD134" s="49">
        <f t="shared" si="151"/>
        <v>6.3310900769341272E+16</v>
      </c>
      <c r="BE134" s="49">
        <f t="shared" ref="BE134" si="1136">SUM(AO134:BD134)-(45*9)</f>
        <v>1.2662083537305454E+17</v>
      </c>
      <c r="BF134" s="49">
        <f t="shared" si="193"/>
        <v>2.5323973842959754E+17</v>
      </c>
      <c r="BG134" s="49">
        <f t="shared" ref="BG134" si="1137">SUM(AQ134:BF134)-(45*8)</f>
        <v>5.0647561225566016E+17</v>
      </c>
      <c r="BH134" s="49">
        <f t="shared" ref="BH134" si="1138">SUM(AR134:BG134)-(45*9)</f>
        <v>1.0129434953632269E+18</v>
      </c>
      <c r="BI134" s="49">
        <f t="shared" si="155"/>
        <v>2.0258715325482189E+18</v>
      </c>
      <c r="BJ134" s="49">
        <f t="shared" ref="BJ134" si="1139">SUM(AT134:BI134)-(45*9)</f>
        <v>4.0517121489758694E+18</v>
      </c>
      <c r="BK134" s="49">
        <f t="shared" si="157"/>
        <v>8.1033624661824031E+18</v>
      </c>
      <c r="BL134" s="49">
        <f t="shared" ref="BL134" si="1140">SUM(AV134:BK134)-(45*9)</f>
        <v>1.6206601269769728E+19</v>
      </c>
      <c r="BM134" s="49">
        <f t="shared" ref="BM134" si="1141">SUM(AW134:BL134)-(45*8)</f>
        <v>3.241295521623647E+19</v>
      </c>
      <c r="BN134" s="49">
        <f t="shared" ref="BN134:BO134" si="1142">SUM(AX134:BM134)-(45*9)</f>
        <v>6.4825415789641286E+19</v>
      </c>
      <c r="BO134" s="49">
        <f t="shared" si="1142"/>
        <v>1.2964984230116783E+20</v>
      </c>
      <c r="BP134" s="49">
        <f t="shared" ref="BP134:BS134" si="1143">SUM(AZ134:BO134)-(45*8)</f>
        <v>2.5929770606120318E+20</v>
      </c>
      <c r="BQ134" s="49">
        <f t="shared" si="1143"/>
        <v>5.1859145507033527E+20</v>
      </c>
      <c r="BR134" s="49">
        <f t="shared" si="1143"/>
        <v>1.0371749960969156E+21</v>
      </c>
      <c r="BS134" s="49">
        <f t="shared" si="1143"/>
        <v>2.0743341642270947E+21</v>
      </c>
      <c r="BT134" s="49">
        <f t="shared" ref="BT134:BV134" si="1144">SUM(BD134:BS134)-(45*7)</f>
        <v>4.1486366727622613E+21</v>
      </c>
      <c r="BU134" s="49">
        <f t="shared" si="1144"/>
        <v>8.2972100346237535E+21</v>
      </c>
      <c r="BV134" s="49">
        <f t="shared" si="1144"/>
        <v>1.6594293448412135E+22</v>
      </c>
    </row>
    <row r="135" spans="2:74" ht="17.25">
      <c r="B135" s="207"/>
      <c r="C135" s="44">
        <v>604</v>
      </c>
      <c r="D135" s="108" t="s">
        <v>372</v>
      </c>
      <c r="E135" s="48">
        <v>240</v>
      </c>
      <c r="F135" s="63">
        <v>251</v>
      </c>
      <c r="G135" s="63">
        <v>35</v>
      </c>
      <c r="H135" s="48">
        <f t="shared" si="119"/>
        <v>446</v>
      </c>
      <c r="I135" s="48">
        <v>46</v>
      </c>
      <c r="J135" s="49">
        <f t="shared" ref="J135" si="1145">SUM(E135:I135)-(45*2)</f>
        <v>928</v>
      </c>
      <c r="K135" s="49">
        <f t="shared" ref="K135" si="1146">SUM(E135:J135)-(45*3)</f>
        <v>1811</v>
      </c>
      <c r="L135" s="49">
        <f t="shared" si="122"/>
        <v>3622</v>
      </c>
      <c r="M135" s="49">
        <f t="shared" ref="M135" si="1147">SUM(E135:L135)-(45*3)</f>
        <v>7244</v>
      </c>
      <c r="N135" s="49">
        <f t="shared" ref="N135" si="1148">SUM(E135:M135)-(45*4)</f>
        <v>14443</v>
      </c>
      <c r="O135" s="49">
        <f t="shared" si="125"/>
        <v>28841</v>
      </c>
      <c r="P135" s="49">
        <f t="shared" si="126"/>
        <v>57637</v>
      </c>
      <c r="Q135" s="49">
        <f t="shared" ref="Q135" si="1149">SUM(E135:P135)-(45*7)</f>
        <v>115229</v>
      </c>
      <c r="R135" s="49">
        <f t="shared" ref="R135" si="1150">SUM(E135:Q135)-(45*8)</f>
        <v>230413</v>
      </c>
      <c r="S135" s="49">
        <f t="shared" ref="S135" si="1151">SUM(E135:R135)-(45*8)</f>
        <v>460826</v>
      </c>
      <c r="T135" s="49">
        <f t="shared" ref="T135" si="1152">SUM(E135:S135)-(45*9)</f>
        <v>921607</v>
      </c>
      <c r="U135" s="49">
        <f t="shared" ref="U135" si="1153">SUM(E135:T135)-(45*9)</f>
        <v>1843214</v>
      </c>
      <c r="V135" s="49">
        <f t="shared" ref="V135:W135" si="1154">SUM(F135:U135)-(45*8)</f>
        <v>3686233</v>
      </c>
      <c r="W135" s="49">
        <f t="shared" si="1154"/>
        <v>7372215</v>
      </c>
      <c r="X135" s="49">
        <f t="shared" ref="X135" si="1155">SUM(H135:W135)-(45*9)</f>
        <v>14744350</v>
      </c>
      <c r="Y135" s="49">
        <f t="shared" ref="Y135:Z135" si="1156">SUM(I135:X135)-(45*10)</f>
        <v>29488209</v>
      </c>
      <c r="Z135" s="49">
        <f t="shared" si="1156"/>
        <v>58976372</v>
      </c>
      <c r="AA135" s="49">
        <f t="shared" ref="AA135" si="1157">SUM(K135:Z135)-(45*9)</f>
        <v>117951861</v>
      </c>
      <c r="AB135" s="49">
        <f t="shared" ref="AB135" si="1158">SUM(L135:AA135)-(45*9)</f>
        <v>235901911</v>
      </c>
      <c r="AC135" s="49">
        <f t="shared" ref="AC135" si="1159">SUM(M135:AB135)-(45*9)</f>
        <v>471800200</v>
      </c>
      <c r="AD135" s="49">
        <f t="shared" ref="AD135" si="1160">SUM(N135:AC135)-(45*9)</f>
        <v>943593156</v>
      </c>
      <c r="AE135" s="49">
        <f t="shared" ref="AE135" si="1161">SUM(O135:AD135)-(45*9)</f>
        <v>1887171869</v>
      </c>
      <c r="AF135" s="49">
        <f t="shared" ref="AF135" si="1162">SUM(P135:AE135)-(45*9)</f>
        <v>3774314897</v>
      </c>
      <c r="AG135" s="49">
        <f t="shared" ref="AG135" si="1163">SUM(Q135:AF135)-(45*8)</f>
        <v>7548572202</v>
      </c>
      <c r="AH135" s="49">
        <f t="shared" ref="AH135:AI135" si="1164">SUM(R135:AG135)-(45*9)</f>
        <v>15097029130</v>
      </c>
      <c r="AI135" s="49">
        <f t="shared" si="1164"/>
        <v>30193827847</v>
      </c>
      <c r="AJ135" s="49">
        <f t="shared" ref="AJ135" si="1165">SUM(T135:AI135)-(45*8)</f>
        <v>60387194913</v>
      </c>
      <c r="AK135" s="49">
        <f t="shared" ref="AK135:AL135" si="1166">SUM(U135:AJ135)-(45*9)</f>
        <v>120773468174</v>
      </c>
      <c r="AL135" s="49">
        <f t="shared" si="1166"/>
        <v>241545093134</v>
      </c>
      <c r="AM135" s="49">
        <f t="shared" ref="AM135:AN135" si="1167">SUM(W135:AL135)-(45*8)</f>
        <v>483086500080</v>
      </c>
      <c r="AN135" s="49">
        <f t="shared" si="1167"/>
        <v>966165627945</v>
      </c>
      <c r="AO135" s="49">
        <f t="shared" ref="AO135" si="1168">SUM(Y135:AN135)-(45*7)</f>
        <v>1932316511585</v>
      </c>
      <c r="AP135" s="49">
        <f t="shared" ref="AP135" si="1169">SUM(Z135:AO135)-(45*8)</f>
        <v>3864603534916</v>
      </c>
      <c r="AQ135" s="49">
        <f t="shared" si="142"/>
        <v>7729148093460</v>
      </c>
      <c r="AR135" s="49">
        <f t="shared" si="143"/>
        <v>15458178235059</v>
      </c>
      <c r="AS135" s="49">
        <f t="shared" ref="AS135" si="1170">SUM(AC135:AR135)-(45*9)</f>
        <v>30916120568162</v>
      </c>
      <c r="AT135" s="49">
        <f t="shared" si="189"/>
        <v>61831769336169</v>
      </c>
      <c r="AU135" s="49">
        <f t="shared" ref="AU135:AY135" si="1171">SUM(AE135:AT135)-(45*7)</f>
        <v>123662595079227</v>
      </c>
      <c r="AV135" s="49">
        <f t="shared" si="1171"/>
        <v>247323302986585</v>
      </c>
      <c r="AW135" s="49">
        <f t="shared" si="1171"/>
        <v>494642831658273</v>
      </c>
      <c r="AX135" s="49">
        <f t="shared" si="1171"/>
        <v>989278114744344</v>
      </c>
      <c r="AY135" s="49">
        <f t="shared" si="1171"/>
        <v>1978541132459558</v>
      </c>
      <c r="AZ135" s="49">
        <f t="shared" ref="AZ135" si="1172">SUM(AJ135:AY135)-(45*8)</f>
        <v>3957052071091224</v>
      </c>
      <c r="BA135" s="49">
        <f t="shared" si="148"/>
        <v>7914043754987535</v>
      </c>
      <c r="BB135" s="49">
        <f t="shared" si="149"/>
        <v>1.5827966736506896E+16</v>
      </c>
      <c r="BC135" s="49">
        <f t="shared" si="150"/>
        <v>3.1655691927920656E+16</v>
      </c>
      <c r="BD135" s="49">
        <f t="shared" si="151"/>
        <v>6.3310900769341232E+16</v>
      </c>
      <c r="BE135" s="49">
        <f t="shared" ref="BE135" si="1173">SUM(AO135:BD135)-(45*7)</f>
        <v>1.2662083537305456E+17</v>
      </c>
      <c r="BF135" s="49">
        <f t="shared" si="193"/>
        <v>2.532397384295975E+17</v>
      </c>
      <c r="BG135" s="49">
        <f t="shared" ref="BG135:BH135" si="1174">SUM(AQ135:BF135)-(45*7)</f>
        <v>5.064756122556601E+17</v>
      </c>
      <c r="BH135" s="49">
        <f t="shared" si="1174"/>
        <v>1.0129434953632269E+18</v>
      </c>
      <c r="BI135" s="49">
        <f t="shared" si="155"/>
        <v>2.0258715325482186E+18</v>
      </c>
      <c r="BJ135" s="49">
        <f t="shared" ref="BJ135" si="1175">SUM(AT135:BI135)-(45*8)</f>
        <v>4.0517121489758689E+18</v>
      </c>
      <c r="BK135" s="49">
        <f t="shared" si="157"/>
        <v>8.103362466182402E+18</v>
      </c>
      <c r="BL135" s="49">
        <f t="shared" ref="BL135:BO135" si="1176">SUM(AV135:BK135)-(45*7)</f>
        <v>1.6206601269769724E+19</v>
      </c>
      <c r="BM135" s="49">
        <f t="shared" si="1176"/>
        <v>3.2412955216236462E+19</v>
      </c>
      <c r="BN135" s="49">
        <f t="shared" si="1176"/>
        <v>6.4825415789641269E+19</v>
      </c>
      <c r="BO135" s="49">
        <f t="shared" si="1176"/>
        <v>1.296498423011678E+20</v>
      </c>
      <c r="BP135" s="49">
        <f t="shared" ref="BP135" si="1177">SUM(AZ135:BO135)-(45*6)</f>
        <v>2.5929770606120311E+20</v>
      </c>
      <c r="BQ135" s="49">
        <f t="shared" ref="BQ135" si="1178">SUM(BA135:BP135)-(45*5)</f>
        <v>5.1859145507033514E+20</v>
      </c>
      <c r="BR135" s="49">
        <f t="shared" ref="BR135:BS135" si="1179">SUM(BB135:BQ135)-(45*6)</f>
        <v>1.0371749960969153E+21</v>
      </c>
      <c r="BS135" s="49">
        <f t="shared" si="1179"/>
        <v>2.0743341642270942E+21</v>
      </c>
      <c r="BT135" s="49">
        <f t="shared" ref="BT135:BU135" si="1180">SUM(BD135:BS135)-(45*7)</f>
        <v>4.1486366727622602E+21</v>
      </c>
      <c r="BU135" s="49">
        <f t="shared" si="1180"/>
        <v>8.2972100346237514E+21</v>
      </c>
      <c r="BV135" s="49">
        <f t="shared" ref="BV135" si="1181">SUM(BF135:BU135)-(45*6)</f>
        <v>1.6594293448412131E+22</v>
      </c>
    </row>
    <row r="136" spans="2:74" ht="17.25">
      <c r="B136" s="207"/>
      <c r="C136" s="44">
        <v>605</v>
      </c>
      <c r="D136" s="108" t="s">
        <v>373</v>
      </c>
      <c r="E136" s="48">
        <v>247</v>
      </c>
      <c r="F136" s="63">
        <v>258</v>
      </c>
      <c r="G136" s="63">
        <v>36</v>
      </c>
      <c r="H136" s="48">
        <f t="shared" si="119"/>
        <v>460</v>
      </c>
      <c r="I136" s="48">
        <v>47</v>
      </c>
      <c r="J136" s="49">
        <f t="shared" ref="J136" si="1182">SUM(E136:I136)-(45*1)</f>
        <v>1003</v>
      </c>
      <c r="K136" s="49">
        <f t="shared" ref="K136" si="1183">SUM(E136:J136)-(45*2)</f>
        <v>1961</v>
      </c>
      <c r="L136" s="49">
        <f t="shared" si="122"/>
        <v>3877</v>
      </c>
      <c r="M136" s="49">
        <f t="shared" ref="M136" si="1184">SUM(E136:L136)-(45*4)</f>
        <v>7709</v>
      </c>
      <c r="N136" s="49">
        <f t="shared" ref="N136" si="1185">SUM(E136:M136)-(45*5)</f>
        <v>15373</v>
      </c>
      <c r="O136" s="49">
        <f t="shared" si="125"/>
        <v>30746</v>
      </c>
      <c r="P136" s="49">
        <f t="shared" si="126"/>
        <v>61447</v>
      </c>
      <c r="Q136" s="49">
        <f t="shared" ref="Q136" si="1186">SUM(E136:P136)-(45*6)</f>
        <v>122894</v>
      </c>
      <c r="R136" s="49">
        <f t="shared" ref="R136" si="1187">SUM(E136:Q136)-(45*6)</f>
        <v>245788</v>
      </c>
      <c r="S136" s="49">
        <f t="shared" ref="S136" si="1188">SUM(E136:R136)-(45*7)</f>
        <v>491531</v>
      </c>
      <c r="T136" s="49">
        <f t="shared" ref="T136" si="1189">SUM(E136:S136)-(45*7)</f>
        <v>983062</v>
      </c>
      <c r="U136" s="49">
        <f t="shared" ref="U136" si="1190">SUM(E136:T136)-(45*7)</f>
        <v>1966124</v>
      </c>
      <c r="V136" s="49">
        <f t="shared" ref="V136:Y136" si="1191">SUM(F136:U136)-(45*8)</f>
        <v>3931956</v>
      </c>
      <c r="W136" s="49">
        <f t="shared" si="1191"/>
        <v>7863654</v>
      </c>
      <c r="X136" s="49">
        <f t="shared" si="1191"/>
        <v>15727272</v>
      </c>
      <c r="Y136" s="49">
        <f t="shared" si="1191"/>
        <v>31454084</v>
      </c>
      <c r="Z136" s="49">
        <f t="shared" ref="Z136:AC136" si="1192">SUM(J136:Y136)-(45*7)</f>
        <v>62908166</v>
      </c>
      <c r="AA136" s="49">
        <f t="shared" si="1192"/>
        <v>125815329</v>
      </c>
      <c r="AB136" s="49">
        <f t="shared" si="1192"/>
        <v>251628697</v>
      </c>
      <c r="AC136" s="49">
        <f t="shared" si="1192"/>
        <v>503253517</v>
      </c>
      <c r="AD136" s="49">
        <f t="shared" ref="AD136" si="1193">SUM(N136:AC136)-(45*6)</f>
        <v>1006499370</v>
      </c>
      <c r="AE136" s="49">
        <f t="shared" ref="AE136:AG136" si="1194">SUM(O136:AD136)-(45*7)</f>
        <v>2012983322</v>
      </c>
      <c r="AF136" s="49">
        <f t="shared" si="1194"/>
        <v>4025935898</v>
      </c>
      <c r="AG136" s="49">
        <f t="shared" si="1194"/>
        <v>8051810349</v>
      </c>
      <c r="AH136" s="49">
        <f t="shared" ref="AH136:AI136" si="1195">SUM(R136:AG136)-(45*8)</f>
        <v>16103497759</v>
      </c>
      <c r="AI136" s="49">
        <f t="shared" si="1195"/>
        <v>32206749730</v>
      </c>
      <c r="AJ136" s="49">
        <f t="shared" ref="AJ136:AK136" si="1196">SUM(T136:AI136)-(45*9)</f>
        <v>64413007884</v>
      </c>
      <c r="AK136" s="49">
        <f t="shared" si="1196"/>
        <v>128825032706</v>
      </c>
      <c r="AL136" s="49">
        <f t="shared" ref="AL136" si="1197">SUM(V136:AK136)-(45*8)</f>
        <v>257648099333</v>
      </c>
      <c r="AM136" s="49">
        <f t="shared" ref="AM136" si="1198">SUM(W136:AL136)-(45*7)</f>
        <v>515292266755</v>
      </c>
      <c r="AN136" s="49">
        <f t="shared" ref="AN136:AO136" si="1199">SUM(X136:AM136)-(45*8)</f>
        <v>1030576669811</v>
      </c>
      <c r="AO136" s="49">
        <f t="shared" si="1199"/>
        <v>2061137612350</v>
      </c>
      <c r="AP136" s="49">
        <f t="shared" ref="AP136" si="1200">SUM(Z136:AO136)-(45*9)</f>
        <v>4122243770571</v>
      </c>
      <c r="AQ136" s="49">
        <f t="shared" si="142"/>
        <v>8244424633021</v>
      </c>
      <c r="AR136" s="49">
        <f t="shared" si="143"/>
        <v>16488723450713</v>
      </c>
      <c r="AS136" s="49">
        <f t="shared" ref="AS136" si="1201">SUM(AC136:AR136)-(45*8)</f>
        <v>32977195272729</v>
      </c>
      <c r="AT136" s="49">
        <f t="shared" si="189"/>
        <v>65953887291941</v>
      </c>
      <c r="AU136" s="49">
        <f t="shared" ref="AU136:AV136" si="1202">SUM(AE136:AT136)-(45*8)</f>
        <v>131906768084512</v>
      </c>
      <c r="AV136" s="49">
        <f t="shared" si="1202"/>
        <v>263811523185702</v>
      </c>
      <c r="AW136" s="49">
        <f t="shared" ref="AW136" si="1203">SUM(AG136:AV136)-(45*9)</f>
        <v>527619020435461</v>
      </c>
      <c r="AX136" s="49">
        <f t="shared" ref="AX136" si="1204">SUM(AH136:AW136)-(45*8)</f>
        <v>1055229989060618</v>
      </c>
      <c r="AY136" s="49">
        <f t="shared" ref="AY136:AZ136" si="1205">SUM(AI136:AX136)-(45*7)</f>
        <v>2110443874623522</v>
      </c>
      <c r="AZ136" s="49">
        <f t="shared" si="1205"/>
        <v>4220855542497314</v>
      </c>
      <c r="BA136" s="49">
        <f t="shared" si="148"/>
        <v>8441646671986699</v>
      </c>
      <c r="BB136" s="49">
        <f t="shared" si="149"/>
        <v>1.6883164518940692E+16</v>
      </c>
      <c r="BC136" s="49">
        <f t="shared" si="150"/>
        <v>3.3766071389782052E+16</v>
      </c>
      <c r="BD136" s="49">
        <f t="shared" si="151"/>
        <v>6.7531627487297352E+16</v>
      </c>
      <c r="BE136" s="49">
        <f t="shared" ref="BE136" si="1206">SUM(AO136:BD136)-(45*9)</f>
        <v>1.3506222439792485E+17</v>
      </c>
      <c r="BF136" s="49">
        <f t="shared" si="193"/>
        <v>2.7012238765823741E+17</v>
      </c>
      <c r="BG136" s="49">
        <f t="shared" ref="BG136" si="1207">SUM(AQ136:BF136)-(45*8)</f>
        <v>5.4024065307270426E+17</v>
      </c>
      <c r="BH136" s="49">
        <f t="shared" ref="BH136" si="1208">SUM(AR136:BG136)-(45*9)</f>
        <v>1.0804730617207754E+18</v>
      </c>
      <c r="BI136" s="49">
        <f t="shared" si="155"/>
        <v>2.1609296347181002E+18</v>
      </c>
      <c r="BJ136" s="49">
        <f t="shared" ref="BJ136" si="1209">SUM(AT136:BI136)-(45*9)</f>
        <v>4.3218262922409272E+18</v>
      </c>
      <c r="BK136" s="49">
        <f t="shared" si="157"/>
        <v>8.6435866305945641E+18</v>
      </c>
      <c r="BL136" s="49">
        <f t="shared" ref="BL136" si="1210">SUM(AV136:BK136)-(45*9)</f>
        <v>1.7287041354421043E+19</v>
      </c>
      <c r="BM136" s="49">
        <f t="shared" ref="BM136" si="1211">SUM(AW136:BL136)-(45*8)</f>
        <v>3.45738188973189E+19</v>
      </c>
      <c r="BN136" s="49">
        <f t="shared" ref="BN136:BO136" si="1212">SUM(AX136:BM136)-(45*9)</f>
        <v>6.9147110175617368E+19</v>
      </c>
      <c r="BO136" s="49">
        <f t="shared" si="1212"/>
        <v>1.3829316512124568E+20</v>
      </c>
      <c r="BP136" s="49">
        <f t="shared" ref="BP136:BS136" si="1213">SUM(AZ136:BO136)-(45*8)</f>
        <v>2.7658421979861674E+20</v>
      </c>
      <c r="BQ136" s="49">
        <f t="shared" si="1213"/>
        <v>5.5316421874169099E+20</v>
      </c>
      <c r="BR136" s="49">
        <f t="shared" si="1213"/>
        <v>1.10631999583671E+21</v>
      </c>
      <c r="BS136" s="49">
        <f t="shared" si="1213"/>
        <v>2.2126231085089009E+21</v>
      </c>
      <c r="BT136" s="49">
        <f t="shared" ref="BT136:BV136" si="1214">SUM(BD136:BS136)-(45*7)</f>
        <v>4.4252124509464124E+21</v>
      </c>
      <c r="BU136" s="49">
        <f t="shared" si="1214"/>
        <v>8.8503573702653373E+21</v>
      </c>
      <c r="BV136" s="49">
        <f t="shared" si="1214"/>
        <v>1.7700579678306278E+22</v>
      </c>
    </row>
    <row r="137" spans="2:74" ht="17.25">
      <c r="B137" s="207"/>
      <c r="C137" s="44">
        <v>606</v>
      </c>
      <c r="D137" s="108" t="s">
        <v>374</v>
      </c>
      <c r="E137" s="48">
        <v>254</v>
      </c>
      <c r="F137" s="63">
        <v>265</v>
      </c>
      <c r="G137" s="63">
        <v>37</v>
      </c>
      <c r="H137" s="48">
        <f t="shared" si="119"/>
        <v>474</v>
      </c>
      <c r="I137" s="48">
        <v>48</v>
      </c>
      <c r="J137" s="49">
        <f t="shared" ref="J137" si="1215">SUM(E137:I137)-(45*2)</f>
        <v>988</v>
      </c>
      <c r="K137" s="49">
        <f t="shared" ref="K137" si="1216">SUM(E137:J137)-(45*3)</f>
        <v>1931</v>
      </c>
      <c r="L137" s="49">
        <f t="shared" si="122"/>
        <v>3862</v>
      </c>
      <c r="M137" s="49">
        <f t="shared" ref="M137" si="1217">SUM(E137:L137)-(45*3)</f>
        <v>7724</v>
      </c>
      <c r="N137" s="49">
        <f t="shared" ref="N137" si="1218">SUM(E137:M137)-(45*4)</f>
        <v>15403</v>
      </c>
      <c r="O137" s="49">
        <f t="shared" si="125"/>
        <v>30761</v>
      </c>
      <c r="P137" s="49">
        <f t="shared" si="126"/>
        <v>61477</v>
      </c>
      <c r="Q137" s="49">
        <f t="shared" ref="Q137" si="1219">SUM(E137:P137)-(45*7)</f>
        <v>122909</v>
      </c>
      <c r="R137" s="49">
        <f t="shared" ref="R137" si="1220">SUM(E137:Q137)-(45*8)</f>
        <v>245773</v>
      </c>
      <c r="S137" s="49">
        <f t="shared" ref="S137" si="1221">SUM(E137:R137)-(45*8)</f>
        <v>491546</v>
      </c>
      <c r="T137" s="49">
        <f t="shared" ref="T137" si="1222">SUM(E137:S137)-(45*9)</f>
        <v>983047</v>
      </c>
      <c r="U137" s="49">
        <f t="shared" ref="U137" si="1223">SUM(E137:T137)-(45*9)</f>
        <v>1966094</v>
      </c>
      <c r="V137" s="49">
        <f t="shared" ref="V137:W137" si="1224">SUM(F137:U137)-(45*8)</f>
        <v>3931979</v>
      </c>
      <c r="W137" s="49">
        <f t="shared" si="1224"/>
        <v>7863693</v>
      </c>
      <c r="X137" s="49">
        <f t="shared" ref="X137" si="1225">SUM(H137:W137)-(45*9)</f>
        <v>15727304</v>
      </c>
      <c r="Y137" s="49">
        <f t="shared" ref="Y137:Z137" si="1226">SUM(I137:X137)-(45*10)</f>
        <v>31454089</v>
      </c>
      <c r="Z137" s="49">
        <f t="shared" si="1226"/>
        <v>62908130</v>
      </c>
      <c r="AA137" s="49">
        <f t="shared" ref="AA137" si="1227">SUM(K137:Z137)-(45*9)</f>
        <v>125815317</v>
      </c>
      <c r="AB137" s="49">
        <f t="shared" ref="AB137" si="1228">SUM(L137:AA137)-(45*9)</f>
        <v>251628703</v>
      </c>
      <c r="AC137" s="49">
        <f t="shared" ref="AC137" si="1229">SUM(M137:AB137)-(45*9)</f>
        <v>503253544</v>
      </c>
      <c r="AD137" s="49">
        <f t="shared" ref="AD137" si="1230">SUM(N137:AC137)-(45*9)</f>
        <v>1006499364</v>
      </c>
      <c r="AE137" s="49">
        <f t="shared" ref="AE137" si="1231">SUM(O137:AD137)-(45*9)</f>
        <v>2012983325</v>
      </c>
      <c r="AF137" s="49">
        <f t="shared" ref="AF137" si="1232">SUM(P137:AE137)-(45*9)</f>
        <v>4025935889</v>
      </c>
      <c r="AG137" s="49">
        <f t="shared" ref="AG137" si="1233">SUM(Q137:AF137)-(45*8)</f>
        <v>8051810346</v>
      </c>
      <c r="AH137" s="49">
        <f t="shared" ref="AH137:AI137" si="1234">SUM(R137:AG137)-(45*9)</f>
        <v>16103497738</v>
      </c>
      <c r="AI137" s="49">
        <f t="shared" si="1234"/>
        <v>32206749703</v>
      </c>
      <c r="AJ137" s="49">
        <f t="shared" ref="AJ137" si="1235">SUM(T137:AI137)-(45*8)</f>
        <v>64413007905</v>
      </c>
      <c r="AK137" s="49">
        <f t="shared" ref="AK137:AL137" si="1236">SUM(U137:AJ137)-(45*9)</f>
        <v>128825032718</v>
      </c>
      <c r="AL137" s="49">
        <f t="shared" si="1236"/>
        <v>257648099342</v>
      </c>
      <c r="AM137" s="49">
        <f t="shared" ref="AM137:AN137" si="1237">SUM(W137:AL137)-(45*8)</f>
        <v>515292266750</v>
      </c>
      <c r="AN137" s="49">
        <f t="shared" si="1237"/>
        <v>1030576669807</v>
      </c>
      <c r="AO137" s="49">
        <f t="shared" ref="AO137" si="1238">SUM(Y137:AN137)-(45*7)</f>
        <v>2061137612355</v>
      </c>
      <c r="AP137" s="49">
        <f t="shared" ref="AP137" si="1239">SUM(Z137:AO137)-(45*8)</f>
        <v>4122243770576</v>
      </c>
      <c r="AQ137" s="49">
        <f t="shared" si="142"/>
        <v>8244424633022</v>
      </c>
      <c r="AR137" s="49">
        <f t="shared" si="143"/>
        <v>16488723450727</v>
      </c>
      <c r="AS137" s="49">
        <f t="shared" ref="AS137" si="1240">SUM(AC137:AR137)-(45*9)</f>
        <v>32977195272706</v>
      </c>
      <c r="AT137" s="49">
        <f t="shared" si="189"/>
        <v>65953887291913</v>
      </c>
      <c r="AU137" s="49">
        <f t="shared" ref="AU137:AY137" si="1241">SUM(AE137:AT137)-(45*7)</f>
        <v>131906768084507</v>
      </c>
      <c r="AV137" s="49">
        <f t="shared" si="1241"/>
        <v>263811523185689</v>
      </c>
      <c r="AW137" s="49">
        <f t="shared" si="1241"/>
        <v>527619020435489</v>
      </c>
      <c r="AX137" s="49">
        <f t="shared" si="1241"/>
        <v>1055229989060632</v>
      </c>
      <c r="AY137" s="49">
        <f t="shared" si="1241"/>
        <v>2110443874623526</v>
      </c>
      <c r="AZ137" s="49">
        <f t="shared" ref="AZ137" si="1242">SUM(AJ137:AY137)-(45*8)</f>
        <v>4220855542497304</v>
      </c>
      <c r="BA137" s="49">
        <f t="shared" si="148"/>
        <v>8441646671986703</v>
      </c>
      <c r="BB137" s="49">
        <f t="shared" si="149"/>
        <v>1.6883164518940688E+16</v>
      </c>
      <c r="BC137" s="49">
        <f t="shared" si="150"/>
        <v>3.3766071389782032E+16</v>
      </c>
      <c r="BD137" s="49">
        <f t="shared" si="151"/>
        <v>6.753162748729732E+16</v>
      </c>
      <c r="BE137" s="49">
        <f t="shared" ref="BE137" si="1243">SUM(AO137:BD137)-(45*7)</f>
        <v>1.3506222439792486E+17</v>
      </c>
      <c r="BF137" s="49">
        <f t="shared" si="193"/>
        <v>2.7012238765823734E+17</v>
      </c>
      <c r="BG137" s="49">
        <f t="shared" ref="BG137:BH137" si="1244">SUM(AQ137:BF137)-(45*7)</f>
        <v>5.4024065307270419E+17</v>
      </c>
      <c r="BH137" s="49">
        <f t="shared" si="1244"/>
        <v>1.0804730617207754E+18</v>
      </c>
      <c r="BI137" s="49">
        <f t="shared" si="155"/>
        <v>2.1609296347181E+18</v>
      </c>
      <c r="BJ137" s="49">
        <f t="shared" ref="BJ137" si="1245">SUM(AT137:BI137)-(45*8)</f>
        <v>4.3218262922409272E+18</v>
      </c>
      <c r="BK137" s="49">
        <f t="shared" si="157"/>
        <v>8.643586630594562E+18</v>
      </c>
      <c r="BL137" s="49">
        <f t="shared" ref="BL137:BO137" si="1246">SUM(AV137:BK137)-(45*7)</f>
        <v>1.7287041354421041E+19</v>
      </c>
      <c r="BM137" s="49">
        <f t="shared" si="1246"/>
        <v>3.4573818897318896E+19</v>
      </c>
      <c r="BN137" s="49">
        <f t="shared" si="1246"/>
        <v>6.9147110175617352E+19</v>
      </c>
      <c r="BO137" s="49">
        <f t="shared" si="1246"/>
        <v>1.3829316512124564E+20</v>
      </c>
      <c r="BP137" s="49">
        <f t="shared" ref="BP137" si="1247">SUM(AZ137:BO137)-(45*6)</f>
        <v>2.7658421979861667E+20</v>
      </c>
      <c r="BQ137" s="49">
        <f t="shared" ref="BQ137" si="1248">SUM(BA137:BP137)-(45*5)</f>
        <v>5.5316421874169086E+20</v>
      </c>
      <c r="BR137" s="49">
        <f t="shared" ref="BR137:BS137" si="1249">SUM(BB137:BQ137)-(45*6)</f>
        <v>1.1063199958367097E+21</v>
      </c>
      <c r="BS137" s="49">
        <f t="shared" si="1249"/>
        <v>2.2126231085089004E+21</v>
      </c>
      <c r="BT137" s="49">
        <f t="shared" ref="BT137:BU137" si="1250">SUM(BD137:BS137)-(45*7)</f>
        <v>4.4252124509464114E+21</v>
      </c>
      <c r="BU137" s="49">
        <f t="shared" si="1250"/>
        <v>8.8503573702653352E+21</v>
      </c>
      <c r="BV137" s="49">
        <f t="shared" ref="BV137" si="1251">SUM(BF137:BU137)-(45*6)</f>
        <v>1.7700579678306274E+22</v>
      </c>
    </row>
    <row r="138" spans="2:74" ht="17.25">
      <c r="B138" s="207"/>
      <c r="C138" s="44">
        <v>607</v>
      </c>
      <c r="D138" s="108" t="s">
        <v>375</v>
      </c>
      <c r="E138" s="48">
        <v>261</v>
      </c>
      <c r="F138" s="63">
        <v>272</v>
      </c>
      <c r="G138" s="63">
        <v>38</v>
      </c>
      <c r="H138" s="48">
        <f t="shared" si="119"/>
        <v>488</v>
      </c>
      <c r="I138" s="48">
        <v>49</v>
      </c>
      <c r="J138" s="49">
        <f t="shared" ref="J138" si="1252">SUM(E138:I138)-(45*1)</f>
        <v>1063</v>
      </c>
      <c r="K138" s="49">
        <f t="shared" ref="K138" si="1253">SUM(E138:J138)-(45*2)</f>
        <v>2081</v>
      </c>
      <c r="L138" s="49">
        <f t="shared" si="122"/>
        <v>4117</v>
      </c>
      <c r="M138" s="49">
        <f t="shared" ref="M138" si="1254">SUM(E138:L138)-(45*4)</f>
        <v>8189</v>
      </c>
      <c r="N138" s="49">
        <f t="shared" ref="N138" si="1255">SUM(E138:M138)-(45*5)</f>
        <v>16333</v>
      </c>
      <c r="O138" s="49">
        <f t="shared" si="125"/>
        <v>32666</v>
      </c>
      <c r="P138" s="49">
        <f t="shared" si="126"/>
        <v>65287</v>
      </c>
      <c r="Q138" s="49">
        <f t="shared" ref="Q138" si="1256">SUM(E138:P138)-(45*6)</f>
        <v>130574</v>
      </c>
      <c r="R138" s="49">
        <f t="shared" ref="R138" si="1257">SUM(E138:Q138)-(45*6)</f>
        <v>261148</v>
      </c>
      <c r="S138" s="49">
        <f t="shared" ref="S138" si="1258">SUM(E138:R138)-(45*7)</f>
        <v>522251</v>
      </c>
      <c r="T138" s="49">
        <f t="shared" ref="T138" si="1259">SUM(E138:S138)-(45*7)</f>
        <v>1044502</v>
      </c>
      <c r="U138" s="49">
        <f t="shared" ref="U138" si="1260">SUM(E138:T138)-(45*7)</f>
        <v>2089004</v>
      </c>
      <c r="V138" s="49">
        <f t="shared" ref="V138:Y138" si="1261">SUM(F138:U138)-(45*8)</f>
        <v>4177702</v>
      </c>
      <c r="W138" s="49">
        <f t="shared" si="1261"/>
        <v>8355132</v>
      </c>
      <c r="X138" s="49">
        <f t="shared" si="1261"/>
        <v>16710226</v>
      </c>
      <c r="Y138" s="49">
        <f t="shared" si="1261"/>
        <v>33419964</v>
      </c>
      <c r="Z138" s="49">
        <f t="shared" ref="Z138:AC138" si="1262">SUM(J138:Y138)-(45*7)</f>
        <v>66839924</v>
      </c>
      <c r="AA138" s="49">
        <f t="shared" si="1262"/>
        <v>133678785</v>
      </c>
      <c r="AB138" s="49">
        <f t="shared" si="1262"/>
        <v>267355489</v>
      </c>
      <c r="AC138" s="49">
        <f t="shared" si="1262"/>
        <v>534706861</v>
      </c>
      <c r="AD138" s="49">
        <f t="shared" ref="AD138" si="1263">SUM(N138:AC138)-(45*6)</f>
        <v>1069405578</v>
      </c>
      <c r="AE138" s="49">
        <f t="shared" ref="AE138:AG138" si="1264">SUM(O138:AD138)-(45*7)</f>
        <v>2138794778</v>
      </c>
      <c r="AF138" s="49">
        <f t="shared" si="1264"/>
        <v>4277556890</v>
      </c>
      <c r="AG138" s="49">
        <f t="shared" si="1264"/>
        <v>8555048493</v>
      </c>
      <c r="AH138" s="49">
        <f t="shared" ref="AH138:AI138" si="1265">SUM(R138:AG138)-(45*8)</f>
        <v>17109966367</v>
      </c>
      <c r="AI138" s="49">
        <f t="shared" si="1265"/>
        <v>34219671586</v>
      </c>
      <c r="AJ138" s="49">
        <f t="shared" ref="AJ138:AK138" si="1266">SUM(T138:AI138)-(45*9)</f>
        <v>68438820876</v>
      </c>
      <c r="AK138" s="49">
        <f t="shared" si="1266"/>
        <v>136876597250</v>
      </c>
      <c r="AL138" s="49">
        <f t="shared" ref="AL138" si="1267">SUM(V138:AK138)-(45*8)</f>
        <v>273751105541</v>
      </c>
      <c r="AM138" s="49">
        <f t="shared" ref="AM138" si="1268">SUM(W138:AL138)-(45*7)</f>
        <v>547498033425</v>
      </c>
      <c r="AN138" s="49">
        <f t="shared" ref="AN138:AO138" si="1269">SUM(X138:AM138)-(45*8)</f>
        <v>1094987711673</v>
      </c>
      <c r="AO138" s="49">
        <f t="shared" si="1269"/>
        <v>2189958713120</v>
      </c>
      <c r="AP138" s="49">
        <f t="shared" ref="AP138" si="1270">SUM(Z138:AO138)-(45*9)</f>
        <v>4379884006231</v>
      </c>
      <c r="AQ138" s="49">
        <f t="shared" si="142"/>
        <v>8759701172583</v>
      </c>
      <c r="AR138" s="49">
        <f t="shared" si="143"/>
        <v>17519268666381</v>
      </c>
      <c r="AS138" s="49">
        <f t="shared" ref="AS138" si="1271">SUM(AC138:AR138)-(45*8)</f>
        <v>35038269977273</v>
      </c>
      <c r="AT138" s="49">
        <f t="shared" si="189"/>
        <v>70076005247685</v>
      </c>
      <c r="AU138" s="49">
        <f t="shared" ref="AU138:AV138" si="1272">SUM(AE138:AT138)-(45*8)</f>
        <v>140150941089792</v>
      </c>
      <c r="AV138" s="49">
        <f t="shared" si="1272"/>
        <v>280299743384806</v>
      </c>
      <c r="AW138" s="49">
        <f t="shared" ref="AW138" si="1273">SUM(AG138:AV138)-(45*9)</f>
        <v>560595209212677</v>
      </c>
      <c r="AX138" s="49">
        <f t="shared" ref="AX138" si="1274">SUM(AH138:AW138)-(45*8)</f>
        <v>1121181863376906</v>
      </c>
      <c r="AY138" s="49">
        <f t="shared" ref="AY138:AZ138" si="1275">SUM(AI138:AX138)-(45*7)</f>
        <v>2242346616787490</v>
      </c>
      <c r="AZ138" s="49">
        <f t="shared" si="1275"/>
        <v>4484659013903394</v>
      </c>
      <c r="BA138" s="49">
        <f t="shared" si="148"/>
        <v>8969249588985867</v>
      </c>
      <c r="BB138" s="49">
        <f t="shared" si="149"/>
        <v>1.7938362301374484E+16</v>
      </c>
      <c r="BC138" s="49">
        <f t="shared" si="150"/>
        <v>3.5876450851643428E+16</v>
      </c>
      <c r="BD138" s="49">
        <f t="shared" si="151"/>
        <v>7.1752354205253432E+16</v>
      </c>
      <c r="BE138" s="49">
        <f t="shared" ref="BE138" si="1276">SUM(AO138:BD138)-(45*9)</f>
        <v>1.4350361342279515E+17</v>
      </c>
      <c r="BF138" s="49">
        <f t="shared" si="193"/>
        <v>2.8700503688687722E+17</v>
      </c>
      <c r="BG138" s="49">
        <f t="shared" ref="BG138" si="1277">SUM(AQ138:BF138)-(45*8)</f>
        <v>5.7400569388974822E+17</v>
      </c>
      <c r="BH138" s="49">
        <f t="shared" ref="BH138" si="1278">SUM(AR138:BG138)-(45*9)</f>
        <v>1.1480026280783238E+18</v>
      </c>
      <c r="BI138" s="49">
        <f t="shared" si="155"/>
        <v>2.2959877368879813E+18</v>
      </c>
      <c r="BJ138" s="49">
        <f t="shared" ref="BJ138" si="1279">SUM(AT138:BI138)-(45*9)</f>
        <v>4.591940435505985E+18</v>
      </c>
      <c r="BK138" s="49">
        <f t="shared" si="157"/>
        <v>9.1838107950067231E+18</v>
      </c>
      <c r="BL138" s="49">
        <f t="shared" ref="BL138" si="1280">SUM(AV138:BK138)-(45*9)</f>
        <v>1.8367481439072356E+19</v>
      </c>
      <c r="BM138" s="49">
        <f t="shared" ref="BM138" si="1281">SUM(AW138:BL138)-(45*8)</f>
        <v>3.6734682578401329E+19</v>
      </c>
      <c r="BN138" s="49">
        <f t="shared" ref="BN138:BO138" si="1282">SUM(AX138:BM138)-(45*9)</f>
        <v>7.3468804561593442E+19</v>
      </c>
      <c r="BO138" s="49">
        <f t="shared" si="1282"/>
        <v>1.4693648794132352E+20</v>
      </c>
      <c r="BP138" s="49">
        <f t="shared" ref="BP138:BS138" si="1283">SUM(AZ138:BO138)-(45*8)</f>
        <v>2.9387073353603023E+20</v>
      </c>
      <c r="BQ138" s="49">
        <f t="shared" si="1283"/>
        <v>5.8773698241304658E+20</v>
      </c>
      <c r="BR138" s="49">
        <f t="shared" si="1283"/>
        <v>1.1754649955765041E+21</v>
      </c>
      <c r="BS138" s="49">
        <f t="shared" si="1283"/>
        <v>2.3509120527907068E+21</v>
      </c>
      <c r="BT138" s="49">
        <f t="shared" ref="BT138:BV138" si="1284">SUM(BD138:BS138)-(45*7)</f>
        <v>4.701788229130562E+21</v>
      </c>
      <c r="BU138" s="49">
        <f t="shared" si="1284"/>
        <v>9.4035047059069191E+21</v>
      </c>
      <c r="BV138" s="49">
        <f t="shared" si="1284"/>
        <v>1.8806865908200416E+22</v>
      </c>
    </row>
    <row r="139" spans="2:74" ht="17.25">
      <c r="B139" s="207"/>
      <c r="C139" s="44">
        <v>608</v>
      </c>
      <c r="D139" s="108" t="s">
        <v>376</v>
      </c>
      <c r="E139" s="48">
        <v>268</v>
      </c>
      <c r="F139" s="63">
        <v>279</v>
      </c>
      <c r="G139" s="63">
        <v>39</v>
      </c>
      <c r="H139" s="48">
        <f t="shared" si="119"/>
        <v>502</v>
      </c>
      <c r="I139" s="48">
        <v>50</v>
      </c>
      <c r="J139" s="49">
        <f t="shared" ref="J139" si="1285">SUM(E139:I139)-(45*2)</f>
        <v>1048</v>
      </c>
      <c r="K139" s="49">
        <f t="shared" ref="K139" si="1286">SUM(E139:J139)-(45*3)</f>
        <v>2051</v>
      </c>
      <c r="L139" s="49">
        <f t="shared" si="122"/>
        <v>4102</v>
      </c>
      <c r="M139" s="49">
        <f t="shared" ref="M139" si="1287">SUM(E139:L139)-(45*3)</f>
        <v>8204</v>
      </c>
      <c r="N139" s="49">
        <f t="shared" ref="N139" si="1288">SUM(E139:M139)-(45*4)</f>
        <v>16363</v>
      </c>
      <c r="O139" s="49">
        <f t="shared" si="125"/>
        <v>32681</v>
      </c>
      <c r="P139" s="49">
        <f t="shared" si="126"/>
        <v>65317</v>
      </c>
      <c r="Q139" s="49">
        <f t="shared" ref="Q139" si="1289">SUM(E139:P139)-(45*7)</f>
        <v>130589</v>
      </c>
      <c r="R139" s="49">
        <f t="shared" ref="R139" si="1290">SUM(E139:Q139)-(45*8)</f>
        <v>261133</v>
      </c>
      <c r="S139" s="49">
        <f t="shared" ref="S139" si="1291">SUM(E139:R139)-(45*8)</f>
        <v>522266</v>
      </c>
      <c r="T139" s="49">
        <f t="shared" ref="T139" si="1292">SUM(E139:S139)-(45*9)</f>
        <v>1044487</v>
      </c>
      <c r="U139" s="49">
        <f t="shared" ref="U139" si="1293">SUM(E139:T139)-(45*9)</f>
        <v>2088974</v>
      </c>
      <c r="V139" s="49">
        <f t="shared" ref="V139:W139" si="1294">SUM(F139:U139)-(45*8)</f>
        <v>4177725</v>
      </c>
      <c r="W139" s="49">
        <f t="shared" si="1294"/>
        <v>8355171</v>
      </c>
      <c r="X139" s="49">
        <f t="shared" ref="X139" si="1295">SUM(H139:W139)-(45*9)</f>
        <v>16710258</v>
      </c>
      <c r="Y139" s="49">
        <f t="shared" ref="Y139:Z139" si="1296">SUM(I139:X139)-(45*10)</f>
        <v>33419969</v>
      </c>
      <c r="Z139" s="49">
        <f t="shared" si="1296"/>
        <v>66839888</v>
      </c>
      <c r="AA139" s="49">
        <f t="shared" ref="AA139" si="1297">SUM(K139:Z139)-(45*9)</f>
        <v>133678773</v>
      </c>
      <c r="AB139" s="49">
        <f t="shared" ref="AB139" si="1298">SUM(L139:AA139)-(45*9)</f>
        <v>267355495</v>
      </c>
      <c r="AC139" s="49">
        <f t="shared" ref="AC139" si="1299">SUM(M139:AB139)-(45*9)</f>
        <v>534706888</v>
      </c>
      <c r="AD139" s="49">
        <f t="shared" ref="AD139" si="1300">SUM(N139:AC139)-(45*9)</f>
        <v>1069405572</v>
      </c>
      <c r="AE139" s="49">
        <f t="shared" ref="AE139" si="1301">SUM(O139:AD139)-(45*9)</f>
        <v>2138794781</v>
      </c>
      <c r="AF139" s="49">
        <f t="shared" ref="AF139" si="1302">SUM(P139:AE139)-(45*9)</f>
        <v>4277556881</v>
      </c>
      <c r="AG139" s="49">
        <f t="shared" ref="AG139" si="1303">SUM(Q139:AF139)-(45*8)</f>
        <v>8555048490</v>
      </c>
      <c r="AH139" s="49">
        <f t="shared" ref="AH139:AI139" si="1304">SUM(R139:AG139)-(45*9)</f>
        <v>17109966346</v>
      </c>
      <c r="AI139" s="49">
        <f t="shared" si="1304"/>
        <v>34219671559</v>
      </c>
      <c r="AJ139" s="49">
        <f t="shared" ref="AJ139" si="1305">SUM(T139:AI139)-(45*8)</f>
        <v>68438820897</v>
      </c>
      <c r="AK139" s="49">
        <f t="shared" ref="AK139:AL139" si="1306">SUM(U139:AJ139)-(45*9)</f>
        <v>136876597262</v>
      </c>
      <c r="AL139" s="49">
        <f t="shared" si="1306"/>
        <v>273751105550</v>
      </c>
      <c r="AM139" s="49">
        <f t="shared" ref="AM139:AN139" si="1307">SUM(W139:AL139)-(45*8)</f>
        <v>547498033420</v>
      </c>
      <c r="AN139" s="49">
        <f t="shared" si="1307"/>
        <v>1094987711669</v>
      </c>
      <c r="AO139" s="49">
        <f t="shared" ref="AO139" si="1308">SUM(Y139:AN139)-(45*7)</f>
        <v>2189958713125</v>
      </c>
      <c r="AP139" s="49">
        <f t="shared" ref="AP139" si="1309">SUM(Z139:AO139)-(45*8)</f>
        <v>4379884006236</v>
      </c>
      <c r="AQ139" s="49">
        <f t="shared" si="142"/>
        <v>8759701172584</v>
      </c>
      <c r="AR139" s="49">
        <f t="shared" si="143"/>
        <v>17519268666395</v>
      </c>
      <c r="AS139" s="49">
        <f t="shared" ref="AS139" si="1310">SUM(AC139:AR139)-(45*9)</f>
        <v>35038269977250</v>
      </c>
      <c r="AT139" s="49">
        <f t="shared" si="189"/>
        <v>70076005247657</v>
      </c>
      <c r="AU139" s="49">
        <f t="shared" ref="AU139:AY139" si="1311">SUM(AE139:AT139)-(45*7)</f>
        <v>140150941089787</v>
      </c>
      <c r="AV139" s="49">
        <f t="shared" si="1311"/>
        <v>280299743384793</v>
      </c>
      <c r="AW139" s="49">
        <f t="shared" si="1311"/>
        <v>560595209212705</v>
      </c>
      <c r="AX139" s="49">
        <f t="shared" si="1311"/>
        <v>1121181863376920</v>
      </c>
      <c r="AY139" s="49">
        <f t="shared" si="1311"/>
        <v>2242346616787494</v>
      </c>
      <c r="AZ139" s="49">
        <f t="shared" ref="AZ139" si="1312">SUM(AJ139:AY139)-(45*8)</f>
        <v>4484659013903384</v>
      </c>
      <c r="BA139" s="49">
        <f t="shared" si="148"/>
        <v>8969249588985871</v>
      </c>
      <c r="BB139" s="49">
        <f t="shared" si="149"/>
        <v>1.793836230137448E+16</v>
      </c>
      <c r="BC139" s="49">
        <f t="shared" si="150"/>
        <v>3.5876450851643408E+16</v>
      </c>
      <c r="BD139" s="49">
        <f t="shared" si="151"/>
        <v>7.17523542052534E+16</v>
      </c>
      <c r="BE139" s="49">
        <f t="shared" ref="BE139" si="1313">SUM(AO139:BD139)-(45*7)</f>
        <v>1.4350361342279517E+17</v>
      </c>
      <c r="BF139" s="49">
        <f t="shared" si="193"/>
        <v>2.8700503688687718E+17</v>
      </c>
      <c r="BG139" s="49">
        <f t="shared" ref="BG139:BH139" si="1314">SUM(AQ139:BF139)-(45*7)</f>
        <v>5.7400569388974816E+17</v>
      </c>
      <c r="BH139" s="49">
        <f t="shared" si="1314"/>
        <v>1.1480026280783237E+18</v>
      </c>
      <c r="BI139" s="49">
        <f t="shared" si="155"/>
        <v>2.2959877368879811E+18</v>
      </c>
      <c r="BJ139" s="49">
        <f t="shared" ref="BJ139" si="1315">SUM(AT139:BI139)-(45*8)</f>
        <v>4.591940435505985E+18</v>
      </c>
      <c r="BK139" s="49">
        <f t="shared" si="157"/>
        <v>9.183810795006722E+18</v>
      </c>
      <c r="BL139" s="49">
        <f t="shared" ref="BL139:BO139" si="1316">SUM(AV139:BK139)-(45*7)</f>
        <v>1.8367481439072354E+19</v>
      </c>
      <c r="BM139" s="49">
        <f t="shared" si="1316"/>
        <v>3.6734682578401325E+19</v>
      </c>
      <c r="BN139" s="49">
        <f t="shared" si="1316"/>
        <v>7.3468804561593434E+19</v>
      </c>
      <c r="BO139" s="49">
        <f t="shared" si="1316"/>
        <v>1.4693648794132349E+20</v>
      </c>
      <c r="BP139" s="49">
        <f t="shared" ref="BP139" si="1317">SUM(AZ139:BO139)-(45*6)</f>
        <v>2.938707335360302E+20</v>
      </c>
      <c r="BQ139" s="49">
        <f t="shared" ref="BQ139" si="1318">SUM(BA139:BP139)-(45*5)</f>
        <v>5.8773698241304645E+20</v>
      </c>
      <c r="BR139" s="49">
        <f t="shared" ref="BR139:BS139" si="1319">SUM(BB139:BQ139)-(45*6)</f>
        <v>1.175464995576504E+21</v>
      </c>
      <c r="BS139" s="49">
        <f t="shared" si="1319"/>
        <v>2.3509120527907066E+21</v>
      </c>
      <c r="BT139" s="49">
        <f t="shared" ref="BT139:BU139" si="1320">SUM(BD139:BS139)-(45*7)</f>
        <v>4.7017882291305615E+21</v>
      </c>
      <c r="BU139" s="49">
        <f t="shared" si="1320"/>
        <v>9.403504705906918E+21</v>
      </c>
      <c r="BV139" s="49">
        <f t="shared" ref="BV139" si="1321">SUM(BF139:BU139)-(45*6)</f>
        <v>1.8806865908200412E+22</v>
      </c>
    </row>
    <row r="140" spans="2:74" ht="17.25">
      <c r="B140" s="207"/>
      <c r="C140" s="44">
        <v>609</v>
      </c>
      <c r="D140" s="108" t="s">
        <v>377</v>
      </c>
      <c r="E140" s="48">
        <v>275</v>
      </c>
      <c r="F140" s="63">
        <v>286</v>
      </c>
      <c r="G140" s="63">
        <v>40</v>
      </c>
      <c r="H140" s="48">
        <f t="shared" si="119"/>
        <v>516</v>
      </c>
      <c r="I140" s="48">
        <v>51</v>
      </c>
      <c r="J140" s="49">
        <f t="shared" ref="J140" si="1322">SUM(E140:I140)-(45*1)</f>
        <v>1123</v>
      </c>
      <c r="K140" s="49">
        <f t="shared" ref="K140" si="1323">SUM(E140:J140)-(45*2)</f>
        <v>2201</v>
      </c>
      <c r="L140" s="49">
        <f t="shared" si="122"/>
        <v>4357</v>
      </c>
      <c r="M140" s="49">
        <f t="shared" ref="M140" si="1324">SUM(E140:L140)-(45*4)</f>
        <v>8669</v>
      </c>
      <c r="N140" s="49">
        <f t="shared" ref="N140" si="1325">SUM(E140:M140)-(45*5)</f>
        <v>17293</v>
      </c>
      <c r="O140" s="49">
        <f t="shared" si="125"/>
        <v>34586</v>
      </c>
      <c r="P140" s="49">
        <f t="shared" si="126"/>
        <v>69127</v>
      </c>
      <c r="Q140" s="49">
        <f t="shared" ref="Q140" si="1326">SUM(E140:P140)-(45*6)</f>
        <v>138254</v>
      </c>
      <c r="R140" s="49">
        <f t="shared" ref="R140" si="1327">SUM(E140:Q140)-(45*6)</f>
        <v>276508</v>
      </c>
      <c r="S140" s="49">
        <f t="shared" ref="S140" si="1328">SUM(E140:R140)-(45*7)</f>
        <v>552971</v>
      </c>
      <c r="T140" s="49">
        <f t="shared" ref="T140" si="1329">SUM(E140:S140)-(45*7)</f>
        <v>1105942</v>
      </c>
      <c r="U140" s="49">
        <f t="shared" ref="U140" si="1330">SUM(E140:T140)-(45*7)</f>
        <v>2211884</v>
      </c>
      <c r="V140" s="49">
        <f t="shared" ref="V140:Y140" si="1331">SUM(F140:U140)-(45*8)</f>
        <v>4423448</v>
      </c>
      <c r="W140" s="49">
        <f t="shared" si="1331"/>
        <v>8846610</v>
      </c>
      <c r="X140" s="49">
        <f t="shared" si="1331"/>
        <v>17693180</v>
      </c>
      <c r="Y140" s="49">
        <f t="shared" si="1331"/>
        <v>35385844</v>
      </c>
      <c r="Z140" s="49">
        <f t="shared" ref="Z140:AC140" si="1332">SUM(J140:Y140)-(45*7)</f>
        <v>70771682</v>
      </c>
      <c r="AA140" s="49">
        <f t="shared" si="1332"/>
        <v>141542241</v>
      </c>
      <c r="AB140" s="49">
        <f t="shared" si="1332"/>
        <v>283082281</v>
      </c>
      <c r="AC140" s="49">
        <f t="shared" si="1332"/>
        <v>566160205</v>
      </c>
      <c r="AD140" s="49">
        <f t="shared" ref="AD140" si="1333">SUM(N140:AC140)-(45*6)</f>
        <v>1132311786</v>
      </c>
      <c r="AE140" s="49">
        <f t="shared" ref="AE140:AG140" si="1334">SUM(O140:AD140)-(45*7)</f>
        <v>2264606234</v>
      </c>
      <c r="AF140" s="49">
        <f t="shared" si="1334"/>
        <v>4529177882</v>
      </c>
      <c r="AG140" s="49">
        <f t="shared" si="1334"/>
        <v>9058286637</v>
      </c>
      <c r="AH140" s="49">
        <f t="shared" ref="AH140:AI140" si="1335">SUM(R140:AG140)-(45*8)</f>
        <v>18116434975</v>
      </c>
      <c r="AI140" s="49">
        <f t="shared" si="1335"/>
        <v>36232593442</v>
      </c>
      <c r="AJ140" s="49">
        <f t="shared" ref="AJ140:AK140" si="1336">SUM(T140:AI140)-(45*9)</f>
        <v>72464633868</v>
      </c>
      <c r="AK140" s="49">
        <f t="shared" si="1336"/>
        <v>144928161794</v>
      </c>
      <c r="AL140" s="49">
        <f t="shared" ref="AL140" si="1337">SUM(V140:AK140)-(45*8)</f>
        <v>289854111749</v>
      </c>
      <c r="AM140" s="49">
        <f t="shared" ref="AM140" si="1338">SUM(W140:AL140)-(45*7)</f>
        <v>579703800095</v>
      </c>
      <c r="AN140" s="49">
        <f t="shared" ref="AN140:AO140" si="1339">SUM(X140:AM140)-(45*8)</f>
        <v>1159398753535</v>
      </c>
      <c r="AO140" s="49">
        <f t="shared" si="1339"/>
        <v>2318779813890</v>
      </c>
      <c r="AP140" s="49">
        <f t="shared" ref="AP140" si="1340">SUM(Z140:AO140)-(45*9)</f>
        <v>4637524241891</v>
      </c>
      <c r="AQ140" s="49">
        <f t="shared" si="142"/>
        <v>9274977712145</v>
      </c>
      <c r="AR140" s="49">
        <f t="shared" si="143"/>
        <v>18549813882049</v>
      </c>
      <c r="AS140" s="49">
        <f t="shared" ref="AS140" si="1341">SUM(AC140:AR140)-(45*8)</f>
        <v>37099344681817</v>
      </c>
      <c r="AT140" s="49">
        <f t="shared" si="189"/>
        <v>74198123203429</v>
      </c>
      <c r="AU140" s="49">
        <f t="shared" ref="AU140:AV140" si="1342">SUM(AE140:AT140)-(45*8)</f>
        <v>148395114095072</v>
      </c>
      <c r="AV140" s="49">
        <f t="shared" si="1342"/>
        <v>296787963583910</v>
      </c>
      <c r="AW140" s="49">
        <f t="shared" ref="AW140" si="1343">SUM(AG140:AV140)-(45*9)</f>
        <v>593571397989893</v>
      </c>
      <c r="AX140" s="49">
        <f t="shared" ref="AX140" si="1344">SUM(AH140:AW140)-(45*8)</f>
        <v>1187133737693194</v>
      </c>
      <c r="AY140" s="49">
        <f t="shared" ref="AY140:AZ140" si="1345">SUM(AI140:AX140)-(45*7)</f>
        <v>2374249358951458</v>
      </c>
      <c r="AZ140" s="49">
        <f t="shared" si="1345"/>
        <v>4748462485309474</v>
      </c>
      <c r="BA140" s="49">
        <f t="shared" si="148"/>
        <v>9496852505985036</v>
      </c>
      <c r="BB140" s="49">
        <f t="shared" si="149"/>
        <v>1.8993560083808276E+16</v>
      </c>
      <c r="BC140" s="49">
        <f t="shared" si="150"/>
        <v>3.7986830313504808E+16</v>
      </c>
      <c r="BD140" s="49">
        <f t="shared" si="151"/>
        <v>7.5973080923209536E+16</v>
      </c>
      <c r="BE140" s="49">
        <f t="shared" ref="BE140" si="1346">SUM(AO140:BD140)-(45*9)</f>
        <v>1.5194500244766547E+17</v>
      </c>
      <c r="BF140" s="49">
        <f t="shared" si="193"/>
        <v>3.0388768611551706E+17</v>
      </c>
      <c r="BG140" s="49">
        <f t="shared" ref="BG140" si="1347">SUM(AQ140:BF140)-(45*8)</f>
        <v>6.0777073470679232E+17</v>
      </c>
      <c r="BH140" s="49">
        <f t="shared" ref="BH140" si="1348">SUM(AR140:BG140)-(45*9)</f>
        <v>1.2155321944358723E+18</v>
      </c>
      <c r="BI140" s="49">
        <f t="shared" si="155"/>
        <v>2.4310458390578627E+18</v>
      </c>
      <c r="BJ140" s="49">
        <f t="shared" ref="BJ140" si="1349">SUM(AT140:BI140)-(45*9)</f>
        <v>4.8620545787710444E+18</v>
      </c>
      <c r="BK140" s="49">
        <f t="shared" si="157"/>
        <v>9.7240349594188841E+18</v>
      </c>
      <c r="BL140" s="49">
        <f t="shared" ref="BL140" si="1350">SUM(AV140:BK140)-(45*9)</f>
        <v>1.9447921523723674E+19</v>
      </c>
      <c r="BM140" s="49">
        <f t="shared" ref="BM140" si="1351">SUM(AW140:BL140)-(45*8)</f>
        <v>3.8895546259483763E+19</v>
      </c>
      <c r="BN140" s="49">
        <f t="shared" ref="BN140:BO140" si="1352">SUM(AX140:BM140)-(45*9)</f>
        <v>7.7790498947569549E+19</v>
      </c>
      <c r="BO140" s="49">
        <f t="shared" si="1352"/>
        <v>1.555798107614014E+20</v>
      </c>
      <c r="BP140" s="49">
        <f t="shared" ref="BP140:BS140" si="1353">SUM(AZ140:BO140)-(45*8)</f>
        <v>3.1115724727344385E+20</v>
      </c>
      <c r="BQ140" s="49">
        <f t="shared" si="1353"/>
        <v>6.2230974608440243E+20</v>
      </c>
      <c r="BR140" s="49">
        <f t="shared" si="1353"/>
        <v>1.2446099953162988E+21</v>
      </c>
      <c r="BS140" s="49">
        <f t="shared" si="1353"/>
        <v>2.4892009970725138E+21</v>
      </c>
      <c r="BT140" s="49">
        <f t="shared" ref="BT140:BV140" si="1354">SUM(BD140:BS140)-(45*7)</f>
        <v>4.9783640073147148E+21</v>
      </c>
      <c r="BU140" s="49">
        <f t="shared" si="1354"/>
        <v>9.956652041548505E+21</v>
      </c>
      <c r="BV140" s="49">
        <f t="shared" si="1354"/>
        <v>1.9913152138094563E+22</v>
      </c>
    </row>
    <row r="141" spans="2:74" ht="17.25">
      <c r="B141" s="207"/>
      <c r="C141" s="44">
        <v>610</v>
      </c>
      <c r="D141" s="108" t="s">
        <v>378</v>
      </c>
      <c r="E141" s="48">
        <v>282</v>
      </c>
      <c r="F141" s="63">
        <v>293</v>
      </c>
      <c r="G141" s="63">
        <v>41</v>
      </c>
      <c r="H141" s="48">
        <f t="shared" si="119"/>
        <v>530</v>
      </c>
      <c r="I141" s="48">
        <v>52</v>
      </c>
      <c r="J141" s="49">
        <f t="shared" ref="J141" si="1355">SUM(E141:I141)-(45*2)</f>
        <v>1108</v>
      </c>
      <c r="K141" s="49">
        <f t="shared" ref="K141" si="1356">SUM(E141:J141)-(45*3)</f>
        <v>2171</v>
      </c>
      <c r="L141" s="49">
        <f t="shared" si="122"/>
        <v>4342</v>
      </c>
      <c r="M141" s="49">
        <f t="shared" ref="M141" si="1357">SUM(E141:L141)-(45*3)</f>
        <v>8684</v>
      </c>
      <c r="N141" s="49">
        <f t="shared" ref="N141" si="1358">SUM(E141:M141)-(45*4)</f>
        <v>17323</v>
      </c>
      <c r="O141" s="49">
        <f t="shared" si="125"/>
        <v>34601</v>
      </c>
      <c r="P141" s="49">
        <f t="shared" si="126"/>
        <v>69157</v>
      </c>
      <c r="Q141" s="49">
        <f t="shared" ref="Q141" si="1359">SUM(E141:P141)-(45*7)</f>
        <v>138269</v>
      </c>
      <c r="R141" s="49">
        <f t="shared" ref="R141" si="1360">SUM(E141:Q141)-(45*8)</f>
        <v>276493</v>
      </c>
      <c r="S141" s="49">
        <f t="shared" ref="S141" si="1361">SUM(E141:R141)-(45*8)</f>
        <v>552986</v>
      </c>
      <c r="T141" s="49">
        <f t="shared" ref="T141" si="1362">SUM(E141:S141)-(45*9)</f>
        <v>1105927</v>
      </c>
      <c r="U141" s="49">
        <f t="shared" ref="U141" si="1363">SUM(E141:T141)-(45*9)</f>
        <v>2211854</v>
      </c>
      <c r="V141" s="49">
        <f t="shared" ref="V141:W141" si="1364">SUM(F141:U141)-(45*8)</f>
        <v>4423471</v>
      </c>
      <c r="W141" s="49">
        <f t="shared" si="1364"/>
        <v>8846649</v>
      </c>
      <c r="X141" s="49">
        <f t="shared" ref="X141" si="1365">SUM(H141:W141)-(45*9)</f>
        <v>17693212</v>
      </c>
      <c r="Y141" s="49">
        <f t="shared" ref="Y141:Z141" si="1366">SUM(I141:X141)-(45*10)</f>
        <v>35385849</v>
      </c>
      <c r="Z141" s="49">
        <f t="shared" si="1366"/>
        <v>70771646</v>
      </c>
      <c r="AA141" s="49">
        <f t="shared" ref="AA141" si="1367">SUM(K141:Z141)-(45*9)</f>
        <v>141542229</v>
      </c>
      <c r="AB141" s="49">
        <f t="shared" ref="AB141" si="1368">SUM(L141:AA141)-(45*9)</f>
        <v>283082287</v>
      </c>
      <c r="AC141" s="49">
        <f t="shared" ref="AC141" si="1369">SUM(M141:AB141)-(45*9)</f>
        <v>566160232</v>
      </c>
      <c r="AD141" s="49">
        <f t="shared" ref="AD141" si="1370">SUM(N141:AC141)-(45*9)</f>
        <v>1132311780</v>
      </c>
      <c r="AE141" s="49">
        <f t="shared" ref="AE141" si="1371">SUM(O141:AD141)-(45*9)</f>
        <v>2264606237</v>
      </c>
      <c r="AF141" s="49">
        <f t="shared" ref="AF141" si="1372">SUM(P141:AE141)-(45*9)</f>
        <v>4529177873</v>
      </c>
      <c r="AG141" s="49">
        <f t="shared" ref="AG141" si="1373">SUM(Q141:AF141)-(45*8)</f>
        <v>9058286634</v>
      </c>
      <c r="AH141" s="49">
        <f t="shared" ref="AH141:AI141" si="1374">SUM(R141:AG141)-(45*9)</f>
        <v>18116434954</v>
      </c>
      <c r="AI141" s="49">
        <f t="shared" si="1374"/>
        <v>36232593415</v>
      </c>
      <c r="AJ141" s="49">
        <f t="shared" ref="AJ141" si="1375">SUM(T141:AI141)-(45*8)</f>
        <v>72464633889</v>
      </c>
      <c r="AK141" s="49">
        <f t="shared" ref="AK141:AL141" si="1376">SUM(U141:AJ141)-(45*9)</f>
        <v>144928161806</v>
      </c>
      <c r="AL141" s="49">
        <f t="shared" si="1376"/>
        <v>289854111758</v>
      </c>
      <c r="AM141" s="49">
        <f t="shared" ref="AM141:AN141" si="1377">SUM(W141:AL141)-(45*8)</f>
        <v>579703800090</v>
      </c>
      <c r="AN141" s="49">
        <f t="shared" si="1377"/>
        <v>1159398753531</v>
      </c>
      <c r="AO141" s="49">
        <f t="shared" ref="AO141" si="1378">SUM(Y141:AN141)-(45*7)</f>
        <v>2318779813895</v>
      </c>
      <c r="AP141" s="49">
        <f t="shared" ref="AP141" si="1379">SUM(Z141:AO141)-(45*8)</f>
        <v>4637524241896</v>
      </c>
      <c r="AQ141" s="49">
        <f t="shared" si="142"/>
        <v>9274977712146</v>
      </c>
      <c r="AR141" s="49">
        <f t="shared" si="143"/>
        <v>18549813882063</v>
      </c>
      <c r="AS141" s="49">
        <f t="shared" ref="AS141" si="1380">SUM(AC141:AR141)-(45*9)</f>
        <v>37099344681794</v>
      </c>
      <c r="AT141" s="49">
        <f t="shared" si="189"/>
        <v>74198123203401</v>
      </c>
      <c r="AU141" s="49">
        <f t="shared" ref="AU141:AY141" si="1381">SUM(AE141:AT141)-(45*7)</f>
        <v>148395114095067</v>
      </c>
      <c r="AV141" s="49">
        <f t="shared" si="1381"/>
        <v>296787963583897</v>
      </c>
      <c r="AW141" s="49">
        <f t="shared" si="1381"/>
        <v>593571397989921</v>
      </c>
      <c r="AX141" s="49">
        <f t="shared" si="1381"/>
        <v>1187133737693208</v>
      </c>
      <c r="AY141" s="49">
        <f t="shared" si="1381"/>
        <v>2374249358951462</v>
      </c>
      <c r="AZ141" s="49">
        <f t="shared" ref="AZ141" si="1382">SUM(AJ141:AY141)-(45*8)</f>
        <v>4748462485309464</v>
      </c>
      <c r="BA141" s="49">
        <f t="shared" si="148"/>
        <v>9496852505985040</v>
      </c>
      <c r="BB141" s="49">
        <f t="shared" si="149"/>
        <v>1.8993560083808272E+16</v>
      </c>
      <c r="BC141" s="49">
        <f t="shared" si="150"/>
        <v>3.7986830313504792E+16</v>
      </c>
      <c r="BD141" s="49">
        <f t="shared" si="151"/>
        <v>7.5973080923209504E+16</v>
      </c>
      <c r="BE141" s="49">
        <f t="shared" ref="BE141" si="1383">SUM(AO141:BD141)-(45*7)</f>
        <v>1.519450024476655E+17</v>
      </c>
      <c r="BF141" s="49">
        <f t="shared" si="193"/>
        <v>3.0388768611551706E+17</v>
      </c>
      <c r="BG141" s="49">
        <f t="shared" ref="BG141:BH141" si="1384">SUM(AQ141:BF141)-(45*7)</f>
        <v>6.0777073470679232E+17</v>
      </c>
      <c r="BH141" s="49">
        <f t="shared" si="1384"/>
        <v>1.2155321944358725E+18</v>
      </c>
      <c r="BI141" s="49">
        <f t="shared" si="155"/>
        <v>2.4310458390578627E+18</v>
      </c>
      <c r="BJ141" s="49">
        <f t="shared" ref="BJ141" si="1385">SUM(AT141:BI141)-(45*8)</f>
        <v>4.8620545787710444E+18</v>
      </c>
      <c r="BK141" s="49">
        <f t="shared" si="157"/>
        <v>9.7240349594188841E+18</v>
      </c>
      <c r="BL141" s="49">
        <f t="shared" ref="BL141:BO141" si="1386">SUM(AV141:BK141)-(45*7)</f>
        <v>1.9447921523723674E+19</v>
      </c>
      <c r="BM141" s="49">
        <f t="shared" si="1386"/>
        <v>3.8895546259483763E+19</v>
      </c>
      <c r="BN141" s="49">
        <f t="shared" si="1386"/>
        <v>7.7790498947569549E+19</v>
      </c>
      <c r="BO141" s="49">
        <f t="shared" si="1386"/>
        <v>1.555798107614014E+20</v>
      </c>
      <c r="BP141" s="49">
        <f t="shared" ref="BP141" si="1387">SUM(AZ141:BO141)-(45*6)</f>
        <v>3.1115724727344385E+20</v>
      </c>
      <c r="BQ141" s="49">
        <f t="shared" ref="BQ141" si="1388">SUM(BA141:BP141)-(45*5)</f>
        <v>6.2230974608440243E+20</v>
      </c>
      <c r="BR141" s="49">
        <f t="shared" ref="BR141:BS141" si="1389">SUM(BB141:BQ141)-(45*6)</f>
        <v>1.2446099953162988E+21</v>
      </c>
      <c r="BS141" s="49">
        <f t="shared" si="1389"/>
        <v>2.4892009970725138E+21</v>
      </c>
      <c r="BT141" s="49">
        <f t="shared" ref="BT141:BU141" si="1390">SUM(BD141:BS141)-(45*7)</f>
        <v>4.9783640073147148E+21</v>
      </c>
      <c r="BU141" s="49">
        <f t="shared" si="1390"/>
        <v>9.956652041548505E+21</v>
      </c>
      <c r="BV141" s="49">
        <f t="shared" ref="BV141" si="1391">SUM(BF141:BU141)-(45*6)</f>
        <v>1.9913152138094563E+22</v>
      </c>
    </row>
    <row r="142" spans="2:74" ht="17.25">
      <c r="B142" s="207"/>
      <c r="C142" s="44">
        <v>611</v>
      </c>
      <c r="D142" s="108" t="s">
        <v>379</v>
      </c>
      <c r="E142" s="48">
        <v>289</v>
      </c>
      <c r="F142" s="63">
        <v>300</v>
      </c>
      <c r="G142" s="63">
        <v>42</v>
      </c>
      <c r="H142" s="48">
        <f t="shared" si="119"/>
        <v>544</v>
      </c>
      <c r="I142" s="48">
        <v>53</v>
      </c>
      <c r="J142" s="49">
        <f t="shared" ref="J142" si="1392">SUM(E142:I142)-(45*1)</f>
        <v>1183</v>
      </c>
      <c r="K142" s="49">
        <f t="shared" ref="K142" si="1393">SUM(E142:J142)-(45*2)</f>
        <v>2321</v>
      </c>
      <c r="L142" s="49">
        <f t="shared" si="122"/>
        <v>4597</v>
      </c>
      <c r="M142" s="49">
        <f t="shared" ref="M142" si="1394">SUM(E142:L142)-(45*4)</f>
        <v>9149</v>
      </c>
      <c r="N142" s="49">
        <f t="shared" ref="N142" si="1395">SUM(E142:M142)-(45*5)</f>
        <v>18253</v>
      </c>
      <c r="O142" s="49">
        <f t="shared" si="125"/>
        <v>36506</v>
      </c>
      <c r="P142" s="49">
        <f t="shared" si="126"/>
        <v>72967</v>
      </c>
      <c r="Q142" s="49">
        <f t="shared" ref="Q142" si="1396">SUM(E142:P142)-(45*6)</f>
        <v>145934</v>
      </c>
      <c r="R142" s="49">
        <f t="shared" ref="R142" si="1397">SUM(E142:Q142)-(45*6)</f>
        <v>291868</v>
      </c>
      <c r="S142" s="49">
        <f t="shared" ref="S142" si="1398">SUM(E142:R142)-(45*7)</f>
        <v>583691</v>
      </c>
      <c r="T142" s="49">
        <f t="shared" ref="T142" si="1399">SUM(E142:S142)-(45*7)</f>
        <v>1167382</v>
      </c>
      <c r="U142" s="49">
        <f t="shared" ref="U142" si="1400">SUM(E142:T142)-(45*7)</f>
        <v>2334764</v>
      </c>
      <c r="V142" s="49">
        <f t="shared" ref="V142:Y142" si="1401">SUM(F142:U142)-(45*8)</f>
        <v>4669194</v>
      </c>
      <c r="W142" s="49">
        <f t="shared" si="1401"/>
        <v>9338088</v>
      </c>
      <c r="X142" s="49">
        <f t="shared" si="1401"/>
        <v>18676134</v>
      </c>
      <c r="Y142" s="49">
        <f t="shared" si="1401"/>
        <v>37351724</v>
      </c>
      <c r="Z142" s="49">
        <f t="shared" ref="Z142:AC142" si="1402">SUM(J142:Y142)-(45*7)</f>
        <v>74703440</v>
      </c>
      <c r="AA142" s="49">
        <f t="shared" si="1402"/>
        <v>149405697</v>
      </c>
      <c r="AB142" s="49">
        <f t="shared" si="1402"/>
        <v>298809073</v>
      </c>
      <c r="AC142" s="49">
        <f t="shared" si="1402"/>
        <v>597613549</v>
      </c>
      <c r="AD142" s="49">
        <f t="shared" ref="AD142" si="1403">SUM(N142:AC142)-(45*6)</f>
        <v>1195217994</v>
      </c>
      <c r="AE142" s="49">
        <f t="shared" ref="AE142:AG142" si="1404">SUM(O142:AD142)-(45*7)</f>
        <v>2390417690</v>
      </c>
      <c r="AF142" s="49">
        <f t="shared" si="1404"/>
        <v>4780798874</v>
      </c>
      <c r="AG142" s="49">
        <f t="shared" si="1404"/>
        <v>9561524781</v>
      </c>
      <c r="AH142" s="49">
        <f t="shared" ref="AH142:AI142" si="1405">SUM(R142:AG142)-(45*8)</f>
        <v>19122903583</v>
      </c>
      <c r="AI142" s="49">
        <f t="shared" si="1405"/>
        <v>38245515298</v>
      </c>
      <c r="AJ142" s="49">
        <f t="shared" ref="AJ142:AK142" si="1406">SUM(T142:AI142)-(45*9)</f>
        <v>76490446860</v>
      </c>
      <c r="AK142" s="49">
        <f t="shared" si="1406"/>
        <v>152979726338</v>
      </c>
      <c r="AL142" s="49">
        <f t="shared" ref="AL142" si="1407">SUM(V142:AK142)-(45*8)</f>
        <v>305957117957</v>
      </c>
      <c r="AM142" s="49">
        <f t="shared" ref="AM142" si="1408">SUM(W142:AL142)-(45*7)</f>
        <v>611909566765</v>
      </c>
      <c r="AN142" s="49">
        <f t="shared" ref="AN142:AO142" si="1409">SUM(X142:AM142)-(45*8)</f>
        <v>1223809795397</v>
      </c>
      <c r="AO142" s="49">
        <f t="shared" si="1409"/>
        <v>2447600914660</v>
      </c>
      <c r="AP142" s="49">
        <f t="shared" ref="AP142" si="1410">SUM(Z142:AO142)-(45*9)</f>
        <v>4895164477551</v>
      </c>
      <c r="AQ142" s="49">
        <f t="shared" si="142"/>
        <v>9790254251707</v>
      </c>
      <c r="AR142" s="49">
        <f t="shared" si="143"/>
        <v>19580359097717</v>
      </c>
      <c r="AS142" s="49">
        <f t="shared" ref="AS142" si="1411">SUM(AC142:AR142)-(45*8)</f>
        <v>39160419386361</v>
      </c>
      <c r="AT142" s="49">
        <f t="shared" si="189"/>
        <v>78320241159173</v>
      </c>
      <c r="AU142" s="49">
        <f t="shared" ref="AU142:AV142" si="1412">SUM(AE142:AT142)-(45*8)</f>
        <v>156639287100352</v>
      </c>
      <c r="AV142" s="49">
        <f t="shared" si="1412"/>
        <v>313276183783014</v>
      </c>
      <c r="AW142" s="49">
        <f t="shared" ref="AW142" si="1413">SUM(AG142:AV142)-(45*9)</f>
        <v>626547586767109</v>
      </c>
      <c r="AX142" s="49">
        <f t="shared" ref="AX142" si="1414">SUM(AH142:AW142)-(45*8)</f>
        <v>1253085612009482</v>
      </c>
      <c r="AY142" s="49">
        <f t="shared" ref="AY142:AZ142" si="1415">SUM(AI142:AX142)-(45*7)</f>
        <v>2506152101115426</v>
      </c>
      <c r="AZ142" s="49">
        <f t="shared" si="1415"/>
        <v>5012265956715554</v>
      </c>
      <c r="BA142" s="49">
        <f t="shared" si="148"/>
        <v>1.0024455422984204E+16</v>
      </c>
      <c r="BB142" s="49">
        <f t="shared" si="149"/>
        <v>2.0048757866242068E+16</v>
      </c>
      <c r="BC142" s="49">
        <f t="shared" si="150"/>
        <v>4.0097209775366184E+16</v>
      </c>
      <c r="BD142" s="49">
        <f t="shared" si="151"/>
        <v>8.01938076411656E+16</v>
      </c>
      <c r="BE142" s="49">
        <f t="shared" ref="BE142" si="1416">SUM(AO142:BD142)-(45*9)</f>
        <v>1.6038639147253574E+17</v>
      </c>
      <c r="BF142" s="49">
        <f t="shared" si="193"/>
        <v>3.2077033534415686E+17</v>
      </c>
      <c r="BG142" s="49">
        <f t="shared" ref="BG142" si="1417">SUM(AQ142:BF142)-(45*8)</f>
        <v>6.4153577552383616E+17</v>
      </c>
      <c r="BH142" s="49">
        <f t="shared" ref="BH142" si="1418">SUM(AR142:BG142)-(45*9)</f>
        <v>1.2830617607934205E+18</v>
      </c>
      <c r="BI142" s="49">
        <f t="shared" si="155"/>
        <v>2.5661039412277432E+18</v>
      </c>
      <c r="BJ142" s="49">
        <f t="shared" ref="BJ142" si="1419">SUM(AT142:BI142)-(45*9)</f>
        <v>5.1321687220361011E+18</v>
      </c>
      <c r="BK142" s="49">
        <f t="shared" si="157"/>
        <v>1.0264259123831042E+19</v>
      </c>
      <c r="BL142" s="49">
        <f t="shared" ref="BL142" si="1420">SUM(AV142:BK142)-(45*9)</f>
        <v>2.0528361608374985E+19</v>
      </c>
      <c r="BM142" s="49">
        <f t="shared" ref="BM142" si="1421">SUM(AW142:BL142)-(45*8)</f>
        <v>4.1056409940566188E+19</v>
      </c>
      <c r="BN142" s="49">
        <f t="shared" ref="BN142:BO142" si="1422">SUM(AX142:BM142)-(45*9)</f>
        <v>8.2112193333545599E+19</v>
      </c>
      <c r="BO142" s="49">
        <f t="shared" si="1422"/>
        <v>1.6422313358147918E+20</v>
      </c>
      <c r="BP142" s="49">
        <f t="shared" ref="BP142:BS142" si="1423">SUM(AZ142:BO142)-(45*8)</f>
        <v>3.2844376101085728E+20</v>
      </c>
      <c r="BQ142" s="49">
        <f t="shared" si="1423"/>
        <v>6.5688250975575789E+20</v>
      </c>
      <c r="BR142" s="49">
        <f t="shared" si="1423"/>
        <v>1.3137549950560926E+21</v>
      </c>
      <c r="BS142" s="49">
        <f t="shared" si="1423"/>
        <v>2.6274899413543189E+21</v>
      </c>
      <c r="BT142" s="49">
        <f t="shared" ref="BT142:BV142" si="1424">SUM(BD142:BS142)-(45*7)</f>
        <v>5.2549397854988628E+21</v>
      </c>
      <c r="BU142" s="49">
        <f t="shared" si="1424"/>
        <v>1.0509799377190085E+22</v>
      </c>
      <c r="BV142" s="49">
        <f t="shared" si="1424"/>
        <v>2.1019438367988693E+22</v>
      </c>
    </row>
    <row r="143" spans="2:74" ht="17.25">
      <c r="B143" s="207"/>
      <c r="C143" s="44">
        <v>612</v>
      </c>
      <c r="D143" s="108" t="s">
        <v>380</v>
      </c>
      <c r="E143" s="48">
        <v>296</v>
      </c>
      <c r="F143" s="63">
        <v>307</v>
      </c>
      <c r="G143" s="63">
        <v>43</v>
      </c>
      <c r="H143" s="48">
        <f t="shared" si="119"/>
        <v>558</v>
      </c>
      <c r="I143" s="48">
        <v>54</v>
      </c>
      <c r="J143" s="49">
        <f t="shared" ref="J143" si="1425">SUM(E143:I143)-(45*2)</f>
        <v>1168</v>
      </c>
      <c r="K143" s="49">
        <f t="shared" ref="K143" si="1426">SUM(E143:J143)-(45*3)</f>
        <v>2291</v>
      </c>
      <c r="L143" s="49">
        <f t="shared" si="122"/>
        <v>4582</v>
      </c>
      <c r="M143" s="49">
        <f t="shared" ref="M143" si="1427">SUM(E143:L143)-(45*3)</f>
        <v>9164</v>
      </c>
      <c r="N143" s="49">
        <f t="shared" ref="N143" si="1428">SUM(E143:M143)-(45*4)</f>
        <v>18283</v>
      </c>
      <c r="O143" s="49">
        <f t="shared" si="125"/>
        <v>36521</v>
      </c>
      <c r="P143" s="49">
        <f t="shared" si="126"/>
        <v>72997</v>
      </c>
      <c r="Q143" s="49">
        <f t="shared" ref="Q143" si="1429">SUM(E143:P143)-(45*7)</f>
        <v>145949</v>
      </c>
      <c r="R143" s="49">
        <f t="shared" ref="R143" si="1430">SUM(E143:Q143)-(45*8)</f>
        <v>291853</v>
      </c>
      <c r="S143" s="49">
        <f t="shared" ref="S143" si="1431">SUM(E143:R143)-(45*8)</f>
        <v>583706</v>
      </c>
      <c r="T143" s="49">
        <f t="shared" ref="T143" si="1432">SUM(E143:S143)-(45*9)</f>
        <v>1167367</v>
      </c>
      <c r="U143" s="49">
        <f t="shared" ref="U143" si="1433">SUM(E143:T143)-(45*9)</f>
        <v>2334734</v>
      </c>
      <c r="V143" s="49">
        <f t="shared" ref="V143:W143" si="1434">SUM(F143:U143)-(45*8)</f>
        <v>4669217</v>
      </c>
      <c r="W143" s="49">
        <f t="shared" si="1434"/>
        <v>9338127</v>
      </c>
      <c r="X143" s="49">
        <f t="shared" ref="X143" si="1435">SUM(H143:W143)-(45*9)</f>
        <v>18676166</v>
      </c>
      <c r="Y143" s="49">
        <f t="shared" ref="Y143:Z143" si="1436">SUM(I143:X143)-(45*10)</f>
        <v>37351729</v>
      </c>
      <c r="Z143" s="49">
        <f t="shared" si="1436"/>
        <v>74703404</v>
      </c>
      <c r="AA143" s="49">
        <f t="shared" ref="AA143" si="1437">SUM(K143:Z143)-(45*9)</f>
        <v>149405685</v>
      </c>
      <c r="AB143" s="49">
        <f t="shared" ref="AB143" si="1438">SUM(L143:AA143)-(45*9)</f>
        <v>298809079</v>
      </c>
      <c r="AC143" s="49">
        <f t="shared" ref="AC143" si="1439">SUM(M143:AB143)-(45*9)</f>
        <v>597613576</v>
      </c>
      <c r="AD143" s="49">
        <f t="shared" ref="AD143" si="1440">SUM(N143:AC143)-(45*9)</f>
        <v>1195217988</v>
      </c>
      <c r="AE143" s="49">
        <f t="shared" ref="AE143" si="1441">SUM(O143:AD143)-(45*9)</f>
        <v>2390417693</v>
      </c>
      <c r="AF143" s="49">
        <f t="shared" ref="AF143" si="1442">SUM(P143:AE143)-(45*9)</f>
        <v>4780798865</v>
      </c>
      <c r="AG143" s="49">
        <f t="shared" ref="AG143" si="1443">SUM(Q143:AF143)-(45*8)</f>
        <v>9561524778</v>
      </c>
      <c r="AH143" s="49">
        <f t="shared" ref="AH143:AI143" si="1444">SUM(R143:AG143)-(45*9)</f>
        <v>19122903562</v>
      </c>
      <c r="AI143" s="49">
        <f t="shared" si="1444"/>
        <v>38245515271</v>
      </c>
      <c r="AJ143" s="49">
        <f t="shared" ref="AJ143" si="1445">SUM(T143:AI143)-(45*8)</f>
        <v>76490446881</v>
      </c>
      <c r="AK143" s="49">
        <f t="shared" ref="AK143:AL143" si="1446">SUM(U143:AJ143)-(45*9)</f>
        <v>152979726350</v>
      </c>
      <c r="AL143" s="49">
        <f t="shared" si="1446"/>
        <v>305957117966</v>
      </c>
      <c r="AM143" s="49">
        <f t="shared" ref="AM143:AN143" si="1447">SUM(W143:AL143)-(45*8)</f>
        <v>611909566760</v>
      </c>
      <c r="AN143" s="49">
        <f t="shared" si="1447"/>
        <v>1223809795393</v>
      </c>
      <c r="AO143" s="49">
        <f t="shared" ref="AO143" si="1448">SUM(Y143:AN143)-(45*7)</f>
        <v>2447600914665</v>
      </c>
      <c r="AP143" s="49">
        <f t="shared" ref="AP143" si="1449">SUM(Z143:AO143)-(45*8)</f>
        <v>4895164477556</v>
      </c>
      <c r="AQ143" s="49">
        <f t="shared" si="142"/>
        <v>9790254251708</v>
      </c>
      <c r="AR143" s="49">
        <f t="shared" si="143"/>
        <v>19580359097731</v>
      </c>
      <c r="AS143" s="49">
        <f t="shared" ref="AS143" si="1450">SUM(AC143:AR143)-(45*9)</f>
        <v>39160419386338</v>
      </c>
      <c r="AT143" s="49">
        <f t="shared" si="189"/>
        <v>78320241159145</v>
      </c>
      <c r="AU143" s="49">
        <f t="shared" ref="AU143:AY143" si="1451">SUM(AE143:AT143)-(45*7)</f>
        <v>156639287100347</v>
      </c>
      <c r="AV143" s="49">
        <f t="shared" si="1451"/>
        <v>313276183783001</v>
      </c>
      <c r="AW143" s="49">
        <f t="shared" si="1451"/>
        <v>626547586767137</v>
      </c>
      <c r="AX143" s="49">
        <f t="shared" si="1451"/>
        <v>1253085612009496</v>
      </c>
      <c r="AY143" s="49">
        <f t="shared" si="1451"/>
        <v>2506152101115430</v>
      </c>
      <c r="AZ143" s="49">
        <f t="shared" ref="AZ143" si="1452">SUM(AJ143:AY143)-(45*8)</f>
        <v>5012265956715544</v>
      </c>
      <c r="BA143" s="49">
        <f t="shared" si="148"/>
        <v>1.0024455422984208E+16</v>
      </c>
      <c r="BB143" s="49">
        <f t="shared" si="149"/>
        <v>2.0048757866242064E+16</v>
      </c>
      <c r="BC143" s="49">
        <f t="shared" si="150"/>
        <v>4.0097209775366168E+16</v>
      </c>
      <c r="BD143" s="49">
        <f t="shared" si="151"/>
        <v>8.0193807641165568E+16</v>
      </c>
      <c r="BE143" s="49">
        <f t="shared" ref="BE143" si="1453">SUM(AO143:BD143)-(45*7)</f>
        <v>1.6038639147253578E+17</v>
      </c>
      <c r="BF143" s="49">
        <f t="shared" si="193"/>
        <v>3.207703353441568E+17</v>
      </c>
      <c r="BG143" s="49">
        <f t="shared" ref="BG143:BH143" si="1454">SUM(AQ143:BF143)-(45*7)</f>
        <v>6.4153577552383616E+17</v>
      </c>
      <c r="BH143" s="49">
        <f t="shared" si="1454"/>
        <v>1.2830617607934205E+18</v>
      </c>
      <c r="BI143" s="49">
        <f t="shared" si="155"/>
        <v>2.5661039412277432E+18</v>
      </c>
      <c r="BJ143" s="49">
        <f t="shared" ref="BJ143" si="1455">SUM(AT143:BI143)-(45*8)</f>
        <v>5.1321687220361011E+18</v>
      </c>
      <c r="BK143" s="49">
        <f t="shared" si="157"/>
        <v>1.0264259123831042E+19</v>
      </c>
      <c r="BL143" s="49">
        <f t="shared" ref="BL143:BO143" si="1456">SUM(AV143:BK143)-(45*7)</f>
        <v>2.0528361608374985E+19</v>
      </c>
      <c r="BM143" s="49">
        <f t="shared" si="1456"/>
        <v>4.1056409940566188E+19</v>
      </c>
      <c r="BN143" s="49">
        <f t="shared" si="1456"/>
        <v>8.2112193333545599E+19</v>
      </c>
      <c r="BO143" s="49">
        <f t="shared" si="1456"/>
        <v>1.6422313358147918E+20</v>
      </c>
      <c r="BP143" s="49">
        <f t="shared" ref="BP143" si="1457">SUM(AZ143:BO143)-(45*6)</f>
        <v>3.2844376101085728E+20</v>
      </c>
      <c r="BQ143" s="49">
        <f t="shared" ref="BQ143" si="1458">SUM(BA143:BP143)-(45*5)</f>
        <v>6.5688250975575789E+20</v>
      </c>
      <c r="BR143" s="49">
        <f t="shared" ref="BR143:BS143" si="1459">SUM(BB143:BQ143)-(45*6)</f>
        <v>1.3137549950560926E+21</v>
      </c>
      <c r="BS143" s="49">
        <f t="shared" si="1459"/>
        <v>2.6274899413543189E+21</v>
      </c>
      <c r="BT143" s="49">
        <f t="shared" ref="BT143:BU143" si="1460">SUM(BD143:BS143)-(45*7)</f>
        <v>5.2549397854988628E+21</v>
      </c>
      <c r="BU143" s="49">
        <f t="shared" si="1460"/>
        <v>1.0509799377190085E+22</v>
      </c>
      <c r="BV143" s="49">
        <f t="shared" ref="BV143" si="1461">SUM(BF143:BU143)-(45*6)</f>
        <v>2.1019438367988693E+22</v>
      </c>
    </row>
    <row r="144" spans="2:74" ht="17.25">
      <c r="B144" s="207"/>
      <c r="C144" s="44">
        <v>613</v>
      </c>
      <c r="D144" s="108" t="s">
        <v>381</v>
      </c>
      <c r="E144" s="48">
        <v>303</v>
      </c>
      <c r="F144" s="63">
        <v>314</v>
      </c>
      <c r="G144" s="63">
        <v>44</v>
      </c>
      <c r="H144" s="48">
        <f t="shared" si="119"/>
        <v>572</v>
      </c>
      <c r="I144" s="48">
        <v>55</v>
      </c>
      <c r="J144" s="49">
        <f t="shared" ref="J144" si="1462">SUM(E144:I144)-(45*1)</f>
        <v>1243</v>
      </c>
      <c r="K144" s="49">
        <f t="shared" ref="K144" si="1463">SUM(E144:J144)-(45*2)</f>
        <v>2441</v>
      </c>
      <c r="L144" s="49">
        <f t="shared" si="122"/>
        <v>4837</v>
      </c>
      <c r="M144" s="49">
        <f t="shared" ref="M144" si="1464">SUM(E144:L144)-(45*4)</f>
        <v>9629</v>
      </c>
      <c r="N144" s="49">
        <f t="shared" ref="N144" si="1465">SUM(E144:M144)-(45*5)</f>
        <v>19213</v>
      </c>
      <c r="O144" s="49">
        <f t="shared" si="125"/>
        <v>38426</v>
      </c>
      <c r="P144" s="49">
        <f t="shared" si="126"/>
        <v>76807</v>
      </c>
      <c r="Q144" s="49">
        <f t="shared" ref="Q144" si="1466">SUM(E144:P144)-(45*6)</f>
        <v>153614</v>
      </c>
      <c r="R144" s="49">
        <f t="shared" ref="R144" si="1467">SUM(E144:Q144)-(45*6)</f>
        <v>307228</v>
      </c>
      <c r="S144" s="49">
        <f t="shared" ref="S144" si="1468">SUM(E144:R144)-(45*7)</f>
        <v>614411</v>
      </c>
      <c r="T144" s="49">
        <f t="shared" ref="T144" si="1469">SUM(E144:S144)-(45*7)</f>
        <v>1228822</v>
      </c>
      <c r="U144" s="49">
        <f t="shared" ref="U144" si="1470">SUM(E144:T144)-(45*7)</f>
        <v>2457644</v>
      </c>
      <c r="V144" s="49">
        <f t="shared" ref="V144:Y144" si="1471">SUM(F144:U144)-(45*8)</f>
        <v>4914940</v>
      </c>
      <c r="W144" s="49">
        <f t="shared" si="1471"/>
        <v>9829566</v>
      </c>
      <c r="X144" s="49">
        <f t="shared" si="1471"/>
        <v>19659088</v>
      </c>
      <c r="Y144" s="49">
        <f t="shared" si="1471"/>
        <v>39317604</v>
      </c>
      <c r="Z144" s="49">
        <f t="shared" ref="Z144:AC144" si="1472">SUM(J144:Y144)-(45*7)</f>
        <v>78635198</v>
      </c>
      <c r="AA144" s="49">
        <f t="shared" si="1472"/>
        <v>157269153</v>
      </c>
      <c r="AB144" s="49">
        <f t="shared" si="1472"/>
        <v>314535865</v>
      </c>
      <c r="AC144" s="49">
        <f t="shared" si="1472"/>
        <v>629066893</v>
      </c>
      <c r="AD144" s="49">
        <f t="shared" ref="AD144" si="1473">SUM(N144:AC144)-(45*6)</f>
        <v>1258124202</v>
      </c>
      <c r="AE144" s="49">
        <f t="shared" ref="AE144:AG144" si="1474">SUM(O144:AD144)-(45*7)</f>
        <v>2516229146</v>
      </c>
      <c r="AF144" s="49">
        <f t="shared" si="1474"/>
        <v>5032419866</v>
      </c>
      <c r="AG144" s="49">
        <f t="shared" si="1474"/>
        <v>10064762925</v>
      </c>
      <c r="AH144" s="49">
        <f t="shared" ref="AH144:AI144" si="1475">SUM(R144:AG144)-(45*8)</f>
        <v>20129372191</v>
      </c>
      <c r="AI144" s="49">
        <f t="shared" si="1475"/>
        <v>40258437154</v>
      </c>
      <c r="AJ144" s="49">
        <f t="shared" ref="AJ144:AK144" si="1476">SUM(T144:AI144)-(45*9)</f>
        <v>80516259852</v>
      </c>
      <c r="AK144" s="49">
        <f t="shared" si="1476"/>
        <v>161031290882</v>
      </c>
      <c r="AL144" s="49">
        <f t="shared" ref="AL144" si="1477">SUM(V144:AK144)-(45*8)</f>
        <v>322060124165</v>
      </c>
      <c r="AM144" s="49">
        <f t="shared" ref="AM144" si="1478">SUM(W144:AL144)-(45*7)</f>
        <v>644115333435</v>
      </c>
      <c r="AN144" s="49">
        <f t="shared" ref="AN144:AO144" si="1479">SUM(X144:AM144)-(45*8)</f>
        <v>1288220837259</v>
      </c>
      <c r="AO144" s="49">
        <f t="shared" si="1479"/>
        <v>2576422015430</v>
      </c>
      <c r="AP144" s="49">
        <f t="shared" ref="AP144" si="1480">SUM(Z144:AO144)-(45*9)</f>
        <v>5152804713211</v>
      </c>
      <c r="AQ144" s="49">
        <f t="shared" si="142"/>
        <v>10305530791269</v>
      </c>
      <c r="AR144" s="49">
        <f t="shared" si="143"/>
        <v>20610904313385</v>
      </c>
      <c r="AS144" s="49">
        <f t="shared" ref="AS144" si="1481">SUM(AC144:AR144)-(45*8)</f>
        <v>41221494090905</v>
      </c>
      <c r="AT144" s="49">
        <f t="shared" si="189"/>
        <v>82442359114917</v>
      </c>
      <c r="AU144" s="49">
        <f t="shared" ref="AU144:AV144" si="1482">SUM(AE144:AT144)-(45*8)</f>
        <v>164883460105632</v>
      </c>
      <c r="AV144" s="49">
        <f t="shared" si="1482"/>
        <v>329764403982118</v>
      </c>
      <c r="AW144" s="49">
        <f t="shared" ref="AW144" si="1483">SUM(AG144:AV144)-(45*9)</f>
        <v>659523775544325</v>
      </c>
      <c r="AX144" s="49">
        <f t="shared" ref="AX144" si="1484">SUM(AH144:AW144)-(45*8)</f>
        <v>1319037486325770</v>
      </c>
      <c r="AY144" s="49">
        <f t="shared" ref="AY144:AZ144" si="1485">SUM(AI144:AX144)-(45*7)</f>
        <v>2638054843279394</v>
      </c>
      <c r="AZ144" s="49">
        <f t="shared" si="1485"/>
        <v>5276069428121634</v>
      </c>
      <c r="BA144" s="49">
        <f t="shared" si="148"/>
        <v>1.0552058339983372E+16</v>
      </c>
      <c r="BB144" s="49">
        <f t="shared" si="149"/>
        <v>2.110395564867586E+16</v>
      </c>
      <c r="BC144" s="49">
        <f t="shared" si="150"/>
        <v>4.220758923722756E+16</v>
      </c>
      <c r="BD144" s="49">
        <f t="shared" si="151"/>
        <v>8.4414534359121696E+16</v>
      </c>
      <c r="BE144" s="49">
        <f t="shared" ref="BE144" si="1486">SUM(AO144:BD144)-(45*9)</f>
        <v>1.6882778049740605E+17</v>
      </c>
      <c r="BF144" s="49">
        <f t="shared" si="193"/>
        <v>3.3765298457279667E+17</v>
      </c>
      <c r="BG144" s="49">
        <f t="shared" ref="BG144" si="1487">SUM(AQ144:BF144)-(45*8)</f>
        <v>6.7530081634088013E+17</v>
      </c>
      <c r="BH144" s="49">
        <f t="shared" ref="BH144" si="1488">SUM(AR144:BG144)-(45*9)</f>
        <v>1.3505913271509688E+18</v>
      </c>
      <c r="BI144" s="49">
        <f t="shared" si="155"/>
        <v>2.7011620433976243E+18</v>
      </c>
      <c r="BJ144" s="49">
        <f t="shared" ref="BJ144" si="1489">SUM(AT144:BI144)-(45*9)</f>
        <v>5.4022828653011579E+18</v>
      </c>
      <c r="BK144" s="49">
        <f t="shared" si="157"/>
        <v>1.0804483288243202E+19</v>
      </c>
      <c r="BL144" s="49">
        <f t="shared" ref="BL144" si="1490">SUM(AV144:BK144)-(45*9)</f>
        <v>2.1608801693026296E+19</v>
      </c>
      <c r="BM144" s="49">
        <f t="shared" ref="BM144" si="1491">SUM(AW144:BL144)-(45*8)</f>
        <v>4.3217273621648613E+19</v>
      </c>
      <c r="BN144" s="49">
        <f t="shared" ref="BN144:BO144" si="1492">SUM(AX144:BM144)-(45*9)</f>
        <v>8.6433887719521681E+19</v>
      </c>
      <c r="BO144" s="49">
        <f t="shared" si="1492"/>
        <v>1.7286645640155703E+20</v>
      </c>
      <c r="BP144" s="49">
        <f t="shared" ref="BP144:BS144" si="1493">SUM(AZ144:BO144)-(45*8)</f>
        <v>3.4573027474827077E+20</v>
      </c>
      <c r="BQ144" s="49">
        <f t="shared" si="1493"/>
        <v>6.9145527342711348E+20</v>
      </c>
      <c r="BR144" s="49">
        <f t="shared" si="1493"/>
        <v>1.3828999947958868E+21</v>
      </c>
      <c r="BS144" s="49">
        <f t="shared" si="1493"/>
        <v>2.7657788856361251E+21</v>
      </c>
      <c r="BT144" s="49">
        <f t="shared" ref="BT144:BV144" si="1494">SUM(BD144:BS144)-(45*7)</f>
        <v>5.5315155636830129E+21</v>
      </c>
      <c r="BU144" s="49">
        <f t="shared" si="1494"/>
        <v>1.1062946712831666E+22</v>
      </c>
      <c r="BV144" s="49">
        <f t="shared" si="1494"/>
        <v>2.2125724597882836E+22</v>
      </c>
    </row>
    <row r="145" spans="2:83" ht="17.25">
      <c r="B145" s="207"/>
      <c r="C145" s="44">
        <v>614</v>
      </c>
      <c r="D145" s="108" t="s">
        <v>382</v>
      </c>
      <c r="E145" s="48">
        <v>310</v>
      </c>
      <c r="F145" s="63">
        <v>321</v>
      </c>
      <c r="G145" s="63">
        <v>45</v>
      </c>
      <c r="H145" s="48">
        <f t="shared" si="119"/>
        <v>586</v>
      </c>
      <c r="I145" s="48">
        <v>56</v>
      </c>
      <c r="J145" s="49">
        <f t="shared" ref="J145" si="1495">SUM(E145:I145)-(45*2)</f>
        <v>1228</v>
      </c>
      <c r="K145" s="49">
        <f t="shared" ref="K145" si="1496">SUM(E145:J145)-(45*3)</f>
        <v>2411</v>
      </c>
      <c r="L145" s="49">
        <f t="shared" si="122"/>
        <v>4822</v>
      </c>
      <c r="M145" s="49">
        <f t="shared" ref="M145" si="1497">SUM(E145:L145)-(45*3)</f>
        <v>9644</v>
      </c>
      <c r="N145" s="49">
        <f t="shared" ref="N145" si="1498">SUM(E145:M145)-(45*4)</f>
        <v>19243</v>
      </c>
      <c r="O145" s="49">
        <f t="shared" si="125"/>
        <v>38441</v>
      </c>
      <c r="P145" s="49">
        <f t="shared" si="126"/>
        <v>76837</v>
      </c>
      <c r="Q145" s="49">
        <f t="shared" ref="Q145" si="1499">SUM(E145:P145)-(45*7)</f>
        <v>153629</v>
      </c>
      <c r="R145" s="49">
        <f t="shared" ref="R145" si="1500">SUM(E145:Q145)-(45*8)</f>
        <v>307213</v>
      </c>
      <c r="S145" s="49">
        <f t="shared" ref="S145" si="1501">SUM(E145:R145)-(45*8)</f>
        <v>614426</v>
      </c>
      <c r="T145" s="49">
        <f t="shared" ref="T145" si="1502">SUM(E145:S145)-(45*9)</f>
        <v>1228807</v>
      </c>
      <c r="U145" s="49">
        <f t="shared" ref="U145" si="1503">SUM(E145:T145)-(45*9)</f>
        <v>2457614</v>
      </c>
      <c r="V145" s="49">
        <f t="shared" ref="V145:W145" si="1504">SUM(F145:U145)-(45*8)</f>
        <v>4914963</v>
      </c>
      <c r="W145" s="49">
        <f t="shared" si="1504"/>
        <v>9829605</v>
      </c>
      <c r="X145" s="49">
        <f t="shared" ref="X145" si="1505">SUM(H145:W145)-(45*9)</f>
        <v>19659120</v>
      </c>
      <c r="Y145" s="49">
        <f t="shared" ref="Y145:Z145" si="1506">SUM(I145:X145)-(45*10)</f>
        <v>39317609</v>
      </c>
      <c r="Z145" s="49">
        <f t="shared" si="1506"/>
        <v>78635162</v>
      </c>
      <c r="AA145" s="49">
        <f t="shared" ref="AA145" si="1507">SUM(K145:Z145)-(45*9)</f>
        <v>157269141</v>
      </c>
      <c r="AB145" s="49">
        <f t="shared" ref="AB145" si="1508">SUM(L145:AA145)-(45*9)</f>
        <v>314535871</v>
      </c>
      <c r="AC145" s="49">
        <f t="shared" ref="AC145" si="1509">SUM(M145:AB145)-(45*9)</f>
        <v>629066920</v>
      </c>
      <c r="AD145" s="49">
        <f t="shared" ref="AD145" si="1510">SUM(N145:AC145)-(45*9)</f>
        <v>1258124196</v>
      </c>
      <c r="AE145" s="49">
        <f t="shared" ref="AE145" si="1511">SUM(O145:AD145)-(45*9)</f>
        <v>2516229149</v>
      </c>
      <c r="AF145" s="49">
        <f t="shared" ref="AF145" si="1512">SUM(P145:AE145)-(45*9)</f>
        <v>5032419857</v>
      </c>
      <c r="AG145" s="49">
        <f t="shared" ref="AG145" si="1513">SUM(Q145:AF145)-(45*8)</f>
        <v>10064762922</v>
      </c>
      <c r="AH145" s="49">
        <f t="shared" ref="AH145:AI145" si="1514">SUM(R145:AG145)-(45*9)</f>
        <v>20129372170</v>
      </c>
      <c r="AI145" s="49">
        <f t="shared" si="1514"/>
        <v>40258437127</v>
      </c>
      <c r="AJ145" s="49">
        <f t="shared" ref="AJ145" si="1515">SUM(T145:AI145)-(45*8)</f>
        <v>80516259873</v>
      </c>
      <c r="AK145" s="49">
        <f t="shared" ref="AK145:AL145" si="1516">SUM(U145:AJ145)-(45*9)</f>
        <v>161031290894</v>
      </c>
      <c r="AL145" s="49">
        <f t="shared" si="1516"/>
        <v>322060124174</v>
      </c>
      <c r="AM145" s="49">
        <f t="shared" ref="AM145:AN145" si="1517">SUM(W145:AL145)-(45*8)</f>
        <v>644115333430</v>
      </c>
      <c r="AN145" s="49">
        <f t="shared" si="1517"/>
        <v>1288220837255</v>
      </c>
      <c r="AO145" s="49">
        <f t="shared" ref="AO145" si="1518">SUM(Y145:AN145)-(45*7)</f>
        <v>2576422015435</v>
      </c>
      <c r="AP145" s="49">
        <f t="shared" ref="AP145" si="1519">SUM(Z145:AO145)-(45*8)</f>
        <v>5152804713216</v>
      </c>
      <c r="AQ145" s="49">
        <f t="shared" si="142"/>
        <v>10305530791270</v>
      </c>
      <c r="AR145" s="49">
        <f t="shared" si="143"/>
        <v>20610904313399</v>
      </c>
      <c r="AS145" s="49">
        <f t="shared" ref="AS145" si="1520">SUM(AC145:AR145)-(45*9)</f>
        <v>41221494090882</v>
      </c>
      <c r="AT145" s="49">
        <f t="shared" si="189"/>
        <v>82442359114889</v>
      </c>
      <c r="AU145" s="49">
        <f t="shared" ref="AU145:AY145" si="1521">SUM(AE145:AT145)-(45*7)</f>
        <v>164883460105627</v>
      </c>
      <c r="AV145" s="49">
        <f t="shared" si="1521"/>
        <v>329764403982105</v>
      </c>
      <c r="AW145" s="49">
        <f t="shared" si="1521"/>
        <v>659523775544353</v>
      </c>
      <c r="AX145" s="49">
        <f t="shared" si="1521"/>
        <v>1319037486325784</v>
      </c>
      <c r="AY145" s="49">
        <f t="shared" si="1521"/>
        <v>2638054843279398</v>
      </c>
      <c r="AZ145" s="49">
        <f t="shared" ref="AZ145" si="1522">SUM(AJ145:AY145)-(45*8)</f>
        <v>5276069428121624</v>
      </c>
      <c r="BA145" s="49">
        <f t="shared" si="148"/>
        <v>1.0552058339983376E+16</v>
      </c>
      <c r="BB145" s="49">
        <f t="shared" si="149"/>
        <v>2.1103955648675856E+16</v>
      </c>
      <c r="BC145" s="49">
        <f t="shared" si="150"/>
        <v>4.2207589237227544E+16</v>
      </c>
      <c r="BD145" s="49">
        <f t="shared" si="151"/>
        <v>8.4414534359121664E+16</v>
      </c>
      <c r="BE145" s="49">
        <f t="shared" ref="BE145" si="1523">SUM(AO145:BD145)-(45*7)</f>
        <v>1.6882778049740611E+17</v>
      </c>
      <c r="BF145" s="49">
        <f t="shared" si="193"/>
        <v>3.3765298457279667E+17</v>
      </c>
      <c r="BG145" s="49">
        <f t="shared" ref="BG145:BH145" si="1524">SUM(AQ145:BF145)-(45*7)</f>
        <v>6.7530081634088026E+17</v>
      </c>
      <c r="BH145" s="49">
        <f t="shared" si="1524"/>
        <v>1.3505913271509691E+18</v>
      </c>
      <c r="BI145" s="49">
        <f t="shared" si="155"/>
        <v>2.7011620433976243E+18</v>
      </c>
      <c r="BJ145" s="49">
        <f t="shared" ref="BJ145" si="1525">SUM(AT145:BI145)-(45*8)</f>
        <v>5.4022828653011579E+18</v>
      </c>
      <c r="BK145" s="49">
        <f t="shared" si="157"/>
        <v>1.0804483288243202E+19</v>
      </c>
      <c r="BL145" s="49">
        <f t="shared" ref="BL145:BO145" si="1526">SUM(AV145:BK145)-(45*7)</f>
        <v>2.1608801693026296E+19</v>
      </c>
      <c r="BM145" s="49">
        <f t="shared" si="1526"/>
        <v>4.3217273621648613E+19</v>
      </c>
      <c r="BN145" s="49">
        <f t="shared" si="1526"/>
        <v>8.6433887719521681E+19</v>
      </c>
      <c r="BO145" s="49">
        <f t="shared" si="1526"/>
        <v>1.7286645640155703E+20</v>
      </c>
      <c r="BP145" s="49">
        <f t="shared" ref="BP145" si="1527">SUM(AZ145:BO145)-(45*6)</f>
        <v>3.4573027474827077E+20</v>
      </c>
      <c r="BQ145" s="49">
        <f t="shared" ref="BQ145" si="1528">SUM(BA145:BP145)-(45*5)</f>
        <v>6.9145527342711348E+20</v>
      </c>
      <c r="BR145" s="49">
        <f t="shared" ref="BR145:BS145" si="1529">SUM(BB145:BQ145)-(45*6)</f>
        <v>1.3828999947958868E+21</v>
      </c>
      <c r="BS145" s="49">
        <f t="shared" si="1529"/>
        <v>2.7657788856361251E+21</v>
      </c>
      <c r="BT145" s="49">
        <f t="shared" ref="BT145:BU145" si="1530">SUM(BD145:BS145)-(45*7)</f>
        <v>5.5315155636830129E+21</v>
      </c>
      <c r="BU145" s="49">
        <f t="shared" si="1530"/>
        <v>1.1062946712831666E+22</v>
      </c>
      <c r="BV145" s="49">
        <f t="shared" ref="BV145" si="1531">SUM(BF145:BU145)-(45*6)</f>
        <v>2.2125724597882836E+22</v>
      </c>
    </row>
    <row r="146" spans="2:83" ht="17.25">
      <c r="B146" s="207"/>
      <c r="C146" s="44">
        <v>615</v>
      </c>
      <c r="D146" s="108" t="s">
        <v>383</v>
      </c>
      <c r="E146" s="48">
        <v>317</v>
      </c>
      <c r="F146" s="63">
        <v>328</v>
      </c>
      <c r="G146" s="63">
        <v>46</v>
      </c>
      <c r="H146" s="48">
        <f t="shared" si="119"/>
        <v>600</v>
      </c>
      <c r="I146" s="48">
        <v>57</v>
      </c>
      <c r="J146" s="49">
        <f t="shared" ref="J146" si="1532">SUM(E146:I146)-(45*1)</f>
        <v>1303</v>
      </c>
      <c r="K146" s="49">
        <f t="shared" ref="K146" si="1533">SUM(E146:J146)-(45*2)</f>
        <v>2561</v>
      </c>
      <c r="L146" s="49">
        <f t="shared" si="122"/>
        <v>5077</v>
      </c>
      <c r="M146" s="49">
        <f t="shared" ref="M146" si="1534">SUM(E146:L146)-(45*4)</f>
        <v>10109</v>
      </c>
      <c r="N146" s="49">
        <f t="shared" ref="N146" si="1535">SUM(E146:M146)-(45*5)</f>
        <v>20173</v>
      </c>
      <c r="O146" s="49">
        <f t="shared" si="125"/>
        <v>40346</v>
      </c>
      <c r="P146" s="49">
        <f t="shared" si="126"/>
        <v>80647</v>
      </c>
      <c r="Q146" s="49">
        <f t="shared" ref="Q146" si="1536">SUM(E146:P146)-(45*6)</f>
        <v>161294</v>
      </c>
      <c r="R146" s="49">
        <f t="shared" ref="R146" si="1537">SUM(E146:Q146)-(45*6)</f>
        <v>322588</v>
      </c>
      <c r="S146" s="49">
        <f t="shared" ref="S146" si="1538">SUM(E146:R146)-(45*7)</f>
        <v>645131</v>
      </c>
      <c r="T146" s="49">
        <f t="shared" ref="T146" si="1539">SUM(E146:S146)-(45*7)</f>
        <v>1290262</v>
      </c>
      <c r="U146" s="49">
        <f t="shared" ref="U146" si="1540">SUM(E146:T146)-(45*7)</f>
        <v>2580524</v>
      </c>
      <c r="V146" s="49">
        <f t="shared" ref="V146:Y146" si="1541">SUM(F146:U146)-(45*8)</f>
        <v>5160686</v>
      </c>
      <c r="W146" s="49">
        <f t="shared" si="1541"/>
        <v>10321044</v>
      </c>
      <c r="X146" s="49">
        <f t="shared" si="1541"/>
        <v>20642042</v>
      </c>
      <c r="Y146" s="49">
        <f t="shared" si="1541"/>
        <v>41283484</v>
      </c>
      <c r="Z146" s="49">
        <f t="shared" ref="Z146:AC146" si="1542">SUM(J146:Y146)-(45*7)</f>
        <v>82566956</v>
      </c>
      <c r="AA146" s="49">
        <f t="shared" si="1542"/>
        <v>165132609</v>
      </c>
      <c r="AB146" s="49">
        <f t="shared" si="1542"/>
        <v>330262657</v>
      </c>
      <c r="AC146" s="49">
        <f t="shared" si="1542"/>
        <v>660520237</v>
      </c>
      <c r="AD146" s="49">
        <f t="shared" ref="AD146" si="1543">SUM(N146:AC146)-(45*6)</f>
        <v>1321030410</v>
      </c>
      <c r="AE146" s="49">
        <f t="shared" ref="AE146:AG146" si="1544">SUM(O146:AD146)-(45*7)</f>
        <v>2642040602</v>
      </c>
      <c r="AF146" s="49">
        <f t="shared" si="1544"/>
        <v>5284040858</v>
      </c>
      <c r="AG146" s="49">
        <f t="shared" si="1544"/>
        <v>10568001069</v>
      </c>
      <c r="AH146" s="49">
        <f t="shared" ref="AH146:AI146" si="1545">SUM(R146:AG146)-(45*8)</f>
        <v>21135840799</v>
      </c>
      <c r="AI146" s="49">
        <f t="shared" si="1545"/>
        <v>42271359010</v>
      </c>
      <c r="AJ146" s="49">
        <f t="shared" ref="AJ146:AK146" si="1546">SUM(T146:AI146)-(45*9)</f>
        <v>84542072844</v>
      </c>
      <c r="AK146" s="49">
        <f t="shared" si="1546"/>
        <v>169082855426</v>
      </c>
      <c r="AL146" s="49">
        <f t="shared" ref="AL146" si="1547">SUM(V146:AK146)-(45*8)</f>
        <v>338163130373</v>
      </c>
      <c r="AM146" s="49">
        <f t="shared" ref="AM146" si="1548">SUM(W146:AL146)-(45*7)</f>
        <v>676321100105</v>
      </c>
      <c r="AN146" s="49">
        <f t="shared" ref="AN146:AO146" si="1549">SUM(X146:AM146)-(45*8)</f>
        <v>1352631879121</v>
      </c>
      <c r="AO146" s="49">
        <f t="shared" si="1549"/>
        <v>2705243116200</v>
      </c>
      <c r="AP146" s="49">
        <f t="shared" ref="AP146" si="1550">SUM(Z146:AO146)-(45*9)</f>
        <v>5410444948871</v>
      </c>
      <c r="AQ146" s="49">
        <f t="shared" si="142"/>
        <v>10820807330831</v>
      </c>
      <c r="AR146" s="49">
        <f t="shared" si="143"/>
        <v>21641449529053</v>
      </c>
      <c r="AS146" s="49">
        <f t="shared" ref="AS146" si="1551">SUM(AC146:AR146)-(45*8)</f>
        <v>43282568795449</v>
      </c>
      <c r="AT146" s="49">
        <f t="shared" si="189"/>
        <v>86564477070661</v>
      </c>
      <c r="AU146" s="49">
        <f t="shared" ref="AU146:AV146" si="1552">SUM(AE146:AT146)-(45*8)</f>
        <v>173127633110912</v>
      </c>
      <c r="AV146" s="49">
        <f t="shared" si="1552"/>
        <v>346252624181222</v>
      </c>
      <c r="AW146" s="49">
        <f t="shared" ref="AW146" si="1553">SUM(AG146:AV146)-(45*9)</f>
        <v>692499964321541</v>
      </c>
      <c r="AX146" s="49">
        <f t="shared" ref="AX146" si="1554">SUM(AH146:AW146)-(45*8)</f>
        <v>1384989360642058</v>
      </c>
      <c r="AY146" s="49">
        <f t="shared" ref="AY146:AZ146" si="1555">SUM(AI146:AX146)-(45*7)</f>
        <v>2769957585443362</v>
      </c>
      <c r="AZ146" s="49">
        <f t="shared" si="1555"/>
        <v>5539872899527714</v>
      </c>
      <c r="BA146" s="49">
        <f t="shared" si="148"/>
        <v>1.107966125698254E+16</v>
      </c>
      <c r="BB146" s="49">
        <f t="shared" si="149"/>
        <v>2.2159153431109652E+16</v>
      </c>
      <c r="BC146" s="49">
        <f t="shared" si="150"/>
        <v>4.4317968699088936E+16</v>
      </c>
      <c r="BD146" s="49">
        <f t="shared" si="151"/>
        <v>8.863526107707776E+16</v>
      </c>
      <c r="BE146" s="49">
        <f t="shared" ref="BE146" si="1556">SUM(AO146:BD146)-(45*9)</f>
        <v>1.7726916952227635E+17</v>
      </c>
      <c r="BF146" s="49">
        <f t="shared" si="193"/>
        <v>3.5453563380143654E+17</v>
      </c>
      <c r="BG146" s="49">
        <f t="shared" ref="BG146" si="1557">SUM(AQ146:BF146)-(45*8)</f>
        <v>7.0906585715792422E+17</v>
      </c>
      <c r="BH146" s="49">
        <f t="shared" ref="BH146" si="1558">SUM(AR146:BG146)-(45*9)</f>
        <v>1.4181208935085174E+18</v>
      </c>
      <c r="BI146" s="49">
        <f t="shared" si="155"/>
        <v>2.8362201455675059E+18</v>
      </c>
      <c r="BJ146" s="49">
        <f t="shared" ref="BJ146" si="1559">SUM(AT146:BI146)-(45*9)</f>
        <v>5.6723970085662167E+18</v>
      </c>
      <c r="BK146" s="49">
        <f t="shared" si="157"/>
        <v>1.1344707452655362E+19</v>
      </c>
      <c r="BL146" s="49">
        <f t="shared" ref="BL146" si="1560">SUM(AV146:BK146)-(45*9)</f>
        <v>2.2689241777677615E+19</v>
      </c>
      <c r="BM146" s="49">
        <f t="shared" ref="BM146" si="1561">SUM(AW146:BL146)-(45*8)</f>
        <v>4.5378137302731047E+19</v>
      </c>
      <c r="BN146" s="49">
        <f t="shared" ref="BN146:BO146" si="1562">SUM(AX146:BM146)-(45*9)</f>
        <v>9.0755582105497764E+19</v>
      </c>
      <c r="BO146" s="49">
        <f t="shared" si="1562"/>
        <v>1.8150977922163488E+20</v>
      </c>
      <c r="BP146" s="49">
        <f t="shared" ref="BP146:BS146" si="1563">SUM(AZ146:BO146)-(45*8)</f>
        <v>3.6301678848568433E+20</v>
      </c>
      <c r="BQ146" s="49">
        <f t="shared" si="1563"/>
        <v>7.2602803709846906E+20</v>
      </c>
      <c r="BR146" s="49">
        <f t="shared" si="1563"/>
        <v>1.4520449945356812E+21</v>
      </c>
      <c r="BS146" s="49">
        <f t="shared" si="1563"/>
        <v>2.9040678299179313E+21</v>
      </c>
      <c r="BT146" s="49">
        <f t="shared" ref="BT146:BV146" si="1564">SUM(BD146:BS146)-(45*7)</f>
        <v>5.8080913418671631E+21</v>
      </c>
      <c r="BU146" s="49">
        <f t="shared" si="1564"/>
        <v>1.161609404847325E+22</v>
      </c>
      <c r="BV146" s="49">
        <f t="shared" si="1564"/>
        <v>2.3232010827776978E+22</v>
      </c>
    </row>
    <row r="147" spans="2:83" ht="17.25">
      <c r="B147" s="207"/>
      <c r="C147" s="44">
        <v>616</v>
      </c>
      <c r="D147" s="108" t="s">
        <v>384</v>
      </c>
      <c r="E147" s="48">
        <v>324</v>
      </c>
      <c r="F147" s="63">
        <v>335</v>
      </c>
      <c r="G147" s="63">
        <v>47</v>
      </c>
      <c r="H147" s="48">
        <f t="shared" si="119"/>
        <v>614</v>
      </c>
      <c r="I147" s="48">
        <v>58</v>
      </c>
      <c r="J147" s="49">
        <f t="shared" ref="J147" si="1565">SUM(E147:I147)-(45*2)</f>
        <v>1288</v>
      </c>
      <c r="K147" s="49">
        <f t="shared" ref="K147" si="1566">SUM(E147:J147)-(45*3)</f>
        <v>2531</v>
      </c>
      <c r="L147" s="49">
        <f t="shared" si="122"/>
        <v>5062</v>
      </c>
      <c r="M147" s="49">
        <f t="shared" ref="M147" si="1567">SUM(E147:L147)-(45*3)</f>
        <v>10124</v>
      </c>
      <c r="N147" s="49">
        <f t="shared" ref="N147" si="1568">SUM(E147:M147)-(45*4)</f>
        <v>20203</v>
      </c>
      <c r="O147" s="49">
        <f t="shared" si="125"/>
        <v>40361</v>
      </c>
      <c r="P147" s="49">
        <f t="shared" si="126"/>
        <v>80677</v>
      </c>
      <c r="Q147" s="49">
        <f t="shared" ref="Q147" si="1569">SUM(E147:P147)-(45*7)</f>
        <v>161309</v>
      </c>
      <c r="R147" s="49">
        <f t="shared" ref="R147" si="1570">SUM(E147:Q147)-(45*8)</f>
        <v>322573</v>
      </c>
      <c r="S147" s="49">
        <f t="shared" ref="S147" si="1571">SUM(E147:R147)-(45*8)</f>
        <v>645146</v>
      </c>
      <c r="T147" s="49">
        <f t="shared" ref="T147" si="1572">SUM(E147:S147)-(45*9)</f>
        <v>1290247</v>
      </c>
      <c r="U147" s="49">
        <f t="shared" ref="U147" si="1573">SUM(E147:T147)-(45*9)</f>
        <v>2580494</v>
      </c>
      <c r="V147" s="49">
        <f t="shared" ref="V147:W147" si="1574">SUM(F147:U147)-(45*8)</f>
        <v>5160709</v>
      </c>
      <c r="W147" s="49">
        <f t="shared" si="1574"/>
        <v>10321083</v>
      </c>
      <c r="X147" s="49">
        <f t="shared" ref="X147" si="1575">SUM(H147:W147)-(45*9)</f>
        <v>20642074</v>
      </c>
      <c r="Y147" s="49">
        <f t="shared" ref="Y147:Z147" si="1576">SUM(I147:X147)-(45*10)</f>
        <v>41283489</v>
      </c>
      <c r="Z147" s="49">
        <f t="shared" si="1576"/>
        <v>82566920</v>
      </c>
      <c r="AA147" s="49">
        <f t="shared" ref="AA147" si="1577">SUM(K147:Z147)-(45*9)</f>
        <v>165132597</v>
      </c>
      <c r="AB147" s="49">
        <f t="shared" ref="AB147" si="1578">SUM(L147:AA147)-(45*9)</f>
        <v>330262663</v>
      </c>
      <c r="AC147" s="49">
        <f t="shared" ref="AC147" si="1579">SUM(M147:AB147)-(45*9)</f>
        <v>660520264</v>
      </c>
      <c r="AD147" s="49">
        <f t="shared" ref="AD147" si="1580">SUM(N147:AC147)-(45*9)</f>
        <v>1321030404</v>
      </c>
      <c r="AE147" s="49">
        <f t="shared" ref="AE147" si="1581">SUM(O147:AD147)-(45*9)</f>
        <v>2642040605</v>
      </c>
      <c r="AF147" s="49">
        <f t="shared" ref="AF147" si="1582">SUM(P147:AE147)-(45*9)</f>
        <v>5284040849</v>
      </c>
      <c r="AG147" s="49">
        <f t="shared" ref="AG147" si="1583">SUM(Q147:AF147)-(45*8)</f>
        <v>10568001066</v>
      </c>
      <c r="AH147" s="49">
        <f t="shared" ref="AH147:AI147" si="1584">SUM(R147:AG147)-(45*9)</f>
        <v>21135840778</v>
      </c>
      <c r="AI147" s="49">
        <f t="shared" si="1584"/>
        <v>42271358983</v>
      </c>
      <c r="AJ147" s="49">
        <f t="shared" ref="AJ147" si="1585">SUM(T147:AI147)-(45*8)</f>
        <v>84542072865</v>
      </c>
      <c r="AK147" s="49">
        <f t="shared" ref="AK147:AL147" si="1586">SUM(U147:AJ147)-(45*9)</f>
        <v>169082855438</v>
      </c>
      <c r="AL147" s="49">
        <f t="shared" si="1586"/>
        <v>338163130382</v>
      </c>
      <c r="AM147" s="49">
        <f t="shared" ref="AM147:AN147" si="1587">SUM(W147:AL147)-(45*8)</f>
        <v>676321100100</v>
      </c>
      <c r="AN147" s="49">
        <f t="shared" si="1587"/>
        <v>1352631879117</v>
      </c>
      <c r="AO147" s="49">
        <f t="shared" ref="AO147" si="1588">SUM(Y147:AN147)-(45*7)</f>
        <v>2705243116205</v>
      </c>
      <c r="AP147" s="49">
        <f t="shared" ref="AP147" si="1589">SUM(Z147:AO147)-(45*8)</f>
        <v>5410444948876</v>
      </c>
      <c r="AQ147" s="49">
        <f t="shared" si="142"/>
        <v>10820807330832</v>
      </c>
      <c r="AR147" s="49">
        <f t="shared" si="143"/>
        <v>21641449529067</v>
      </c>
      <c r="AS147" s="49">
        <f t="shared" ref="AS147" si="1590">SUM(AC147:AR147)-(45*9)</f>
        <v>43282568795426</v>
      </c>
      <c r="AT147" s="49">
        <f t="shared" si="189"/>
        <v>86564477070633</v>
      </c>
      <c r="AU147" s="49">
        <f t="shared" ref="AU147:AY147" si="1591">SUM(AE147:AT147)-(45*7)</f>
        <v>173127633110907</v>
      </c>
      <c r="AV147" s="49">
        <f t="shared" si="1591"/>
        <v>346252624181209</v>
      </c>
      <c r="AW147" s="49">
        <f t="shared" si="1591"/>
        <v>692499964321569</v>
      </c>
      <c r="AX147" s="49">
        <f t="shared" si="1591"/>
        <v>1384989360642072</v>
      </c>
      <c r="AY147" s="49">
        <f t="shared" si="1591"/>
        <v>2769957585443366</v>
      </c>
      <c r="AZ147" s="49">
        <f t="shared" ref="AZ147" si="1592">SUM(AJ147:AY147)-(45*8)</f>
        <v>5539872899527704</v>
      </c>
      <c r="BA147" s="49">
        <f t="shared" si="148"/>
        <v>1.1079661256982544E+16</v>
      </c>
      <c r="BB147" s="49">
        <f t="shared" si="149"/>
        <v>2.2159153431109648E+16</v>
      </c>
      <c r="BC147" s="49">
        <f t="shared" si="150"/>
        <v>4.431796869908892E+16</v>
      </c>
      <c r="BD147" s="49">
        <f t="shared" si="151"/>
        <v>8.8635261077077728E+16</v>
      </c>
      <c r="BE147" s="49">
        <f t="shared" ref="BE147" si="1593">SUM(AO147:BD147)-(45*7)</f>
        <v>1.7726916952227638E+17</v>
      </c>
      <c r="BF147" s="49">
        <f t="shared" si="193"/>
        <v>3.5453563380143654E+17</v>
      </c>
      <c r="BG147" s="49">
        <f t="shared" ref="BG147:BH147" si="1594">SUM(AQ147:BF147)-(45*7)</f>
        <v>7.0906585715792435E+17</v>
      </c>
      <c r="BH147" s="49">
        <f t="shared" si="1594"/>
        <v>1.4181208935085179E+18</v>
      </c>
      <c r="BI147" s="49">
        <f t="shared" si="155"/>
        <v>2.8362201455675064E+18</v>
      </c>
      <c r="BJ147" s="49">
        <f t="shared" ref="BJ147" si="1595">SUM(AT147:BI147)-(45*8)</f>
        <v>5.6723970085662177E+18</v>
      </c>
      <c r="BK147" s="49">
        <f t="shared" si="157"/>
        <v>1.1344707452655366E+19</v>
      </c>
      <c r="BL147" s="49">
        <f t="shared" ref="BL147:BO147" si="1596">SUM(AV147:BK147)-(45*7)</f>
        <v>2.2689241777677619E+19</v>
      </c>
      <c r="BM147" s="49">
        <f t="shared" si="1596"/>
        <v>4.5378137302731063E+19</v>
      </c>
      <c r="BN147" s="49">
        <f t="shared" si="1596"/>
        <v>9.0755582105497797E+19</v>
      </c>
      <c r="BO147" s="49">
        <f t="shared" si="1596"/>
        <v>1.8150977922163494E+20</v>
      </c>
      <c r="BP147" s="49">
        <f t="shared" ref="BP147" si="1597">SUM(AZ147:BO147)-(45*6)</f>
        <v>3.6301678848568446E+20</v>
      </c>
      <c r="BQ147" s="49">
        <f t="shared" ref="BQ147" si="1598">SUM(BA147:BP147)-(45*5)</f>
        <v>7.2602803709846933E+20</v>
      </c>
      <c r="BR147" s="49">
        <f t="shared" ref="BR147:BS147" si="1599">SUM(BB147:BQ147)-(45*6)</f>
        <v>1.4520449945356817E+21</v>
      </c>
      <c r="BS147" s="49">
        <f t="shared" si="1599"/>
        <v>2.9040678299179323E+21</v>
      </c>
      <c r="BT147" s="49">
        <f t="shared" ref="BT147:BU147" si="1600">SUM(BD147:BS147)-(45*7)</f>
        <v>5.8080913418671652E+21</v>
      </c>
      <c r="BU147" s="49">
        <f t="shared" si="1600"/>
        <v>1.1616094048473254E+22</v>
      </c>
      <c r="BV147" s="49">
        <f t="shared" ref="BV147" si="1601">SUM(BF147:BU147)-(45*6)</f>
        <v>2.3232010827776987E+22</v>
      </c>
    </row>
    <row r="148" spans="2:83" ht="17.25">
      <c r="B148" s="207"/>
      <c r="C148" s="44">
        <v>617</v>
      </c>
      <c r="D148" s="108" t="s">
        <v>385</v>
      </c>
      <c r="E148" s="48">
        <v>331</v>
      </c>
      <c r="F148" s="63">
        <v>342</v>
      </c>
      <c r="G148" s="63">
        <v>48</v>
      </c>
      <c r="H148" s="48">
        <f t="shared" si="119"/>
        <v>628</v>
      </c>
      <c r="I148" s="48">
        <v>59</v>
      </c>
      <c r="J148" s="49">
        <f t="shared" ref="J148" si="1602">SUM(E148:I148)-(45*1)</f>
        <v>1363</v>
      </c>
      <c r="K148" s="49">
        <f t="shared" ref="K148" si="1603">SUM(E148:J148)-(45*2)</f>
        <v>2681</v>
      </c>
      <c r="L148" s="49">
        <f t="shared" si="122"/>
        <v>5317</v>
      </c>
      <c r="M148" s="49">
        <f t="shared" ref="M148" si="1604">SUM(E148:L148)-(45*4)</f>
        <v>10589</v>
      </c>
      <c r="N148" s="49">
        <f t="shared" ref="N148" si="1605">SUM(E148:M148)-(45*5)</f>
        <v>21133</v>
      </c>
      <c r="O148" s="49">
        <f t="shared" si="125"/>
        <v>42266</v>
      </c>
      <c r="P148" s="49">
        <f t="shared" si="126"/>
        <v>84487</v>
      </c>
      <c r="Q148" s="49">
        <f t="shared" ref="Q148" si="1606">SUM(E148:P148)-(45*6)</f>
        <v>168974</v>
      </c>
      <c r="R148" s="49">
        <f t="shared" ref="R148" si="1607">SUM(E148:Q148)-(45*6)</f>
        <v>337948</v>
      </c>
      <c r="S148" s="49">
        <f t="shared" ref="S148" si="1608">SUM(E148:R148)-(45*7)</f>
        <v>675851</v>
      </c>
      <c r="T148" s="49">
        <f t="shared" ref="T148" si="1609">SUM(E148:S148)-(45*7)</f>
        <v>1351702</v>
      </c>
      <c r="U148" s="49">
        <f t="shared" ref="U148" si="1610">SUM(E148:T148)-(45*7)</f>
        <v>2703404</v>
      </c>
      <c r="V148" s="49">
        <f t="shared" ref="V148:Y148" si="1611">SUM(F148:U148)-(45*8)</f>
        <v>5406432</v>
      </c>
      <c r="W148" s="49">
        <f t="shared" si="1611"/>
        <v>10812522</v>
      </c>
      <c r="X148" s="49">
        <f t="shared" si="1611"/>
        <v>21624996</v>
      </c>
      <c r="Y148" s="49">
        <f t="shared" si="1611"/>
        <v>43249364</v>
      </c>
      <c r="Z148" s="49">
        <f t="shared" ref="Z148:AC148" si="1612">SUM(J148:Y148)-(45*7)</f>
        <v>86498714</v>
      </c>
      <c r="AA148" s="49">
        <f t="shared" si="1612"/>
        <v>172996065</v>
      </c>
      <c r="AB148" s="49">
        <f t="shared" si="1612"/>
        <v>345989449</v>
      </c>
      <c r="AC148" s="49">
        <f t="shared" si="1612"/>
        <v>691973581</v>
      </c>
      <c r="AD148" s="49">
        <f t="shared" ref="AD148" si="1613">SUM(N148:AC148)-(45*6)</f>
        <v>1383936618</v>
      </c>
      <c r="AE148" s="49">
        <f t="shared" ref="AE148:AG148" si="1614">SUM(O148:AD148)-(45*7)</f>
        <v>2767852058</v>
      </c>
      <c r="AF148" s="49">
        <f t="shared" si="1614"/>
        <v>5535661850</v>
      </c>
      <c r="AG148" s="49">
        <f t="shared" si="1614"/>
        <v>11071239213</v>
      </c>
      <c r="AH148" s="49">
        <f t="shared" ref="AH148:AI148" si="1615">SUM(R148:AG148)-(45*8)</f>
        <v>22142309407</v>
      </c>
      <c r="AI148" s="49">
        <f t="shared" si="1615"/>
        <v>44284280866</v>
      </c>
      <c r="AJ148" s="49">
        <f t="shared" ref="AJ148:AK148" si="1616">SUM(T148:AI148)-(45*9)</f>
        <v>88567885836</v>
      </c>
      <c r="AK148" s="49">
        <f t="shared" si="1616"/>
        <v>177134419970</v>
      </c>
      <c r="AL148" s="49">
        <f t="shared" ref="AL148" si="1617">SUM(V148:AK148)-(45*8)</f>
        <v>354266136581</v>
      </c>
      <c r="AM148" s="49">
        <f t="shared" ref="AM148" si="1618">SUM(W148:AL148)-(45*7)</f>
        <v>708526866775</v>
      </c>
      <c r="AN148" s="49">
        <f t="shared" ref="AN148:AO148" si="1619">SUM(X148:AM148)-(45*8)</f>
        <v>1417042920983</v>
      </c>
      <c r="AO148" s="49">
        <f t="shared" si="1619"/>
        <v>2834064216970</v>
      </c>
      <c r="AP148" s="49">
        <f t="shared" ref="AP148" si="1620">SUM(Z148:AO148)-(45*9)</f>
        <v>5668085184531</v>
      </c>
      <c r="AQ148" s="49">
        <f t="shared" si="142"/>
        <v>11336083870393</v>
      </c>
      <c r="AR148" s="49">
        <f t="shared" si="143"/>
        <v>22671994744721</v>
      </c>
      <c r="AS148" s="49">
        <f t="shared" ref="AS148" si="1621">SUM(AC148:AR148)-(45*8)</f>
        <v>45343643499993</v>
      </c>
      <c r="AT148" s="49">
        <f t="shared" si="189"/>
        <v>90686595026405</v>
      </c>
      <c r="AU148" s="49">
        <f t="shared" ref="AU148:AV148" si="1622">SUM(AE148:AT148)-(45*8)</f>
        <v>181371806116192</v>
      </c>
      <c r="AV148" s="49">
        <f t="shared" si="1622"/>
        <v>362740844380326</v>
      </c>
      <c r="AW148" s="49">
        <f t="shared" ref="AW148" si="1623">SUM(AG148:AV148)-(45*9)</f>
        <v>725476153098757</v>
      </c>
      <c r="AX148" s="49">
        <f t="shared" ref="AX148" si="1624">SUM(AH148:AW148)-(45*8)</f>
        <v>1450941234958346</v>
      </c>
      <c r="AY148" s="49">
        <f t="shared" ref="AY148:AZ148" si="1625">SUM(AI148:AX148)-(45*7)</f>
        <v>2901860327607330</v>
      </c>
      <c r="AZ148" s="49">
        <f t="shared" si="1625"/>
        <v>5803676370933794</v>
      </c>
      <c r="BA148" s="49">
        <f t="shared" si="148"/>
        <v>1.1607264173981708E+16</v>
      </c>
      <c r="BB148" s="49">
        <f t="shared" si="149"/>
        <v>2.3214351213543444E+16</v>
      </c>
      <c r="BC148" s="49">
        <f t="shared" si="150"/>
        <v>4.6428348160950312E+16</v>
      </c>
      <c r="BD148" s="49">
        <f t="shared" si="151"/>
        <v>9.2855987795033856E+16</v>
      </c>
      <c r="BE148" s="49">
        <f t="shared" ref="BE148" si="1626">SUM(AO148:BD148)-(45*9)</f>
        <v>1.8571055854714666E+17</v>
      </c>
      <c r="BF148" s="49">
        <f t="shared" si="193"/>
        <v>3.7141828303007642E+17</v>
      </c>
      <c r="BG148" s="49">
        <f t="shared" ref="BG148" si="1627">SUM(AQ148:BF148)-(45*8)</f>
        <v>7.4283089797496819E+17</v>
      </c>
      <c r="BH148" s="49">
        <f t="shared" ref="BH148" si="1628">SUM(AR148:BG148)-(45*9)</f>
        <v>1.4856504598660659E+18</v>
      </c>
      <c r="BI148" s="49">
        <f t="shared" si="155"/>
        <v>2.971278247737387E+18</v>
      </c>
      <c r="BJ148" s="49">
        <f t="shared" ref="BJ148" si="1629">SUM(AT148:BI148)-(45*9)</f>
        <v>5.9425111518312745E+18</v>
      </c>
      <c r="BK148" s="49">
        <f t="shared" si="157"/>
        <v>1.1884931617067524E+19</v>
      </c>
      <c r="BL148" s="49">
        <f t="shared" ref="BL148" si="1630">SUM(AV148:BK148)-(45*9)</f>
        <v>2.376968186232893E+19</v>
      </c>
      <c r="BM148" s="49">
        <f t="shared" ref="BM148" si="1631">SUM(AW148:BL148)-(45*8)</f>
        <v>4.753900098381348E+19</v>
      </c>
      <c r="BN148" s="49">
        <f t="shared" ref="BN148:BO148" si="1632">SUM(AX148:BM148)-(45*9)</f>
        <v>9.5077276491473863E+19</v>
      </c>
      <c r="BO148" s="49">
        <f t="shared" si="1632"/>
        <v>1.9015310204171275E+20</v>
      </c>
      <c r="BP148" s="49">
        <f t="shared" ref="BP148:BS148" si="1633">SUM(AZ148:BO148)-(45*8)</f>
        <v>3.8030330222309789E+20</v>
      </c>
      <c r="BQ148" s="49">
        <f t="shared" si="1633"/>
        <v>7.6060080076982478E+20</v>
      </c>
      <c r="BR148" s="49">
        <f t="shared" si="1633"/>
        <v>1.5211899942754756E+21</v>
      </c>
      <c r="BS148" s="49">
        <f t="shared" si="1633"/>
        <v>3.042356774199738E+21</v>
      </c>
      <c r="BT148" s="49">
        <f t="shared" ref="BT148:BV148" si="1634">SUM(BD148:BS148)-(45*7)</f>
        <v>6.0846671200513153E+21</v>
      </c>
      <c r="BU148" s="49">
        <f t="shared" si="1634"/>
        <v>1.2169241384114836E+22</v>
      </c>
      <c r="BV148" s="49">
        <f t="shared" si="1634"/>
        <v>2.4338297057671125E+22</v>
      </c>
    </row>
    <row r="149" spans="2:83" ht="17.25">
      <c r="B149" s="207"/>
      <c r="C149" s="44">
        <v>618</v>
      </c>
      <c r="D149" s="108" t="s">
        <v>386</v>
      </c>
      <c r="E149" s="48">
        <v>338</v>
      </c>
      <c r="F149" s="63">
        <v>349</v>
      </c>
      <c r="G149" s="63">
        <v>49</v>
      </c>
      <c r="H149" s="48">
        <f t="shared" si="119"/>
        <v>642</v>
      </c>
      <c r="I149" s="48">
        <v>60</v>
      </c>
      <c r="J149" s="49">
        <f t="shared" ref="J149" si="1635">SUM(E149:I149)-(45*2)</f>
        <v>1348</v>
      </c>
      <c r="K149" s="49">
        <f t="shared" ref="K149" si="1636">SUM(E149:J149)-(45*3)</f>
        <v>2651</v>
      </c>
      <c r="L149" s="49">
        <f t="shared" si="122"/>
        <v>5302</v>
      </c>
      <c r="M149" s="49">
        <f t="shared" ref="M149" si="1637">SUM(E149:L149)-(45*3)</f>
        <v>10604</v>
      </c>
      <c r="N149" s="49">
        <f t="shared" ref="N149" si="1638">SUM(E149:M149)-(45*4)</f>
        <v>21163</v>
      </c>
      <c r="O149" s="49">
        <f t="shared" si="125"/>
        <v>42281</v>
      </c>
      <c r="P149" s="49">
        <f t="shared" si="126"/>
        <v>84517</v>
      </c>
      <c r="Q149" s="49">
        <f t="shared" ref="Q149" si="1639">SUM(E149:P149)-(45*7)</f>
        <v>168989</v>
      </c>
      <c r="R149" s="49">
        <f t="shared" ref="R149" si="1640">SUM(E149:Q149)-(45*8)</f>
        <v>337933</v>
      </c>
      <c r="S149" s="49">
        <f t="shared" ref="S149" si="1641">SUM(E149:R149)-(45*8)</f>
        <v>675866</v>
      </c>
      <c r="T149" s="49">
        <f t="shared" ref="T149" si="1642">SUM(E149:S149)-(45*9)</f>
        <v>1351687</v>
      </c>
      <c r="U149" s="49">
        <f t="shared" ref="U149" si="1643">SUM(E149:T149)-(45*9)</f>
        <v>2703374</v>
      </c>
      <c r="V149" s="49">
        <f t="shared" ref="V149:W149" si="1644">SUM(F149:U149)-(45*8)</f>
        <v>5406455</v>
      </c>
      <c r="W149" s="49">
        <f t="shared" si="1644"/>
        <v>10812561</v>
      </c>
      <c r="X149" s="49">
        <f t="shared" ref="X149" si="1645">SUM(H149:W149)-(45*9)</f>
        <v>21625028</v>
      </c>
      <c r="Y149" s="49">
        <f t="shared" ref="Y149:Z149" si="1646">SUM(I149:X149)-(45*10)</f>
        <v>43249369</v>
      </c>
      <c r="Z149" s="49">
        <f t="shared" si="1646"/>
        <v>86498678</v>
      </c>
      <c r="AA149" s="49">
        <f t="shared" ref="AA149" si="1647">SUM(K149:Z149)-(45*9)</f>
        <v>172996053</v>
      </c>
      <c r="AB149" s="49">
        <f t="shared" ref="AB149" si="1648">SUM(L149:AA149)-(45*9)</f>
        <v>345989455</v>
      </c>
      <c r="AC149" s="49">
        <f t="shared" ref="AC149" si="1649">SUM(M149:AB149)-(45*9)</f>
        <v>691973608</v>
      </c>
      <c r="AD149" s="49">
        <f t="shared" ref="AD149" si="1650">SUM(N149:AC149)-(45*9)</f>
        <v>1383936612</v>
      </c>
      <c r="AE149" s="49">
        <f t="shared" ref="AE149" si="1651">SUM(O149:AD149)-(45*9)</f>
        <v>2767852061</v>
      </c>
      <c r="AF149" s="49">
        <f t="shared" ref="AF149" si="1652">SUM(P149:AE149)-(45*9)</f>
        <v>5535661841</v>
      </c>
      <c r="AG149" s="49">
        <f t="shared" ref="AG149" si="1653">SUM(Q149:AF149)-(45*8)</f>
        <v>11071239210</v>
      </c>
      <c r="AH149" s="49">
        <f t="shared" ref="AH149:AI149" si="1654">SUM(R149:AG149)-(45*9)</f>
        <v>22142309386</v>
      </c>
      <c r="AI149" s="49">
        <f t="shared" si="1654"/>
        <v>44284280839</v>
      </c>
      <c r="AJ149" s="49">
        <f t="shared" ref="AJ149" si="1655">SUM(T149:AI149)-(45*8)</f>
        <v>88567885857</v>
      </c>
      <c r="AK149" s="49">
        <f t="shared" ref="AK149:AL149" si="1656">SUM(U149:AJ149)-(45*9)</f>
        <v>177134419982</v>
      </c>
      <c r="AL149" s="49">
        <f t="shared" si="1656"/>
        <v>354266136590</v>
      </c>
      <c r="AM149" s="49">
        <f t="shared" ref="AM149:AN149" si="1657">SUM(W149:AL149)-(45*8)</f>
        <v>708526866770</v>
      </c>
      <c r="AN149" s="49">
        <f t="shared" si="1657"/>
        <v>1417042920979</v>
      </c>
      <c r="AO149" s="49">
        <f t="shared" ref="AO149" si="1658">SUM(Y149:AN149)-(45*7)</f>
        <v>2834064216975</v>
      </c>
      <c r="AP149" s="49">
        <f t="shared" ref="AP149" si="1659">SUM(Z149:AO149)-(45*8)</f>
        <v>5668085184536</v>
      </c>
      <c r="AQ149" s="49">
        <f t="shared" si="142"/>
        <v>11336083870394</v>
      </c>
      <c r="AR149" s="49">
        <f t="shared" si="143"/>
        <v>22671994744735</v>
      </c>
      <c r="AS149" s="49">
        <f t="shared" ref="AS149" si="1660">SUM(AC149:AR149)-(45*9)</f>
        <v>45343643499970</v>
      </c>
      <c r="AT149" s="49">
        <f t="shared" si="189"/>
        <v>90686595026377</v>
      </c>
      <c r="AU149" s="49">
        <f t="shared" ref="AU149:AY149" si="1661">SUM(AE149:AT149)-(45*7)</f>
        <v>181371806116187</v>
      </c>
      <c r="AV149" s="49">
        <f t="shared" si="1661"/>
        <v>362740844380313</v>
      </c>
      <c r="AW149" s="49">
        <f t="shared" si="1661"/>
        <v>725476153098785</v>
      </c>
      <c r="AX149" s="49">
        <f t="shared" si="1661"/>
        <v>1450941234958360</v>
      </c>
      <c r="AY149" s="49">
        <f t="shared" si="1661"/>
        <v>2901860327607334</v>
      </c>
      <c r="AZ149" s="49">
        <f t="shared" ref="AZ149" si="1662">SUM(AJ149:AY149)-(45*8)</f>
        <v>5803676370933784</v>
      </c>
      <c r="BA149" s="49">
        <f t="shared" si="148"/>
        <v>1.1607264173981712E+16</v>
      </c>
      <c r="BB149" s="49">
        <f t="shared" si="149"/>
        <v>2.321435121354344E+16</v>
      </c>
      <c r="BC149" s="49">
        <f t="shared" si="150"/>
        <v>4.6428348160950296E+16</v>
      </c>
      <c r="BD149" s="49">
        <f t="shared" si="151"/>
        <v>9.2855987795033824E+16</v>
      </c>
      <c r="BE149" s="49">
        <f t="shared" ref="BE149" si="1663">SUM(AO149:BD149)-(45*7)</f>
        <v>1.8571055854714669E+17</v>
      </c>
      <c r="BF149" s="49">
        <f t="shared" si="193"/>
        <v>3.7141828303007635E+17</v>
      </c>
      <c r="BG149" s="49">
        <f t="shared" ref="BG149:BH149" si="1664">SUM(AQ149:BF149)-(45*7)</f>
        <v>7.4283089797496832E+17</v>
      </c>
      <c r="BH149" s="49">
        <f t="shared" si="1664"/>
        <v>1.4856504598660662E+18</v>
      </c>
      <c r="BI149" s="49">
        <f t="shared" si="155"/>
        <v>2.9712782477373875E+18</v>
      </c>
      <c r="BJ149" s="49">
        <f t="shared" ref="BJ149" si="1665">SUM(AT149:BI149)-(45*8)</f>
        <v>5.9425111518312755E+18</v>
      </c>
      <c r="BK149" s="49">
        <f t="shared" si="157"/>
        <v>1.1884931617067524E+19</v>
      </c>
      <c r="BL149" s="49">
        <f t="shared" ref="BL149:BO149" si="1666">SUM(AV149:BK149)-(45*7)</f>
        <v>2.3769681862328934E+19</v>
      </c>
      <c r="BM149" s="49">
        <f t="shared" si="1666"/>
        <v>4.7539000983813489E+19</v>
      </c>
      <c r="BN149" s="49">
        <f t="shared" si="1666"/>
        <v>9.5077276491473879E+19</v>
      </c>
      <c r="BO149" s="49">
        <f t="shared" si="1666"/>
        <v>1.9015310204171279E+20</v>
      </c>
      <c r="BP149" s="49">
        <f t="shared" ref="BP149" si="1667">SUM(AZ149:BO149)-(45*6)</f>
        <v>3.8030330222309802E+20</v>
      </c>
      <c r="BQ149" s="49">
        <f t="shared" ref="BQ149" si="1668">SUM(BA149:BP149)-(45*5)</f>
        <v>7.6060080076982505E+20</v>
      </c>
      <c r="BR149" s="49">
        <f t="shared" ref="BR149:BS149" si="1669">SUM(BB149:BQ149)-(45*6)</f>
        <v>1.5211899942754761E+21</v>
      </c>
      <c r="BS149" s="49">
        <f t="shared" si="1669"/>
        <v>3.0423567741997385E+21</v>
      </c>
      <c r="BT149" s="49">
        <f t="shared" ref="BT149:BU149" si="1670">SUM(BD149:BS149)-(45*7)</f>
        <v>6.0846671200513163E+21</v>
      </c>
      <c r="BU149" s="49">
        <f t="shared" si="1670"/>
        <v>1.2169241384114836E+22</v>
      </c>
      <c r="BV149" s="49">
        <f t="shared" ref="BV149" si="1671">SUM(BF149:BU149)-(45*6)</f>
        <v>2.4338297057671125E+22</v>
      </c>
    </row>
    <row r="150" spans="2:83" ht="17.25">
      <c r="B150" s="207"/>
      <c r="C150" s="44">
        <v>619</v>
      </c>
      <c r="D150" s="108" t="s">
        <v>387</v>
      </c>
      <c r="E150" s="48">
        <v>345</v>
      </c>
      <c r="F150" s="63">
        <v>356</v>
      </c>
      <c r="G150" s="63">
        <v>50</v>
      </c>
      <c r="H150" s="48">
        <f t="shared" si="119"/>
        <v>656</v>
      </c>
      <c r="I150" s="48">
        <v>61</v>
      </c>
      <c r="J150" s="49">
        <f t="shared" ref="J150" si="1672">SUM(E150:I150)-(45*1)</f>
        <v>1423</v>
      </c>
      <c r="K150" s="49">
        <f t="shared" ref="K150" si="1673">SUM(E150:J150)-(45*2)</f>
        <v>2801</v>
      </c>
      <c r="L150" s="49">
        <f t="shared" si="122"/>
        <v>5557</v>
      </c>
      <c r="M150" s="49">
        <f t="shared" ref="M150" si="1674">SUM(E150:L150)-(45*4)</f>
        <v>11069</v>
      </c>
      <c r="N150" s="49">
        <f t="shared" ref="N150" si="1675">SUM(E150:M150)-(45*5)</f>
        <v>22093</v>
      </c>
      <c r="O150" s="49">
        <f t="shared" si="125"/>
        <v>44186</v>
      </c>
      <c r="P150" s="49">
        <f t="shared" si="126"/>
        <v>88327</v>
      </c>
      <c r="Q150" s="49">
        <f t="shared" ref="Q150" si="1676">SUM(E150:P150)-(45*6)</f>
        <v>176654</v>
      </c>
      <c r="R150" s="49">
        <f t="shared" ref="R150" si="1677">SUM(E150:Q150)-(45*6)</f>
        <v>353308</v>
      </c>
      <c r="S150" s="49">
        <f t="shared" ref="S150" si="1678">SUM(E150:R150)-(45*7)</f>
        <v>706571</v>
      </c>
      <c r="T150" s="49">
        <f t="shared" ref="T150" si="1679">SUM(E150:S150)-(45*7)</f>
        <v>1413142</v>
      </c>
      <c r="U150" s="49">
        <f t="shared" ref="U150" si="1680">SUM(E150:T150)-(45*7)</f>
        <v>2826284</v>
      </c>
      <c r="V150" s="49">
        <f t="shared" ref="V150:Y150" si="1681">SUM(F150:U150)-(45*8)</f>
        <v>5652178</v>
      </c>
      <c r="W150" s="49">
        <f t="shared" si="1681"/>
        <v>11304000</v>
      </c>
      <c r="X150" s="49">
        <f t="shared" si="1681"/>
        <v>22607950</v>
      </c>
      <c r="Y150" s="49">
        <f t="shared" si="1681"/>
        <v>45215244</v>
      </c>
      <c r="Z150" s="49">
        <f t="shared" ref="Z150:AC150" si="1682">SUM(J150:Y150)-(45*7)</f>
        <v>90430472</v>
      </c>
      <c r="AA150" s="49">
        <f t="shared" si="1682"/>
        <v>180859521</v>
      </c>
      <c r="AB150" s="49">
        <f t="shared" si="1682"/>
        <v>361716241</v>
      </c>
      <c r="AC150" s="49">
        <f t="shared" si="1682"/>
        <v>723426925</v>
      </c>
      <c r="AD150" s="49">
        <f t="shared" ref="AD150" si="1683">SUM(N150:AC150)-(45*6)</f>
        <v>1446842826</v>
      </c>
      <c r="AE150" s="49">
        <f t="shared" ref="AE150:AG150" si="1684">SUM(O150:AD150)-(45*7)</f>
        <v>2893663514</v>
      </c>
      <c r="AF150" s="49">
        <f t="shared" si="1684"/>
        <v>5787282842</v>
      </c>
      <c r="AG150" s="49">
        <f t="shared" si="1684"/>
        <v>11574477357</v>
      </c>
      <c r="AH150" s="49">
        <f t="shared" ref="AH150:AI150" si="1685">SUM(R150:AG150)-(45*8)</f>
        <v>23148778015</v>
      </c>
      <c r="AI150" s="49">
        <f t="shared" si="1685"/>
        <v>46297202722</v>
      </c>
      <c r="AJ150" s="49">
        <f t="shared" ref="AJ150:AK150" si="1686">SUM(T150:AI150)-(45*9)</f>
        <v>92593698828</v>
      </c>
      <c r="AK150" s="49">
        <f t="shared" si="1686"/>
        <v>185185984514</v>
      </c>
      <c r="AL150" s="49">
        <f t="shared" ref="AL150" si="1687">SUM(V150:AK150)-(45*8)</f>
        <v>370369142789</v>
      </c>
      <c r="AM150" s="49">
        <f t="shared" ref="AM150" si="1688">SUM(W150:AL150)-(45*7)</f>
        <v>740732633445</v>
      </c>
      <c r="AN150" s="49">
        <f t="shared" ref="AN150:AO150" si="1689">SUM(X150:AM150)-(45*8)</f>
        <v>1481453962845</v>
      </c>
      <c r="AO150" s="49">
        <f t="shared" si="1689"/>
        <v>2962885317740</v>
      </c>
      <c r="AP150" s="49">
        <f t="shared" ref="AP150" si="1690">SUM(Z150:AO150)-(45*9)</f>
        <v>5925725420191</v>
      </c>
      <c r="AQ150" s="49">
        <f t="shared" si="142"/>
        <v>11851360409955</v>
      </c>
      <c r="AR150" s="49">
        <f t="shared" si="143"/>
        <v>23702539960389</v>
      </c>
      <c r="AS150" s="49">
        <f t="shared" ref="AS150" si="1691">SUM(AC150:AR150)-(45*8)</f>
        <v>47404718204537</v>
      </c>
      <c r="AT150" s="49">
        <f t="shared" si="189"/>
        <v>94808712982149</v>
      </c>
      <c r="AU150" s="49">
        <f t="shared" ref="AU150:AV150" si="1692">SUM(AE150:AT150)-(45*8)</f>
        <v>189615979121472</v>
      </c>
      <c r="AV150" s="49">
        <f t="shared" si="1692"/>
        <v>379229064579430</v>
      </c>
      <c r="AW150" s="49">
        <f t="shared" ref="AW150" si="1693">SUM(AG150:AV150)-(45*9)</f>
        <v>758452341875973</v>
      </c>
      <c r="AX150" s="49">
        <f t="shared" ref="AX150" si="1694">SUM(AH150:AW150)-(45*8)</f>
        <v>1516893109274634</v>
      </c>
      <c r="AY150" s="49">
        <f t="shared" ref="AY150:AZ150" si="1695">SUM(AI150:AX150)-(45*7)</f>
        <v>3033763069771298</v>
      </c>
      <c r="AZ150" s="49">
        <f t="shared" si="1695"/>
        <v>6067479842339874</v>
      </c>
      <c r="BA150" s="49">
        <f t="shared" si="148"/>
        <v>1.2134867090980876E+16</v>
      </c>
      <c r="BB150" s="49">
        <f t="shared" si="149"/>
        <v>2.4269548995977236E+16</v>
      </c>
      <c r="BC150" s="49">
        <f t="shared" si="150"/>
        <v>4.8538727622811688E+16</v>
      </c>
      <c r="BD150" s="49">
        <f t="shared" si="151"/>
        <v>9.707671451298992E+16</v>
      </c>
      <c r="BE150" s="49">
        <f t="shared" ref="BE150" si="1696">SUM(AO150:BD150)-(45*9)</f>
        <v>1.9415194757201696E+17</v>
      </c>
      <c r="BF150" s="49">
        <f t="shared" si="193"/>
        <v>3.8830093225871616E+17</v>
      </c>
      <c r="BG150" s="49">
        <f t="shared" ref="BG150" si="1697">SUM(AQ150:BF150)-(45*8)</f>
        <v>7.7659593879201216E+17</v>
      </c>
      <c r="BH150" s="49">
        <f t="shared" ref="BH150" si="1698">SUM(AR150:BG150)-(45*9)</f>
        <v>1.5531800262236142E+18</v>
      </c>
      <c r="BI150" s="49">
        <f t="shared" si="155"/>
        <v>3.1063363499072681E+18</v>
      </c>
      <c r="BJ150" s="49">
        <f t="shared" ref="BJ150" si="1699">SUM(AT150:BI150)-(45*9)</f>
        <v>6.2126252950963323E+18</v>
      </c>
      <c r="BK150" s="49">
        <f t="shared" si="157"/>
        <v>1.2425155781479682E+19</v>
      </c>
      <c r="BL150" s="49">
        <f t="shared" ref="BL150" si="1700">SUM(AV150:BK150)-(45*9)</f>
        <v>2.4850121946980246E+19</v>
      </c>
      <c r="BM150" s="49">
        <f t="shared" ref="BM150" si="1701">SUM(AW150:BL150)-(45*8)</f>
        <v>4.9699864664895914E+19</v>
      </c>
      <c r="BN150" s="49">
        <f t="shared" ref="BN150:BO150" si="1702">SUM(AX150:BM150)-(45*9)</f>
        <v>9.9398970877449945E+19</v>
      </c>
      <c r="BO150" s="49">
        <f t="shared" si="1702"/>
        <v>1.9879642486179063E+20</v>
      </c>
      <c r="BP150" s="49">
        <f t="shared" ref="BP150:BS150" si="1703">SUM(AZ150:BO150)-(45*8)</f>
        <v>3.9758981596051145E+20</v>
      </c>
      <c r="BQ150" s="49">
        <f t="shared" si="1703"/>
        <v>7.951735644411805E+20</v>
      </c>
      <c r="BR150" s="49">
        <f t="shared" si="1703"/>
        <v>1.5903349940152702E+21</v>
      </c>
      <c r="BS150" s="49">
        <f t="shared" si="1703"/>
        <v>3.1806457184815447E+21</v>
      </c>
      <c r="BT150" s="49">
        <f t="shared" ref="BT150:BV150" si="1704">SUM(BD150:BS150)-(45*7)</f>
        <v>6.3612428982354664E+21</v>
      </c>
      <c r="BU150" s="49">
        <f t="shared" si="1704"/>
        <v>1.2722388719756418E+22</v>
      </c>
      <c r="BV150" s="49">
        <f t="shared" si="1704"/>
        <v>2.5444583287565264E+22</v>
      </c>
    </row>
    <row r="151" spans="2:83" ht="17.25">
      <c r="B151" s="207"/>
      <c r="C151" s="44">
        <v>620</v>
      </c>
      <c r="D151" s="108" t="s">
        <v>388</v>
      </c>
      <c r="E151" s="48">
        <v>352</v>
      </c>
      <c r="F151" s="63">
        <v>363</v>
      </c>
      <c r="G151" s="63">
        <v>51</v>
      </c>
      <c r="H151" s="48">
        <f t="shared" si="119"/>
        <v>670</v>
      </c>
      <c r="I151" s="48">
        <v>62</v>
      </c>
      <c r="J151" s="49">
        <f t="shared" ref="J151" si="1705">SUM(E151:I151)-(45*2)</f>
        <v>1408</v>
      </c>
      <c r="K151" s="49">
        <f t="shared" ref="K151" si="1706">SUM(E151:J151)-(45*3)</f>
        <v>2771</v>
      </c>
      <c r="L151" s="49">
        <f t="shared" si="122"/>
        <v>5542</v>
      </c>
      <c r="M151" s="49">
        <f t="shared" ref="M151" si="1707">SUM(E151:L151)-(45*3)</f>
        <v>11084</v>
      </c>
      <c r="N151" s="49">
        <f t="shared" ref="N151" si="1708">SUM(E151:M151)-(45*4)</f>
        <v>22123</v>
      </c>
      <c r="O151" s="49">
        <f t="shared" si="125"/>
        <v>44201</v>
      </c>
      <c r="P151" s="49">
        <f t="shared" si="126"/>
        <v>88357</v>
      </c>
      <c r="Q151" s="49">
        <f t="shared" ref="Q151" si="1709">SUM(E151:P151)-(45*7)</f>
        <v>176669</v>
      </c>
      <c r="R151" s="49">
        <f t="shared" ref="R151" si="1710">SUM(E151:Q151)-(45*8)</f>
        <v>353293</v>
      </c>
      <c r="S151" s="49">
        <f t="shared" ref="S151" si="1711">SUM(E151:R151)-(45*8)</f>
        <v>706586</v>
      </c>
      <c r="T151" s="49">
        <f t="shared" ref="T151" si="1712">SUM(E151:S151)-(45*9)</f>
        <v>1413127</v>
      </c>
      <c r="U151" s="49">
        <f t="shared" ref="U151" si="1713">SUM(E151:T151)-(45*9)</f>
        <v>2826254</v>
      </c>
      <c r="V151" s="49">
        <f t="shared" ref="V151:W151" si="1714">SUM(F151:U151)-(45*8)</f>
        <v>5652201</v>
      </c>
      <c r="W151" s="49">
        <f t="shared" si="1714"/>
        <v>11304039</v>
      </c>
      <c r="X151" s="49">
        <f t="shared" ref="X151" si="1715">SUM(H151:W151)-(45*9)</f>
        <v>22607982</v>
      </c>
      <c r="Y151" s="49">
        <f t="shared" ref="Y151:Z151" si="1716">SUM(I151:X151)-(45*10)</f>
        <v>45215249</v>
      </c>
      <c r="Z151" s="49">
        <f t="shared" si="1716"/>
        <v>90430436</v>
      </c>
      <c r="AA151" s="49">
        <f t="shared" ref="AA151" si="1717">SUM(K151:Z151)-(45*9)</f>
        <v>180859509</v>
      </c>
      <c r="AB151" s="49">
        <f t="shared" ref="AB151" si="1718">SUM(L151:AA151)-(45*9)</f>
        <v>361716247</v>
      </c>
      <c r="AC151" s="49">
        <f t="shared" ref="AC151" si="1719">SUM(M151:AB151)-(45*9)</f>
        <v>723426952</v>
      </c>
      <c r="AD151" s="49">
        <f t="shared" ref="AD151" si="1720">SUM(N151:AC151)-(45*9)</f>
        <v>1446842820</v>
      </c>
      <c r="AE151" s="49">
        <f t="shared" ref="AE151" si="1721">SUM(O151:AD151)-(45*9)</f>
        <v>2893663517</v>
      </c>
      <c r="AF151" s="49">
        <f t="shared" ref="AF151" si="1722">SUM(P151:AE151)-(45*9)</f>
        <v>5787282833</v>
      </c>
      <c r="AG151" s="49">
        <f t="shared" ref="AG151" si="1723">SUM(Q151:AF151)-(45*8)</f>
        <v>11574477354</v>
      </c>
      <c r="AH151" s="49">
        <f t="shared" ref="AH151:AI151" si="1724">SUM(R151:AG151)-(45*9)</f>
        <v>23148777994</v>
      </c>
      <c r="AI151" s="49">
        <f t="shared" si="1724"/>
        <v>46297202695</v>
      </c>
      <c r="AJ151" s="49">
        <f t="shared" ref="AJ151" si="1725">SUM(T151:AI151)-(45*8)</f>
        <v>92593698849</v>
      </c>
      <c r="AK151" s="49">
        <f t="shared" ref="AK151:AL151" si="1726">SUM(U151:AJ151)-(45*9)</f>
        <v>185185984526</v>
      </c>
      <c r="AL151" s="49">
        <f t="shared" si="1726"/>
        <v>370369142798</v>
      </c>
      <c r="AM151" s="49">
        <f t="shared" ref="AM151:AN151" si="1727">SUM(W151:AL151)-(45*8)</f>
        <v>740732633440</v>
      </c>
      <c r="AN151" s="49">
        <f t="shared" si="1727"/>
        <v>1481453962841</v>
      </c>
      <c r="AO151" s="49">
        <f t="shared" ref="AO151" si="1728">SUM(Y151:AN151)-(45*7)</f>
        <v>2962885317745</v>
      </c>
      <c r="AP151" s="49">
        <f t="shared" ref="AP151" si="1729">SUM(Z151:AO151)-(45*8)</f>
        <v>5925725420196</v>
      </c>
      <c r="AQ151" s="49">
        <f t="shared" si="142"/>
        <v>11851360409956</v>
      </c>
      <c r="AR151" s="49">
        <f t="shared" si="143"/>
        <v>23702539960403</v>
      </c>
      <c r="AS151" s="49">
        <f t="shared" ref="AS151" si="1730">SUM(AC151:AR151)-(45*9)</f>
        <v>47404718204514</v>
      </c>
      <c r="AT151" s="49">
        <f t="shared" si="189"/>
        <v>94808712982121</v>
      </c>
      <c r="AU151" s="49">
        <f t="shared" ref="AU151:AY151" si="1731">SUM(AE151:AT151)-(45*7)</f>
        <v>189615979121467</v>
      </c>
      <c r="AV151" s="49">
        <f t="shared" si="1731"/>
        <v>379229064579417</v>
      </c>
      <c r="AW151" s="49">
        <f t="shared" si="1731"/>
        <v>758452341876001</v>
      </c>
      <c r="AX151" s="49">
        <f t="shared" si="1731"/>
        <v>1516893109274648</v>
      </c>
      <c r="AY151" s="49">
        <f t="shared" si="1731"/>
        <v>3033763069771302</v>
      </c>
      <c r="AZ151" s="49">
        <f t="shared" ref="AZ151" si="1732">SUM(AJ151:AY151)-(45*8)</f>
        <v>6067479842339864</v>
      </c>
      <c r="BA151" s="49">
        <f t="shared" si="148"/>
        <v>1.213486709098088E+16</v>
      </c>
      <c r="BB151" s="49">
        <f t="shared" si="149"/>
        <v>2.4269548995977232E+16</v>
      </c>
      <c r="BC151" s="49">
        <f t="shared" si="150"/>
        <v>4.8538727622811672E+16</v>
      </c>
      <c r="BD151" s="49">
        <f t="shared" si="151"/>
        <v>9.707671451298992E+16</v>
      </c>
      <c r="BE151" s="49">
        <f t="shared" ref="BE151" si="1733">SUM(AO151:BD151)-(45*7)</f>
        <v>1.9415194757201702E+17</v>
      </c>
      <c r="BF151" s="49">
        <f t="shared" si="193"/>
        <v>3.8830093225871622E+17</v>
      </c>
      <c r="BG151" s="49">
        <f t="shared" ref="BG151:BH151" si="1734">SUM(AQ151:BF151)-(45*7)</f>
        <v>7.7659593879201229E+17</v>
      </c>
      <c r="BH151" s="49">
        <f t="shared" si="1734"/>
        <v>1.5531800262236147E+18</v>
      </c>
      <c r="BI151" s="49">
        <f t="shared" si="155"/>
        <v>3.1063363499072691E+18</v>
      </c>
      <c r="BJ151" s="49">
        <f t="shared" ref="BJ151" si="1735">SUM(AT151:BI151)-(45*8)</f>
        <v>6.2126252950963343E+18</v>
      </c>
      <c r="BK151" s="49">
        <f t="shared" si="157"/>
        <v>1.2425155781479686E+19</v>
      </c>
      <c r="BL151" s="49">
        <f t="shared" ref="BL151:BO151" si="1736">SUM(AV151:BK151)-(45*7)</f>
        <v>2.4850121946980254E+19</v>
      </c>
      <c r="BM151" s="49">
        <f t="shared" si="1736"/>
        <v>4.9699864664895922E+19</v>
      </c>
      <c r="BN151" s="49">
        <f t="shared" si="1736"/>
        <v>9.9398970877449961E+19</v>
      </c>
      <c r="BO151" s="49">
        <f t="shared" si="1736"/>
        <v>1.9879642486179067E+20</v>
      </c>
      <c r="BP151" s="49">
        <f t="shared" ref="BP151" si="1737">SUM(AZ151:BO151)-(45*6)</f>
        <v>3.9758981596051158E+20</v>
      </c>
      <c r="BQ151" s="49">
        <f t="shared" ref="BQ151" si="1738">SUM(BA151:BP151)-(45*5)</f>
        <v>7.9517356444118077E+20</v>
      </c>
      <c r="BR151" s="49">
        <f t="shared" ref="BR151:BS151" si="1739">SUM(BB151:BQ151)-(45*6)</f>
        <v>1.5903349940152707E+21</v>
      </c>
      <c r="BS151" s="49">
        <f t="shared" si="1739"/>
        <v>3.1806457184815452E+21</v>
      </c>
      <c r="BT151" s="49">
        <f t="shared" ref="BT151:BU151" si="1740">SUM(BD151:BS151)-(45*7)</f>
        <v>6.3612428982354675E+21</v>
      </c>
      <c r="BU151" s="49">
        <f t="shared" si="1740"/>
        <v>1.2722388719756422E+22</v>
      </c>
      <c r="BV151" s="49">
        <f t="shared" ref="BV151" si="1741">SUM(BF151:BU151)-(45*6)</f>
        <v>2.5444583287565272E+22</v>
      </c>
    </row>
    <row r="152" spans="2:83" ht="17.25">
      <c r="B152" s="207"/>
      <c r="C152" s="44">
        <v>621</v>
      </c>
      <c r="D152" s="108" t="s">
        <v>389</v>
      </c>
      <c r="E152" s="48">
        <v>359</v>
      </c>
      <c r="F152" s="63">
        <v>370</v>
      </c>
      <c r="G152" s="63">
        <v>52</v>
      </c>
      <c r="H152" s="48">
        <f t="shared" si="119"/>
        <v>684</v>
      </c>
      <c r="I152" s="48">
        <v>63</v>
      </c>
      <c r="J152" s="49">
        <f t="shared" ref="J152" si="1742">SUM(E152:I152)-(45*1)</f>
        <v>1483</v>
      </c>
      <c r="K152" s="49">
        <f t="shared" ref="K152" si="1743">SUM(E152:J152)-(45*2)</f>
        <v>2921</v>
      </c>
      <c r="L152" s="49">
        <f t="shared" si="122"/>
        <v>5797</v>
      </c>
      <c r="M152" s="49">
        <f t="shared" ref="M152" si="1744">SUM(E152:L152)-(45*4)</f>
        <v>11549</v>
      </c>
      <c r="N152" s="49">
        <f t="shared" ref="N152" si="1745">SUM(E152:M152)-(45*5)</f>
        <v>23053</v>
      </c>
      <c r="O152" s="49">
        <f t="shared" si="125"/>
        <v>46106</v>
      </c>
      <c r="P152" s="49">
        <f t="shared" si="126"/>
        <v>92167</v>
      </c>
      <c r="Q152" s="49">
        <f t="shared" ref="Q152" si="1746">SUM(E152:P152)-(45*6)</f>
        <v>184334</v>
      </c>
      <c r="R152" s="49">
        <f t="shared" ref="R152" si="1747">SUM(E152:Q152)-(45*6)</f>
        <v>368668</v>
      </c>
      <c r="S152" s="49">
        <f t="shared" ref="S152" si="1748">SUM(E152:R152)-(45*7)</f>
        <v>737291</v>
      </c>
      <c r="T152" s="49">
        <f t="shared" ref="T152" si="1749">SUM(E152:S152)-(45*7)</f>
        <v>1474582</v>
      </c>
      <c r="U152" s="49">
        <f t="shared" ref="U152" si="1750">SUM(E152:T152)-(45*7)</f>
        <v>2949164</v>
      </c>
      <c r="V152" s="49">
        <f t="shared" ref="V152:Y152" si="1751">SUM(F152:U152)-(45*8)</f>
        <v>5897924</v>
      </c>
      <c r="W152" s="49">
        <f t="shared" si="1751"/>
        <v>11795478</v>
      </c>
      <c r="X152" s="49">
        <f t="shared" si="1751"/>
        <v>23590904</v>
      </c>
      <c r="Y152" s="49">
        <f t="shared" si="1751"/>
        <v>47181124</v>
      </c>
      <c r="Z152" s="49">
        <f t="shared" ref="Z152:AC152" si="1752">SUM(J152:Y152)-(45*7)</f>
        <v>94362230</v>
      </c>
      <c r="AA152" s="49">
        <f t="shared" si="1752"/>
        <v>188722977</v>
      </c>
      <c r="AB152" s="49">
        <f t="shared" si="1752"/>
        <v>377443033</v>
      </c>
      <c r="AC152" s="49">
        <f t="shared" si="1752"/>
        <v>754880269</v>
      </c>
      <c r="AD152" s="49">
        <f t="shared" ref="AD152" si="1753">SUM(N152:AC152)-(45*6)</f>
        <v>1509749034</v>
      </c>
      <c r="AE152" s="49">
        <f t="shared" ref="AE152:AG152" si="1754">SUM(O152:AD152)-(45*7)</f>
        <v>3019474970</v>
      </c>
      <c r="AF152" s="49">
        <f t="shared" si="1754"/>
        <v>6038903834</v>
      </c>
      <c r="AG152" s="49">
        <f t="shared" si="1754"/>
        <v>12077715501</v>
      </c>
      <c r="AH152" s="49">
        <f t="shared" ref="AH152:AI152" si="1755">SUM(R152:AG152)-(45*8)</f>
        <v>24155246623</v>
      </c>
      <c r="AI152" s="49">
        <f t="shared" si="1755"/>
        <v>48310124578</v>
      </c>
      <c r="AJ152" s="49">
        <f t="shared" ref="AJ152:AK152" si="1756">SUM(T152:AI152)-(45*9)</f>
        <v>96619511820</v>
      </c>
      <c r="AK152" s="49">
        <f t="shared" si="1756"/>
        <v>193237549058</v>
      </c>
      <c r="AL152" s="49">
        <f t="shared" ref="AL152" si="1757">SUM(V152:AK152)-(45*8)</f>
        <v>386472148997</v>
      </c>
      <c r="AM152" s="49">
        <f t="shared" ref="AM152" si="1758">SUM(W152:AL152)-(45*7)</f>
        <v>772938400115</v>
      </c>
      <c r="AN152" s="49">
        <f t="shared" ref="AN152:AO152" si="1759">SUM(X152:AM152)-(45*8)</f>
        <v>1545865004707</v>
      </c>
      <c r="AO152" s="49">
        <f t="shared" si="1759"/>
        <v>3091706418510</v>
      </c>
      <c r="AP152" s="49">
        <f t="shared" ref="AP152" si="1760">SUM(Z152:AO152)-(45*9)</f>
        <v>6183365655851</v>
      </c>
      <c r="AQ152" s="49">
        <f t="shared" si="142"/>
        <v>12366636949517</v>
      </c>
      <c r="AR152" s="49">
        <f t="shared" si="143"/>
        <v>24733085176057</v>
      </c>
      <c r="AS152" s="49">
        <f t="shared" ref="AS152" si="1761">SUM(AC152:AR152)-(45*8)</f>
        <v>49465792909081</v>
      </c>
      <c r="AT152" s="49">
        <f t="shared" si="189"/>
        <v>98930830937893</v>
      </c>
      <c r="AU152" s="49">
        <f t="shared" ref="AU152:AV152" si="1762">SUM(AE152:AT152)-(45*8)</f>
        <v>197860152126752</v>
      </c>
      <c r="AV152" s="49">
        <f t="shared" si="1762"/>
        <v>395717284778534</v>
      </c>
      <c r="AW152" s="49">
        <f t="shared" ref="AW152" si="1763">SUM(AG152:AV152)-(45*9)</f>
        <v>791428530653189</v>
      </c>
      <c r="AX152" s="49">
        <f t="shared" ref="AX152" si="1764">SUM(AH152:AW152)-(45*8)</f>
        <v>1582844983590922</v>
      </c>
      <c r="AY152" s="49">
        <f t="shared" ref="AY152:AZ152" si="1765">SUM(AI152:AX152)-(45*7)</f>
        <v>3165665811935266</v>
      </c>
      <c r="AZ152" s="49">
        <f t="shared" si="1765"/>
        <v>6331283313745954</v>
      </c>
      <c r="BA152" s="49">
        <f t="shared" si="148"/>
        <v>1.2662470007980044E+16</v>
      </c>
      <c r="BB152" s="49">
        <f t="shared" si="149"/>
        <v>2.5324746778411028E+16</v>
      </c>
      <c r="BC152" s="49">
        <f t="shared" si="150"/>
        <v>5.0649107084673064E+16</v>
      </c>
      <c r="BD152" s="49">
        <f t="shared" si="151"/>
        <v>1.0129744123094602E+17</v>
      </c>
      <c r="BE152" s="49">
        <f t="shared" ref="BE152" si="1766">SUM(AO152:BD152)-(45*9)</f>
        <v>2.0259333659688726E+17</v>
      </c>
      <c r="BF152" s="49">
        <f t="shared" si="193"/>
        <v>4.0518358148735603E+17</v>
      </c>
      <c r="BG152" s="49">
        <f t="shared" ref="BG152" si="1767">SUM(AQ152:BF152)-(45*8)</f>
        <v>8.1036097960905626E+17</v>
      </c>
      <c r="BH152" s="49">
        <f t="shared" ref="BH152" si="1768">SUM(AR152:BG152)-(45*9)</f>
        <v>1.620709592581163E+18</v>
      </c>
      <c r="BI152" s="49">
        <f t="shared" si="155"/>
        <v>3.2413944520771497E+18</v>
      </c>
      <c r="BJ152" s="49">
        <f t="shared" ref="BJ152" si="1769">SUM(AT152:BI152)-(45*9)</f>
        <v>6.4827394383613911E+18</v>
      </c>
      <c r="BK152" s="49">
        <f t="shared" si="157"/>
        <v>1.2965379945891844E+19</v>
      </c>
      <c r="BL152" s="49">
        <f t="shared" ref="BL152" si="1770">SUM(AV152:BK152)-(45*9)</f>
        <v>2.5930562031631561E+19</v>
      </c>
      <c r="BM152" s="49">
        <f t="shared" ref="BM152" si="1771">SUM(AW152:BL152)-(45*8)</f>
        <v>5.1860728345978339E+19</v>
      </c>
      <c r="BN152" s="49">
        <f t="shared" ref="BN152:BO152" si="1772">SUM(AX152:BM152)-(45*9)</f>
        <v>1.0372066526342603E+20</v>
      </c>
      <c r="BO152" s="49">
        <f t="shared" si="1772"/>
        <v>2.0743974768186845E+20</v>
      </c>
      <c r="BP152" s="49">
        <f t="shared" ref="BP152:BS152" si="1773">SUM(AZ152:BO152)-(45*8)</f>
        <v>4.1487632969792501E+20</v>
      </c>
      <c r="BQ152" s="49">
        <f t="shared" si="1773"/>
        <v>8.2974632811253622E+20</v>
      </c>
      <c r="BR152" s="49">
        <f t="shared" si="1773"/>
        <v>1.6594799937550643E+21</v>
      </c>
      <c r="BS152" s="49">
        <f t="shared" si="1773"/>
        <v>3.3189346627633503E+21</v>
      </c>
      <c r="BT152" s="49">
        <f t="shared" ref="BT152:BV152" si="1774">SUM(BD152:BS152)-(45*7)</f>
        <v>6.6378186764196155E+21</v>
      </c>
      <c r="BU152" s="49">
        <f t="shared" si="1774"/>
        <v>1.3275536055398E+22</v>
      </c>
      <c r="BV152" s="49">
        <f t="shared" si="1774"/>
        <v>2.6550869517459406E+22</v>
      </c>
    </row>
    <row r="153" spans="2:83" ht="17.25">
      <c r="B153" s="207"/>
      <c r="C153" s="44">
        <v>622</v>
      </c>
      <c r="D153" s="108" t="s">
        <v>390</v>
      </c>
      <c r="E153" s="48">
        <v>366</v>
      </c>
      <c r="F153" s="63">
        <v>377</v>
      </c>
      <c r="G153" s="63">
        <v>53</v>
      </c>
      <c r="H153" s="48">
        <f t="shared" si="119"/>
        <v>698</v>
      </c>
      <c r="I153" s="48">
        <v>64</v>
      </c>
      <c r="J153" s="49">
        <f t="shared" ref="J153" si="1775">SUM(E153:I153)-(45*2)</f>
        <v>1468</v>
      </c>
      <c r="K153" s="49">
        <f t="shared" ref="K153" si="1776">SUM(E153:J153)-(45*3)</f>
        <v>2891</v>
      </c>
      <c r="L153" s="49">
        <f t="shared" si="122"/>
        <v>5782</v>
      </c>
      <c r="M153" s="49">
        <f t="shared" ref="M153" si="1777">SUM(E153:L153)-(45*3)</f>
        <v>11564</v>
      </c>
      <c r="N153" s="49">
        <f t="shared" ref="N153" si="1778">SUM(E153:M153)-(45*4)</f>
        <v>23083</v>
      </c>
      <c r="O153" s="49">
        <f t="shared" si="125"/>
        <v>46121</v>
      </c>
      <c r="P153" s="49">
        <f t="shared" si="126"/>
        <v>92197</v>
      </c>
      <c r="Q153" s="49">
        <f t="shared" ref="Q153" si="1779">SUM(E153:P153)-(45*7)</f>
        <v>184349</v>
      </c>
      <c r="R153" s="49">
        <f t="shared" ref="R153" si="1780">SUM(E153:Q153)-(45*8)</f>
        <v>368653</v>
      </c>
      <c r="S153" s="49">
        <f t="shared" ref="S153" si="1781">SUM(E153:R153)-(45*8)</f>
        <v>737306</v>
      </c>
      <c r="T153" s="49">
        <f t="shared" ref="T153" si="1782">SUM(E153:S153)-(45*9)</f>
        <v>1474567</v>
      </c>
      <c r="U153" s="49">
        <f t="shared" ref="U153" si="1783">SUM(E153:T153)-(45*9)</f>
        <v>2949134</v>
      </c>
      <c r="V153" s="49">
        <f t="shared" ref="V153:W153" si="1784">SUM(F153:U153)-(45*8)</f>
        <v>5897947</v>
      </c>
      <c r="W153" s="49">
        <f t="shared" si="1784"/>
        <v>11795517</v>
      </c>
      <c r="X153" s="49">
        <f t="shared" ref="X153" si="1785">SUM(H153:W153)-(45*9)</f>
        <v>23590936</v>
      </c>
      <c r="Y153" s="49">
        <f t="shared" ref="Y153:Z153" si="1786">SUM(I153:X153)-(45*10)</f>
        <v>47181129</v>
      </c>
      <c r="Z153" s="49">
        <f t="shared" si="1786"/>
        <v>94362194</v>
      </c>
      <c r="AA153" s="49">
        <f t="shared" ref="AA153" si="1787">SUM(K153:Z153)-(45*9)</f>
        <v>188722965</v>
      </c>
      <c r="AB153" s="49">
        <f t="shared" ref="AB153" si="1788">SUM(L153:AA153)-(45*9)</f>
        <v>377443039</v>
      </c>
      <c r="AC153" s="49">
        <f t="shared" ref="AC153" si="1789">SUM(M153:AB153)-(45*9)</f>
        <v>754880296</v>
      </c>
      <c r="AD153" s="49">
        <f t="shared" ref="AD153" si="1790">SUM(N153:AC153)-(45*9)</f>
        <v>1509749028</v>
      </c>
      <c r="AE153" s="49">
        <f t="shared" ref="AE153" si="1791">SUM(O153:AD153)-(45*9)</f>
        <v>3019474973</v>
      </c>
      <c r="AF153" s="49">
        <f t="shared" ref="AF153" si="1792">SUM(P153:AE153)-(45*9)</f>
        <v>6038903825</v>
      </c>
      <c r="AG153" s="49">
        <f t="shared" ref="AG153" si="1793">SUM(Q153:AF153)-(45*8)</f>
        <v>12077715498</v>
      </c>
      <c r="AH153" s="49">
        <f t="shared" ref="AH153:AI153" si="1794">SUM(R153:AG153)-(45*9)</f>
        <v>24155246602</v>
      </c>
      <c r="AI153" s="49">
        <f t="shared" si="1794"/>
        <v>48310124551</v>
      </c>
      <c r="AJ153" s="49">
        <f t="shared" ref="AJ153" si="1795">SUM(T153:AI153)-(45*8)</f>
        <v>96619511841</v>
      </c>
      <c r="AK153" s="49">
        <f t="shared" ref="AK153:AL153" si="1796">SUM(U153:AJ153)-(45*9)</f>
        <v>193237549070</v>
      </c>
      <c r="AL153" s="49">
        <f t="shared" si="1796"/>
        <v>386472149006</v>
      </c>
      <c r="AM153" s="49">
        <f t="shared" ref="AM153:AN153" si="1797">SUM(W153:AL153)-(45*8)</f>
        <v>772938400110</v>
      </c>
      <c r="AN153" s="49">
        <f t="shared" si="1797"/>
        <v>1545865004703</v>
      </c>
      <c r="AO153" s="49">
        <f t="shared" ref="AO153" si="1798">SUM(Y153:AN153)-(45*7)</f>
        <v>3091706418515</v>
      </c>
      <c r="AP153" s="49">
        <f t="shared" ref="AP153" si="1799">SUM(Z153:AO153)-(45*8)</f>
        <v>6183365655856</v>
      </c>
      <c r="AQ153" s="49">
        <f t="shared" si="142"/>
        <v>12366636949518</v>
      </c>
      <c r="AR153" s="49">
        <f t="shared" si="143"/>
        <v>24733085176071</v>
      </c>
      <c r="AS153" s="49">
        <f t="shared" ref="AS153" si="1800">SUM(AC153:AR153)-(45*9)</f>
        <v>49465792909058</v>
      </c>
      <c r="AT153" s="49">
        <f t="shared" si="189"/>
        <v>98930830937865</v>
      </c>
      <c r="AU153" s="49">
        <f t="shared" ref="AU153:AY153" si="1801">SUM(AE153:AT153)-(45*7)</f>
        <v>197860152126747</v>
      </c>
      <c r="AV153" s="49">
        <f t="shared" si="1801"/>
        <v>395717284778521</v>
      </c>
      <c r="AW153" s="49">
        <f t="shared" si="1801"/>
        <v>791428530653217</v>
      </c>
      <c r="AX153" s="49">
        <f t="shared" si="1801"/>
        <v>1582844983590936</v>
      </c>
      <c r="AY153" s="49">
        <f t="shared" si="1801"/>
        <v>3165665811935270</v>
      </c>
      <c r="AZ153" s="49">
        <f t="shared" ref="AZ153" si="1802">SUM(AJ153:AY153)-(45*8)</f>
        <v>6331283313745944</v>
      </c>
      <c r="BA153" s="49">
        <f t="shared" si="148"/>
        <v>1.2662470007980048E+16</v>
      </c>
      <c r="BB153" s="49">
        <f t="shared" si="149"/>
        <v>2.5324746778411024E+16</v>
      </c>
      <c r="BC153" s="49">
        <f t="shared" si="150"/>
        <v>5.0649107084673048E+16</v>
      </c>
      <c r="BD153" s="49">
        <f t="shared" si="151"/>
        <v>1.0129744123094598E+17</v>
      </c>
      <c r="BE153" s="49">
        <f t="shared" ref="BE153" si="1803">SUM(AO153:BD153)-(45*7)</f>
        <v>2.025933365968873E+17</v>
      </c>
      <c r="BF153" s="49">
        <f t="shared" si="193"/>
        <v>4.0518358148735603E+17</v>
      </c>
      <c r="BG153" s="49">
        <f t="shared" ref="BG153:BH153" si="1804">SUM(AQ153:BF153)-(45*7)</f>
        <v>8.1036097960905626E+17</v>
      </c>
      <c r="BH153" s="49">
        <f t="shared" si="1804"/>
        <v>1.620709592581163E+18</v>
      </c>
      <c r="BI153" s="49">
        <f t="shared" si="155"/>
        <v>3.2413944520771497E+18</v>
      </c>
      <c r="BJ153" s="49">
        <f t="shared" ref="BJ153" si="1805">SUM(AT153:BI153)-(45*8)</f>
        <v>6.4827394383613911E+18</v>
      </c>
      <c r="BK153" s="49">
        <f t="shared" si="157"/>
        <v>1.2965379945891844E+19</v>
      </c>
      <c r="BL153" s="49">
        <f t="shared" ref="BL153:BO153" si="1806">SUM(AV153:BK153)-(45*7)</f>
        <v>2.5930562031631561E+19</v>
      </c>
      <c r="BM153" s="49">
        <f t="shared" si="1806"/>
        <v>5.1860728345978339E+19</v>
      </c>
      <c r="BN153" s="49">
        <f t="shared" si="1806"/>
        <v>1.0372066526342603E+20</v>
      </c>
      <c r="BO153" s="49">
        <f t="shared" si="1806"/>
        <v>2.0743974768186845E+20</v>
      </c>
      <c r="BP153" s="49">
        <f t="shared" ref="BP153" si="1807">SUM(AZ153:BO153)-(45*6)</f>
        <v>4.1487632969792501E+20</v>
      </c>
      <c r="BQ153" s="49">
        <f t="shared" ref="BQ153" si="1808">SUM(BA153:BP153)-(45*5)</f>
        <v>8.2974632811253622E+20</v>
      </c>
      <c r="BR153" s="49">
        <f t="shared" ref="BR153:BS153" si="1809">SUM(BB153:BQ153)-(45*6)</f>
        <v>1.6594799937550643E+21</v>
      </c>
      <c r="BS153" s="49">
        <f t="shared" si="1809"/>
        <v>3.3189346627633503E+21</v>
      </c>
      <c r="BT153" s="49">
        <f t="shared" ref="BT153:BU153" si="1810">SUM(BD153:BS153)-(45*7)</f>
        <v>6.6378186764196155E+21</v>
      </c>
      <c r="BU153" s="49">
        <f t="shared" si="1810"/>
        <v>1.3275536055398E+22</v>
      </c>
      <c r="BV153" s="49">
        <f t="shared" ref="BV153" si="1811">SUM(BF153:BU153)-(45*6)</f>
        <v>2.6550869517459406E+22</v>
      </c>
    </row>
    <row r="154" spans="2:83" ht="17.25">
      <c r="B154" s="207"/>
      <c r="C154" s="44">
        <v>623</v>
      </c>
      <c r="D154" s="108" t="s">
        <v>391</v>
      </c>
      <c r="E154" s="48">
        <v>8</v>
      </c>
      <c r="F154" s="63">
        <v>19</v>
      </c>
      <c r="G154" s="63">
        <v>2</v>
      </c>
      <c r="H154" s="48">
        <f>SUM(E154:F154)-(45*0)</f>
        <v>27</v>
      </c>
      <c r="I154" s="48">
        <v>11</v>
      </c>
      <c r="J154" s="49">
        <f t="shared" ref="J154" si="1812">SUM(E154:I154)-(45*1)</f>
        <v>22</v>
      </c>
      <c r="K154" s="49">
        <f>SUM(E154:J154)-(45*1)</f>
        <v>44</v>
      </c>
      <c r="L154" s="49">
        <f>SUM(E154:K154)-(45*2)</f>
        <v>43</v>
      </c>
      <c r="M154" s="49">
        <f>SUM(E154:L154)-(45*3)</f>
        <v>41</v>
      </c>
      <c r="N154" s="49">
        <f>SUM(E154:M154)-(45*4)</f>
        <v>37</v>
      </c>
      <c r="O154" s="49">
        <f t="shared" si="125"/>
        <v>29</v>
      </c>
      <c r="P154" s="49">
        <f>SUM(E154:O154)-(45*6)</f>
        <v>13</v>
      </c>
      <c r="Q154" s="49">
        <f>SUM(F154:P154)-(45*6)</f>
        <v>18</v>
      </c>
      <c r="R154" s="49">
        <f t="shared" ref="R154:X154" si="1813">SUM(G154:Q154)-(45*6)</f>
        <v>17</v>
      </c>
      <c r="S154" s="49">
        <f t="shared" si="1813"/>
        <v>32</v>
      </c>
      <c r="T154" s="49">
        <f t="shared" si="1813"/>
        <v>37</v>
      </c>
      <c r="U154" s="49">
        <f>SUM(J154:T154)-(45*7)</f>
        <v>18</v>
      </c>
      <c r="V154" s="49">
        <f>SUM(K154:U154)-(45*7)</f>
        <v>14</v>
      </c>
      <c r="W154" s="49">
        <f t="shared" si="1813"/>
        <v>29</v>
      </c>
      <c r="X154" s="49">
        <f t="shared" si="1813"/>
        <v>15</v>
      </c>
      <c r="Y154" s="49">
        <f>SUM(N154:X154)-(45*5)</f>
        <v>34</v>
      </c>
      <c r="Z154" s="49">
        <f>SUM(O154:Y154)-(45*5)</f>
        <v>31</v>
      </c>
      <c r="AA154" s="49">
        <f>SUM(P154:Z154)-(45*5)</f>
        <v>33</v>
      </c>
      <c r="AB154" s="49">
        <f>SUM(Q154:AA154)-(45*6)</f>
        <v>8</v>
      </c>
      <c r="AC154" s="49">
        <f>SUM(M154:AB154)-(45*9)</f>
        <v>1</v>
      </c>
      <c r="AD154" s="49">
        <f>SUM(N154:AC154)-(45*8)</f>
        <v>6</v>
      </c>
      <c r="AE154" s="49">
        <f>SUM(O154:AD154)-(45*7)</f>
        <v>20</v>
      </c>
      <c r="AF154" s="49">
        <f>SUM(P154:AE154)-(45*7)</f>
        <v>11</v>
      </c>
      <c r="AG154" s="49">
        <f>SUM(Q154:AF154)-(45*7)</f>
        <v>9</v>
      </c>
      <c r="AH154" s="49">
        <f>SUM(R154:AG154)-(45*6)</f>
        <v>45</v>
      </c>
      <c r="AI154" s="49">
        <f>SUM(S154:AH154)-(45*7)</f>
        <v>28</v>
      </c>
      <c r="AJ154" s="49">
        <f>SUM(T154:AI154)-(45*7)</f>
        <v>24</v>
      </c>
      <c r="AK154" s="49">
        <f>SUM(U154:AJ154)-(45*7)</f>
        <v>11</v>
      </c>
      <c r="AL154" s="49">
        <f>SUM(V154:AK154)-(45*7)</f>
        <v>4</v>
      </c>
      <c r="AM154" s="49">
        <f>SUM(W154:AL154)-(45*6)</f>
        <v>39</v>
      </c>
      <c r="AN154" s="49">
        <f>SUM(X154:AM154)-(45*7)</f>
        <v>4</v>
      </c>
      <c r="AO154" s="49">
        <f>SUM(Y154:AN154)-(45*6)</f>
        <v>38</v>
      </c>
      <c r="AP154" s="49">
        <f>SUM(Z154:AO154)-(45*6)</f>
        <v>42</v>
      </c>
      <c r="AQ154" s="49">
        <f>SUM(AA154:AP154)-(45*7)</f>
        <v>8</v>
      </c>
      <c r="AR154" s="49">
        <f>SUM(AB154:AQ154)-(45*6)</f>
        <v>28</v>
      </c>
      <c r="AS154" s="49">
        <f>SUM(AC154:AR154)-(45*7)</f>
        <v>3</v>
      </c>
      <c r="AT154" s="49">
        <f>SUM(AD154:AS154)-(45*7)</f>
        <v>5</v>
      </c>
      <c r="AU154" s="49">
        <f>SUM(AE154:AT154)-(45*7)</f>
        <v>4</v>
      </c>
      <c r="AV154" s="49">
        <f>SUM(AF154:AU154)-(45*6)</f>
        <v>33</v>
      </c>
      <c r="AW154" s="49">
        <f>SUM(AG154:AV154)-(45*7)</f>
        <v>10</v>
      </c>
      <c r="AX154" s="49">
        <f>SUM(AH154:AW154)-(45*7)</f>
        <v>11</v>
      </c>
      <c r="AY154" s="49">
        <f>SUM(AI154:AX154)-(45*6)</f>
        <v>22</v>
      </c>
      <c r="AZ154" s="49">
        <f>SUM(AJ154:AY154)-(45*6)</f>
        <v>16</v>
      </c>
      <c r="BA154" s="49">
        <f>SUM(AK154:AZ154)-(45*6)</f>
        <v>8</v>
      </c>
      <c r="BB154" s="49">
        <f>SUM(AL154:BA154)-(45*6)</f>
        <v>5</v>
      </c>
      <c r="BC154" s="49">
        <f>SUM(AM154:BB154)-(45*6)</f>
        <v>6</v>
      </c>
      <c r="BD154" s="49">
        <f>SUM(AN154:BC154)-(45*5)</f>
        <v>18</v>
      </c>
      <c r="BE154" s="49">
        <f>SUM(AO154:BD154)-(45*5)</f>
        <v>32</v>
      </c>
      <c r="BF154" s="49">
        <f>SUM(AP154:BE154)-(45*5)</f>
        <v>26</v>
      </c>
      <c r="BG154" s="49">
        <f>SUM(AQ154:BF154)-(45*5)</f>
        <v>10</v>
      </c>
      <c r="BH154" s="49">
        <f>SUM(AR154:BG154)-(45*5)</f>
        <v>12</v>
      </c>
      <c r="BI154" s="49">
        <f>SUM(AS154:BH154)-(45*4)</f>
        <v>41</v>
      </c>
      <c r="BJ154" s="49">
        <f>SUM(AT154:BI154)-(45*5)</f>
        <v>34</v>
      </c>
      <c r="BK154" s="49">
        <f>SUM(AU154:BJ154)-(45*6)</f>
        <v>18</v>
      </c>
      <c r="BL154" s="49">
        <f>SUM(AV154:BK154)-(45*6)</f>
        <v>32</v>
      </c>
      <c r="BM154" s="49">
        <f>SUM(AW154:BL154)-(45*6)</f>
        <v>31</v>
      </c>
      <c r="BN154" s="49">
        <f>SUM(AX154:BM154)-(45*7)</f>
        <v>7</v>
      </c>
      <c r="BO154" s="49">
        <f>SUM(AY154:BN154)-(45*7)</f>
        <v>3</v>
      </c>
      <c r="BP154" s="49">
        <f>SUM(AZ154:BO154)-(45*6)</f>
        <v>29</v>
      </c>
      <c r="BQ154" s="49">
        <f>SUM(BA154:BP154)-(45*6)</f>
        <v>42</v>
      </c>
      <c r="BR154" s="49">
        <f>SUM(BB154:BQ154)-(45*7)</f>
        <v>31</v>
      </c>
      <c r="BS154" s="49">
        <f>SUM(BC154:BR154)-(45*8)</f>
        <v>12</v>
      </c>
      <c r="BT154" s="49">
        <f>SUM(BD154:BS154)-(45*8)</f>
        <v>18</v>
      </c>
      <c r="BU154" s="49">
        <f>SUM(BE154:BT154)-(45*8)</f>
        <v>18</v>
      </c>
      <c r="BV154" s="49">
        <f>SUM(BF154:BU154)-(45*8)</f>
        <v>4</v>
      </c>
    </row>
    <row r="155" spans="2:83" ht="17.25">
      <c r="B155" s="207"/>
      <c r="C155" s="44">
        <v>624</v>
      </c>
      <c r="D155" s="108" t="s">
        <v>425</v>
      </c>
      <c r="E155" s="48">
        <v>15</v>
      </c>
      <c r="F155" s="63">
        <v>26</v>
      </c>
      <c r="G155" s="63">
        <v>3</v>
      </c>
      <c r="H155" s="48">
        <f>SUM(E155:F155)-(45*0)</f>
        <v>41</v>
      </c>
      <c r="I155" s="48">
        <v>12</v>
      </c>
      <c r="J155" s="49">
        <f>SUM(E155:I155)-(45*2)</f>
        <v>7</v>
      </c>
      <c r="K155" s="49">
        <f>SUM(E155:J155)-(45*2)</f>
        <v>14</v>
      </c>
      <c r="L155" s="49">
        <f>SUM(E155:K155)-(45*2)</f>
        <v>28</v>
      </c>
      <c r="M155" s="49">
        <f>SUM(E155:L155)-(45*3)</f>
        <v>11</v>
      </c>
      <c r="N155" s="49">
        <f>SUM(E155:M155)-(45*3)</f>
        <v>22</v>
      </c>
      <c r="O155" s="49">
        <f>SUM(E155:N155)-(45*3)</f>
        <v>44</v>
      </c>
      <c r="P155" s="49">
        <f>SUM(E155:O155)-(45*4)</f>
        <v>43</v>
      </c>
      <c r="Q155" s="49">
        <f>SUM(F155:P155)-(45*5)</f>
        <v>26</v>
      </c>
      <c r="R155" s="49">
        <f>SUM(G155:Q155)-(45*5)</f>
        <v>26</v>
      </c>
      <c r="S155" s="49">
        <f t="shared" ref="S155" si="1814">SUM(H155:R155)-(45*6)</f>
        <v>4</v>
      </c>
      <c r="T155" s="49">
        <f t="shared" ref="T155:Z155" si="1815">SUM(I155:S155)-(45*5)</f>
        <v>12</v>
      </c>
      <c r="U155" s="49">
        <f t="shared" si="1815"/>
        <v>12</v>
      </c>
      <c r="V155" s="49">
        <f t="shared" si="1815"/>
        <v>17</v>
      </c>
      <c r="W155" s="49">
        <f t="shared" si="1815"/>
        <v>20</v>
      </c>
      <c r="X155" s="49">
        <f t="shared" si="1815"/>
        <v>12</v>
      </c>
      <c r="Y155" s="49">
        <f t="shared" si="1815"/>
        <v>13</v>
      </c>
      <c r="Z155" s="49">
        <f t="shared" si="1815"/>
        <v>4</v>
      </c>
      <c r="AA155" s="49">
        <f>SUM(P155:Z155)-(45*4)</f>
        <v>9</v>
      </c>
      <c r="AB155" s="49">
        <f>SUM(Q155:AA155)-(45*3)</f>
        <v>20</v>
      </c>
      <c r="AC155" s="49">
        <f>SUM(M155:AB155)-(45*6)</f>
        <v>25</v>
      </c>
      <c r="AD155" s="49">
        <f>SUM(N155:AC155)-(45*6)</f>
        <v>39</v>
      </c>
      <c r="AE155" s="49">
        <f>SUM(O155:AD155)-(45*7)</f>
        <v>11</v>
      </c>
      <c r="AF155" s="49">
        <f>SUM(P155:AE155)-(45*6)</f>
        <v>23</v>
      </c>
      <c r="AG155" s="49">
        <f>SUM(Q155:AF155)-(45*6)</f>
        <v>3</v>
      </c>
      <c r="AH155" s="49">
        <f>SUM(R155:AG155)-(45*5)</f>
        <v>25</v>
      </c>
      <c r="AI155" s="49">
        <f>SUM(S155:AH155)-(45*5)</f>
        <v>24</v>
      </c>
      <c r="AJ155" s="49">
        <f>SUM(T155:AI155)-(45*5)</f>
        <v>44</v>
      </c>
      <c r="AK155" s="49">
        <f>SUM(U155:AJ155)-(45*6)</f>
        <v>31</v>
      </c>
      <c r="AL155" s="49">
        <f>SUM(V155:AK155)-(45*7)</f>
        <v>5</v>
      </c>
      <c r="AM155" s="49">
        <f>SUM(W155:AL155)-(45*6)</f>
        <v>38</v>
      </c>
      <c r="AN155" s="49">
        <f>SUM(X155:AM155)-(45*7)</f>
        <v>11</v>
      </c>
      <c r="AO155" s="49">
        <f>SUM(Y155:AN155)-(45*7)</f>
        <v>10</v>
      </c>
      <c r="AP155" s="49">
        <f>SUM(Z155:AO155)-(45*7)</f>
        <v>7</v>
      </c>
      <c r="AQ155" s="49">
        <f>SUM(AA155:AP155)-(45*7)</f>
        <v>10</v>
      </c>
      <c r="AR155" s="49">
        <f>SUM(AB155:AQ155)-(45*7)</f>
        <v>11</v>
      </c>
      <c r="AS155" s="49">
        <f>SUM(AC155:AR155)-(45*7)</f>
        <v>2</v>
      </c>
      <c r="AT155" s="49">
        <f>SUM(AD155:AS155)-(45*6)</f>
        <v>24</v>
      </c>
      <c r="AU155" s="49">
        <f>SUM(AE155:AT155)-(45*6)</f>
        <v>9</v>
      </c>
      <c r="AV155" s="49">
        <f>SUM(AF155:AU155)-(45*6)</f>
        <v>7</v>
      </c>
      <c r="AW155" s="49">
        <f>SUM(AG155:AV155)-(45*5)</f>
        <v>36</v>
      </c>
      <c r="AX155" s="49">
        <f>SUM(AH155:AW155)-(45*6)</f>
        <v>24</v>
      </c>
      <c r="AY155" s="49">
        <f>SUM(AI155:AX155)-(45*6)</f>
        <v>23</v>
      </c>
      <c r="AZ155" s="49">
        <f>SUM(AJ155:AY155)-(45*6)</f>
        <v>22</v>
      </c>
      <c r="BA155" s="49">
        <f>SUM(AK155:AZ155)-(45*5)</f>
        <v>45</v>
      </c>
      <c r="BB155" s="49">
        <f>SUM(AL155:BA155)-(45*6)</f>
        <v>14</v>
      </c>
      <c r="BC155" s="49">
        <f>SUM(AM155:BB155)-(45*6)</f>
        <v>23</v>
      </c>
      <c r="BD155" s="49">
        <f>SUM(AN155:BC155)-(45*6)</f>
        <v>8</v>
      </c>
      <c r="BE155" s="49">
        <f>SUM(AO155:BD155)-(45*6)</f>
        <v>5</v>
      </c>
      <c r="BF155" s="49">
        <f>SUM(AP155:BE155)-(45*5)</f>
        <v>45</v>
      </c>
      <c r="BG155" s="49">
        <f>SUM(AQ155:BF155)-(45*6)</f>
        <v>38</v>
      </c>
      <c r="BH155" s="49">
        <f>SUM(AR155:BG155)-(45*7)</f>
        <v>21</v>
      </c>
      <c r="BI155" s="49">
        <f>SUM(AS155:BH155)-(45*7)</f>
        <v>31</v>
      </c>
      <c r="BJ155" s="49">
        <f>SUM(AT155:BI155)-(45*8)</f>
        <v>15</v>
      </c>
      <c r="BK155" s="49">
        <f>SUM(AU155:BJ155)-(45*8)</f>
        <v>6</v>
      </c>
      <c r="BL155" s="49">
        <f>SUM(AV155:BK155)-(45*8)</f>
        <v>3</v>
      </c>
      <c r="BM155" s="49">
        <f>SUM(AW155:BL155)-(45*7)</f>
        <v>44</v>
      </c>
      <c r="BN155" s="49">
        <f>SUM(AX155:BM155)-(45*8)</f>
        <v>7</v>
      </c>
      <c r="BO155" s="49">
        <f>SUM(AY155:BN155)-(45*7)</f>
        <v>35</v>
      </c>
      <c r="BP155" s="49">
        <f>SUM(AZ155:BO155)-(45*8)</f>
        <v>2</v>
      </c>
      <c r="BQ155" s="49">
        <f>SUM(BA155:BP155)-(45*7)</f>
        <v>27</v>
      </c>
      <c r="BR155" s="49">
        <f>SUM(BB155:BQ155)-(45*7)</f>
        <v>9</v>
      </c>
      <c r="BS155" s="49">
        <f>SUM(BC155:BR155)-(45*7)</f>
        <v>4</v>
      </c>
      <c r="BT155" s="49">
        <f>SUM(BD155:BS155)-(45*6)</f>
        <v>30</v>
      </c>
      <c r="BU155" s="49">
        <f>SUM(BE155:BT155)-(45*7)</f>
        <v>7</v>
      </c>
      <c r="BV155" s="49">
        <f>SUM(BF155:BU155)-(45*7)</f>
        <v>9</v>
      </c>
    </row>
    <row r="156" spans="2:83" s="230" customFormat="1" ht="17.25">
      <c r="B156" s="232"/>
      <c r="C156" s="44">
        <v>625</v>
      </c>
      <c r="D156" s="108" t="s">
        <v>426</v>
      </c>
      <c r="E156" s="48">
        <v>22</v>
      </c>
      <c r="F156" s="63">
        <v>33</v>
      </c>
      <c r="G156" s="63">
        <v>4</v>
      </c>
      <c r="H156" s="48">
        <f>SUM(E156:F156)-(45*1)</f>
        <v>10</v>
      </c>
      <c r="I156" s="48">
        <v>13</v>
      </c>
      <c r="J156" s="49">
        <f>SUM(E156:I156)-(45*1)</f>
        <v>37</v>
      </c>
      <c r="K156" s="49">
        <f>SUM(E156:J156)-(45*2)</f>
        <v>29</v>
      </c>
      <c r="L156" s="49">
        <f>SUM(E156:K156)-(45*3)</f>
        <v>13</v>
      </c>
      <c r="M156" s="49">
        <f>SUM(E156:L156)-(45*3)</f>
        <v>26</v>
      </c>
      <c r="N156" s="49">
        <f>SUM(E156:M156)-(45*4)</f>
        <v>7</v>
      </c>
      <c r="O156" s="49">
        <f>SUM(E156:N156)-(45*4)</f>
        <v>14</v>
      </c>
      <c r="P156" s="49">
        <f>SUM(E156:O156)-(45*4)</f>
        <v>28</v>
      </c>
      <c r="Q156" s="49">
        <f>SUM(F156:P156)-(45*4)</f>
        <v>34</v>
      </c>
      <c r="R156" s="49">
        <f>SUM(G156:Q156)-(45*4)</f>
        <v>35</v>
      </c>
      <c r="S156" s="49">
        <f>SUM(H156:R156)-(45*5)</f>
        <v>21</v>
      </c>
      <c r="T156" s="49">
        <f t="shared" ref="T156" si="1816">SUM(I156:S156)-(45*5)</f>
        <v>32</v>
      </c>
      <c r="U156" s="49">
        <f>SUM(J156:T156)-(45*6)</f>
        <v>6</v>
      </c>
      <c r="V156" s="49">
        <f t="shared" ref="V156" si="1817">SUM(K156:U156)-(45*5)</f>
        <v>20</v>
      </c>
      <c r="W156" s="49">
        <f t="shared" ref="W156" si="1818">SUM(L156:V156)-(45*5)</f>
        <v>11</v>
      </c>
      <c r="X156" s="49">
        <f t="shared" ref="X156" si="1819">SUM(M156:W156)-(45*5)</f>
        <v>9</v>
      </c>
      <c r="Y156" s="49">
        <f>SUM(N156:X156)-(45*4)</f>
        <v>37</v>
      </c>
      <c r="Z156" s="49">
        <f t="shared" ref="Z156:Z157" si="1820">SUM(O156:Y156)-(45*5)</f>
        <v>22</v>
      </c>
      <c r="AA156" s="49">
        <f>SUM(P156:Z156)-(45*5)</f>
        <v>30</v>
      </c>
      <c r="AB156" s="49">
        <f>SUM(Q156:AA156)-(45*5)</f>
        <v>32</v>
      </c>
      <c r="AC156" s="49">
        <f>SUM(M156:AB156)-(45*8)</f>
        <v>4</v>
      </c>
      <c r="AD156" s="49">
        <f>SUM(N156:AC156)-(45*7)</f>
        <v>27</v>
      </c>
      <c r="AE156" s="49">
        <f>SUM(O156:AD156)-(45*8)</f>
        <v>2</v>
      </c>
      <c r="AF156" s="49">
        <f>SUM(P156:AE156)-(45*7)</f>
        <v>35</v>
      </c>
      <c r="AG156" s="49">
        <f>SUM(Q156:AF156)-(45*7)</f>
        <v>42</v>
      </c>
      <c r="AH156" s="49">
        <f>SUM(R156:AG156)-(45*8)</f>
        <v>5</v>
      </c>
      <c r="AI156" s="49">
        <f>SUM(S156:AH156)-(45*7)</f>
        <v>20</v>
      </c>
      <c r="AJ156" s="49">
        <f>SUM(T156:AI156)-(45*7)</f>
        <v>19</v>
      </c>
      <c r="AK156" s="49">
        <f>SUM(U156:AJ156)-(45*7)</f>
        <v>6</v>
      </c>
      <c r="AL156" s="49">
        <f>SUM(V156:AK156)-(45*7)</f>
        <v>6</v>
      </c>
      <c r="AM156" s="49">
        <f>SUM(W156:AL156)-(45*6)</f>
        <v>37</v>
      </c>
      <c r="AN156" s="49">
        <f>SUM(X156:AM156)-(45*7)</f>
        <v>18</v>
      </c>
      <c r="AO156" s="49">
        <f>SUM(Y156:AN156)-(45*7)</f>
        <v>27</v>
      </c>
      <c r="AP156" s="49">
        <f>SUM(Z156:AO156)-(45*7)</f>
        <v>17</v>
      </c>
      <c r="AQ156" s="49">
        <f>SUM(AA156:AP156)-(45*7)</f>
        <v>12</v>
      </c>
      <c r="AR156" s="49">
        <f>SUM(AB156:AQ156)-(45*6)</f>
        <v>39</v>
      </c>
      <c r="AS156" s="49">
        <f>SUM(AC156:AR156)-(45*7)</f>
        <v>1</v>
      </c>
      <c r="AT156" s="49">
        <f>SUM(AD156:AS156)-(45*6)</f>
        <v>43</v>
      </c>
      <c r="AU156" s="49">
        <f>SUM(AE156:AT156)-(45*7)</f>
        <v>14</v>
      </c>
      <c r="AV156" s="49">
        <f>SUM(AF156:AU156)-(45*7)</f>
        <v>26</v>
      </c>
      <c r="AW156" s="49">
        <f>SUM(AG156:AV156)-(45*7)</f>
        <v>17</v>
      </c>
      <c r="AX156" s="49">
        <f>SUM(AH156:AW156)-(45*6)</f>
        <v>37</v>
      </c>
      <c r="AY156" s="49">
        <f>SUM(AI156:AX156)-(45*7)</f>
        <v>24</v>
      </c>
      <c r="AZ156" s="49">
        <f>SUM(AJ156:AY156)-(45*7)</f>
        <v>28</v>
      </c>
      <c r="BA156" s="49">
        <f>SUM(AK156:AZ156)-(45*7)</f>
        <v>37</v>
      </c>
      <c r="BB156" s="49">
        <f>SUM(AL156:BA156)-(45*8)</f>
        <v>23</v>
      </c>
      <c r="BC156" s="49">
        <f>SUM(AM156:BB156)-(45*8)</f>
        <v>40</v>
      </c>
      <c r="BD156" s="49">
        <f>SUM(AN156:BC156)-(45*8)</f>
        <v>43</v>
      </c>
      <c r="BE156" s="49">
        <f t="shared" ref="BE156:BK157" si="1821">SUM(AO156:BD156)-(45*9)</f>
        <v>23</v>
      </c>
      <c r="BF156" s="49">
        <f t="shared" si="1821"/>
        <v>19</v>
      </c>
      <c r="BG156" s="49">
        <f t="shared" si="1821"/>
        <v>21</v>
      </c>
      <c r="BH156" s="49">
        <f t="shared" si="1821"/>
        <v>30</v>
      </c>
      <c r="BI156" s="49">
        <f t="shared" si="1821"/>
        <v>21</v>
      </c>
      <c r="BJ156" s="49">
        <f t="shared" si="1821"/>
        <v>41</v>
      </c>
      <c r="BK156" s="49">
        <f t="shared" si="1821"/>
        <v>39</v>
      </c>
      <c r="BL156" s="49">
        <f>SUM(AV156:BK156)-(45*10)</f>
        <v>19</v>
      </c>
      <c r="BM156" s="49">
        <f>SUM(AW156:BL156)-(45*10)</f>
        <v>12</v>
      </c>
      <c r="BN156" s="49">
        <f>SUM(AX156:BM156)-(45*10)</f>
        <v>7</v>
      </c>
      <c r="BO156" s="49">
        <f>SUM(AY156:BN156)-(45*9)</f>
        <v>22</v>
      </c>
      <c r="BP156" s="49">
        <f>SUM(AZ156:BO156)-(45*9)</f>
        <v>20</v>
      </c>
      <c r="BQ156" s="49">
        <f>SUM(BA156:BP156)-(45*9)</f>
        <v>12</v>
      </c>
      <c r="BR156" s="49">
        <f>SUM(BB156:BQ156)-(45*8)</f>
        <v>32</v>
      </c>
      <c r="BS156" s="49">
        <f>SUM(BC156:BR156)-(45*8)</f>
        <v>41</v>
      </c>
      <c r="BT156" s="49">
        <f>SUM(BD156:BS156)-(45*8)</f>
        <v>42</v>
      </c>
      <c r="BU156" s="49">
        <f>SUM(BE156:BT156)-(45*8)</f>
        <v>41</v>
      </c>
      <c r="BV156" s="49">
        <f>SUM(BF156:BU156)-(45*9)</f>
        <v>14</v>
      </c>
      <c r="BX156" s="231"/>
      <c r="CE156" s="122"/>
    </row>
    <row r="157" spans="2:83" s="233" customFormat="1" ht="17.25">
      <c r="B157" s="232"/>
      <c r="C157" s="44">
        <v>626</v>
      </c>
      <c r="D157" s="108" t="s">
        <v>428</v>
      </c>
      <c r="E157" s="48">
        <v>29</v>
      </c>
      <c r="F157" s="63">
        <v>40</v>
      </c>
      <c r="G157" s="63">
        <v>5</v>
      </c>
      <c r="H157" s="48">
        <f>SUM(E157:F157)-(45*1)</f>
        <v>24</v>
      </c>
      <c r="I157" s="48">
        <v>14</v>
      </c>
      <c r="J157" s="49">
        <f>SUM(E157:I157)-(45*2)</f>
        <v>22</v>
      </c>
      <c r="K157" s="49">
        <f>SUM(E157:J157)-(45*2)</f>
        <v>44</v>
      </c>
      <c r="L157" s="49">
        <f>SUM(E157:K157)-(45*3)</f>
        <v>43</v>
      </c>
      <c r="M157" s="49">
        <f>SUM(E157:L157)-(45*4)</f>
        <v>41</v>
      </c>
      <c r="N157" s="49">
        <f>SUM(E157:M157)-(45*5)</f>
        <v>37</v>
      </c>
      <c r="O157" s="49">
        <f>SUM(E157:N157)-(45*6)</f>
        <v>29</v>
      </c>
      <c r="P157" s="49">
        <f>SUM(E157:O157)-(45*7)</f>
        <v>13</v>
      </c>
      <c r="Q157" s="49">
        <f>SUM(F157:P157)-(45*6)</f>
        <v>42</v>
      </c>
      <c r="R157" s="49">
        <f>SUM(G157:Q157)-(45*6)</f>
        <v>44</v>
      </c>
      <c r="S157" s="49">
        <f>SUM(H157:R157)-(45*7)</f>
        <v>38</v>
      </c>
      <c r="T157" s="49">
        <f>SUM(I157:S157)-(45*8)</f>
        <v>7</v>
      </c>
      <c r="U157" s="49">
        <f>SUM(J157:T157)-(45*7)</f>
        <v>45</v>
      </c>
      <c r="V157" s="49">
        <f>SUM(K157:U157)-(45*8)</f>
        <v>23</v>
      </c>
      <c r="W157" s="49">
        <f>SUM(L157:V157)-(45*8)</f>
        <v>2</v>
      </c>
      <c r="X157" s="49">
        <f>SUM(M157:W157)-(45*7)</f>
        <v>6</v>
      </c>
      <c r="Y157" s="49">
        <f>SUM(N157:X157)-(45*6)</f>
        <v>16</v>
      </c>
      <c r="Z157" s="49">
        <f t="shared" si="1820"/>
        <v>40</v>
      </c>
      <c r="AA157" s="49">
        <f>SUM(P157:Z157)-(45*6)</f>
        <v>6</v>
      </c>
      <c r="AB157" s="49">
        <f>SUM(Q157:AA157)-(45*5)</f>
        <v>44</v>
      </c>
      <c r="AC157" s="49">
        <f>SUM(M157:AB157)-(45*9)</f>
        <v>28</v>
      </c>
      <c r="AD157" s="49">
        <f>SUM(N157:AC157)-(45*9)</f>
        <v>15</v>
      </c>
      <c r="AE157" s="49">
        <f>SUM(O157:AD157)-(45*8)</f>
        <v>38</v>
      </c>
      <c r="AF157" s="49">
        <f>SUM(P157:AE157)-(45*9)</f>
        <v>2</v>
      </c>
      <c r="AG157" s="49">
        <f>SUM(Q157:AF157)-(45*8)</f>
        <v>36</v>
      </c>
      <c r="AH157" s="49">
        <f>SUM(R157:AG157)-(45*8)</f>
        <v>30</v>
      </c>
      <c r="AI157" s="49">
        <f>SUM(S157:AH157)-(45*8)</f>
        <v>16</v>
      </c>
      <c r="AJ157" s="49">
        <f>SUM(T157:AI157)-(45*7)</f>
        <v>39</v>
      </c>
      <c r="AK157" s="49">
        <f>SUM(U157:AJ157)-(45*8)</f>
        <v>26</v>
      </c>
      <c r="AL157" s="49">
        <f>SUM(V157:AK157)-(45*8)</f>
        <v>7</v>
      </c>
      <c r="AM157" s="49">
        <f>SUM(W157:AL157)-(45*7)</f>
        <v>36</v>
      </c>
      <c r="AN157" s="49">
        <f>SUM(X157:AM157)-(45*8)</f>
        <v>25</v>
      </c>
      <c r="AO157" s="49">
        <f>SUM(Y157:AN157)-(45*8)</f>
        <v>44</v>
      </c>
      <c r="AP157" s="49">
        <f>SUM(Z157:AO157)-(45*9)</f>
        <v>27</v>
      </c>
      <c r="AQ157" s="49">
        <f>SUM(AA157:AP157)-(45*9)</f>
        <v>14</v>
      </c>
      <c r="AR157" s="49">
        <f>SUM(AB157:AQ157)-(45*9)</f>
        <v>22</v>
      </c>
      <c r="AS157" s="49">
        <f>SUM(AC157:AR157)-(45*8)</f>
        <v>45</v>
      </c>
      <c r="AT157" s="49">
        <f>SUM(AD157:AS157)-(45*9)</f>
        <v>17</v>
      </c>
      <c r="AU157" s="49">
        <f>SUM(AE157:AT157)-(45*9)</f>
        <v>19</v>
      </c>
      <c r="AV157" s="49">
        <f>SUM(AF157:AU157)-(45*8)</f>
        <v>45</v>
      </c>
      <c r="AW157" s="49">
        <f>SUM(AG157:AV157)-(45*9)</f>
        <v>43</v>
      </c>
      <c r="AX157" s="49">
        <f>SUM(AH157:AW157)-(45*10)</f>
        <v>5</v>
      </c>
      <c r="AY157" s="49">
        <f>SUM(AI157:AX157)-(45*9)</f>
        <v>25</v>
      </c>
      <c r="AZ157" s="49">
        <f>SUM(AJ157:AY157)-(45*9)</f>
        <v>34</v>
      </c>
      <c r="BA157" s="49">
        <f>SUM(AK157:AZ157)-(45*9)</f>
        <v>29</v>
      </c>
      <c r="BB157" s="49">
        <f>SUM(AL157:BA157)-(45*9)</f>
        <v>32</v>
      </c>
      <c r="BC157" s="49">
        <f>SUM(AM157:BB157)-(45*10)</f>
        <v>12</v>
      </c>
      <c r="BD157" s="49">
        <f>SUM(AN157:BC157)-(45*9)</f>
        <v>33</v>
      </c>
      <c r="BE157" s="49">
        <f>SUM(AO157:BD157)-(45*9)</f>
        <v>41</v>
      </c>
      <c r="BF157" s="49">
        <f t="shared" si="1821"/>
        <v>38</v>
      </c>
      <c r="BG157" s="49">
        <f>SUM(AQ157:BF157)-(45*10)</f>
        <v>4</v>
      </c>
      <c r="BH157" s="49">
        <f t="shared" ref="BH157:BL157" si="1822">SUM(AR157:BG157)-(45*9)</f>
        <v>39</v>
      </c>
      <c r="BI157" s="49">
        <f>SUM(AS157:BH157)-(45*10)</f>
        <v>11</v>
      </c>
      <c r="BJ157" s="49">
        <f t="shared" si="1822"/>
        <v>22</v>
      </c>
      <c r="BK157" s="49">
        <f t="shared" si="1822"/>
        <v>27</v>
      </c>
      <c r="BL157" s="49">
        <f t="shared" si="1822"/>
        <v>35</v>
      </c>
      <c r="BM157" s="49">
        <f>SUM(AW157:BL157)-(45*9)</f>
        <v>25</v>
      </c>
      <c r="BN157" s="49">
        <f>SUM(AX157:BM157)-(45*9)</f>
        <v>7</v>
      </c>
      <c r="BO157" s="49">
        <f>SUM(AY157:BN157)-(45*9)</f>
        <v>9</v>
      </c>
      <c r="BP157" s="49">
        <f>SUM(AZ157:BO157)-(45*8)</f>
        <v>38</v>
      </c>
      <c r="BQ157" s="49">
        <f>SUM(BA157:BP157)-(45*8)</f>
        <v>42</v>
      </c>
      <c r="BR157" s="49">
        <f>SUM(BB157:BQ157)-(45*9)</f>
        <v>10</v>
      </c>
      <c r="BS157" s="49">
        <f>SUM(BC157:BR157)-(45*8)</f>
        <v>33</v>
      </c>
      <c r="BT157" s="49">
        <f>SUM(BD157:BS157)-(45*9)</f>
        <v>9</v>
      </c>
      <c r="BU157" s="49">
        <f>SUM(BE157:BT157)-(45*8)</f>
        <v>30</v>
      </c>
      <c r="BV157" s="49">
        <f>SUM(BF157:BU157)-(45*8)</f>
        <v>19</v>
      </c>
      <c r="BX157" s="231"/>
      <c r="CE157" s="122"/>
    </row>
    <row r="158" spans="2:83" s="233" customFormat="1" ht="17.25">
      <c r="B158" s="232"/>
      <c r="C158" s="44">
        <v>627</v>
      </c>
      <c r="D158" s="108" t="s">
        <v>429</v>
      </c>
      <c r="E158" s="48">
        <v>6</v>
      </c>
      <c r="F158" s="63">
        <v>18</v>
      </c>
      <c r="G158" s="63">
        <v>1</v>
      </c>
      <c r="H158" s="48">
        <f>SUM(E158:F158)-(45*0)</f>
        <v>24</v>
      </c>
      <c r="I158" s="48">
        <v>15</v>
      </c>
      <c r="J158" s="49">
        <f>SUM(E158:I158)-(45*1)</f>
        <v>19</v>
      </c>
      <c r="K158" s="49">
        <f>SUM(E158:J158)-(45*1)</f>
        <v>38</v>
      </c>
      <c r="L158" s="49">
        <f>SUM(E158:K158)-(45*2)</f>
        <v>31</v>
      </c>
      <c r="M158" s="49">
        <f>SUM(E158:L158)-(45*3)</f>
        <v>17</v>
      </c>
      <c r="N158" s="49">
        <f>SUM(E158:M158)-(45*3)</f>
        <v>34</v>
      </c>
      <c r="O158" s="49">
        <f>SUM(E158:N158)-(45*4)</f>
        <v>23</v>
      </c>
      <c r="P158" s="49">
        <f>SUM(E158:O158)-(45*5)</f>
        <v>1</v>
      </c>
      <c r="Q158" s="49">
        <f>SUM(F158:P158)-(45*4)</f>
        <v>41</v>
      </c>
      <c r="R158" s="49">
        <f>SUM(G158:Q158)-(45*5)</f>
        <v>19</v>
      </c>
      <c r="S158" s="49">
        <f>SUM(H158:R158)-(45*5)</f>
        <v>37</v>
      </c>
      <c r="T158" s="49">
        <f>SUM(I158:S158)-(45*6)</f>
        <v>5</v>
      </c>
      <c r="U158" s="49">
        <f>SUM(J158:T158)-(45*5)</f>
        <v>40</v>
      </c>
      <c r="V158" s="49">
        <f>SUM(K158:U158)-(45*6)</f>
        <v>16</v>
      </c>
      <c r="W158" s="49">
        <f>SUM(L158:V158)-(45*5)</f>
        <v>39</v>
      </c>
      <c r="X158" s="49">
        <f>SUM(M158:W158)-(45*6)</f>
        <v>2</v>
      </c>
      <c r="Y158" s="49">
        <f>SUM(N158:X158)-(45*5)</f>
        <v>32</v>
      </c>
      <c r="Z158" s="49">
        <f t="shared" ref="Z158" si="1823">SUM(O158:Y158)-(45*5)</f>
        <v>30</v>
      </c>
      <c r="AA158" s="49">
        <f>SUM(P158:Z158)-(45*5)</f>
        <v>37</v>
      </c>
      <c r="AB158" s="49">
        <f>SUM(Q158:AA158)-(45*6)</f>
        <v>28</v>
      </c>
      <c r="AC158" s="49">
        <f>SUM(M158:AB158)-(45*8)</f>
        <v>41</v>
      </c>
      <c r="AD158" s="49">
        <f>SUM(N158:AC158)-(45*9)</f>
        <v>20</v>
      </c>
      <c r="AE158" s="49">
        <f>SUM(O158:AD158)-(45*9)</f>
        <v>6</v>
      </c>
      <c r="AF158" s="49">
        <f>SUM(P158:AE158)-(45*8)</f>
        <v>34</v>
      </c>
      <c r="AG158" s="49">
        <f>SUM(Q158:AF158)-(45*9)</f>
        <v>22</v>
      </c>
      <c r="AH158" s="49">
        <f>SUM(R158:AG158)-(45*9)</f>
        <v>3</v>
      </c>
      <c r="AI158" s="49">
        <f>SUM(S158:AH158)-(45*8)</f>
        <v>32</v>
      </c>
      <c r="AJ158" s="49">
        <f>SUM(T158:AI158)-(45*8)</f>
        <v>27</v>
      </c>
      <c r="AK158" s="49">
        <f>SUM(U158:AJ158)-(45*9)</f>
        <v>4</v>
      </c>
      <c r="AL158" s="49">
        <f>SUM(V158:AK158)-(45*8)</f>
        <v>13</v>
      </c>
      <c r="AM158" s="49">
        <f>SUM(W158:AL158)-(45*8)</f>
        <v>10</v>
      </c>
      <c r="AN158" s="49">
        <f>SUM(X158:AM158)-(45*7)</f>
        <v>26</v>
      </c>
      <c r="AO158" s="49">
        <f>SUM(Y158:AN158)-(45*8)</f>
        <v>5</v>
      </c>
      <c r="AP158" s="49">
        <f>SUM(Z158:AO158)-(45*7)</f>
        <v>23</v>
      </c>
      <c r="AQ158" s="49">
        <f>SUM(AA158:AP158)-(45*7)</f>
        <v>16</v>
      </c>
      <c r="AR158" s="49">
        <f>SUM(AB158:AQ158)-(45*6)</f>
        <v>40</v>
      </c>
      <c r="AS158" s="49">
        <f>SUM(AC158:AR158)-(45*7)</f>
        <v>7</v>
      </c>
      <c r="AT158" s="49">
        <f t="shared" ref="AT158:BJ158" si="1824">SUM(AD158:AS158)-(45*6)</f>
        <v>18</v>
      </c>
      <c r="AU158" s="49">
        <f t="shared" si="1824"/>
        <v>16</v>
      </c>
      <c r="AV158" s="49">
        <f t="shared" si="1824"/>
        <v>26</v>
      </c>
      <c r="AW158" s="49">
        <f t="shared" si="1824"/>
        <v>18</v>
      </c>
      <c r="AX158" s="49">
        <f t="shared" si="1824"/>
        <v>14</v>
      </c>
      <c r="AY158" s="49">
        <f t="shared" si="1824"/>
        <v>25</v>
      </c>
      <c r="AZ158" s="49">
        <f t="shared" si="1824"/>
        <v>18</v>
      </c>
      <c r="BA158" s="49">
        <f t="shared" si="1824"/>
        <v>9</v>
      </c>
      <c r="BB158" s="49">
        <f t="shared" si="1824"/>
        <v>14</v>
      </c>
      <c r="BC158" s="49">
        <f t="shared" si="1824"/>
        <v>15</v>
      </c>
      <c r="BD158" s="49">
        <f t="shared" si="1824"/>
        <v>20</v>
      </c>
      <c r="BE158" s="49">
        <f t="shared" si="1824"/>
        <v>14</v>
      </c>
      <c r="BF158" s="49">
        <f t="shared" si="1824"/>
        <v>23</v>
      </c>
      <c r="BG158" s="49">
        <f t="shared" si="1824"/>
        <v>23</v>
      </c>
      <c r="BH158" s="49">
        <f t="shared" si="1824"/>
        <v>30</v>
      </c>
      <c r="BI158" s="49">
        <f t="shared" si="1824"/>
        <v>20</v>
      </c>
      <c r="BJ158" s="49">
        <f t="shared" si="1824"/>
        <v>33</v>
      </c>
      <c r="BK158" s="49">
        <f>SUM(AU158:BJ158)-(45*7)</f>
        <v>3</v>
      </c>
      <c r="BL158" s="49">
        <f>SUM(AV158:BK158)-(45*6)</f>
        <v>35</v>
      </c>
      <c r="BM158" s="49">
        <f>SUM(AW158:BL158)-(45*6)</f>
        <v>44</v>
      </c>
      <c r="BN158" s="49">
        <f>SUM(AX158:BM158)-(45*7)</f>
        <v>25</v>
      </c>
      <c r="BO158" s="49">
        <f>SUM(AY158:BN158)-(45*7)</f>
        <v>36</v>
      </c>
      <c r="BP158" s="49">
        <f>SUM(AZ158:BO158)-(45*8)</f>
        <v>2</v>
      </c>
      <c r="BQ158" s="49">
        <f>SUM(BA158:BP158)-(45*7)</f>
        <v>31</v>
      </c>
      <c r="BR158" s="49">
        <f>SUM(BB158:BQ158)-(45*8)</f>
        <v>8</v>
      </c>
      <c r="BS158" s="49">
        <f>SUM(BC158:BR158)-(45*8)</f>
        <v>2</v>
      </c>
      <c r="BT158" s="49">
        <f>SUM(BD158:BS158)-(45*7)</f>
        <v>34</v>
      </c>
      <c r="BU158" s="49">
        <f>SUM(BE158:BT158)-(45*8)</f>
        <v>3</v>
      </c>
      <c r="BV158" s="49">
        <f>SUM(BF158:BU158)-(45*7)</f>
        <v>37</v>
      </c>
      <c r="BX158" s="231"/>
      <c r="CE158" s="122"/>
    </row>
    <row r="159" spans="2:83" s="235" customFormat="1" ht="17.25">
      <c r="B159" s="237"/>
      <c r="C159" s="44">
        <v>628</v>
      </c>
      <c r="D159" s="108" t="s">
        <v>430</v>
      </c>
      <c r="E159" s="48">
        <v>13</v>
      </c>
      <c r="F159" s="63">
        <v>25</v>
      </c>
      <c r="G159" s="63">
        <v>2</v>
      </c>
      <c r="H159" s="48">
        <f>SUM(E159:F159)-(45*0)</f>
        <v>38</v>
      </c>
      <c r="I159" s="48">
        <v>16</v>
      </c>
      <c r="J159" s="49">
        <f>SUM(E159:I159)-(45*2)</f>
        <v>4</v>
      </c>
      <c r="K159" s="49">
        <f>SUM(E159:J159)-(45*2)</f>
        <v>8</v>
      </c>
      <c r="L159" s="49">
        <f>SUM(E159:K159)-(45*2)</f>
        <v>16</v>
      </c>
      <c r="M159" s="49">
        <f>SUM(E159:L159)-(45*2)</f>
        <v>32</v>
      </c>
      <c r="N159" s="49">
        <f>SUM(E159:M159)-(45*3)</f>
        <v>19</v>
      </c>
      <c r="O159" s="49">
        <f>SUM(E159:N159)-(45*3)</f>
        <v>38</v>
      </c>
      <c r="P159" s="49">
        <f>SUM(E159:O159)-(45*4)</f>
        <v>31</v>
      </c>
      <c r="Q159" s="49">
        <f>SUM(F159:P159)-(45*5)</f>
        <v>4</v>
      </c>
      <c r="R159" s="49">
        <f>SUM(G159:Q159)-(45*4)</f>
        <v>28</v>
      </c>
      <c r="S159" s="49">
        <f>SUM(H159:R159)-(45*5)</f>
        <v>9</v>
      </c>
      <c r="T159" s="49">
        <f>SUM(I159:S159)-(45*4)</f>
        <v>25</v>
      </c>
      <c r="U159" s="49">
        <f>SUM(J159:T159)-(45*4)</f>
        <v>34</v>
      </c>
      <c r="V159" s="49">
        <f>SUM(K159:U159)-(45*5)</f>
        <v>19</v>
      </c>
      <c r="W159" s="49">
        <f>SUM(L159:V159)-(45*5)</f>
        <v>30</v>
      </c>
      <c r="X159" s="49">
        <f>SUM(M159:W159)-(45*5)</f>
        <v>44</v>
      </c>
      <c r="Y159" s="49">
        <f>SUM(N159:X159)-(45*6)</f>
        <v>11</v>
      </c>
      <c r="Z159" s="49">
        <f>SUM(O159:Y159)-(45*6)</f>
        <v>3</v>
      </c>
      <c r="AA159" s="49">
        <f>SUM(P159:Z159)-(45*5)</f>
        <v>13</v>
      </c>
      <c r="AB159" s="49">
        <f>SUM(Q159:AA159)-(45*4)</f>
        <v>40</v>
      </c>
      <c r="AC159" s="49">
        <f>SUM(M159:AB159)-(45*8)</f>
        <v>20</v>
      </c>
      <c r="AD159" s="49">
        <f>SUM(N159:AC159)-(45*8)</f>
        <v>8</v>
      </c>
      <c r="AE159" s="49">
        <f>SUM(O159:AD159)-(45*7)</f>
        <v>42</v>
      </c>
      <c r="AF159" s="49">
        <f>SUM(P159:AE159)-(45*8)</f>
        <v>1</v>
      </c>
      <c r="AG159" s="49">
        <f>SUM(Q159:AF159)-(45*7)</f>
        <v>16</v>
      </c>
      <c r="AH159" s="49">
        <f>SUM(R159:AG159)-(45*7)</f>
        <v>28</v>
      </c>
      <c r="AI159" s="49">
        <f>SUM(S159:AH159)-(45*7)</f>
        <v>28</v>
      </c>
      <c r="AJ159" s="49">
        <f>SUM(T159:AI159)-(45*8)</f>
        <v>2</v>
      </c>
      <c r="AK159" s="49">
        <f>SUM(U159:AJ159)-(45*7)</f>
        <v>24</v>
      </c>
      <c r="AL159" s="49">
        <f>SUM(V159:AK159)-(45*7)</f>
        <v>14</v>
      </c>
      <c r="AM159" s="49">
        <f>SUM(W159:AL159)-(45*7)</f>
        <v>9</v>
      </c>
      <c r="AN159" s="49">
        <f>SUM(X159:AM159)-(45*6)</f>
        <v>33</v>
      </c>
      <c r="AO159" s="49">
        <f>SUM(Y159:AN159)-(45*6)</f>
        <v>22</v>
      </c>
      <c r="AP159" s="49">
        <f>SUM(Z159:AO159)-(45*6)</f>
        <v>33</v>
      </c>
      <c r="AQ159" s="49">
        <f>SUM(AA159:AP159)-(45*7)</f>
        <v>18</v>
      </c>
      <c r="AR159" s="49">
        <f>SUM(AB159:AQ159)-(45*7)</f>
        <v>23</v>
      </c>
      <c r="AS159" s="49">
        <f>SUM(AC159:AR159)-(45*7)</f>
        <v>6</v>
      </c>
      <c r="AT159" s="49">
        <f t="shared" ref="AT159" si="1825">SUM(AD159:AS159)-(45*6)</f>
        <v>37</v>
      </c>
      <c r="AU159" s="49">
        <f>SUM(AE159:AT159)-(45*7)</f>
        <v>21</v>
      </c>
      <c r="AV159" s="49">
        <f t="shared" ref="AV159" si="1826">SUM(AF159:AU159)-(45*6)</f>
        <v>45</v>
      </c>
      <c r="AW159" s="49">
        <f>SUM(AG159:AV159)-(45*7)</f>
        <v>44</v>
      </c>
      <c r="AX159" s="49">
        <f>SUM(AH159:AW159)-(45*8)</f>
        <v>27</v>
      </c>
      <c r="AY159" s="49">
        <f>SUM(AI159:AX159)-(45*8)</f>
        <v>26</v>
      </c>
      <c r="AZ159" s="49">
        <f>SUM(AJ159:AY159)-(45*8)</f>
        <v>24</v>
      </c>
      <c r="BA159" s="49">
        <f>SUM(AK159:AZ159)-(45*9)</f>
        <v>1</v>
      </c>
      <c r="BB159" s="49">
        <f>SUM(AL159:BA159)-(45*8)</f>
        <v>23</v>
      </c>
      <c r="BC159" s="49">
        <f>SUM(AM159:BB159)-(45*8)</f>
        <v>32</v>
      </c>
      <c r="BD159" s="49">
        <f>SUM(AN159:BC159)-(45*9)</f>
        <v>10</v>
      </c>
      <c r="BE159" s="49">
        <f>SUM(AO159:BD159)-(45*8)</f>
        <v>32</v>
      </c>
      <c r="BF159" s="49">
        <f>SUM(AP159:BE159)-(45*8)</f>
        <v>42</v>
      </c>
      <c r="BG159" s="49">
        <f>SUM(AQ159:BF159)-(45*9)</f>
        <v>6</v>
      </c>
      <c r="BH159" s="49">
        <f>SUM(AR159:BG159)-(45*8)</f>
        <v>39</v>
      </c>
      <c r="BI159" s="49">
        <f>SUM(AS159:BH159)-(45*9)</f>
        <v>10</v>
      </c>
      <c r="BJ159" s="49">
        <f>SUM(AT159:BI159)-(45*9)</f>
        <v>14</v>
      </c>
      <c r="BK159" s="49">
        <f>SUM(AU159:BJ159)-(45*8)</f>
        <v>36</v>
      </c>
      <c r="BL159" s="49">
        <f>SUM(AV159:BK159)-(45*9)</f>
        <v>6</v>
      </c>
      <c r="BM159" s="49">
        <f>SUM(AW159:BL159)-(45*8)</f>
        <v>12</v>
      </c>
      <c r="BN159" s="49">
        <f>SUM(AX159:BM159)-(45*7)</f>
        <v>25</v>
      </c>
      <c r="BO159" s="49">
        <f>SUM(AY159:BN159)-(45*7)</f>
        <v>23</v>
      </c>
      <c r="BP159" s="49">
        <f>SUM(AZ159:BO159)-(45*7)</f>
        <v>20</v>
      </c>
      <c r="BQ159" s="49">
        <f>SUM(BA159:BP159)-(45*7)</f>
        <v>16</v>
      </c>
      <c r="BR159" s="49">
        <f>SUM(BB159:BQ159)-(45*7)</f>
        <v>31</v>
      </c>
      <c r="BS159" s="49">
        <f>SUM(BC159:BR159)-(45*7)</f>
        <v>39</v>
      </c>
      <c r="BT159" s="49">
        <f>SUM(BD159:BS159)-(45*8)</f>
        <v>1</v>
      </c>
      <c r="BU159" s="49">
        <f>SUM(BE159:BT159)-(45*7)</f>
        <v>37</v>
      </c>
      <c r="BV159" s="49">
        <f>SUM(BF159:BU159)-(45*7)</f>
        <v>42</v>
      </c>
      <c r="BX159" s="236"/>
      <c r="CE159" s="122"/>
    </row>
    <row r="160" spans="2:83" s="238" customFormat="1" ht="17.25">
      <c r="B160" s="240"/>
      <c r="C160" s="44">
        <v>629</v>
      </c>
      <c r="D160" s="108" t="s">
        <v>431</v>
      </c>
      <c r="E160" s="48">
        <v>20</v>
      </c>
      <c r="F160" s="63">
        <v>32</v>
      </c>
      <c r="G160" s="63">
        <v>3</v>
      </c>
      <c r="H160" s="48">
        <f>SUM(E160:F160)-(45*1)</f>
        <v>7</v>
      </c>
      <c r="I160" s="48">
        <v>17</v>
      </c>
      <c r="J160" s="49">
        <f>SUM(E160:I160)-(45*1)</f>
        <v>34</v>
      </c>
      <c r="K160" s="49">
        <f>SUM(E160:J160)-(45*2)</f>
        <v>23</v>
      </c>
      <c r="L160" s="49">
        <f>SUM(E160:K160)-(45*3)</f>
        <v>1</v>
      </c>
      <c r="M160" s="49">
        <f>SUM(E160:L160)-(45*3)</f>
        <v>2</v>
      </c>
      <c r="N160" s="49">
        <f>SUM(E160:M160)-(45*3)</f>
        <v>4</v>
      </c>
      <c r="O160" s="49">
        <f>SUM(E160:N160)-(45*3)</f>
        <v>8</v>
      </c>
      <c r="P160" s="49">
        <f>SUM(E160:O160)-(45*3)</f>
        <v>16</v>
      </c>
      <c r="Q160" s="49">
        <f>SUM(F160:P160)-(45*3)</f>
        <v>12</v>
      </c>
      <c r="R160" s="49">
        <f>SUM(G160:Q160)-(45*2)</f>
        <v>37</v>
      </c>
      <c r="S160" s="49">
        <f>SUM(H160:R160)-(45*3)</f>
        <v>26</v>
      </c>
      <c r="T160" s="49">
        <f>SUM(I160:S160)-(45*3)</f>
        <v>45</v>
      </c>
      <c r="U160" s="49">
        <f>SUM(J160:T160)-(45*4)</f>
        <v>28</v>
      </c>
      <c r="V160" s="49">
        <f>SUM(K160:U160)-(45*4)</f>
        <v>22</v>
      </c>
      <c r="W160" s="49">
        <f>SUM(L160:V160)-(45*4)</f>
        <v>21</v>
      </c>
      <c r="X160" s="49">
        <f>SUM(M160:W160)-(45*4)</f>
        <v>41</v>
      </c>
      <c r="Y160" s="49">
        <f>SUM(N160:X160)-(45*5)</f>
        <v>35</v>
      </c>
      <c r="Z160" s="49">
        <f>SUM(O160:Y160)-(45*6)</f>
        <v>21</v>
      </c>
      <c r="AA160" s="49">
        <f>SUM(P160:Z160)-(45*6)</f>
        <v>34</v>
      </c>
      <c r="AB160" s="49">
        <f>SUM(Q160:AA160)-(45*7)</f>
        <v>7</v>
      </c>
      <c r="AC160" s="49">
        <f>SUM(M160:AB160)-(45*7)</f>
        <v>44</v>
      </c>
      <c r="AD160" s="49">
        <f>SUM(N160:AC160)-(45*8)</f>
        <v>41</v>
      </c>
      <c r="AE160" s="49">
        <f>SUM(O160:AD160)-(45*9)</f>
        <v>33</v>
      </c>
      <c r="AF160" s="49">
        <f>SUM(P160:AE160)-(45*10)</f>
        <v>13</v>
      </c>
      <c r="AG160" s="49">
        <f>SUM(Q160:AF160)-(45*10)</f>
        <v>10</v>
      </c>
      <c r="AH160" s="49">
        <f>SUM(R160:AG160)-(45*10)</f>
        <v>8</v>
      </c>
      <c r="AI160" s="49">
        <f>SUM(S160:AH160)-(45*9)</f>
        <v>24</v>
      </c>
      <c r="AJ160" s="49">
        <f>SUM(T160:AI160)-(45*9)</f>
        <v>22</v>
      </c>
      <c r="AK160" s="49">
        <f>SUM(U160:AJ160)-(45*8)</f>
        <v>44</v>
      </c>
      <c r="AL160" s="49">
        <f>SUM(V160:AK160)-(45*9)</f>
        <v>15</v>
      </c>
      <c r="AM160" s="49">
        <f>SUM(W160:AL160)-(45*9)</f>
        <v>8</v>
      </c>
      <c r="AN160" s="49">
        <f>SUM(X160:AM160)-(45*8)</f>
        <v>40</v>
      </c>
      <c r="AO160" s="49">
        <f>SUM(Y160:AN160)-(45*8)</f>
        <v>39</v>
      </c>
      <c r="AP160" s="49">
        <f>SUM(Z160:AO160)-(45*8)</f>
        <v>43</v>
      </c>
      <c r="AQ160" s="49">
        <f>SUM(AA160:AP160)-(45*9)</f>
        <v>20</v>
      </c>
      <c r="AR160" s="49">
        <f>SUM(AB160:AQ160)-(45*9)</f>
        <v>6</v>
      </c>
      <c r="AS160" s="49">
        <f>SUM(AC160:AR160)-(45*9)</f>
        <v>5</v>
      </c>
      <c r="AT160" s="49">
        <f>SUM(AD160:AS160)-(45*8)</f>
        <v>11</v>
      </c>
      <c r="AU160" s="49">
        <f>SUM(AE160:AT160)-(45*7)</f>
        <v>26</v>
      </c>
      <c r="AV160" s="49">
        <f>SUM(AF160:AU160)-(45*7)</f>
        <v>19</v>
      </c>
      <c r="AW160" s="49">
        <f>SUM(AG160:AV160)-(45*7)</f>
        <v>25</v>
      </c>
      <c r="AX160" s="49">
        <f>SUM(AH160:AW160)-(45*7)</f>
        <v>40</v>
      </c>
      <c r="AY160" s="49">
        <f>SUM(AI160:AX160)-(45*8)</f>
        <v>27</v>
      </c>
      <c r="AZ160" s="49">
        <f>SUM(AJ160:AY160)-(45*8)</f>
        <v>30</v>
      </c>
      <c r="BA160" s="49">
        <f>SUM(AK160:AZ160)-(45*8)</f>
        <v>38</v>
      </c>
      <c r="BB160" s="49">
        <f>SUM(AL160:BA160)-(45*8)</f>
        <v>32</v>
      </c>
      <c r="BC160" s="49">
        <f>SUM(AM160:BB160)-(45*9)</f>
        <v>4</v>
      </c>
      <c r="BD160" s="49">
        <f>SUM(AN160:BC160)-(45*8)</f>
        <v>45</v>
      </c>
      <c r="BE160" s="49">
        <f>SUM(AO160:BD160)-(45*9)</f>
        <v>5</v>
      </c>
      <c r="BF160" s="49">
        <f>SUM(AP160:BE160)-(45*8)</f>
        <v>16</v>
      </c>
      <c r="BG160" s="49">
        <f>SUM(AQ160:BF160)-(45*7)</f>
        <v>34</v>
      </c>
      <c r="BH160" s="49">
        <f>SUM(AR160:BG160)-(45*8)</f>
        <v>3</v>
      </c>
      <c r="BI160" s="49">
        <f>SUM(AS160:BH160)-(45*7)</f>
        <v>45</v>
      </c>
      <c r="BJ160" s="49">
        <f>SUM(AT160:BI160)-(45*8)</f>
        <v>40</v>
      </c>
      <c r="BK160" s="49">
        <f>SUM(AU160:BJ160)-(45*9)</f>
        <v>24</v>
      </c>
      <c r="BL160" s="49">
        <f>SUM(AV160:BK160)-(45*9)</f>
        <v>22</v>
      </c>
      <c r="BM160" s="49">
        <f>SUM(AW160:BL160)-(45*9)</f>
        <v>25</v>
      </c>
      <c r="BN160" s="49">
        <f>SUM(AX160:BM160)-(45*9)</f>
        <v>25</v>
      </c>
      <c r="BO160" s="49">
        <f>SUM(AY160:BN160)-(45*9)</f>
        <v>10</v>
      </c>
      <c r="BP160" s="49">
        <f>SUM(AZ160:BO160)-(45*8)</f>
        <v>38</v>
      </c>
      <c r="BQ160" s="49">
        <f>SUM(BA160:BP160)-(45*9)</f>
        <v>1</v>
      </c>
      <c r="BR160" s="49">
        <f>SUM(BB160:BQ160)-(45*8)</f>
        <v>9</v>
      </c>
      <c r="BS160" s="49">
        <f>SUM(BC160:BR160)-(45*7)</f>
        <v>31</v>
      </c>
      <c r="BT160" s="49">
        <f>SUM(BD160:BS160)-(45*8)</f>
        <v>13</v>
      </c>
      <c r="BU160" s="49">
        <f>SUM(BE160:BT160)-(45*7)</f>
        <v>26</v>
      </c>
      <c r="BV160" s="49">
        <f>SUM(BF160:BU160)-(45*8)</f>
        <v>2</v>
      </c>
      <c r="BX160" s="239"/>
      <c r="CE160" s="122"/>
    </row>
    <row r="161" spans="2:83" s="238" customFormat="1" ht="17.25">
      <c r="B161" s="240"/>
      <c r="C161" s="44">
        <v>630</v>
      </c>
      <c r="D161" s="108" t="s">
        <v>432</v>
      </c>
      <c r="E161" s="48">
        <v>27</v>
      </c>
      <c r="F161" s="63">
        <v>39</v>
      </c>
      <c r="G161" s="63">
        <v>4</v>
      </c>
      <c r="H161" s="48">
        <f>SUM(E161:F161)-(45*1)</f>
        <v>21</v>
      </c>
      <c r="I161" s="48">
        <v>9</v>
      </c>
      <c r="J161" s="49">
        <f>SUM(E161:I161)-(45*2)</f>
        <v>10</v>
      </c>
      <c r="K161" s="49">
        <f>SUM(E161:J161)-(45*2)</f>
        <v>20</v>
      </c>
      <c r="L161" s="49">
        <f>SUM(E161:K161)-(45*2)</f>
        <v>40</v>
      </c>
      <c r="M161" s="49">
        <f>SUM(E161:L161)-(45*3)</f>
        <v>35</v>
      </c>
      <c r="N161" s="49">
        <f>SUM(E161:M161)-(45*4)</f>
        <v>25</v>
      </c>
      <c r="O161" s="49">
        <f>SUM(E161:N161)-(45*5)</f>
        <v>5</v>
      </c>
      <c r="P161" s="49">
        <f>SUM(E161:O161)-(45*5)</f>
        <v>10</v>
      </c>
      <c r="Q161" s="49">
        <f>SUM(F161:P161)-(45*4)</f>
        <v>38</v>
      </c>
      <c r="R161" s="49">
        <f>SUM(G161:Q161)-(45*4)</f>
        <v>37</v>
      </c>
      <c r="S161" s="49">
        <f>SUM(H161:R161)-(45*5)</f>
        <v>25</v>
      </c>
      <c r="T161" s="49">
        <f>SUM(I161:S161)-(45*5)</f>
        <v>29</v>
      </c>
      <c r="U161" s="49">
        <f>SUM(J161:T161)-(45*6)</f>
        <v>4</v>
      </c>
      <c r="V161" s="49">
        <f>SUM(K161:U161)-(45*5)</f>
        <v>43</v>
      </c>
      <c r="W161" s="49">
        <f>SUM(L161:V161)-(45*6)</f>
        <v>21</v>
      </c>
      <c r="X161" s="49">
        <f>SUM(M161:W161)-(45*6)</f>
        <v>2</v>
      </c>
      <c r="Y161" s="49">
        <f>SUM(N161:X161)-(45*5)</f>
        <v>14</v>
      </c>
      <c r="Z161" s="49">
        <f>SUM(O161:Y161)-(45*5)</f>
        <v>3</v>
      </c>
      <c r="AA161" s="49">
        <f>SUM(P161:Z161)-(45*5)</f>
        <v>1</v>
      </c>
      <c r="AB161" s="49">
        <f>SUM(Q161:AA161)-(45*4)</f>
        <v>37</v>
      </c>
      <c r="AC161" s="49">
        <f>SUM(M161:AB161)-(45*7)</f>
        <v>14</v>
      </c>
      <c r="AD161" s="49">
        <f>SUM(N161:AC161)-(45*6)</f>
        <v>38</v>
      </c>
      <c r="AE161" s="49">
        <f>SUM(O161:AD161)-(45*7)</f>
        <v>6</v>
      </c>
      <c r="AF161" s="49">
        <f>SUM(P161:AE161)-(45*7)</f>
        <v>7</v>
      </c>
      <c r="AG161" s="49">
        <f>SUM(Q161:AF161)-(45*7)</f>
        <v>4</v>
      </c>
      <c r="AH161" s="49">
        <f>SUM(R161:AG161)-(45*6)</f>
        <v>15</v>
      </c>
      <c r="AI161" s="49">
        <f>SUM(S161:AH161)-(45*5)</f>
        <v>38</v>
      </c>
      <c r="AJ161" s="49">
        <f>SUM(T161:AI161)-(45*6)</f>
        <v>6</v>
      </c>
      <c r="AK161" s="49">
        <f>SUM(U161:AJ161)-(45*5)</f>
        <v>28</v>
      </c>
      <c r="AL161" s="49">
        <f>SUM(V161:AK161)-(45*6)</f>
        <v>7</v>
      </c>
      <c r="AM161" s="49">
        <f>SUM(W161:AL161)-(45*5)</f>
        <v>16</v>
      </c>
      <c r="AN161" s="49">
        <f>SUM(X161:AM161)-(45*5)</f>
        <v>11</v>
      </c>
      <c r="AO161" s="49">
        <f>SUM(Y161:AN161)-(45*5)</f>
        <v>20</v>
      </c>
      <c r="AP161" s="49">
        <f>SUM(Z161:AO161)-(45*5)</f>
        <v>26</v>
      </c>
      <c r="AQ161" s="49">
        <f>SUM(AA161:AP161)-(45*6)</f>
        <v>4</v>
      </c>
      <c r="AR161" s="49">
        <f>SUM(AB161:AQ161)-(45*6)</f>
        <v>7</v>
      </c>
      <c r="AS161" s="49">
        <f>SUM(AC161:AR161)-(45*5)</f>
        <v>22</v>
      </c>
      <c r="AT161" s="49">
        <f>SUM(AD161:AS161)-(45*5)</f>
        <v>30</v>
      </c>
      <c r="AU161" s="49">
        <f>SUM(AE161:AT161)-(45*5)</f>
        <v>22</v>
      </c>
      <c r="AV161" s="49">
        <f>SUM(AF161:AU161)-(45*5)</f>
        <v>38</v>
      </c>
      <c r="AW161" s="49">
        <f>SUM(AG161:AV161)-(45*6)</f>
        <v>24</v>
      </c>
      <c r="AX161" s="49">
        <f>SUM(AH161:AW161)-(45*6)</f>
        <v>44</v>
      </c>
      <c r="AY161" s="49">
        <f>SUM(AI161:AX161)-(45*7)</f>
        <v>28</v>
      </c>
      <c r="AZ161" s="49">
        <f>SUM(AJ161:AY161)-(45*7)</f>
        <v>18</v>
      </c>
      <c r="BA161" s="49">
        <f>SUM(AK161:AZ161)-(45*7)</f>
        <v>30</v>
      </c>
      <c r="BB161" s="49">
        <f>SUM(AL161:BA161)-(45*7)</f>
        <v>32</v>
      </c>
      <c r="BC161" s="49">
        <f>SUM(AM161:BB161)-(45*8)</f>
        <v>12</v>
      </c>
      <c r="BD161" s="49">
        <f>SUM(AN161:BC161)-(45*8)</f>
        <v>8</v>
      </c>
      <c r="BE161" s="49">
        <f>SUM(AO161:BD161)-(45*8)</f>
        <v>5</v>
      </c>
      <c r="BF161" s="49">
        <f>SUM(AP161:BE161)-(45*7)</f>
        <v>35</v>
      </c>
      <c r="BG161" s="49">
        <f>SUM(AQ161:BF161)-(45*7)</f>
        <v>44</v>
      </c>
      <c r="BH161" s="49">
        <f>SUM(AR161:BG161)-(45*8)</f>
        <v>39</v>
      </c>
      <c r="BI161" s="49">
        <f>SUM(AS161:BH161)-(45*9)</f>
        <v>26</v>
      </c>
      <c r="BJ161" s="49">
        <f>SUM(AT161:BI161)-(45*9)</f>
        <v>30</v>
      </c>
      <c r="BK161" s="49">
        <f>SUM(AU161:BJ161)-(45*9)</f>
        <v>30</v>
      </c>
      <c r="BL161" s="49">
        <f>SUM(AV161:BK161)-(45*9)</f>
        <v>38</v>
      </c>
      <c r="BM161" s="49">
        <f>SUM(AW161:BL161)-(45*9)</f>
        <v>38</v>
      </c>
      <c r="BN161" s="49">
        <f>SUM(AX161:BM161)-(45*10)</f>
        <v>7</v>
      </c>
      <c r="BO161" s="49">
        <f>SUM(AY161:BN161)-(45*9)</f>
        <v>15</v>
      </c>
      <c r="BP161" s="49">
        <f>SUM(AZ161:BO161)-(45*9)</f>
        <v>2</v>
      </c>
      <c r="BQ161" s="49">
        <f>SUM(BA161:BP161)-(45*8)</f>
        <v>31</v>
      </c>
      <c r="BR161" s="49">
        <f>SUM(BB161:BQ161)-(45*8)</f>
        <v>32</v>
      </c>
      <c r="BS161" s="49">
        <f>SUM(BC161:BR161)-(45*8)</f>
        <v>32</v>
      </c>
      <c r="BT161" s="49">
        <f>SUM(BD161:BS161)-(45*9)</f>
        <v>7</v>
      </c>
      <c r="BU161" s="49">
        <f>SUM(BE161:BT161)-(45*9)</f>
        <v>6</v>
      </c>
      <c r="BV161" s="49">
        <f>SUM(BF161:BU161)-(45*9)</f>
        <v>7</v>
      </c>
      <c r="BX161" s="239"/>
      <c r="CE161" s="122"/>
    </row>
    <row r="162" spans="2:83" s="238" customFormat="1" ht="17.25">
      <c r="B162" s="240"/>
      <c r="C162" s="44">
        <v>631</v>
      </c>
      <c r="D162" s="108" t="s">
        <v>433</v>
      </c>
      <c r="E162" s="48">
        <v>3</v>
      </c>
      <c r="F162" s="63">
        <v>4</v>
      </c>
      <c r="G162" s="63">
        <v>1</v>
      </c>
      <c r="H162" s="48">
        <f>SUM(E162:F162)-(45*0)</f>
        <v>7</v>
      </c>
      <c r="I162" s="48">
        <v>10</v>
      </c>
      <c r="J162" s="49">
        <f>SUM(E162:I162)-(45*0)</f>
        <v>25</v>
      </c>
      <c r="K162" s="49">
        <f>SUM(E162:J162)-(45*1)</f>
        <v>5</v>
      </c>
      <c r="L162" s="49">
        <f>SUM(E162:K162)-(45*1)</f>
        <v>10</v>
      </c>
      <c r="M162" s="49">
        <f>SUM(E162:L162)-(45*1)</f>
        <v>20</v>
      </c>
      <c r="N162" s="49">
        <f>SUM(E162:M162)-(45*1)</f>
        <v>40</v>
      </c>
      <c r="O162" s="49">
        <f>SUM(E162:N162)-(45*2)</f>
        <v>35</v>
      </c>
      <c r="P162" s="49">
        <f>SUM(E162:O162)-(45*3)</f>
        <v>25</v>
      </c>
      <c r="Q162" s="49">
        <f>SUM(F162:P162)-(45*4)</f>
        <v>2</v>
      </c>
      <c r="R162" s="49">
        <f>SUM(G162:Q162)-(45*3)</f>
        <v>45</v>
      </c>
      <c r="S162" s="49">
        <f>SUM(H162:R162)-(45*4)</f>
        <v>44</v>
      </c>
      <c r="T162" s="49">
        <f>SUM(I162:S162)-(45*5)</f>
        <v>36</v>
      </c>
      <c r="U162" s="49">
        <f>SUM(J162:T162)-(45*6)</f>
        <v>17</v>
      </c>
      <c r="V162" s="49">
        <f>SUM(K162:U162)-(45*6)</f>
        <v>9</v>
      </c>
      <c r="W162" s="49">
        <f>SUM(L162:V162)-(45*6)</f>
        <v>13</v>
      </c>
      <c r="X162" s="49">
        <f>SUM(M162:W162)-(45*6)</f>
        <v>16</v>
      </c>
      <c r="Y162" s="49">
        <f>SUM(N162:X162)-(45*6)</f>
        <v>12</v>
      </c>
      <c r="Z162" s="49">
        <f>SUM(O162:Y162)-(45*5)</f>
        <v>29</v>
      </c>
      <c r="AA162" s="49">
        <f>SUM(P162:Z162)-(45*5)</f>
        <v>23</v>
      </c>
      <c r="AB162" s="49">
        <f>SUM(Q162:AA162)-(45*5)</f>
        <v>21</v>
      </c>
      <c r="AC162" s="49">
        <f t="shared" ref="AC162:AI162" si="1827">SUM(M162:AB162)-(45*8)</f>
        <v>27</v>
      </c>
      <c r="AD162" s="49">
        <f t="shared" si="1827"/>
        <v>34</v>
      </c>
      <c r="AE162" s="49">
        <f t="shared" si="1827"/>
        <v>28</v>
      </c>
      <c r="AF162" s="49">
        <f t="shared" si="1827"/>
        <v>21</v>
      </c>
      <c r="AG162" s="49">
        <f t="shared" si="1827"/>
        <v>17</v>
      </c>
      <c r="AH162" s="49">
        <f t="shared" si="1827"/>
        <v>32</v>
      </c>
      <c r="AI162" s="49">
        <f t="shared" si="1827"/>
        <v>19</v>
      </c>
      <c r="AJ162" s="49">
        <f>SUM(T162:AI162)-(45*7)</f>
        <v>39</v>
      </c>
      <c r="AK162" s="49">
        <f>SUM(U162:AJ162)-(45*7)</f>
        <v>42</v>
      </c>
      <c r="AL162" s="49">
        <f>SUM(V162:AK162)-(45*8)</f>
        <v>22</v>
      </c>
      <c r="AM162" s="49">
        <f>SUM(W162:AL162)-(45*8)</f>
        <v>35</v>
      </c>
      <c r="AN162" s="49">
        <f>SUM(X162:AM162)-(45*9)</f>
        <v>12</v>
      </c>
      <c r="AO162" s="49">
        <f>SUM(Y162:AN162)-(45*9)</f>
        <v>8</v>
      </c>
      <c r="AP162" s="49">
        <f>SUM(Z162:AO162)-(45*9)</f>
        <v>4</v>
      </c>
      <c r="AQ162" s="49">
        <f t="shared" ref="AQ162:AW162" si="1828">SUM(AA162:AP162)-(45*8)</f>
        <v>24</v>
      </c>
      <c r="AR162" s="49">
        <f t="shared" si="1828"/>
        <v>25</v>
      </c>
      <c r="AS162" s="49">
        <f t="shared" si="1828"/>
        <v>29</v>
      </c>
      <c r="AT162" s="49">
        <f t="shared" si="1828"/>
        <v>31</v>
      </c>
      <c r="AU162" s="49">
        <f t="shared" si="1828"/>
        <v>28</v>
      </c>
      <c r="AV162" s="49">
        <f t="shared" si="1828"/>
        <v>28</v>
      </c>
      <c r="AW162" s="49">
        <f t="shared" si="1828"/>
        <v>35</v>
      </c>
      <c r="AX162" s="49">
        <f>SUM(AH162:AW162)-(45*9)</f>
        <v>8</v>
      </c>
      <c r="AY162" s="49">
        <f>SUM(AI162:AX162)-(45*8)</f>
        <v>29</v>
      </c>
      <c r="AZ162" s="49">
        <f>SUM(AJ162:AY162)-(45*8)</f>
        <v>39</v>
      </c>
      <c r="BA162" s="49">
        <f>SUM(AK162:AZ162)-(45*8)</f>
        <v>39</v>
      </c>
      <c r="BB162" s="49">
        <f>SUM(AL162:BA162)-(45*8)</f>
        <v>36</v>
      </c>
      <c r="BC162" s="49">
        <f>SUM(AM162:BB162)-(45*9)</f>
        <v>5</v>
      </c>
      <c r="BD162" s="49">
        <f>SUM(AN162:BC162)-(45*8)</f>
        <v>20</v>
      </c>
      <c r="BE162" s="49">
        <f>SUM(AO162:BD162)-(45*8)</f>
        <v>28</v>
      </c>
      <c r="BF162" s="49">
        <f>SUM(AP162:BE162)-(45*9)</f>
        <v>3</v>
      </c>
      <c r="BG162" s="49">
        <f>SUM(AQ162:BF162)-(45*9)</f>
        <v>2</v>
      </c>
      <c r="BH162" s="49">
        <f>SUM(AR162:BG162)-(45*8)</f>
        <v>25</v>
      </c>
      <c r="BI162" s="49">
        <f>SUM(AS162:BH162)-(45*8)</f>
        <v>25</v>
      </c>
      <c r="BJ162" s="49">
        <f>SUM(AT162:BI162)-(45*8)</f>
        <v>21</v>
      </c>
      <c r="BK162" s="49">
        <f>SUM(AU162:BJ162)-(45*8)</f>
        <v>11</v>
      </c>
      <c r="BL162" s="49">
        <f>SUM(AV162:BK162)-(45*7)</f>
        <v>39</v>
      </c>
      <c r="BM162" s="49">
        <f>SUM(AW162:BL162)-(45*8)</f>
        <v>5</v>
      </c>
      <c r="BN162" s="49">
        <f t="shared" ref="BN162:BU162" si="1829">SUM(AX162:BM162)-(45*7)</f>
        <v>20</v>
      </c>
      <c r="BO162" s="49">
        <f t="shared" si="1829"/>
        <v>32</v>
      </c>
      <c r="BP162" s="49">
        <f t="shared" si="1829"/>
        <v>35</v>
      </c>
      <c r="BQ162" s="49">
        <f t="shared" si="1829"/>
        <v>31</v>
      </c>
      <c r="BR162" s="49">
        <f t="shared" si="1829"/>
        <v>23</v>
      </c>
      <c r="BS162" s="49">
        <f t="shared" si="1829"/>
        <v>10</v>
      </c>
      <c r="BT162" s="49">
        <f t="shared" si="1829"/>
        <v>15</v>
      </c>
      <c r="BU162" s="49">
        <f t="shared" si="1829"/>
        <v>10</v>
      </c>
      <c r="BV162" s="49">
        <f>SUM(BF162:BU162)-(45*6)</f>
        <v>37</v>
      </c>
      <c r="BX162" s="239"/>
      <c r="CE162" s="122"/>
    </row>
    <row r="163" spans="2:83" s="246" customFormat="1" ht="17.25">
      <c r="B163" s="248"/>
      <c r="C163" s="44">
        <v>632</v>
      </c>
      <c r="D163" s="108" t="s">
        <v>434</v>
      </c>
      <c r="E163" s="48">
        <v>10</v>
      </c>
      <c r="F163" s="63">
        <v>11</v>
      </c>
      <c r="G163" s="63">
        <v>2</v>
      </c>
      <c r="H163" s="48">
        <f>SUM(E163:F163)-(45*0)</f>
        <v>21</v>
      </c>
      <c r="I163" s="48">
        <v>11</v>
      </c>
      <c r="J163" s="49">
        <f>SUM(E163:I163)-(45*1)</f>
        <v>10</v>
      </c>
      <c r="K163" s="49">
        <f>SUM(E163:J163)-(45*1)</f>
        <v>20</v>
      </c>
      <c r="L163" s="49">
        <f>SUM(E163:K163)-(45*1)</f>
        <v>40</v>
      </c>
      <c r="M163" s="49">
        <f>SUM(E163:L163)-(45*2)</f>
        <v>35</v>
      </c>
      <c r="N163" s="49">
        <f>SUM(E163:M163)-(45*3)</f>
        <v>25</v>
      </c>
      <c r="O163" s="49">
        <f>SUM(E163:N163)-(45*4)</f>
        <v>5</v>
      </c>
      <c r="P163" s="49">
        <f>SUM(E163:O163)-(45*4)</f>
        <v>10</v>
      </c>
      <c r="Q163" s="49">
        <f>SUM(F163:P163)-(45*4)</f>
        <v>10</v>
      </c>
      <c r="R163" s="49">
        <f>SUM(G163:Q163)-(45*4)</f>
        <v>9</v>
      </c>
      <c r="S163" s="49">
        <f>SUM(H163:R163)-(45*4)</f>
        <v>16</v>
      </c>
      <c r="T163" s="49">
        <f>SUM(I163:S163)-(45*4)</f>
        <v>11</v>
      </c>
      <c r="U163" s="49">
        <f>SUM(J163:T163)-(45*4)</f>
        <v>11</v>
      </c>
      <c r="V163" s="49">
        <f>SUM(K163:U163)-(45*4)</f>
        <v>12</v>
      </c>
      <c r="W163" s="49">
        <f>SUM(L163:V163)-(45*4)</f>
        <v>4</v>
      </c>
      <c r="X163" s="49">
        <f>SUM(M163:W163)-(45*3)</f>
        <v>13</v>
      </c>
      <c r="Y163" s="49">
        <f>SUM(N163:X163)-(45*2)</f>
        <v>36</v>
      </c>
      <c r="Z163" s="49">
        <f>SUM(O163:Y163)-(45*3)</f>
        <v>2</v>
      </c>
      <c r="AA163" s="49">
        <f>SUM(P163:Z163)-(45*2)</f>
        <v>44</v>
      </c>
      <c r="AB163" s="49">
        <f>SUM(Q163:AA163)-(45*3)</f>
        <v>33</v>
      </c>
      <c r="AC163" s="49">
        <f>SUM(M163:AB163)-(45*6)</f>
        <v>6</v>
      </c>
      <c r="AD163" s="49">
        <f>SUM(N163:AC163)-(45*5)</f>
        <v>22</v>
      </c>
      <c r="AE163" s="49">
        <f>SUM(O163:AD163)-(45*5)</f>
        <v>19</v>
      </c>
      <c r="AF163" s="49">
        <f>SUM(P163:AE163)-(45*5)</f>
        <v>33</v>
      </c>
      <c r="AG163" s="49">
        <f t="shared" ref="AG163:AM163" si="1830">SUM(Q163:AF163)-(45*6)</f>
        <v>11</v>
      </c>
      <c r="AH163" s="49">
        <f t="shared" si="1830"/>
        <v>12</v>
      </c>
      <c r="AI163" s="49">
        <f t="shared" si="1830"/>
        <v>15</v>
      </c>
      <c r="AJ163" s="49">
        <f t="shared" si="1830"/>
        <v>14</v>
      </c>
      <c r="AK163" s="49">
        <f t="shared" si="1830"/>
        <v>17</v>
      </c>
      <c r="AL163" s="49">
        <f t="shared" si="1830"/>
        <v>23</v>
      </c>
      <c r="AM163" s="49">
        <f t="shared" si="1830"/>
        <v>34</v>
      </c>
      <c r="AN163" s="49">
        <f>SUM(X163:AM163)-(45*7)</f>
        <v>19</v>
      </c>
      <c r="AO163" s="49">
        <f>SUM(Y163:AN163)-(45*7)</f>
        <v>25</v>
      </c>
      <c r="AP163" s="49">
        <f>SUM(Z163:AO163)-(45*7)</f>
        <v>14</v>
      </c>
      <c r="AQ163" s="49">
        <f>SUM(AA163:AP163)-(45*7)</f>
        <v>26</v>
      </c>
      <c r="AR163" s="49">
        <f>SUM(AB163:AQ163)-(45*7)</f>
        <v>8</v>
      </c>
      <c r="AS163" s="49">
        <f>SUM(AC163:AR163)-(45*6)</f>
        <v>28</v>
      </c>
      <c r="AT163" s="49">
        <f>SUM(AD163:AS163)-(45*7)</f>
        <v>5</v>
      </c>
      <c r="AU163" s="49">
        <f>SUM(AE163:AT163)-(45*6)</f>
        <v>33</v>
      </c>
      <c r="AV163" s="49">
        <f>SUM(AF163:AU163)-(45*7)</f>
        <v>2</v>
      </c>
      <c r="AW163" s="49">
        <f>SUM(AG163:AV163)-(45*6)</f>
        <v>16</v>
      </c>
      <c r="AX163" s="49">
        <f>SUM(AH163:AW163)-(45*6)</f>
        <v>21</v>
      </c>
      <c r="AY163" s="49">
        <f>SUM(AI163:AX163)-(45*6)</f>
        <v>30</v>
      </c>
      <c r="AZ163" s="49">
        <f>SUM(AJ163:AY163)-(45*6)</f>
        <v>45</v>
      </c>
      <c r="BA163" s="49">
        <f>SUM(AK163:AZ163)-(45*7)</f>
        <v>31</v>
      </c>
      <c r="BB163" s="49">
        <f>SUM(AL163:BA163)-(45*7)</f>
        <v>45</v>
      </c>
      <c r="BC163" s="49">
        <f>SUM(AM163:BB163)-(45*8)</f>
        <v>22</v>
      </c>
      <c r="BD163" s="49">
        <f>SUM(AN163:BC163)-(45*8)</f>
        <v>10</v>
      </c>
      <c r="BE163" s="49">
        <f>SUM(AO163:BD163)-(45*8)</f>
        <v>1</v>
      </c>
      <c r="BF163" s="49">
        <f>SUM(AP163:BE163)-(45*7)</f>
        <v>22</v>
      </c>
      <c r="BG163" s="49">
        <f>SUM(AQ163:BF163)-(45*7)</f>
        <v>30</v>
      </c>
      <c r="BH163" s="49">
        <f>SUM(AR163:BG163)-(45*7)</f>
        <v>34</v>
      </c>
      <c r="BI163" s="49">
        <f>SUM(AS163:BH163)-(45*8)</f>
        <v>15</v>
      </c>
      <c r="BJ163" s="49">
        <f>SUM(AT163:BI163)-(45*8)</f>
        <v>2</v>
      </c>
      <c r="BK163" s="49">
        <f>SUM(AU163:BJ163)-(45*7)</f>
        <v>44</v>
      </c>
      <c r="BL163" s="49">
        <f>SUM(AV163:BK163)-(45*8)</f>
        <v>10</v>
      </c>
      <c r="BM163" s="49">
        <f>SUM(AW163:BL163)-(45*8)</f>
        <v>18</v>
      </c>
      <c r="BN163" s="49">
        <f>SUM(AX163:BM163)-(45*8)</f>
        <v>20</v>
      </c>
      <c r="BO163" s="49">
        <f>SUM(AY163:BN163)-(45*8)</f>
        <v>19</v>
      </c>
      <c r="BP163" s="49">
        <f>SUM(AZ163:BO163)-(45*8)</f>
        <v>8</v>
      </c>
      <c r="BQ163" s="49">
        <f t="shared" ref="BQ163" si="1831">SUM(BA163:BP163)-(45*7)</f>
        <v>16</v>
      </c>
      <c r="BR163" s="49">
        <f t="shared" ref="BR163" si="1832">SUM(BB163:BQ163)-(45*7)</f>
        <v>1</v>
      </c>
      <c r="BS163" s="49">
        <f>SUM(BC163:BR163)-(45*6)</f>
        <v>2</v>
      </c>
      <c r="BT163" s="49">
        <f>SUM(BD163:BS163)-(45*5)</f>
        <v>27</v>
      </c>
      <c r="BU163" s="49">
        <f>SUM(BE163:BT163)-(45*5)</f>
        <v>44</v>
      </c>
      <c r="BV163" s="49">
        <f>SUM(BF163:BU163)-(45*6)</f>
        <v>42</v>
      </c>
      <c r="BX163" s="247"/>
      <c r="CE163" s="122"/>
    </row>
    <row r="164" spans="2:83" s="249" customFormat="1" ht="17.25">
      <c r="B164" s="248"/>
      <c r="C164" s="44">
        <v>633</v>
      </c>
      <c r="D164" s="108" t="s">
        <v>435</v>
      </c>
      <c r="E164" s="48">
        <v>17</v>
      </c>
      <c r="F164" s="63">
        <v>18</v>
      </c>
      <c r="G164" s="63">
        <v>3</v>
      </c>
      <c r="H164" s="48">
        <f>SUM(E164:F164)-(45*0)</f>
        <v>35</v>
      </c>
      <c r="I164" s="48">
        <v>12</v>
      </c>
      <c r="J164" s="49">
        <f>SUM(E164:I164)-(45*1)</f>
        <v>40</v>
      </c>
      <c r="K164" s="49">
        <f>SUM(E164:J164)-(45*2)</f>
        <v>35</v>
      </c>
      <c r="L164" s="49">
        <f>SUM(E164:K164)-(45*3)</f>
        <v>25</v>
      </c>
      <c r="M164" s="49">
        <f>SUM(E164:L164)-(45*4)</f>
        <v>5</v>
      </c>
      <c r="N164" s="49">
        <f>SUM(E164:M164)-(45*4)</f>
        <v>10</v>
      </c>
      <c r="O164" s="49">
        <f>SUM(E164:N164)-(45*4)</f>
        <v>20</v>
      </c>
      <c r="P164" s="49">
        <f>SUM(E164:O164)-(45*4)</f>
        <v>40</v>
      </c>
      <c r="Q164" s="49">
        <f>SUM(F164:P164)-(45*5)</f>
        <v>18</v>
      </c>
      <c r="R164" s="49">
        <f>SUM(G164:Q164)-(45*5)</f>
        <v>18</v>
      </c>
      <c r="S164" s="49">
        <f>SUM(H164:R164)-(45*5)</f>
        <v>33</v>
      </c>
      <c r="T164" s="49">
        <f>SUM(I164:S164)-(45*5)</f>
        <v>31</v>
      </c>
      <c r="U164" s="49">
        <f>SUM(J164:T164)-(45*6)</f>
        <v>5</v>
      </c>
      <c r="V164" s="49">
        <f>SUM(K164:U164)-(45*5)</f>
        <v>15</v>
      </c>
      <c r="W164" s="49">
        <f>SUM(L164:V164)-(45*4)</f>
        <v>40</v>
      </c>
      <c r="X164" s="49">
        <f>SUM(M164:W164)-(45*5)</f>
        <v>10</v>
      </c>
      <c r="Y164" s="49">
        <f>SUM(N164:X164)-(45*5)</f>
        <v>15</v>
      </c>
      <c r="Z164" s="49">
        <f>SUM(O164:Y164)-(45*5)</f>
        <v>20</v>
      </c>
      <c r="AA164" s="49">
        <f>SUM(P164:Z164)-(45*5)</f>
        <v>20</v>
      </c>
      <c r="AB164" s="49">
        <f>SUM(Q164:AA164)-(45*4)</f>
        <v>45</v>
      </c>
      <c r="AC164" s="49">
        <f>SUM(M164:AB164)-(45*7)</f>
        <v>30</v>
      </c>
      <c r="AD164" s="49">
        <f>SUM(N164:AC164)-(45*8)</f>
        <v>10</v>
      </c>
      <c r="AE164" s="49">
        <f>SUM(O164:AD164)-(45*8)</f>
        <v>10</v>
      </c>
      <c r="AF164" s="49">
        <f>SUM(P164:AE164)-(45*7)</f>
        <v>45</v>
      </c>
      <c r="AG164" s="49">
        <f>SUM(Q164:AF164)-(45*8)</f>
        <v>5</v>
      </c>
      <c r="AH164" s="49">
        <f>SUM(R164:AG164)-(45*7)</f>
        <v>37</v>
      </c>
      <c r="AI164" s="49">
        <f>SUM(S164:AH164)-(45*8)</f>
        <v>11</v>
      </c>
      <c r="AJ164" s="49">
        <f>SUM(T164:AI164)-(45*7)</f>
        <v>34</v>
      </c>
      <c r="AK164" s="49">
        <f>SUM(U164:AJ164)-(45*7)</f>
        <v>37</v>
      </c>
      <c r="AL164" s="49">
        <f>SUM(V164:AK164)-(45*8)</f>
        <v>24</v>
      </c>
      <c r="AM164" s="49">
        <f>SUM(W164:AL164)-(45*8)</f>
        <v>33</v>
      </c>
      <c r="AN164" s="49">
        <f>SUM(X164:AM164)-(45*8)</f>
        <v>26</v>
      </c>
      <c r="AO164" s="49">
        <f>SUM(Y164:AN164)-(45*8)</f>
        <v>42</v>
      </c>
      <c r="AP164" s="49">
        <f t="shared" ref="AP164:AU164" si="1833">SUM(Z164:AO164)-(45*9)</f>
        <v>24</v>
      </c>
      <c r="AQ164" s="49">
        <f t="shared" si="1833"/>
        <v>28</v>
      </c>
      <c r="AR164" s="49">
        <f t="shared" si="1833"/>
        <v>36</v>
      </c>
      <c r="AS164" s="49">
        <f t="shared" si="1833"/>
        <v>27</v>
      </c>
      <c r="AT164" s="49">
        <f t="shared" si="1833"/>
        <v>24</v>
      </c>
      <c r="AU164" s="49">
        <f t="shared" si="1833"/>
        <v>38</v>
      </c>
      <c r="AV164" s="49">
        <f>SUM(AF164:AU164)-(45*10)</f>
        <v>21</v>
      </c>
      <c r="AW164" s="49">
        <f>SUM(AG164:AV164)-(45*9)</f>
        <v>42</v>
      </c>
      <c r="AX164" s="49">
        <f>SUM(AH164:AW164)-(45*10)</f>
        <v>34</v>
      </c>
      <c r="AY164" s="49">
        <f>SUM(AI164:AX164)-(45*10)</f>
        <v>31</v>
      </c>
      <c r="AZ164" s="49">
        <f>SUM(AJ164:AY164)-(45*11)</f>
        <v>6</v>
      </c>
      <c r="BA164" s="49">
        <f>SUM(AK164:AZ164)-(45*10)</f>
        <v>23</v>
      </c>
      <c r="BB164" s="49">
        <f>SUM(AL164:BA164)-(45*10)</f>
        <v>9</v>
      </c>
      <c r="BC164" s="49">
        <f>SUM(AM164:BB164)-(45*9)</f>
        <v>39</v>
      </c>
      <c r="BD164" s="49">
        <f>SUM(AN164:BC164)-(45*9)</f>
        <v>45</v>
      </c>
      <c r="BE164" s="49">
        <f>SUM(AO164:BD164)-(45*10)</f>
        <v>19</v>
      </c>
      <c r="BF164" s="49">
        <f>SUM(AP164:BE164)-(45*9)</f>
        <v>41</v>
      </c>
      <c r="BG164" s="49">
        <f>SUM(AQ164:BF164)-(45*10)</f>
        <v>13</v>
      </c>
      <c r="BH164" s="49">
        <f>SUM(AR164:BG164)-(45*9)</f>
        <v>43</v>
      </c>
      <c r="BI164" s="49">
        <f>SUM(AS164:BH164)-(45*10)</f>
        <v>5</v>
      </c>
      <c r="BJ164" s="49">
        <f t="shared" ref="BJ164:BO164" si="1834">SUM(AT164:BI164)-(45*9)</f>
        <v>28</v>
      </c>
      <c r="BK164" s="49">
        <f t="shared" si="1834"/>
        <v>32</v>
      </c>
      <c r="BL164" s="49">
        <f t="shared" si="1834"/>
        <v>26</v>
      </c>
      <c r="BM164" s="49">
        <f t="shared" si="1834"/>
        <v>31</v>
      </c>
      <c r="BN164" s="49">
        <f t="shared" si="1834"/>
        <v>20</v>
      </c>
      <c r="BO164" s="49">
        <f t="shared" si="1834"/>
        <v>6</v>
      </c>
      <c r="BP164" s="49">
        <f>SUM(AZ164:BO164)-(45*8)</f>
        <v>26</v>
      </c>
      <c r="BQ164" s="49">
        <f>SUM(BA164:BP164)-(45*9)</f>
        <v>1</v>
      </c>
      <c r="BR164" s="49">
        <f>SUM(BB164:BQ164)-(45*8)</f>
        <v>24</v>
      </c>
      <c r="BS164" s="49">
        <f>SUM(BC164:BR164)-(45*8)</f>
        <v>39</v>
      </c>
      <c r="BT164" s="49">
        <f>SUM(BD164:BS164)-(45*8)</f>
        <v>39</v>
      </c>
      <c r="BU164" s="49">
        <f>SUM(BE164:BT164)-(45*8)</f>
        <v>33</v>
      </c>
      <c r="BV164" s="49">
        <f>SUM(BF164:BU164)-(45*9)</f>
        <v>2</v>
      </c>
      <c r="BX164" s="247"/>
      <c r="CE164" s="122"/>
    </row>
    <row r="165" spans="2:83" s="251" customFormat="1" ht="17.25">
      <c r="B165" s="253"/>
      <c r="C165" s="44">
        <v>634</v>
      </c>
      <c r="D165" s="108" t="s">
        <v>436</v>
      </c>
      <c r="E165" s="48">
        <v>24</v>
      </c>
      <c r="F165" s="63">
        <v>25</v>
      </c>
      <c r="G165" s="63">
        <v>4</v>
      </c>
      <c r="H165" s="48">
        <f>SUM(E165:F165)-(45*1)</f>
        <v>4</v>
      </c>
      <c r="I165" s="48">
        <v>13</v>
      </c>
      <c r="J165" s="49">
        <f>SUM(E165:I165)-(45*1)</f>
        <v>25</v>
      </c>
      <c r="K165" s="49">
        <f>SUM(E165:J165)-(45*2)</f>
        <v>5</v>
      </c>
      <c r="L165" s="49">
        <f>SUM(E165:K165)-(45*2)</f>
        <v>10</v>
      </c>
      <c r="M165" s="49">
        <f>SUM(E165:L165)-(45*2)</f>
        <v>20</v>
      </c>
      <c r="N165" s="49">
        <f>SUM(E165:M165)-(45*2)</f>
        <v>40</v>
      </c>
      <c r="O165" s="49">
        <f>SUM(E165:N165)-(45*3)</f>
        <v>35</v>
      </c>
      <c r="P165" s="49">
        <f>SUM(E165:O165)-(45*4)</f>
        <v>25</v>
      </c>
      <c r="Q165" s="49">
        <f>SUM(F165:P165)-(45*4)</f>
        <v>26</v>
      </c>
      <c r="R165" s="49">
        <f>SUM(G165:Q165)-(45*4)</f>
        <v>27</v>
      </c>
      <c r="S165" s="49">
        <f>SUM(H165:R165)-(45*5)</f>
        <v>5</v>
      </c>
      <c r="T165" s="49">
        <f>SUM(I165:S165)-(45*5)</f>
        <v>6</v>
      </c>
      <c r="U165" s="49">
        <f>SUM(J165:T165)-(45*4)</f>
        <v>44</v>
      </c>
      <c r="V165" s="49">
        <f>SUM(K165:U165)-(45*5)</f>
        <v>18</v>
      </c>
      <c r="W165" s="49">
        <f>SUM(L165:V165)-(45*5)</f>
        <v>31</v>
      </c>
      <c r="X165" s="49">
        <f>SUM(M165:W165)-(45*6)</f>
        <v>7</v>
      </c>
      <c r="Y165" s="49">
        <f t="shared" ref="Y165:AA166" si="1835">SUM(N165:X165)-(45*5)</f>
        <v>39</v>
      </c>
      <c r="Z165" s="49">
        <f t="shared" si="1835"/>
        <v>38</v>
      </c>
      <c r="AA165" s="49">
        <f t="shared" si="1835"/>
        <v>41</v>
      </c>
      <c r="AB165" s="49">
        <f>SUM(Q165:AA165)-(45*6)</f>
        <v>12</v>
      </c>
      <c r="AC165" s="49">
        <f>SUM(M165:AB165)-(45*9)</f>
        <v>9</v>
      </c>
      <c r="AD165" s="49">
        <f>SUM(N165:AC165)-(45*8)</f>
        <v>43</v>
      </c>
      <c r="AE165" s="49">
        <f>SUM(O165:AD165)-(45*9)</f>
        <v>1</v>
      </c>
      <c r="AF165" s="49">
        <f>SUM(P165:AE165)-(45*8)</f>
        <v>12</v>
      </c>
      <c r="AG165" s="49">
        <f>SUM(Q165:AF165)-(45*7)</f>
        <v>44</v>
      </c>
      <c r="AH165" s="49">
        <f>SUM(R165:AG165)-(45*8)</f>
        <v>17</v>
      </c>
      <c r="AI165" s="49">
        <f>SUM(S165:AH165)-(45*8)</f>
        <v>7</v>
      </c>
      <c r="AJ165" s="49">
        <f>SUM(T165:AI165)-(45*8)</f>
        <v>9</v>
      </c>
      <c r="AK165" s="49">
        <f>SUM(U165:AJ165)-(45*8)</f>
        <v>12</v>
      </c>
      <c r="AL165" s="49">
        <f>SUM(V165:AK165)-(45*7)</f>
        <v>25</v>
      </c>
      <c r="AM165" s="49">
        <f>SUM(W165:AL165)-(45*7)</f>
        <v>32</v>
      </c>
      <c r="AN165" s="49">
        <f>SUM(X165:AM165)-(45*7)</f>
        <v>33</v>
      </c>
      <c r="AO165" s="49">
        <f>SUM(Y165:AN165)-(45*8)</f>
        <v>14</v>
      </c>
      <c r="AP165" s="49">
        <f t="shared" ref="AP165:AU165" si="1836">SUM(Z165:AO165)-(45*7)</f>
        <v>34</v>
      </c>
      <c r="AQ165" s="49">
        <f t="shared" si="1836"/>
        <v>30</v>
      </c>
      <c r="AR165" s="49">
        <f t="shared" si="1836"/>
        <v>19</v>
      </c>
      <c r="AS165" s="49">
        <f t="shared" si="1836"/>
        <v>26</v>
      </c>
      <c r="AT165" s="49">
        <f t="shared" si="1836"/>
        <v>43</v>
      </c>
      <c r="AU165" s="49">
        <f t="shared" si="1836"/>
        <v>43</v>
      </c>
      <c r="AV165" s="49">
        <f>SUM(AF165:AU165)-(45*8)</f>
        <v>40</v>
      </c>
      <c r="AW165" s="49">
        <f>SUM(AG165:AV165)-(45*9)</f>
        <v>23</v>
      </c>
      <c r="AX165" s="49">
        <f>SUM(AH165:AW165)-(45*9)</f>
        <v>2</v>
      </c>
      <c r="AY165" s="49">
        <f>SUM(AI165:AX165)-(45*8)</f>
        <v>32</v>
      </c>
      <c r="AZ165" s="49">
        <f>SUM(AJ165:AY165)-(45*9)</f>
        <v>12</v>
      </c>
      <c r="BA165" s="49">
        <f>SUM(AK165:AZ165)-(45*9)</f>
        <v>15</v>
      </c>
      <c r="BB165" s="49">
        <f>SUM(AL165:BA165)-(45*9)</f>
        <v>18</v>
      </c>
      <c r="BC165" s="49">
        <f>SUM(AM165:BB165)-(45*9)</f>
        <v>11</v>
      </c>
      <c r="BD165" s="49">
        <f>SUM(AN165:BC165)-(45*8)</f>
        <v>35</v>
      </c>
      <c r="BE165" s="49">
        <f>SUM(AO165:BD165)-(45*8)</f>
        <v>37</v>
      </c>
      <c r="BF165" s="49">
        <f>SUM(AP165:BE165)-(45*9)</f>
        <v>15</v>
      </c>
      <c r="BG165" s="49">
        <f>SUM(AQ165:BF165)-(45*8)</f>
        <v>41</v>
      </c>
      <c r="BH165" s="49">
        <f>SUM(AR165:BG165)-(45*9)</f>
        <v>7</v>
      </c>
      <c r="BI165" s="49">
        <f>SUM(AS165:BH165)-(45*8)</f>
        <v>40</v>
      </c>
      <c r="BJ165" s="49">
        <f t="shared" ref="BJ165" si="1837">SUM(AT165:BI165)-(45*9)</f>
        <v>9</v>
      </c>
      <c r="BK165" s="49">
        <f>SUM(AU165:BJ165)-(45*8)</f>
        <v>20</v>
      </c>
      <c r="BL165" s="49">
        <f>SUM(AV165:BK165)-(45*7)</f>
        <v>42</v>
      </c>
      <c r="BM165" s="49">
        <f>SUM(AW165:BL165)-(45*7)</f>
        <v>44</v>
      </c>
      <c r="BN165" s="49">
        <f>SUM(AX165:BM165)-(45*8)</f>
        <v>20</v>
      </c>
      <c r="BO165" s="49">
        <f>SUM(AY165:BN165)-(45*8)</f>
        <v>38</v>
      </c>
      <c r="BP165" s="49">
        <f>SUM(AZ165:BO165)-(45*8)</f>
        <v>44</v>
      </c>
      <c r="BQ165" s="49">
        <f>SUM(BA165:BP165)-(45*9)</f>
        <v>31</v>
      </c>
      <c r="BR165" s="49">
        <f>SUM(BB165:BQ165)-(45*10)</f>
        <v>2</v>
      </c>
      <c r="BS165" s="49">
        <f>SUM(BC165:BR165)-(45*9)</f>
        <v>31</v>
      </c>
      <c r="BT165" s="49">
        <f>SUM(BD165:BS165)-(45*10)</f>
        <v>6</v>
      </c>
      <c r="BU165" s="49">
        <f>SUM(BE165:BT165)-(45*9)</f>
        <v>22</v>
      </c>
      <c r="BV165" s="49">
        <f>SUM(BF165:BU165)-(45*9)</f>
        <v>7</v>
      </c>
      <c r="BX165" s="252"/>
      <c r="CE165" s="122"/>
    </row>
    <row r="166" spans="2:83" s="254" customFormat="1" ht="17.25">
      <c r="B166" s="253"/>
      <c r="C166" s="44">
        <v>635</v>
      </c>
      <c r="D166" s="108" t="s">
        <v>437</v>
      </c>
      <c r="E166" s="48">
        <v>31</v>
      </c>
      <c r="F166" s="63">
        <v>32</v>
      </c>
      <c r="G166" s="63">
        <v>5</v>
      </c>
      <c r="H166" s="48">
        <f>SUM(E166:F166)-(45*1)</f>
        <v>18</v>
      </c>
      <c r="I166" s="48">
        <v>14</v>
      </c>
      <c r="J166" s="49">
        <f>SUM(E166:I166)-(45*2)</f>
        <v>10</v>
      </c>
      <c r="K166" s="49">
        <f>SUM(E166:J166)-(45*2)</f>
        <v>20</v>
      </c>
      <c r="L166" s="49">
        <f>SUM(E166:K166)-(45*2)</f>
        <v>40</v>
      </c>
      <c r="M166" s="49">
        <f>SUM(E166:L166)-(45*3)</f>
        <v>35</v>
      </c>
      <c r="N166" s="49">
        <f>SUM(E166:M166)-(45*4)</f>
        <v>25</v>
      </c>
      <c r="O166" s="49">
        <f>SUM(E166:N166)-(45*5)</f>
        <v>5</v>
      </c>
      <c r="P166" s="49">
        <f>SUM(E166:O166)-(45*5)</f>
        <v>10</v>
      </c>
      <c r="Q166" s="49">
        <f>SUM(F166:P166)-(45*4)</f>
        <v>34</v>
      </c>
      <c r="R166" s="49">
        <f>SUM(G166:Q166)-(45*4)</f>
        <v>36</v>
      </c>
      <c r="S166" s="49">
        <f>SUM(H166:R166)-(45*5)</f>
        <v>22</v>
      </c>
      <c r="T166" s="49">
        <f>SUM(I166:S166)-(45*5)</f>
        <v>26</v>
      </c>
      <c r="U166" s="49">
        <f>SUM(J166:T166)-(45*5)</f>
        <v>38</v>
      </c>
      <c r="V166" s="49">
        <f>SUM(K166:U166)-(45*6)</f>
        <v>21</v>
      </c>
      <c r="W166" s="49">
        <f>SUM(L166:V166)-(45*6)</f>
        <v>22</v>
      </c>
      <c r="X166" s="49">
        <f>SUM(M166:W166)-(45*6)</f>
        <v>4</v>
      </c>
      <c r="Y166" s="49">
        <f t="shared" si="1835"/>
        <v>18</v>
      </c>
      <c r="Z166" s="49">
        <f t="shared" si="1835"/>
        <v>11</v>
      </c>
      <c r="AA166" s="49">
        <f t="shared" si="1835"/>
        <v>17</v>
      </c>
      <c r="AB166" s="49">
        <f>SUM(Q166:AA166)-(45*5)</f>
        <v>24</v>
      </c>
      <c r="AC166" s="49">
        <f>SUM(M166:AB166)-(45*7)</f>
        <v>33</v>
      </c>
      <c r="AD166" s="49">
        <f>SUM(N166:AC166)-(45*7)</f>
        <v>31</v>
      </c>
      <c r="AE166" s="49">
        <f>SUM(O166:AD166)-(45*7)</f>
        <v>37</v>
      </c>
      <c r="AF166" s="49">
        <f>SUM(P166:AE166)-(45*8)</f>
        <v>24</v>
      </c>
      <c r="AG166" s="49">
        <f>SUM(Q166:AF166)-(45*8)</f>
        <v>38</v>
      </c>
      <c r="AH166" s="49">
        <f>SUM(R166:AG166)-(45*8)</f>
        <v>42</v>
      </c>
      <c r="AI166" s="49">
        <f>SUM(S166:AH166)-(45*9)</f>
        <v>3</v>
      </c>
      <c r="AJ166" s="49">
        <f>SUM(T166:AI166)-(45*8)</f>
        <v>29</v>
      </c>
      <c r="AK166" s="49">
        <f>SUM(U166:AJ166)-(45*8)</f>
        <v>32</v>
      </c>
      <c r="AL166" s="49">
        <f>SUM(V166:AK166)-(45*8)</f>
        <v>26</v>
      </c>
      <c r="AM166" s="49">
        <f>SUM(W166:AL166)-(45*8)</f>
        <v>31</v>
      </c>
      <c r="AN166" s="49">
        <f>SUM(X166:AM166)-(45*8)</f>
        <v>40</v>
      </c>
      <c r="AO166" s="49">
        <f>SUM(Y166:AN166)-(45*9)</f>
        <v>31</v>
      </c>
      <c r="AP166" s="49">
        <f>SUM(Z166:AO166)-(45*9)</f>
        <v>44</v>
      </c>
      <c r="AQ166" s="49">
        <f>SUM(AA166:AP166)-(45*10)</f>
        <v>32</v>
      </c>
      <c r="AR166" s="49">
        <f>SUM(AB166:AQ166)-(45*11)</f>
        <v>2</v>
      </c>
      <c r="AS166" s="49">
        <f>SUM(AC166:AR166)-(45*10)</f>
        <v>25</v>
      </c>
      <c r="AT166" s="49">
        <f>SUM(AD166:AS166)-(45*10)</f>
        <v>17</v>
      </c>
      <c r="AU166" s="49">
        <f>SUM(AE166:AT166)-(45*10)</f>
        <v>3</v>
      </c>
      <c r="AV166" s="49">
        <f>SUM(AF166:AU166)-(45*9)</f>
        <v>14</v>
      </c>
      <c r="AW166" s="49">
        <f>SUM(AG166:AV166)-(45*9)</f>
        <v>4</v>
      </c>
      <c r="AX166" s="49">
        <f>SUM(AH166:AW166)-(45*8)</f>
        <v>15</v>
      </c>
      <c r="AY166" s="49">
        <f>SUM(AI166:AX166)-(45*7)</f>
        <v>33</v>
      </c>
      <c r="AZ166" s="49">
        <f>SUM(AJ166:AY166)-(45*8)</f>
        <v>18</v>
      </c>
      <c r="BA166" s="49">
        <f>SUM(AK166:AZ166)-(45*8)</f>
        <v>7</v>
      </c>
      <c r="BB166" s="49">
        <f>SUM(AL166:BA166)-(45*7)</f>
        <v>27</v>
      </c>
      <c r="BC166" s="49">
        <f>SUM(AM166:BB166)-(45*7)</f>
        <v>28</v>
      </c>
      <c r="BD166" s="49">
        <f>SUM(AN166:BC166)-(45*7)</f>
        <v>25</v>
      </c>
      <c r="BE166" s="49">
        <f>SUM(AO166:BD166)-(45*7)</f>
        <v>10</v>
      </c>
      <c r="BF166" s="49">
        <f>SUM(AP166:BE166)-(45*6)</f>
        <v>34</v>
      </c>
      <c r="BG166" s="49">
        <f>SUM(AQ166:BF166)-(45*6)</f>
        <v>24</v>
      </c>
      <c r="BH166" s="49">
        <f>SUM(AR166:BG166)-(45*6)</f>
        <v>16</v>
      </c>
      <c r="BI166" s="49">
        <f>SUM(AS166:BH166)-(45*6)</f>
        <v>30</v>
      </c>
      <c r="BJ166" s="49">
        <f>SUM(AT166:BI166)-(45*6)</f>
        <v>35</v>
      </c>
      <c r="BK166" s="49">
        <f>SUM(AU166:BJ166)-(45*7)</f>
        <v>8</v>
      </c>
      <c r="BL166" s="49">
        <f>SUM(AV166:BK166)-(45*7)</f>
        <v>13</v>
      </c>
      <c r="BM166" s="49">
        <f>SUM(AW166:BL166)-(45*7)</f>
        <v>12</v>
      </c>
      <c r="BN166" s="49">
        <f t="shared" ref="BN166:BV166" si="1838">SUM(AX166:BM166)-(45*7)</f>
        <v>20</v>
      </c>
      <c r="BO166" s="49">
        <f t="shared" si="1838"/>
        <v>25</v>
      </c>
      <c r="BP166" s="49">
        <f t="shared" si="1838"/>
        <v>17</v>
      </c>
      <c r="BQ166" s="49">
        <f t="shared" si="1838"/>
        <v>16</v>
      </c>
      <c r="BR166" s="49">
        <f t="shared" si="1838"/>
        <v>25</v>
      </c>
      <c r="BS166" s="49">
        <f t="shared" si="1838"/>
        <v>23</v>
      </c>
      <c r="BT166" s="49">
        <f t="shared" si="1838"/>
        <v>18</v>
      </c>
      <c r="BU166" s="49">
        <f t="shared" si="1838"/>
        <v>11</v>
      </c>
      <c r="BV166" s="49">
        <f t="shared" si="1838"/>
        <v>12</v>
      </c>
      <c r="BX166" s="252"/>
      <c r="CE166" s="122"/>
    </row>
    <row r="167" spans="2:83" s="255" customFormat="1" ht="17.25">
      <c r="B167" s="257"/>
      <c r="C167" s="44">
        <v>636</v>
      </c>
      <c r="D167" s="108" t="s">
        <v>438</v>
      </c>
      <c r="E167" s="48">
        <v>7</v>
      </c>
      <c r="F167" s="63">
        <v>9</v>
      </c>
      <c r="G167" s="63">
        <v>1</v>
      </c>
      <c r="H167" s="48">
        <f>SUM(E167:F167)-(45*0)</f>
        <v>16</v>
      </c>
      <c r="I167" s="48">
        <v>15</v>
      </c>
      <c r="J167" s="49">
        <f>SUM(E167:I167)-(45*1)</f>
        <v>3</v>
      </c>
      <c r="K167" s="49">
        <f>SUM(E167:J167)-(45*1)</f>
        <v>6</v>
      </c>
      <c r="L167" s="49">
        <f>SUM(E167:K167)-(45*1)</f>
        <v>12</v>
      </c>
      <c r="M167" s="49">
        <f>SUM(E167:L167)-(45*1)</f>
        <v>24</v>
      </c>
      <c r="N167" s="49">
        <f>SUM(E167:M167)-(45*2)</f>
        <v>3</v>
      </c>
      <c r="O167" s="49">
        <f>SUM(E167:N167)-(45*2)</f>
        <v>6</v>
      </c>
      <c r="P167" s="49">
        <f>SUM(E167:O167)-(45*2)</f>
        <v>12</v>
      </c>
      <c r="Q167" s="49">
        <f>SUM(F167:P167)-(45*2)</f>
        <v>17</v>
      </c>
      <c r="R167" s="49">
        <f>SUM(G167:Q167)-(45*2)</f>
        <v>25</v>
      </c>
      <c r="S167" s="49">
        <f>SUM(H167:R167)-(45*3)</f>
        <v>4</v>
      </c>
      <c r="T167" s="49">
        <f>SUM(I167:S167)-(45*2)</f>
        <v>37</v>
      </c>
      <c r="U167" s="49">
        <f>SUM(J167:T167)-(45*3)</f>
        <v>14</v>
      </c>
      <c r="V167" s="49">
        <f>SUM(K167:U167)-(45*3)</f>
        <v>25</v>
      </c>
      <c r="W167" s="49">
        <f>SUM(L167:V167)-(45*3)</f>
        <v>44</v>
      </c>
      <c r="X167" s="49">
        <f>SUM(M167:W167)-(45*4)</f>
        <v>31</v>
      </c>
      <c r="Y167" s="49">
        <f>SUM(N167:X167)-(45*4)</f>
        <v>38</v>
      </c>
      <c r="Z167" s="49">
        <f t="shared" ref="Z167" si="1839">SUM(O167:Y167)-(45*5)</f>
        <v>28</v>
      </c>
      <c r="AA167" s="49">
        <f>SUM(P167:Z167)-(45*6)</f>
        <v>5</v>
      </c>
      <c r="AB167" s="49">
        <f>SUM(Q167:AA167)-(45*5)</f>
        <v>43</v>
      </c>
      <c r="AC167" s="49">
        <f>SUM(M167:AB167)-(45*7)</f>
        <v>41</v>
      </c>
      <c r="AD167" s="49">
        <f>SUM(N167:AC167)-(45*8)</f>
        <v>13</v>
      </c>
      <c r="AE167" s="49">
        <f>SUM(O167:AD167)-(45*8)</f>
        <v>23</v>
      </c>
      <c r="AF167" s="49">
        <f>SUM(P167:AE167)-(45*8)</f>
        <v>40</v>
      </c>
      <c r="AG167" s="49">
        <f>SUM(Q167:AF167)-(45*9)</f>
        <v>23</v>
      </c>
      <c r="AH167" s="49">
        <f>SUM(R167:AG167)-(45*9)</f>
        <v>29</v>
      </c>
      <c r="AI167" s="49">
        <f>SUM(S167:AH167)-(45*9)</f>
        <v>33</v>
      </c>
      <c r="AJ167" s="49">
        <f>SUM(T167:AI167)-(45*10)</f>
        <v>17</v>
      </c>
      <c r="AK167" s="49">
        <f>SUM(U167:AJ167)-(45*9)</f>
        <v>42</v>
      </c>
      <c r="AL167" s="49">
        <f>SUM(V167:AK167)-(45*10)</f>
        <v>25</v>
      </c>
      <c r="AM167" s="49">
        <f>SUM(W167:AL167)-(45*10)</f>
        <v>25</v>
      </c>
      <c r="AN167" s="49">
        <f>SUM(X167:AM167)-(45*10)</f>
        <v>6</v>
      </c>
      <c r="AO167" s="49">
        <f>SUM(Y167:AN167)-(45*9)</f>
        <v>26</v>
      </c>
      <c r="AP167" s="49">
        <f>SUM(Z167:AO167)-(45*9)</f>
        <v>14</v>
      </c>
      <c r="AQ167" s="49">
        <f>SUM(AA167:AP167)-(45*8)</f>
        <v>45</v>
      </c>
      <c r="AR167" s="49">
        <f>SUM(AB167:AQ167)-(45*9)</f>
        <v>40</v>
      </c>
      <c r="AS167" s="49">
        <f>SUM(AC167:AR167)-(45*9)</f>
        <v>37</v>
      </c>
      <c r="AT167" s="49">
        <f>SUM(AD167:AS167)-(45*9)</f>
        <v>33</v>
      </c>
      <c r="AU167" s="49">
        <f>SUM(AE167:AT167)-(45*10)</f>
        <v>8</v>
      </c>
      <c r="AV167" s="49">
        <f>SUM(AF167:AU167)-(45*9)</f>
        <v>38</v>
      </c>
      <c r="AW167" s="49">
        <f>SUM(AG167:AV167)-(45*9)</f>
        <v>36</v>
      </c>
      <c r="AX167" s="49">
        <f>SUM(AH167:AW167)-(45*10)</f>
        <v>4</v>
      </c>
      <c r="AY167" s="49">
        <f>SUM(AI167:AX167)-(45*9)</f>
        <v>24</v>
      </c>
      <c r="AZ167" s="49">
        <f>SUM(AJ167:AY167)-(45*9)</f>
        <v>15</v>
      </c>
      <c r="BA167" s="49">
        <f>SUM(AK167:AZ167)-(45*9)</f>
        <v>13</v>
      </c>
      <c r="BB167" s="49">
        <f>SUM(AL167:BA167)-(45*8)</f>
        <v>29</v>
      </c>
      <c r="BC167" s="49">
        <f>SUM(AM167:BB167)-(45*8)</f>
        <v>33</v>
      </c>
      <c r="BD167" s="49">
        <f>SUM(AN167:BC167)-(45*8)</f>
        <v>41</v>
      </c>
      <c r="BE167" s="49">
        <f>SUM(AO167:BD167)-(45*9)</f>
        <v>31</v>
      </c>
      <c r="BF167" s="49">
        <f>SUM(AP167:BE167)-(45*9)</f>
        <v>36</v>
      </c>
      <c r="BG167" s="49">
        <f>SUM(AQ167:BF167)-(45*10)</f>
        <v>13</v>
      </c>
      <c r="BH167" s="49">
        <f>SUM(AR167:BG167)-(45*9)</f>
        <v>26</v>
      </c>
      <c r="BI167" s="49">
        <f>SUM(AS167:BH167)-(45*9)</f>
        <v>12</v>
      </c>
      <c r="BJ167" s="49">
        <f>SUM(AT167:BI167)-(45*8)</f>
        <v>32</v>
      </c>
      <c r="BK167" s="49">
        <f>SUM(AU167:BJ167)-(45*8)</f>
        <v>31</v>
      </c>
      <c r="BL167" s="49">
        <f>SUM(AV167:BK167)-(45*9)</f>
        <v>9</v>
      </c>
      <c r="BM167" s="49">
        <f>SUM(AW167:BL167)-(45*8)</f>
        <v>25</v>
      </c>
      <c r="BN167" s="49">
        <f>SUM(AX167:BM167)-(45*8)</f>
        <v>14</v>
      </c>
      <c r="BO167" s="49">
        <f>SUM(AY167:BN167)-(45*8)</f>
        <v>24</v>
      </c>
      <c r="BP167" s="49">
        <f>SUM(AZ167:BO167)-(45*8)</f>
        <v>24</v>
      </c>
      <c r="BQ167" s="49">
        <f>SUM(BA167:BP167)-(45*8)</f>
        <v>33</v>
      </c>
      <c r="BR167" s="49">
        <f>SUM(BB167:BQ167)-(45*9)</f>
        <v>8</v>
      </c>
      <c r="BS167" s="49">
        <f>SUM(BC167:BR167)-(45*8)</f>
        <v>32</v>
      </c>
      <c r="BT167" s="49">
        <f>SUM(BD167:BS167)-(45*8)</f>
        <v>31</v>
      </c>
      <c r="BU167" s="49">
        <f>SUM(BE167:BT167)-(45*8)</f>
        <v>21</v>
      </c>
      <c r="BV167" s="49">
        <f>SUM(BF167:BU167)-(45*8)</f>
        <v>11</v>
      </c>
      <c r="BX167" s="256"/>
      <c r="CE167" s="122"/>
    </row>
    <row r="168" spans="2:83" s="258" customFormat="1" ht="17.25">
      <c r="B168" s="257"/>
      <c r="C168" s="44">
        <v>637</v>
      </c>
      <c r="D168" s="108" t="s">
        <v>439</v>
      </c>
      <c r="E168" s="48">
        <v>14</v>
      </c>
      <c r="F168" s="63">
        <v>16</v>
      </c>
      <c r="G168" s="63">
        <v>2</v>
      </c>
      <c r="H168" s="48">
        <f>SUM(E168:F168)-(45*0)</f>
        <v>30</v>
      </c>
      <c r="I168" s="48">
        <v>16</v>
      </c>
      <c r="J168" s="49">
        <f>SUM(E168:I168)-(45*1)</f>
        <v>33</v>
      </c>
      <c r="K168" s="49">
        <f>SUM(E168:J168)-(45*2)</f>
        <v>21</v>
      </c>
      <c r="L168" s="49">
        <f>SUM(E168:K168)-(45*2)</f>
        <v>42</v>
      </c>
      <c r="M168" s="49">
        <f>SUM(E168:L168)-(45*3)</f>
        <v>39</v>
      </c>
      <c r="N168" s="49">
        <f>SUM(E168:M168)-(45*4)</f>
        <v>33</v>
      </c>
      <c r="O168" s="49">
        <f>SUM(E168:N168)-(45*5)</f>
        <v>21</v>
      </c>
      <c r="P168" s="49">
        <f>SUM(E168:O168)-(45*5)</f>
        <v>42</v>
      </c>
      <c r="Q168" s="49">
        <f>SUM(F168:P168)-(45*6)</f>
        <v>25</v>
      </c>
      <c r="R168" s="49">
        <f>SUM(G168:Q168)-(45*6)</f>
        <v>34</v>
      </c>
      <c r="S168" s="49">
        <f>SUM(H168:R168)-(45*7)</f>
        <v>21</v>
      </c>
      <c r="T168" s="49">
        <f>SUM(I168:S168)-(45*7)</f>
        <v>12</v>
      </c>
      <c r="U168" s="49">
        <f>SUM(J168:T168)-(45*7)</f>
        <v>8</v>
      </c>
      <c r="V168" s="49">
        <f>SUM(K168:U168)-(45*6)</f>
        <v>28</v>
      </c>
      <c r="W168" s="49">
        <f>SUM(L168:V168)-(45*6)</f>
        <v>35</v>
      </c>
      <c r="X168" s="49">
        <f>SUM(M168:W168)-(45*6)</f>
        <v>28</v>
      </c>
      <c r="Y168" s="49">
        <f>SUM(N168:X168)-(45*6)</f>
        <v>17</v>
      </c>
      <c r="Z168" s="49">
        <f>SUM(O168:Y168)-(45*6)</f>
        <v>1</v>
      </c>
      <c r="AA168" s="49">
        <f>SUM(P168:Z168)-(45*5)</f>
        <v>26</v>
      </c>
      <c r="AB168" s="49">
        <f>SUM(Q168:AA168)-(45*5)</f>
        <v>10</v>
      </c>
      <c r="AC168" s="49">
        <f>SUM(M168:AB168)-(45*8)</f>
        <v>20</v>
      </c>
      <c r="AD168" s="49">
        <f>SUM(N168:AC168)-(45*8)</f>
        <v>1</v>
      </c>
      <c r="AE168" s="49">
        <f>SUM(O168:AD168)-(45*7)</f>
        <v>14</v>
      </c>
      <c r="AF168" s="49">
        <f>SUM(P168:AE168)-(45*7)</f>
        <v>7</v>
      </c>
      <c r="AG168" s="49">
        <f>SUM(Q168:AF168)-(45*6)</f>
        <v>17</v>
      </c>
      <c r="AH168" s="49">
        <f>SUM(R168:AG168)-(45*6)</f>
        <v>9</v>
      </c>
      <c r="AI168" s="49">
        <f>SUM(S168:AH168)-(45*5)</f>
        <v>29</v>
      </c>
      <c r="AJ168" s="49">
        <f>SUM(T168:AI168)-(45*5)</f>
        <v>37</v>
      </c>
      <c r="AK168" s="49">
        <f>SUM(U168:AJ168)-(45*6)</f>
        <v>17</v>
      </c>
      <c r="AL168" s="49">
        <f>SUM(V168:AK168)-(45*6)</f>
        <v>26</v>
      </c>
      <c r="AM168" s="49">
        <f>SUM(W168:AL168)-(45*6)</f>
        <v>24</v>
      </c>
      <c r="AN168" s="49">
        <f>SUM(X168:AM168)-(45*6)</f>
        <v>13</v>
      </c>
      <c r="AO168" s="49">
        <f>SUM(Y168:AN168)-(45*5)</f>
        <v>43</v>
      </c>
      <c r="AP168" s="49">
        <f>SUM(Z168:AO168)-(45*6)</f>
        <v>24</v>
      </c>
      <c r="AQ168" s="49">
        <f>SUM(AA168:AP168)-(45*7)</f>
        <v>2</v>
      </c>
      <c r="AR168" s="49">
        <f>SUM(AB168:AQ168)-(45*6)</f>
        <v>23</v>
      </c>
      <c r="AS168" s="49">
        <f>SUM(AC168:AR168)-(45*6)</f>
        <v>36</v>
      </c>
      <c r="AT168" s="49">
        <f t="shared" ref="AT168:BA168" si="1840">SUM(AD168:AS168)-(45*7)</f>
        <v>7</v>
      </c>
      <c r="AU168" s="49">
        <f t="shared" si="1840"/>
        <v>13</v>
      </c>
      <c r="AV168" s="49">
        <f t="shared" si="1840"/>
        <v>12</v>
      </c>
      <c r="AW168" s="49">
        <f t="shared" si="1840"/>
        <v>17</v>
      </c>
      <c r="AX168" s="49">
        <f t="shared" si="1840"/>
        <v>17</v>
      </c>
      <c r="AY168" s="49">
        <f t="shared" si="1840"/>
        <v>25</v>
      </c>
      <c r="AZ168" s="49">
        <f t="shared" si="1840"/>
        <v>21</v>
      </c>
      <c r="BA168" s="49">
        <f t="shared" si="1840"/>
        <v>5</v>
      </c>
      <c r="BB168" s="49">
        <f>SUM(AL168:BA168)-(45*6)</f>
        <v>38</v>
      </c>
      <c r="BC168" s="49">
        <f>SUM(AM168:BB168)-(45*7)</f>
        <v>5</v>
      </c>
      <c r="BD168" s="49">
        <f>SUM(AN168:BC168)-(45*6)</f>
        <v>31</v>
      </c>
      <c r="BE168" s="49">
        <f>SUM(AO168:BD168)-(45*7)</f>
        <v>4</v>
      </c>
      <c r="BF168" s="49">
        <f>SUM(AP168:BE168)-(45*6)</f>
        <v>10</v>
      </c>
      <c r="BG168" s="49">
        <f>SUM(AQ168:BF168)-(45*5)</f>
        <v>41</v>
      </c>
      <c r="BH168" s="49">
        <f>SUM(AR168:BG168)-(45*6)</f>
        <v>35</v>
      </c>
      <c r="BI168" s="49">
        <f>SUM(AS168:BH168)-(45*7)</f>
        <v>2</v>
      </c>
      <c r="BJ168" s="49">
        <f>SUM(AT168:BI168)-(45*6)</f>
        <v>13</v>
      </c>
      <c r="BK168" s="49">
        <f>SUM(AU168:BJ168)-(45*6)</f>
        <v>19</v>
      </c>
      <c r="BL168" s="49">
        <f>SUM(AV168:BK168)-(45*6)</f>
        <v>25</v>
      </c>
      <c r="BM168" s="49">
        <f>SUM(AW168:BL168)-(45*6)</f>
        <v>38</v>
      </c>
      <c r="BN168" s="49">
        <f>SUM(AX168:BM168)-(45*7)</f>
        <v>14</v>
      </c>
      <c r="BO168" s="49">
        <f>SUM(AY168:BN168)-(45*7)</f>
        <v>11</v>
      </c>
      <c r="BP168" s="49">
        <f>SUM(AZ168:BO168)-(45*6)</f>
        <v>42</v>
      </c>
      <c r="BQ168" s="49">
        <f>SUM(BA168:BP168)-(45*7)</f>
        <v>18</v>
      </c>
      <c r="BR168" s="49">
        <f>SUM(BB168:BQ168)-(45*7)</f>
        <v>31</v>
      </c>
      <c r="BS168" s="49">
        <f>SUM(BC168:BR168)-(45*7)</f>
        <v>24</v>
      </c>
      <c r="BT168" s="49">
        <f>SUM(BD168:BS168)-(45*7)</f>
        <v>43</v>
      </c>
      <c r="BU168" s="49">
        <f>SUM(BE168:BT168)-(45*8)</f>
        <v>10</v>
      </c>
      <c r="BV168" s="49">
        <f>SUM(BF168:BU168)-(45*8)</f>
        <v>16</v>
      </c>
      <c r="BX168" s="256"/>
      <c r="CE168" s="122"/>
    </row>
    <row r="169" spans="2:83" s="261" customFormat="1" ht="17.25">
      <c r="B169" s="259"/>
      <c r="C169" s="44">
        <v>638</v>
      </c>
      <c r="D169" s="108" t="s">
        <v>440</v>
      </c>
      <c r="E169" s="48">
        <v>21</v>
      </c>
      <c r="F169" s="63">
        <v>23</v>
      </c>
      <c r="G169" s="63">
        <v>3</v>
      </c>
      <c r="H169" s="48">
        <f>SUM(E169:F169)-(45*0)</f>
        <v>44</v>
      </c>
      <c r="I169" s="48">
        <v>17</v>
      </c>
      <c r="J169" s="49">
        <f>SUM(E169:I169)-(45*2)</f>
        <v>18</v>
      </c>
      <c r="K169" s="49">
        <f>SUM(E169:J169)-(45*2)</f>
        <v>36</v>
      </c>
      <c r="L169" s="49">
        <f>SUM(E169:K169)-(45*3)</f>
        <v>27</v>
      </c>
      <c r="M169" s="49">
        <f>SUM(E169:L169)-(45*4)</f>
        <v>9</v>
      </c>
      <c r="N169" s="49">
        <f>SUM(E169:M169)-(45*4)</f>
        <v>18</v>
      </c>
      <c r="O169" s="49">
        <f>SUM(E169:N169)-(45*4)</f>
        <v>36</v>
      </c>
      <c r="P169" s="49">
        <f>SUM(E169:O169)-(45*5)</f>
        <v>27</v>
      </c>
      <c r="Q169" s="49">
        <f>SUM(F169:P169)-(45*5)</f>
        <v>33</v>
      </c>
      <c r="R169" s="49">
        <f>SUM(G169:Q169)-(45*5)</f>
        <v>43</v>
      </c>
      <c r="S169" s="49">
        <f>SUM(H169:R169)-(45*6)</f>
        <v>38</v>
      </c>
      <c r="T169" s="49">
        <f>SUM(I169:S169)-(45*6)</f>
        <v>32</v>
      </c>
      <c r="U169" s="49">
        <f>SUM(J169:T169)-(45*7)</f>
        <v>2</v>
      </c>
      <c r="V169" s="49">
        <f>SUM(K169:U169)-(45*6)</f>
        <v>31</v>
      </c>
      <c r="W169" s="49">
        <f>SUM(L169:V169)-(45*6)</f>
        <v>26</v>
      </c>
      <c r="X169" s="49">
        <f>SUM(M169:W169)-(45*6)</f>
        <v>25</v>
      </c>
      <c r="Y169" s="49">
        <f>SUM(N169:X169)-(45*6)</f>
        <v>41</v>
      </c>
      <c r="Z169" s="49">
        <f>SUM(O169:Y169)-(45*7)</f>
        <v>19</v>
      </c>
      <c r="AA169" s="49">
        <f>SUM(P169:Z169)-(45*7)</f>
        <v>2</v>
      </c>
      <c r="AB169" s="49">
        <f>SUM(Q169:AA169)-(45*6)</f>
        <v>22</v>
      </c>
      <c r="AC169" s="49">
        <f>SUM(M169:AB169)-(45*8)</f>
        <v>44</v>
      </c>
      <c r="AD169" s="49">
        <f>SUM(N169:AC169)-(45*9)</f>
        <v>34</v>
      </c>
      <c r="AE169" s="49">
        <f>SUM(O169:AD169)-(45*10)</f>
        <v>5</v>
      </c>
      <c r="AF169" s="49">
        <f>SUM(P169:AE169)-(45*9)</f>
        <v>19</v>
      </c>
      <c r="AG169" s="49">
        <f>SUM(Q169:AF169)-(45*9)</f>
        <v>11</v>
      </c>
      <c r="AH169" s="49">
        <f t="shared" ref="AH169:AJ170" si="1841">SUM(R169:AG169)-(45*8)</f>
        <v>34</v>
      </c>
      <c r="AI169" s="49">
        <f t="shared" si="1841"/>
        <v>25</v>
      </c>
      <c r="AJ169" s="49">
        <f t="shared" si="1841"/>
        <v>12</v>
      </c>
      <c r="AK169" s="49">
        <f>SUM(U169:AJ169)-(45*7)</f>
        <v>37</v>
      </c>
      <c r="AL169" s="49">
        <f t="shared" ref="AL169:AO170" si="1842">SUM(V169:AK169)-(45*8)</f>
        <v>27</v>
      </c>
      <c r="AM169" s="49">
        <f t="shared" si="1842"/>
        <v>23</v>
      </c>
      <c r="AN169" s="49">
        <f t="shared" si="1842"/>
        <v>20</v>
      </c>
      <c r="AO169" s="49">
        <f t="shared" si="1842"/>
        <v>15</v>
      </c>
      <c r="AP169" s="49">
        <f>SUM(Z169:AO169)-(45*7)</f>
        <v>34</v>
      </c>
      <c r="AQ169" s="49">
        <f>SUM(AA169:AP169)-(45*8)</f>
        <v>4</v>
      </c>
      <c r="AR169" s="49">
        <f>SUM(AB169:AQ169)-(45*8)</f>
        <v>6</v>
      </c>
      <c r="AS169" s="49">
        <f>SUM(AC169:AR169)-(45*7)</f>
        <v>35</v>
      </c>
      <c r="AT169" s="49">
        <f t="shared" ref="AT169" si="1843">SUM(AD169:AS169)-(45*7)</f>
        <v>26</v>
      </c>
      <c r="AU169" s="49">
        <f t="shared" ref="AU169" si="1844">SUM(AE169:AT169)-(45*7)</f>
        <v>18</v>
      </c>
      <c r="AV169" s="49">
        <f t="shared" ref="AV169" si="1845">SUM(AF169:AU169)-(45*7)</f>
        <v>31</v>
      </c>
      <c r="AW169" s="49">
        <f t="shared" ref="AW169" si="1846">SUM(AG169:AV169)-(45*7)</f>
        <v>43</v>
      </c>
      <c r="AX169" s="49">
        <f>SUM(AH169:AW169)-(45*8)</f>
        <v>30</v>
      </c>
      <c r="AY169" s="49">
        <f>SUM(AI169:AX169)-(45*8)</f>
        <v>26</v>
      </c>
      <c r="AZ169" s="49">
        <f>SUM(AJ169:AY169)-(45*8)</f>
        <v>27</v>
      </c>
      <c r="BA169" s="49">
        <f>SUM(AK169:AZ169)-(45*8)</f>
        <v>42</v>
      </c>
      <c r="BB169" s="49">
        <f>SUM(AL169:BA169)-(45*9)</f>
        <v>2</v>
      </c>
      <c r="BC169" s="49">
        <f t="shared" ref="BC169:BH169" si="1847">SUM(AM169:BB169)-(45*8)</f>
        <v>22</v>
      </c>
      <c r="BD169" s="49">
        <f t="shared" si="1847"/>
        <v>21</v>
      </c>
      <c r="BE169" s="49">
        <f t="shared" si="1847"/>
        <v>22</v>
      </c>
      <c r="BF169" s="49">
        <f t="shared" si="1847"/>
        <v>29</v>
      </c>
      <c r="BG169" s="49">
        <f t="shared" si="1847"/>
        <v>24</v>
      </c>
      <c r="BH169" s="49">
        <f t="shared" si="1847"/>
        <v>44</v>
      </c>
      <c r="BI169" s="49">
        <f>SUM(AS169:BH169)-(45*9)</f>
        <v>37</v>
      </c>
      <c r="BJ169" s="49">
        <f>SUM(AT169:BI169)-(45*9)</f>
        <v>39</v>
      </c>
      <c r="BK169" s="49">
        <f>SUM(AU169:BJ169)-(45*10)</f>
        <v>7</v>
      </c>
      <c r="BL169" s="49">
        <f>SUM(AV169:BK169)-(45*9)</f>
        <v>41</v>
      </c>
      <c r="BM169" s="49">
        <f>SUM(AW169:BL169)-(45*10)</f>
        <v>6</v>
      </c>
      <c r="BN169" s="49">
        <f>SUM(AX169:BM169)-(45*9)</f>
        <v>14</v>
      </c>
      <c r="BO169" s="49">
        <f>SUM(AY169:BN169)-(45*8)</f>
        <v>43</v>
      </c>
      <c r="BP169" s="49">
        <f>SUM(AZ169:BO169)-(45*9)</f>
        <v>15</v>
      </c>
      <c r="BQ169" s="49">
        <f>SUM(BA169:BP169)-(45*9)</f>
        <v>3</v>
      </c>
      <c r="BR169" s="49">
        <f>SUM(BB169:BQ169)-(45*8)</f>
        <v>9</v>
      </c>
      <c r="BS169" s="49">
        <f>SUM(BC169:BR169)-(45*8)</f>
        <v>16</v>
      </c>
      <c r="BT169" s="49">
        <f>SUM(BD169:BS169)-(45*8)</f>
        <v>10</v>
      </c>
      <c r="BU169" s="49">
        <f>SUM(BE169:BT169)-(45*7)</f>
        <v>44</v>
      </c>
      <c r="BV169" s="49">
        <f>SUM(BF169:BU169)-(45*8)</f>
        <v>21</v>
      </c>
      <c r="BX169" s="256"/>
      <c r="CE169" s="122"/>
    </row>
    <row r="170" spans="2:83" s="262" customFormat="1" ht="17.25">
      <c r="B170" s="263"/>
      <c r="C170" s="44">
        <v>639</v>
      </c>
      <c r="D170" s="108" t="s">
        <v>441</v>
      </c>
      <c r="E170" s="48">
        <v>28</v>
      </c>
      <c r="F170" s="63">
        <v>30</v>
      </c>
      <c r="G170" s="63">
        <v>4</v>
      </c>
      <c r="H170" s="48">
        <f>SUM(E170:F170)-(45*1)</f>
        <v>13</v>
      </c>
      <c r="I170" s="48">
        <v>18</v>
      </c>
      <c r="J170" s="49">
        <f>SUM(E170:I170)-(45*2)</f>
        <v>3</v>
      </c>
      <c r="K170" s="49">
        <f>SUM(E170:J170)-(45*2)</f>
        <v>6</v>
      </c>
      <c r="L170" s="49">
        <f>SUM(E170:K170)-(45*2)</f>
        <v>12</v>
      </c>
      <c r="M170" s="49">
        <f>SUM(E170:L170)-(45*2)</f>
        <v>24</v>
      </c>
      <c r="N170" s="49">
        <f>SUM(E170:M170)-(45*3)</f>
        <v>3</v>
      </c>
      <c r="O170" s="49">
        <f>SUM(E170:N170)-(45*3)</f>
        <v>6</v>
      </c>
      <c r="P170" s="49">
        <f>SUM(E170:O170)-(45*3)</f>
        <v>12</v>
      </c>
      <c r="Q170" s="49">
        <f>SUM(F170:P170)-(45*2)</f>
        <v>41</v>
      </c>
      <c r="R170" s="49">
        <f>SUM(G170:Q170)-(45*3)</f>
        <v>7</v>
      </c>
      <c r="S170" s="49">
        <f>SUM(H170:R170)-(45*3)</f>
        <v>10</v>
      </c>
      <c r="T170" s="49">
        <f>SUM(I170:S170)-(45*3)</f>
        <v>7</v>
      </c>
      <c r="U170" s="49">
        <f>SUM(J170:T170)-(45*2)</f>
        <v>41</v>
      </c>
      <c r="V170" s="49">
        <f>SUM(K170:U170)-(45*3)</f>
        <v>34</v>
      </c>
      <c r="W170" s="49">
        <f>SUM(L170:V170)-(45*4)</f>
        <v>17</v>
      </c>
      <c r="X170" s="49">
        <f>SUM(M170:W170)-(45*4)</f>
        <v>22</v>
      </c>
      <c r="Y170" s="49">
        <f>SUM(N170:X170)-(45*4)</f>
        <v>20</v>
      </c>
      <c r="Z170" s="49">
        <f>SUM(O170:Y170)-(45*4)</f>
        <v>37</v>
      </c>
      <c r="AA170" s="49">
        <f>SUM(P170:Z170)-(45*5)</f>
        <v>23</v>
      </c>
      <c r="AB170" s="49">
        <f>SUM(Q170:AA170)-(45*5)</f>
        <v>34</v>
      </c>
      <c r="AC170" s="49">
        <f>SUM(M170:AB170)-(45*7)</f>
        <v>23</v>
      </c>
      <c r="AD170" s="49">
        <f>SUM(N170:AC170)-(45*7)</f>
        <v>22</v>
      </c>
      <c r="AE170" s="49">
        <f>SUM(O170:AD170)-(45*7)</f>
        <v>41</v>
      </c>
      <c r="AF170" s="49">
        <f>SUM(P170:AE170)-(45*8)</f>
        <v>31</v>
      </c>
      <c r="AG170" s="49">
        <f>SUM(Q170:AF170)-(45*9)</f>
        <v>5</v>
      </c>
      <c r="AH170" s="49">
        <f t="shared" si="1841"/>
        <v>14</v>
      </c>
      <c r="AI170" s="49">
        <f t="shared" si="1841"/>
        <v>21</v>
      </c>
      <c r="AJ170" s="49">
        <f t="shared" si="1841"/>
        <v>32</v>
      </c>
      <c r="AK170" s="49">
        <f>SUM(U170:AJ170)-(45*9)</f>
        <v>12</v>
      </c>
      <c r="AL170" s="49">
        <f t="shared" si="1842"/>
        <v>28</v>
      </c>
      <c r="AM170" s="49">
        <f t="shared" si="1842"/>
        <v>22</v>
      </c>
      <c r="AN170" s="49">
        <f t="shared" si="1842"/>
        <v>27</v>
      </c>
      <c r="AO170" s="49">
        <f t="shared" si="1842"/>
        <v>32</v>
      </c>
      <c r="AP170" s="49">
        <f>SUM(Z170:AO170)-(45*8)</f>
        <v>44</v>
      </c>
      <c r="AQ170" s="49">
        <f>SUM(AA170:AP170)-(45*9)</f>
        <v>6</v>
      </c>
      <c r="AR170" s="49">
        <f>SUM(AB170:AQ170)-(45*8)</f>
        <v>34</v>
      </c>
      <c r="AS170" s="49">
        <f>SUM(AC170:AR170)-(45*8)</f>
        <v>34</v>
      </c>
      <c r="AT170" s="49">
        <f>SUM(AD170:AS170)-(45*8)</f>
        <v>45</v>
      </c>
      <c r="AU170" s="49">
        <f>SUM(AE170:AT170)-(45*9)</f>
        <v>23</v>
      </c>
      <c r="AV170" s="49">
        <f>SUM(AF170:AU170)-(45*9)</f>
        <v>5</v>
      </c>
      <c r="AW170" s="49">
        <f>SUM(AG170:AV170)-(45*8)</f>
        <v>24</v>
      </c>
      <c r="AX170" s="49">
        <f>SUM(AH170:AW170)-(45*8)</f>
        <v>43</v>
      </c>
      <c r="AY170" s="49">
        <f>SUM(AI170:AX170)-(45*9)</f>
        <v>27</v>
      </c>
      <c r="AZ170" s="49">
        <f>SUM(AJ170:AY170)-(45*9)</f>
        <v>33</v>
      </c>
      <c r="BA170" s="49">
        <f>SUM(AK170:AZ170)-(45*9)</f>
        <v>34</v>
      </c>
      <c r="BB170" s="49">
        <f>SUM(AL170:BA170)-(45*10)</f>
        <v>11</v>
      </c>
      <c r="BC170" s="49">
        <f>SUM(AM170:BB170)-(45*9)</f>
        <v>39</v>
      </c>
      <c r="BD170" s="49">
        <f>SUM(AN170:BC170)-(45*10)</f>
        <v>11</v>
      </c>
      <c r="BE170" s="49">
        <f>SUM(AO170:BD170)-(45*9)</f>
        <v>40</v>
      </c>
      <c r="BF170" s="49">
        <f>SUM(AP170:BE170)-(45*10)</f>
        <v>3</v>
      </c>
      <c r="BG170" s="49">
        <f>SUM(AQ170:BF170)-(45*9)</f>
        <v>7</v>
      </c>
      <c r="BH170" s="49">
        <f>SUM(AR170:BG170)-(45*9)</f>
        <v>8</v>
      </c>
      <c r="BI170" s="49">
        <f>SUM(AS170:BH170)-(45*8)</f>
        <v>27</v>
      </c>
      <c r="BJ170" s="49">
        <f>SUM(AT170:BI170)-(45*8)</f>
        <v>20</v>
      </c>
      <c r="BK170" s="49">
        <f>SUM(AU170:BJ170)-(45*7)</f>
        <v>40</v>
      </c>
      <c r="BL170" s="49">
        <f>SUM(AV170:BK170)-(45*8)</f>
        <v>12</v>
      </c>
      <c r="BM170" s="49">
        <f>SUM(AW170:BL170)-(45*8)</f>
        <v>19</v>
      </c>
      <c r="BN170" s="49">
        <f>SUM(AX170:BM170)-(45*8)</f>
        <v>14</v>
      </c>
      <c r="BO170" s="49">
        <f>SUM(AY170:BN170)-(45*7)</f>
        <v>30</v>
      </c>
      <c r="BP170" s="49">
        <f>SUM(AZ170:BO170)-(45*7)</f>
        <v>33</v>
      </c>
      <c r="BQ170" s="49">
        <f>SUM(BA170:BP170)-(45*7)</f>
        <v>33</v>
      </c>
      <c r="BR170" s="49">
        <f>SUM(BB170:BQ170)-(45*7)</f>
        <v>32</v>
      </c>
      <c r="BS170" s="49">
        <f>SUM(BC170:BR170)-(45*8)</f>
        <v>8</v>
      </c>
      <c r="BT170" s="49">
        <f>SUM(BD170:BS170)-(45*7)</f>
        <v>22</v>
      </c>
      <c r="BU170" s="49">
        <f>SUM(BE170:BT170)-(45*7)</f>
        <v>33</v>
      </c>
      <c r="BV170" s="49">
        <f>SUM(BF170:BU170)-(45*7)</f>
        <v>26</v>
      </c>
      <c r="BX170" s="256"/>
      <c r="CE170" s="122"/>
    </row>
    <row r="171" spans="2:83" s="266" customFormat="1" ht="17.25">
      <c r="B171" s="264"/>
      <c r="C171" s="44">
        <v>640</v>
      </c>
      <c r="D171" s="108" t="s">
        <v>442</v>
      </c>
      <c r="E171" s="48">
        <v>7</v>
      </c>
      <c r="F171" s="63">
        <v>10</v>
      </c>
      <c r="G171" s="63">
        <v>1</v>
      </c>
      <c r="H171" s="48">
        <f>SUM(E171:F171)-(45*0)</f>
        <v>17</v>
      </c>
      <c r="I171" s="48">
        <v>10</v>
      </c>
      <c r="J171" s="49">
        <f>SUM(E171:I171)-(45*0)</f>
        <v>45</v>
      </c>
      <c r="K171" s="49">
        <f>SUM(E171:J171)-(45*1)</f>
        <v>45</v>
      </c>
      <c r="L171" s="49">
        <f>SUM(E171:K171)-(45*2)</f>
        <v>45</v>
      </c>
      <c r="M171" s="49">
        <f>SUM(E171:L171)-(45*3)</f>
        <v>45</v>
      </c>
      <c r="N171" s="49">
        <f>SUM(E171:M171)-(45*4)</f>
        <v>45</v>
      </c>
      <c r="O171" s="49">
        <f>SUM(E171:N171)-(45*5)</f>
        <v>45</v>
      </c>
      <c r="P171" s="49">
        <f>SUM(E171:O171)-(45*6)</f>
        <v>45</v>
      </c>
      <c r="Q171" s="49">
        <f>SUM(F171:P171)-(45*7)</f>
        <v>38</v>
      </c>
      <c r="R171" s="49">
        <f>SUM(G171:Q171)-(45*8)</f>
        <v>21</v>
      </c>
      <c r="S171" s="49">
        <f>SUM(H171:R171)-(45*8)</f>
        <v>41</v>
      </c>
      <c r="T171" s="49">
        <f>SUM(I171:S171)-(45*9)</f>
        <v>20</v>
      </c>
      <c r="U171" s="49">
        <f>SUM(J171:T171)-(45*9)</f>
        <v>30</v>
      </c>
      <c r="V171" s="49">
        <f>SUM(K171:U171)-(45*9)</f>
        <v>15</v>
      </c>
      <c r="W171" s="49">
        <f>SUM(L171:V171)-(45*8)</f>
        <v>30</v>
      </c>
      <c r="X171" s="49">
        <f>SUM(M171:W171)-(45*8)</f>
        <v>15</v>
      </c>
      <c r="Y171" s="49">
        <f>SUM(N171:X171)-(45*7)</f>
        <v>30</v>
      </c>
      <c r="Z171" s="49">
        <f>SUM(O171:Y171)-(45*7)</f>
        <v>15</v>
      </c>
      <c r="AA171" s="49">
        <f>SUM(P171:Z171)-(45*6)</f>
        <v>30</v>
      </c>
      <c r="AB171" s="49">
        <f>SUM(Q171:AA171)-(45*6)</f>
        <v>15</v>
      </c>
      <c r="AC171" s="49">
        <f>SUM(M171:AB171)-(45*10)</f>
        <v>30</v>
      </c>
      <c r="AD171" s="49">
        <f>SUM(N171:AC171)-(45*10)</f>
        <v>15</v>
      </c>
      <c r="AE171" s="49">
        <f>SUM(O171:AD171)-(45*9)</f>
        <v>30</v>
      </c>
      <c r="AF171" s="49">
        <f>SUM(P171:AE171)-(45*9)</f>
        <v>15</v>
      </c>
      <c r="AG171" s="49">
        <f>SUM(Q171:AF171)-(45*8)</f>
        <v>30</v>
      </c>
      <c r="AH171" s="49">
        <f t="shared" ref="AH171" si="1848">SUM(R171:AG171)-(45*8)</f>
        <v>22</v>
      </c>
      <c r="AI171" s="49">
        <f t="shared" ref="AI171" si="1849">SUM(S171:AH171)-(45*8)</f>
        <v>23</v>
      </c>
      <c r="AJ171" s="49">
        <f t="shared" ref="AJ171" si="1850">SUM(T171:AI171)-(45*8)</f>
        <v>5</v>
      </c>
      <c r="AK171" s="49">
        <f>SUM(U171:AJ171)-(45*7)</f>
        <v>35</v>
      </c>
      <c r="AL171" s="49">
        <f>SUM(V171:AK171)-(45*7)</f>
        <v>40</v>
      </c>
      <c r="AM171" s="49">
        <f t="shared" ref="AM171" si="1851">SUM(W171:AL171)-(45*8)</f>
        <v>20</v>
      </c>
      <c r="AN171" s="49">
        <f t="shared" ref="AN171" si="1852">SUM(X171:AM171)-(45*8)</f>
        <v>10</v>
      </c>
      <c r="AO171" s="49">
        <f t="shared" ref="AO171" si="1853">SUM(Y171:AN171)-(45*8)</f>
        <v>5</v>
      </c>
      <c r="AP171" s="49">
        <f>SUM(Z171:AO171)-(45*7)</f>
        <v>25</v>
      </c>
      <c r="AQ171" s="49">
        <f>SUM(AA171:AP171)-(45*7)</f>
        <v>35</v>
      </c>
      <c r="AR171" s="49">
        <f>SUM(AB171:AQ171)-(45*7)</f>
        <v>40</v>
      </c>
      <c r="AS171" s="49">
        <f>SUM(AC171:AR171)-(45*8)</f>
        <v>20</v>
      </c>
      <c r="AT171" s="49">
        <f>SUM(AD171:AS171)-(45*8)</f>
        <v>10</v>
      </c>
      <c r="AU171" s="49">
        <f>SUM(AE171:AT171)-(45*8)</f>
        <v>5</v>
      </c>
      <c r="AV171" s="49">
        <f>SUM(AF171:AU171)-(45*7)</f>
        <v>25</v>
      </c>
      <c r="AW171" s="49">
        <f>SUM(AG171:AV171)-(45*7)</f>
        <v>35</v>
      </c>
      <c r="AX171" s="49">
        <f>SUM(AH171:AW171)-(45*7)</f>
        <v>40</v>
      </c>
      <c r="AY171" s="49">
        <f>SUM(AI171:AX171)-(45*8)</f>
        <v>13</v>
      </c>
      <c r="AZ171" s="49">
        <f>SUM(AJ171:AY171)-(45*8)</f>
        <v>3</v>
      </c>
      <c r="BA171" s="49">
        <f>SUM(AK171:AZ171)-(45*8)</f>
        <v>1</v>
      </c>
      <c r="BB171" s="49">
        <f>SUM(AL171:BA171)-(45*7)</f>
        <v>12</v>
      </c>
      <c r="BC171" s="49">
        <f>SUM(AM171:BB171)-(45*6)</f>
        <v>29</v>
      </c>
      <c r="BD171" s="49">
        <f>SUM(AN171:BC171)-(45*6)</f>
        <v>38</v>
      </c>
      <c r="BE171" s="49">
        <f>SUM(AO171:BD171)-(45*7)</f>
        <v>21</v>
      </c>
      <c r="BF171" s="49">
        <f>SUM(AP171:BE171)-(45*7)</f>
        <v>37</v>
      </c>
      <c r="BG171" s="49">
        <f>SUM(AQ171:BF171)-(45*8)</f>
        <v>4</v>
      </c>
      <c r="BH171" s="49">
        <f>SUM(AR171:BG171)-(45*7)</f>
        <v>18</v>
      </c>
      <c r="BI171" s="49">
        <f>SUM(AS171:BH171)-(45*6)</f>
        <v>41</v>
      </c>
      <c r="BJ171" s="49">
        <f>SUM(AT171:BI171)-(45*7)</f>
        <v>17</v>
      </c>
      <c r="BK171" s="49">
        <f>SUM(AU171:BJ171)-(45*7)</f>
        <v>24</v>
      </c>
      <c r="BL171" s="49">
        <f>SUM(AV171:BK171)-(45*7)</f>
        <v>43</v>
      </c>
      <c r="BM171" s="49">
        <f>SUM(AW171:BL171)-(45*8)</f>
        <v>16</v>
      </c>
      <c r="BN171" s="49">
        <f>SUM(AX171:BM171)-(45*7)</f>
        <v>42</v>
      </c>
      <c r="BO171" s="49">
        <f>SUM(AY171:BN171)-(45*7)</f>
        <v>44</v>
      </c>
      <c r="BP171" s="49">
        <f>SUM(AZ171:BO171)-(45*8)</f>
        <v>30</v>
      </c>
      <c r="BQ171" s="49">
        <f>SUM(BA171:BP171)-(45*9)</f>
        <v>12</v>
      </c>
      <c r="BR171" s="49">
        <f>SUM(BB171:BQ171)-(45*9)</f>
        <v>23</v>
      </c>
      <c r="BS171" s="49">
        <f>SUM(BC171:BR171)-(45*9)</f>
        <v>34</v>
      </c>
      <c r="BT171" s="49">
        <f>SUM(BD171:BS171)-(45*9)</f>
        <v>39</v>
      </c>
      <c r="BU171" s="49">
        <f>SUM(BE171:BT171)-(45*9)</f>
        <v>40</v>
      </c>
      <c r="BV171" s="49">
        <f>SUM(BF171:BU171)-(45*10)</f>
        <v>14</v>
      </c>
      <c r="BX171" s="256"/>
      <c r="CE171" s="122"/>
    </row>
    <row r="172" spans="2:83" s="268" customFormat="1" ht="17.25">
      <c r="B172" s="267"/>
      <c r="C172" s="44">
        <v>641</v>
      </c>
      <c r="D172" s="108" t="s">
        <v>443</v>
      </c>
      <c r="E172" s="48">
        <v>14</v>
      </c>
      <c r="F172" s="63">
        <v>17</v>
      </c>
      <c r="G172" s="63">
        <v>2</v>
      </c>
      <c r="H172" s="48">
        <f>SUM(E172:F172)-(45*0)</f>
        <v>31</v>
      </c>
      <c r="I172" s="48">
        <v>11</v>
      </c>
      <c r="J172" s="49">
        <f>SUM(E172:I172)-(45*1)</f>
        <v>30</v>
      </c>
      <c r="K172" s="49">
        <f>SUM(E172:J172)-(45*2)</f>
        <v>15</v>
      </c>
      <c r="L172" s="49">
        <f>SUM(E172:K172)-(45*2)</f>
        <v>30</v>
      </c>
      <c r="M172" s="49">
        <f>SUM(E172:L172)-(45*3)</f>
        <v>15</v>
      </c>
      <c r="N172" s="49">
        <f>SUM(E172:M172)-(45*3)</f>
        <v>30</v>
      </c>
      <c r="O172" s="49">
        <f>SUM(E172:N172)-(45*4)</f>
        <v>15</v>
      </c>
      <c r="P172" s="49">
        <f>SUM(E172:O172)-(45*4)</f>
        <v>30</v>
      </c>
      <c r="Q172" s="49">
        <f>SUM(F172:P172)-(45*5)</f>
        <v>1</v>
      </c>
      <c r="R172" s="49">
        <f>SUM(G172:Q172)-(45*4)</f>
        <v>30</v>
      </c>
      <c r="S172" s="49">
        <f>SUM(H172:R172)-(45*5)</f>
        <v>13</v>
      </c>
      <c r="T172" s="49">
        <f>SUM(I172:S172)-(45*4)</f>
        <v>40</v>
      </c>
      <c r="U172" s="49">
        <f>SUM(J172:T172)-(45*5)</f>
        <v>24</v>
      </c>
      <c r="V172" s="49">
        <f>SUM(K172:U172)-(45*5)</f>
        <v>18</v>
      </c>
      <c r="W172" s="49">
        <f>SUM(L172:V172)-(45*5)</f>
        <v>21</v>
      </c>
      <c r="X172" s="49">
        <f>SUM(M172:W172)-(45*5)</f>
        <v>12</v>
      </c>
      <c r="Y172" s="49">
        <f>SUM(N172:X172)-(45*5)</f>
        <v>9</v>
      </c>
      <c r="Z172" s="49">
        <f>SUM(O172:Y172)-(45*4)</f>
        <v>33</v>
      </c>
      <c r="AA172" s="49">
        <f>SUM(P172:Z172)-(45*5)</f>
        <v>6</v>
      </c>
      <c r="AB172" s="49">
        <f>SUM(Q172:AA172)-(45*4)</f>
        <v>27</v>
      </c>
      <c r="AC172" s="49">
        <f>SUM(M172:AB172)-(45*7)</f>
        <v>9</v>
      </c>
      <c r="AD172" s="49">
        <f>SUM(N172:AC172)-(45*7)</f>
        <v>3</v>
      </c>
      <c r="AE172" s="49">
        <f>SUM(O172:AD172)-(45*6)</f>
        <v>21</v>
      </c>
      <c r="AF172" s="49">
        <f>SUM(P172:AE172)-(45*6)</f>
        <v>27</v>
      </c>
      <c r="AG172" s="49">
        <f>SUM(Q172:AF172)-(45*6)</f>
        <v>24</v>
      </c>
      <c r="AH172" s="49">
        <f>SUM(R172:AG172)-(45*7)</f>
        <v>2</v>
      </c>
      <c r="AI172" s="49">
        <f>SUM(S172:AH172)-(45*6)</f>
        <v>19</v>
      </c>
      <c r="AJ172" s="49">
        <f>SUM(T172:AI172)-(45*6)</f>
        <v>25</v>
      </c>
      <c r="AK172" s="49">
        <f>SUM(U172:AJ172)-(45*6)</f>
        <v>10</v>
      </c>
      <c r="AL172" s="49">
        <f>SUM(V172:AK172)-(45*5)</f>
        <v>41</v>
      </c>
      <c r="AM172" s="49">
        <f>SUM(W172:AL172)-(45*6)</f>
        <v>19</v>
      </c>
      <c r="AN172" s="49">
        <f>SUM(X172:AM172)-(45*6)</f>
        <v>17</v>
      </c>
      <c r="AO172" s="49">
        <f>SUM(Y172:AN172)-(45*6)</f>
        <v>22</v>
      </c>
      <c r="AP172" s="49">
        <f>SUM(Z172:AO172)-(45*6)</f>
        <v>35</v>
      </c>
      <c r="AQ172" s="49">
        <f>SUM(AA172:AP172)-(45*6)</f>
        <v>37</v>
      </c>
      <c r="AR172" s="49">
        <f>SUM(AB172:AQ172)-(45*7)</f>
        <v>23</v>
      </c>
      <c r="AS172" s="49">
        <f>SUM(AC172:AR172)-(45*7)</f>
        <v>19</v>
      </c>
      <c r="AT172" s="49">
        <f>SUM(AD172:AS172)-(45*7)</f>
        <v>29</v>
      </c>
      <c r="AU172" s="49">
        <f>SUM(AE172:AT172)-(45*8)</f>
        <v>10</v>
      </c>
      <c r="AV172" s="49">
        <f>SUM(AF172:AU172)-(45*7)</f>
        <v>44</v>
      </c>
      <c r="AW172" s="49">
        <f>SUM(AG172:AV172)-(45*8)</f>
        <v>16</v>
      </c>
      <c r="AX172" s="49">
        <f>SUM(AH172:AW172)-(45*8)</f>
        <v>8</v>
      </c>
      <c r="AY172" s="49">
        <f>SUM(AI172:AX172)-(45*8)</f>
        <v>14</v>
      </c>
      <c r="AZ172" s="49">
        <f>SUM(AJ172:AY172)-(45*8)</f>
        <v>9</v>
      </c>
      <c r="BA172" s="49">
        <f>SUM(AK172:AZ172)-(45*7)</f>
        <v>38</v>
      </c>
      <c r="BB172" s="49">
        <f t="shared" ref="BB172:BC174" si="1854">SUM(AL172:BA172)-(45*8)</f>
        <v>21</v>
      </c>
      <c r="BC172" s="49">
        <f t="shared" si="1854"/>
        <v>1</v>
      </c>
      <c r="BD172" s="49">
        <f>SUM(AN172:BC172)-(45*7)</f>
        <v>28</v>
      </c>
      <c r="BE172" s="49">
        <f>SUM(AO172:BD172)-(45*7)</f>
        <v>39</v>
      </c>
      <c r="BF172" s="49">
        <f>SUM(AP172:BE172)-(45*8)</f>
        <v>11</v>
      </c>
      <c r="BG172" s="49">
        <f>SUM(AQ172:BF172)-(45*7)</f>
        <v>32</v>
      </c>
      <c r="BH172" s="49">
        <f>SUM(AR172:BG172)-(45*7)</f>
        <v>27</v>
      </c>
      <c r="BI172" s="49">
        <f>SUM(AS172:BH172)-(45*7)</f>
        <v>31</v>
      </c>
      <c r="BJ172" s="49">
        <f>SUM(AT172:BI172)-(45*7)</f>
        <v>43</v>
      </c>
      <c r="BK172" s="49">
        <f>SUM(AU172:BJ172)-(45*8)</f>
        <v>12</v>
      </c>
      <c r="BL172" s="49">
        <f>SUM(AV172:BK172)-(45*8)</f>
        <v>14</v>
      </c>
      <c r="BM172" s="49">
        <f>SUM(AW172:BL172)-(45*7)</f>
        <v>29</v>
      </c>
      <c r="BN172" s="49">
        <f>SUM(AX172:BM172)-(45*7)</f>
        <v>42</v>
      </c>
      <c r="BO172" s="49">
        <f>SUM(AY172:BN172)-(45*8)</f>
        <v>31</v>
      </c>
      <c r="BP172" s="49">
        <f>SUM(AZ172:BO172)-(45*9)</f>
        <v>3</v>
      </c>
      <c r="BQ172" s="49">
        <f>SUM(BA172:BP172)-(45*8)</f>
        <v>42</v>
      </c>
      <c r="BR172" s="49">
        <f>SUM(BB172:BQ172)-(45*9)</f>
        <v>1</v>
      </c>
      <c r="BS172" s="49">
        <f>SUM(BC172:BR172)-(45*8)</f>
        <v>26</v>
      </c>
      <c r="BT172" s="49">
        <f>SUM(BD172:BS172)-(45*9)</f>
        <v>6</v>
      </c>
      <c r="BU172" s="49">
        <f>SUM(BE172:BT172)-(45*8)</f>
        <v>29</v>
      </c>
      <c r="BV172" s="49">
        <f>SUM(BF172:BU172)-(45*8)</f>
        <v>19</v>
      </c>
      <c r="BX172" s="256"/>
      <c r="CE172" s="122"/>
    </row>
    <row r="173" spans="2:83" s="270" customFormat="1" ht="17.25">
      <c r="B173" s="272"/>
      <c r="C173" s="44">
        <v>642</v>
      </c>
      <c r="D173" s="108" t="s">
        <v>444</v>
      </c>
      <c r="E173" s="48">
        <v>21</v>
      </c>
      <c r="F173" s="63">
        <v>24</v>
      </c>
      <c r="G173" s="63">
        <v>3</v>
      </c>
      <c r="H173" s="48">
        <f>SUM(E173:F173)-(45*0)</f>
        <v>45</v>
      </c>
      <c r="I173" s="48">
        <v>12</v>
      </c>
      <c r="J173" s="49">
        <f>SUM(E173:I173)-(45*2)</f>
        <v>15</v>
      </c>
      <c r="K173" s="49">
        <f>SUM(E173:J173)-(45*2)</f>
        <v>30</v>
      </c>
      <c r="L173" s="49">
        <f>SUM(E173:K173)-(45*3)</f>
        <v>15</v>
      </c>
      <c r="M173" s="49">
        <f>SUM(E173:L173)-(45*3)</f>
        <v>30</v>
      </c>
      <c r="N173" s="49">
        <f>SUM(E173:M173)-(45*4)</f>
        <v>15</v>
      </c>
      <c r="O173" s="49">
        <f>SUM(E173:N173)-(45*4)</f>
        <v>30</v>
      </c>
      <c r="P173" s="49">
        <f>SUM(E173:O173)-(45*5)</f>
        <v>15</v>
      </c>
      <c r="Q173" s="49">
        <f>SUM(F173:P173)-(45*5)</f>
        <v>9</v>
      </c>
      <c r="R173" s="49">
        <f>SUM(G173:Q173)-(45*4)</f>
        <v>39</v>
      </c>
      <c r="S173" s="49">
        <f>SUM(H173:R173)-(45*5)</f>
        <v>30</v>
      </c>
      <c r="T173" s="49">
        <f>SUM(I173:S173)-(45*5)</f>
        <v>15</v>
      </c>
      <c r="U173" s="49">
        <f>SUM(J173:T173)-(45*5)</f>
        <v>18</v>
      </c>
      <c r="V173" s="49">
        <f>SUM(K173:U173)-(45*5)</f>
        <v>21</v>
      </c>
      <c r="W173" s="49">
        <f>SUM(L173:V173)-(45*5)</f>
        <v>12</v>
      </c>
      <c r="X173" s="49">
        <f>SUM(M173:W173)-(45*5)</f>
        <v>9</v>
      </c>
      <c r="Y173" s="49">
        <f>SUM(N173:X173)-(45*4)</f>
        <v>33</v>
      </c>
      <c r="Z173" s="49">
        <f>SUM(O173:Y173)-(45*5)</f>
        <v>6</v>
      </c>
      <c r="AA173" s="49">
        <f>SUM(P173:Z173)-(45*4)</f>
        <v>27</v>
      </c>
      <c r="AB173" s="49">
        <f>SUM(Q173:AA173)-(45*4)</f>
        <v>39</v>
      </c>
      <c r="AC173" s="49">
        <f>SUM(M173:AB173)-(45*7)</f>
        <v>33</v>
      </c>
      <c r="AD173" s="49">
        <f>SUM(N173:AC173)-(45*7)</f>
        <v>36</v>
      </c>
      <c r="AE173" s="49">
        <f>SUM(O173:AD173)-(45*8)</f>
        <v>12</v>
      </c>
      <c r="AF173" s="49">
        <f>SUM(P173:AE173)-(45*7)</f>
        <v>39</v>
      </c>
      <c r="AG173" s="49">
        <f>SUM(Q173:AF173)-(45*8)</f>
        <v>18</v>
      </c>
      <c r="AH173" s="49">
        <f>SUM(R173:AG173)-(45*8)</f>
        <v>27</v>
      </c>
      <c r="AI173" s="49">
        <f>SUM(S173:AH173)-(45*8)</f>
        <v>15</v>
      </c>
      <c r="AJ173" s="49">
        <f>SUM(T173:AI173)-(45*7)</f>
        <v>45</v>
      </c>
      <c r="AK173" s="49">
        <f>SUM(U173:AJ173)-(45*8)</f>
        <v>30</v>
      </c>
      <c r="AL173" s="49">
        <f>SUM(V173:AK173)-(45*8)</f>
        <v>42</v>
      </c>
      <c r="AM173" s="49">
        <f>SUM(W173:AL173)-(45*9)</f>
        <v>18</v>
      </c>
      <c r="AN173" s="49">
        <f>SUM(X173:AM173)-(45*9)</f>
        <v>24</v>
      </c>
      <c r="AO173" s="49">
        <f>SUM(Y173:AN173)-(45*9)</f>
        <v>39</v>
      </c>
      <c r="AP173" s="49">
        <f>SUM(Z173:AO173)-(45*9)</f>
        <v>45</v>
      </c>
      <c r="AQ173" s="49">
        <f>SUM(AA173:AP173)-(45*10)</f>
        <v>39</v>
      </c>
      <c r="AR173" s="49">
        <f>SUM(AB173:AQ173)-(45*11)</f>
        <v>6</v>
      </c>
      <c r="AS173" s="49">
        <f>SUM(AC173:AR173)-(45*10)</f>
        <v>18</v>
      </c>
      <c r="AT173" s="49">
        <f>SUM(AD173:AS173)-(45*10)</f>
        <v>3</v>
      </c>
      <c r="AU173" s="49">
        <f>SUM(AE173:AT173)-(45*9)</f>
        <v>15</v>
      </c>
      <c r="AV173" s="49">
        <f>SUM(AF173:AU173)-(45*9)</f>
        <v>18</v>
      </c>
      <c r="AW173" s="49">
        <f>SUM(AG173:AV173)-(45*8)</f>
        <v>42</v>
      </c>
      <c r="AX173" s="49">
        <f>SUM(AH173:AW173)-(45*9)</f>
        <v>21</v>
      </c>
      <c r="AY173" s="49">
        <f>SUM(AI173:AX173)-(45*9)</f>
        <v>15</v>
      </c>
      <c r="AZ173" s="49">
        <f>SUM(AJ173:AY173)-(45*9)</f>
        <v>15</v>
      </c>
      <c r="BA173" s="49">
        <f>SUM(AK173:AZ173)-(45*8)</f>
        <v>30</v>
      </c>
      <c r="BB173" s="49">
        <f t="shared" si="1854"/>
        <v>30</v>
      </c>
      <c r="BC173" s="49">
        <f t="shared" si="1854"/>
        <v>18</v>
      </c>
      <c r="BD173" s="49">
        <f>SUM(AN173:BC173)-(45*8)</f>
        <v>18</v>
      </c>
      <c r="BE173" s="49">
        <f>SUM(AO173:BD173)-(45*8)</f>
        <v>12</v>
      </c>
      <c r="BF173" s="49">
        <f>SUM(AP173:BE173)-(45*7)</f>
        <v>30</v>
      </c>
      <c r="BG173" s="49">
        <f>SUM(AQ173:BF173)-(45*7)</f>
        <v>15</v>
      </c>
      <c r="BH173" s="49">
        <f>SUM(AR173:BG173)-(45*6)</f>
        <v>36</v>
      </c>
      <c r="BI173" s="49">
        <f>SUM(AS173:BH173)-(45*7)</f>
        <v>21</v>
      </c>
      <c r="BJ173" s="49">
        <f>SUM(AT173:BI173)-(45*7)</f>
        <v>24</v>
      </c>
      <c r="BK173" s="49">
        <f>SUM(AU173:BJ173)-(45*7)</f>
        <v>45</v>
      </c>
      <c r="BL173" s="49">
        <f>SUM(AV173:BK173)-(45*8)</f>
        <v>30</v>
      </c>
      <c r="BM173" s="49">
        <f>SUM(AW173:BL173)-(45*8)</f>
        <v>42</v>
      </c>
      <c r="BN173" s="49">
        <f>SUM(AX173:BM173)-(45*8)</f>
        <v>42</v>
      </c>
      <c r="BO173" s="49">
        <f>SUM(AY173:BN173)-(45*9)</f>
        <v>18</v>
      </c>
      <c r="BP173" s="49">
        <f>SUM(AZ173:BO173)-(45*9)</f>
        <v>21</v>
      </c>
      <c r="BQ173" s="49">
        <f>SUM(BA173:BP173)-(45*9)</f>
        <v>27</v>
      </c>
      <c r="BR173" s="49">
        <f>SUM(BB173:BQ173)-(45*9)</f>
        <v>24</v>
      </c>
      <c r="BS173" s="49">
        <f>SUM(BC173:BR173)-(45*9)</f>
        <v>18</v>
      </c>
      <c r="BT173" s="49">
        <f>SUM(BD173:BS173)-(45*9)</f>
        <v>18</v>
      </c>
      <c r="BU173" s="49">
        <f>SUM(BE173:BT173)-(45*9)</f>
        <v>18</v>
      </c>
      <c r="BV173" s="49">
        <f>SUM(BF173:BU173)-(45*9)</f>
        <v>24</v>
      </c>
      <c r="BX173" s="271"/>
      <c r="CE173" s="122"/>
    </row>
    <row r="174" spans="2:83" s="273" customFormat="1" ht="17.25">
      <c r="B174" s="272"/>
      <c r="C174" s="44">
        <v>643</v>
      </c>
      <c r="D174" s="108" t="s">
        <v>445</v>
      </c>
      <c r="E174" s="48">
        <v>28</v>
      </c>
      <c r="F174" s="63">
        <v>31</v>
      </c>
      <c r="G174" s="63">
        <v>4</v>
      </c>
      <c r="H174" s="48">
        <f>SUM(E174:F174)-(45*1)</f>
        <v>14</v>
      </c>
      <c r="I174" s="48">
        <v>13</v>
      </c>
      <c r="J174" s="49">
        <f>SUM(E174:I174)-(45*1)</f>
        <v>45</v>
      </c>
      <c r="K174" s="49">
        <f>SUM(E174:J174)-(45*2)</f>
        <v>45</v>
      </c>
      <c r="L174" s="49">
        <f>SUM(E174:K174)-(45*3)</f>
        <v>45</v>
      </c>
      <c r="M174" s="49">
        <f>SUM(E174:L174)-(45*4)</f>
        <v>45</v>
      </c>
      <c r="N174" s="49">
        <f>SUM(E174:M174)-(45*5)</f>
        <v>45</v>
      </c>
      <c r="O174" s="49">
        <f>SUM(E174:N174)-(45*6)</f>
        <v>45</v>
      </c>
      <c r="P174" s="49">
        <f>SUM(E174:O174)-(45*7)</f>
        <v>45</v>
      </c>
      <c r="Q174" s="49">
        <f>SUM(F174:P174)-(45*8)</f>
        <v>17</v>
      </c>
      <c r="R174" s="49">
        <f>SUM(G174:Q174)-(45*8)</f>
        <v>3</v>
      </c>
      <c r="S174" s="49">
        <f>SUM(H174:R174)-(45*8)</f>
        <v>2</v>
      </c>
      <c r="T174" s="49">
        <f>SUM(I174:S174)-(45*7)</f>
        <v>35</v>
      </c>
      <c r="U174" s="49">
        <f>SUM(J174:T174)-(45*8)</f>
        <v>12</v>
      </c>
      <c r="V174" s="49">
        <f>SUM(K174:U174)-(45*7)</f>
        <v>24</v>
      </c>
      <c r="W174" s="49">
        <f>SUM(L174:V174)-(45*7)</f>
        <v>3</v>
      </c>
      <c r="X174" s="49">
        <f>SUM(M174:W174)-(45*6)</f>
        <v>6</v>
      </c>
      <c r="Y174" s="49">
        <f>SUM(N174:X174)-(45*5)</f>
        <v>12</v>
      </c>
      <c r="Z174" s="49">
        <f>SUM(O174:Y174)-(45*4)</f>
        <v>24</v>
      </c>
      <c r="AA174" s="49">
        <f>SUM(P174:Z174)-(45*4)</f>
        <v>3</v>
      </c>
      <c r="AB174" s="49">
        <f>SUM(Q174:AA174)-(45*3)</f>
        <v>6</v>
      </c>
      <c r="AC174" s="49">
        <f>SUM(M174:AB174)-(45*7)</f>
        <v>12</v>
      </c>
      <c r="AD174" s="49">
        <f>SUM(N174:AC174)-(45*6)</f>
        <v>24</v>
      </c>
      <c r="AE174" s="49">
        <f>SUM(O174:AD174)-(45*6)</f>
        <v>3</v>
      </c>
      <c r="AF174" s="49">
        <f>SUM(P174:AE174)-(45*5)</f>
        <v>6</v>
      </c>
      <c r="AG174" s="49">
        <f>SUM(Q174:AF174)-(45*4)</f>
        <v>12</v>
      </c>
      <c r="AH174" s="49">
        <f>SUM(R174:AG174)-(45*4)</f>
        <v>7</v>
      </c>
      <c r="AI174" s="49">
        <f>SUM(S174:AH174)-(45*4)</f>
        <v>11</v>
      </c>
      <c r="AJ174" s="49">
        <f>SUM(T174:AI174)-(45*4)</f>
        <v>20</v>
      </c>
      <c r="AK174" s="49">
        <f>SUM(U174:AJ174)-(45*4)</f>
        <v>5</v>
      </c>
      <c r="AL174" s="49">
        <f>SUM(V174:AK174)-(45*3)</f>
        <v>43</v>
      </c>
      <c r="AM174" s="49">
        <f>SUM(W174:AL174)-(45*4)</f>
        <v>17</v>
      </c>
      <c r="AN174" s="49">
        <f>SUM(X174:AM174)-(45*4)</f>
        <v>31</v>
      </c>
      <c r="AO174" s="49">
        <f>SUM(Y174:AN174)-(45*5)</f>
        <v>11</v>
      </c>
      <c r="AP174" s="49">
        <f>SUM(Z174:AO174)-(45*5)</f>
        <v>10</v>
      </c>
      <c r="AQ174" s="49">
        <f>SUM(AA174:AP174)-(45*4)</f>
        <v>41</v>
      </c>
      <c r="AR174" s="49">
        <f>SUM(AB174:AQ174)-(45*5)</f>
        <v>34</v>
      </c>
      <c r="AS174" s="49">
        <f>SUM(AC174:AR174)-(45*6)</f>
        <v>17</v>
      </c>
      <c r="AT174" s="49">
        <f>SUM(AD174:AS174)-(45*6)</f>
        <v>22</v>
      </c>
      <c r="AU174" s="49">
        <f>SUM(AE174:AT174)-(45*6)</f>
        <v>20</v>
      </c>
      <c r="AV174" s="49">
        <f>SUM(AF174:AU174)-(45*6)</f>
        <v>37</v>
      </c>
      <c r="AW174" s="49">
        <f>SUM(AG174:AV174)-(45*7)</f>
        <v>23</v>
      </c>
      <c r="AX174" s="49">
        <f>SUM(AH174:AW174)-(45*7)</f>
        <v>34</v>
      </c>
      <c r="AY174" s="49">
        <f>SUM(AI174:AX174)-(45*8)</f>
        <v>16</v>
      </c>
      <c r="AZ174" s="49">
        <f>SUM(AJ174:AY174)-(45*8)</f>
        <v>21</v>
      </c>
      <c r="BA174" s="49">
        <f>SUM(AK174:AZ174)-(45*8)</f>
        <v>22</v>
      </c>
      <c r="BB174" s="49">
        <f t="shared" si="1854"/>
        <v>39</v>
      </c>
      <c r="BC174" s="49">
        <f t="shared" si="1854"/>
        <v>35</v>
      </c>
      <c r="BD174" s="49">
        <f>SUM(AN174:BC174)-(45*9)</f>
        <v>8</v>
      </c>
      <c r="BE174" s="49">
        <f>SUM(AO174:BD174)-(45*8)</f>
        <v>30</v>
      </c>
      <c r="BF174" s="49">
        <f>SUM(AP174:BE174)-(45*9)</f>
        <v>4</v>
      </c>
      <c r="BG174" s="49">
        <f>SUM(AQ174:BF174)-(45*8)</f>
        <v>43</v>
      </c>
      <c r="BH174" s="49">
        <f>SUM(AR174:BG174)-(45*8)</f>
        <v>45</v>
      </c>
      <c r="BI174" s="49">
        <f>SUM(AS174:BH174)-(45*9)</f>
        <v>11</v>
      </c>
      <c r="BJ174" s="49">
        <f>SUM(AT174:BI174)-(45*9)</f>
        <v>5</v>
      </c>
      <c r="BK174" s="49">
        <f>SUM(AU174:BJ174)-(45*8)</f>
        <v>33</v>
      </c>
      <c r="BL174" s="49">
        <f>SUM(AV174:BK174)-(45*9)</f>
        <v>1</v>
      </c>
      <c r="BM174" s="49">
        <f>SUM(AW174:BL174)-(45*8)</f>
        <v>10</v>
      </c>
      <c r="BN174" s="49">
        <f>SUM(AX174:BM174)-(45*7)</f>
        <v>42</v>
      </c>
      <c r="BO174" s="49">
        <f>SUM(AY174:BN174)-(45*8)</f>
        <v>5</v>
      </c>
      <c r="BP174" s="49">
        <f>SUM(AZ174:BO174)-(45*7)</f>
        <v>39</v>
      </c>
      <c r="BQ174" s="49">
        <f>SUM(BA174:BP174)-(45*8)</f>
        <v>12</v>
      </c>
      <c r="BR174" s="49">
        <f>SUM(BB174:BQ174)-(45*8)</f>
        <v>2</v>
      </c>
      <c r="BS174" s="49">
        <f>SUM(BC174:BR174)-(45*7)</f>
        <v>10</v>
      </c>
      <c r="BT174" s="49">
        <f>SUM(BD174:BS174)-(45*6)</f>
        <v>30</v>
      </c>
      <c r="BU174" s="49">
        <f>SUM(BE174:BT174)-(45*7)</f>
        <v>7</v>
      </c>
      <c r="BV174" s="49">
        <f>SUM(BF174:BU174)-(45*6)</f>
        <v>29</v>
      </c>
      <c r="BX174" s="271"/>
      <c r="CE174" s="122"/>
    </row>
    <row r="175" spans="2:83" s="275" customFormat="1" ht="17.25">
      <c r="B175" s="274"/>
      <c r="C175" s="44">
        <v>644</v>
      </c>
      <c r="D175" s="108" t="s">
        <v>446</v>
      </c>
      <c r="E175" s="48">
        <v>4</v>
      </c>
      <c r="F175" s="63">
        <v>8</v>
      </c>
      <c r="G175" s="63">
        <v>1</v>
      </c>
      <c r="H175" s="48">
        <f>SUM(E175:F175)-(45*0)</f>
        <v>12</v>
      </c>
      <c r="I175" s="48">
        <v>14</v>
      </c>
      <c r="J175" s="49">
        <f>SUM(E175:I175)-(45*0)</f>
        <v>39</v>
      </c>
      <c r="K175" s="49">
        <f>SUM(E175:J175)-(45*1)</f>
        <v>33</v>
      </c>
      <c r="L175" s="49">
        <f>SUM(E175:K175)-(45*2)</f>
        <v>21</v>
      </c>
      <c r="M175" s="49">
        <f>SUM(E175:L175)-(45*2)</f>
        <v>42</v>
      </c>
      <c r="N175" s="49">
        <f>SUM(E175:M175)-(45*3)</f>
        <v>39</v>
      </c>
      <c r="O175" s="49">
        <f>SUM(E175:N175)-(45*4)</f>
        <v>33</v>
      </c>
      <c r="P175" s="49">
        <f>SUM(E175:O175)-(45*5)</f>
        <v>21</v>
      </c>
      <c r="Q175" s="49">
        <f>SUM(F175:P175)-(45*5)</f>
        <v>38</v>
      </c>
      <c r="R175" s="49">
        <f>SUM(G175:Q175)-(45*6)</f>
        <v>23</v>
      </c>
      <c r="S175" s="49">
        <f>SUM(H175:R175)-(45*6)</f>
        <v>45</v>
      </c>
      <c r="T175" s="49">
        <f>SUM(I175:S175)-(45*7)</f>
        <v>33</v>
      </c>
      <c r="U175" s="49">
        <f>SUM(J175:T175)-(45*8)</f>
        <v>7</v>
      </c>
      <c r="V175" s="49">
        <f>SUM(K175:U175)-(45*7)</f>
        <v>20</v>
      </c>
      <c r="W175" s="49">
        <f>SUM(L175:V175)-(45*7)</f>
        <v>7</v>
      </c>
      <c r="X175" s="49">
        <f>SUM(M175:W175)-(45*6)</f>
        <v>38</v>
      </c>
      <c r="Y175" s="49">
        <f>SUM(N175:X175)-(45*6)</f>
        <v>34</v>
      </c>
      <c r="Z175" s="49">
        <f>SUM(O175:Y175)-(45*6)</f>
        <v>29</v>
      </c>
      <c r="AA175" s="49">
        <f>SUM(P175:Z175)-(45*6)</f>
        <v>25</v>
      </c>
      <c r="AB175" s="49">
        <f>SUM(Q175:AA175)-(45*6)</f>
        <v>29</v>
      </c>
      <c r="AC175" s="49">
        <f>SUM(M175:AB175)-(45*10)</f>
        <v>13</v>
      </c>
      <c r="AD175" s="49">
        <f>SUM(N175:AC175)-(45*9)</f>
        <v>29</v>
      </c>
      <c r="AE175" s="49">
        <f>SUM(O175:AD175)-(45*9)</f>
        <v>19</v>
      </c>
      <c r="AF175" s="49">
        <f>SUM(P175:AE175)-(45*9)</f>
        <v>5</v>
      </c>
      <c r="AG175" s="49">
        <f t="shared" ref="AG175:AL175" si="1855">SUM(Q175:AF175)-(45*8)</f>
        <v>34</v>
      </c>
      <c r="AH175" s="49">
        <f t="shared" si="1855"/>
        <v>30</v>
      </c>
      <c r="AI175" s="49">
        <f t="shared" si="1855"/>
        <v>37</v>
      </c>
      <c r="AJ175" s="49">
        <f t="shared" si="1855"/>
        <v>29</v>
      </c>
      <c r="AK175" s="49">
        <f t="shared" si="1855"/>
        <v>25</v>
      </c>
      <c r="AL175" s="49">
        <f t="shared" si="1855"/>
        <v>43</v>
      </c>
      <c r="AM175" s="49">
        <f t="shared" ref="AM175:AS175" si="1856">SUM(W175:AL175)-(45*9)</f>
        <v>21</v>
      </c>
      <c r="AN175" s="49">
        <f t="shared" si="1856"/>
        <v>35</v>
      </c>
      <c r="AO175" s="49">
        <f t="shared" si="1856"/>
        <v>32</v>
      </c>
      <c r="AP175" s="49">
        <f t="shared" si="1856"/>
        <v>30</v>
      </c>
      <c r="AQ175" s="49">
        <f t="shared" si="1856"/>
        <v>31</v>
      </c>
      <c r="AR175" s="49">
        <f t="shared" si="1856"/>
        <v>37</v>
      </c>
      <c r="AS175" s="49">
        <f t="shared" si="1856"/>
        <v>45</v>
      </c>
      <c r="AT175" s="49">
        <f>SUM(AD175:AS175)-(45*10)</f>
        <v>32</v>
      </c>
      <c r="AU175" s="49">
        <f>SUM(AE175:AT175)-(45*10)</f>
        <v>35</v>
      </c>
      <c r="AV175" s="49">
        <f>SUM(AF175:AU175)-(45*11)</f>
        <v>6</v>
      </c>
      <c r="AW175" s="49">
        <f>SUM(AG175:AV175)-(45*11)</f>
        <v>7</v>
      </c>
      <c r="AX175" s="49">
        <f>SUM(AH175:AW175)-(45*10)</f>
        <v>25</v>
      </c>
      <c r="AY175" s="49">
        <f>SUM(AI175:AX175)-(45*10)</f>
        <v>20</v>
      </c>
      <c r="AZ175" s="49">
        <f>SUM(AJ175:AY175)-(45*10)</f>
        <v>3</v>
      </c>
      <c r="BA175" s="49">
        <f>SUM(AK175:AZ175)-(45*9)</f>
        <v>22</v>
      </c>
      <c r="BB175" s="49">
        <f>SUM(AL175:BA175)-(45*9)</f>
        <v>19</v>
      </c>
      <c r="BC175" s="49">
        <f t="shared" ref="BC175" si="1857">SUM(AM175:BB175)-(45*8)</f>
        <v>40</v>
      </c>
      <c r="BD175" s="49">
        <f>SUM(AN175:BC175)-(45*9)</f>
        <v>14</v>
      </c>
      <c r="BE175" s="49">
        <f>SUM(AO175:BD175)-(45*8)</f>
        <v>38</v>
      </c>
      <c r="BF175" s="49">
        <f>SUM(AP175:BE175)-(45*8)</f>
        <v>44</v>
      </c>
      <c r="BG175" s="49">
        <f>SUM(AQ175:BF175)-(45*9)</f>
        <v>13</v>
      </c>
      <c r="BH175" s="49">
        <f>SUM(AR175:BG175)-(45*8)</f>
        <v>40</v>
      </c>
      <c r="BI175" s="49">
        <f>SUM(AS175:BH175)-(45*8)</f>
        <v>43</v>
      </c>
      <c r="BJ175" s="49">
        <f>SUM(AT175:BI175)-(45*8)</f>
        <v>41</v>
      </c>
      <c r="BK175" s="49">
        <f>SUM(AU175:BJ175)-(45*9)</f>
        <v>5</v>
      </c>
      <c r="BL175" s="49">
        <f>SUM(AV175:BK175)-(45*8)</f>
        <v>20</v>
      </c>
      <c r="BM175" s="49">
        <f>SUM(AW175:BL175)-(45*8)</f>
        <v>34</v>
      </c>
      <c r="BN175" s="49">
        <f>SUM(AX175:BM175)-(45*9)</f>
        <v>16</v>
      </c>
      <c r="BO175" s="49">
        <f>SUM(AY175:BN175)-(45*9)</f>
        <v>7</v>
      </c>
      <c r="BP175" s="49">
        <f>SUM(AZ175:BO175)-(45*8)</f>
        <v>39</v>
      </c>
      <c r="BQ175" s="49">
        <f>SUM(BA175:BP175)-(45*9)</f>
        <v>30</v>
      </c>
      <c r="BR175" s="49">
        <f>SUM(BB175:BQ175)-(45*9)</f>
        <v>38</v>
      </c>
      <c r="BS175" s="49">
        <f>SUM(BC175:BR175)-(45*10)</f>
        <v>12</v>
      </c>
      <c r="BT175" s="49">
        <f>SUM(BD175:BS175)-(45*9)</f>
        <v>29</v>
      </c>
      <c r="BU175" s="49">
        <f>SUM(BE175:BT175)-(45*9)</f>
        <v>44</v>
      </c>
      <c r="BV175" s="49">
        <f>SUM(BF175:BU175)-(45*10)</f>
        <v>5</v>
      </c>
      <c r="BX175" s="271"/>
      <c r="CE175" s="122"/>
    </row>
    <row r="176" spans="2:83" s="277" customFormat="1" ht="17.25">
      <c r="B176" s="276"/>
      <c r="C176" s="44">
        <v>645</v>
      </c>
      <c r="D176" s="108" t="s">
        <v>447</v>
      </c>
      <c r="E176" s="48">
        <v>11</v>
      </c>
      <c r="F176" s="63">
        <v>15</v>
      </c>
      <c r="G176" s="63">
        <v>2</v>
      </c>
      <c r="H176" s="48">
        <f>SUM(E176:F176)-(45*0)</f>
        <v>26</v>
      </c>
      <c r="I176" s="48">
        <v>15</v>
      </c>
      <c r="J176" s="49">
        <f>SUM(E176:I176)-(45*1)</f>
        <v>24</v>
      </c>
      <c r="K176" s="49">
        <f>SUM(E176:J176)-(45*2)</f>
        <v>3</v>
      </c>
      <c r="L176" s="49">
        <f>SUM(E176:K176)-(45*2)</f>
        <v>6</v>
      </c>
      <c r="M176" s="49">
        <f>SUM(E176:L176)-(45*2)</f>
        <v>12</v>
      </c>
      <c r="N176" s="49">
        <f>SUM(E176:M176)-(45*2)</f>
        <v>24</v>
      </c>
      <c r="O176" s="49">
        <f>SUM(E176:N176)-(45*3)</f>
        <v>3</v>
      </c>
      <c r="P176" s="49">
        <f>SUM(E176:O176)-(45*3)</f>
        <v>6</v>
      </c>
      <c r="Q176" s="49">
        <f>SUM(F176:P176)-(45*3)</f>
        <v>1</v>
      </c>
      <c r="R176" s="49">
        <f>SUM(G176:Q176)-(45*2)</f>
        <v>32</v>
      </c>
      <c r="S176" s="49">
        <f>SUM(H176:R176)-(45*3)</f>
        <v>17</v>
      </c>
      <c r="T176" s="49">
        <f>SUM(I176:S176)-(45*3)</f>
        <v>8</v>
      </c>
      <c r="U176" s="49">
        <f>SUM(J176:T176)-(45*3)</f>
        <v>1</v>
      </c>
      <c r="V176" s="49">
        <f>SUM(K176:U176)-(45*2)</f>
        <v>23</v>
      </c>
      <c r="W176" s="49">
        <f>SUM(L176:V176)-(45*2)</f>
        <v>43</v>
      </c>
      <c r="X176" s="49">
        <f>SUM(M176:W176)-(45*3)</f>
        <v>35</v>
      </c>
      <c r="Y176" s="49">
        <f>SUM(N176:X176)-(45*4)</f>
        <v>13</v>
      </c>
      <c r="Z176" s="49">
        <f>SUM(O176:Y176)-(45*4)</f>
        <v>2</v>
      </c>
      <c r="AA176" s="49">
        <f>SUM(P176:Z176)-(45*4)</f>
        <v>1</v>
      </c>
      <c r="AB176" s="49">
        <f>SUM(Q176:AA176)-(45*3)</f>
        <v>41</v>
      </c>
      <c r="AC176" s="49">
        <f>SUM(M176:AB176)-(45*5)</f>
        <v>37</v>
      </c>
      <c r="AD176" s="49">
        <f>SUM(N176:AC176)-(45*6)</f>
        <v>17</v>
      </c>
      <c r="AE176" s="49">
        <f>SUM(O176:AD176)-(45*6)</f>
        <v>10</v>
      </c>
      <c r="AF176" s="49">
        <f>SUM(P176:AE176)-(45*6)</f>
        <v>17</v>
      </c>
      <c r="AG176" s="49">
        <f>SUM(Q176:AF176)-(45*6)</f>
        <v>28</v>
      </c>
      <c r="AH176" s="49">
        <f>SUM(R176:AG176)-(45*7)</f>
        <v>10</v>
      </c>
      <c r="AI176" s="49">
        <f>SUM(S176:AH176)-(45*6)</f>
        <v>33</v>
      </c>
      <c r="AJ176" s="49">
        <f>SUM(T176:AI176)-(45*7)</f>
        <v>4</v>
      </c>
      <c r="AK176" s="49">
        <f>SUM(U176:AJ176)-(45*6)</f>
        <v>45</v>
      </c>
      <c r="AL176" s="49">
        <f>SUM(V176:AK176)-(45*7)</f>
        <v>44</v>
      </c>
      <c r="AM176" s="49">
        <f>SUM(W176:AL176)-(45*8)</f>
        <v>20</v>
      </c>
      <c r="AN176" s="49">
        <f>SUM(X176:AM176)-(45*7)</f>
        <v>42</v>
      </c>
      <c r="AO176" s="49">
        <f>SUM(Y176:AN176)-(45*8)</f>
        <v>4</v>
      </c>
      <c r="AP176" s="49">
        <f>SUM(Z176:AO176)-(45*7)</f>
        <v>40</v>
      </c>
      <c r="AQ176" s="49">
        <f>SUM(AA176:AP176)-(45*8)</f>
        <v>33</v>
      </c>
      <c r="AR176" s="49">
        <f t="shared" ref="AR176" si="1858">SUM(AB176:AQ176)-(45*9)</f>
        <v>20</v>
      </c>
      <c r="AS176" s="49">
        <f>SUM(AC176:AR176)-(45*8)</f>
        <v>44</v>
      </c>
      <c r="AT176" s="49">
        <f>SUM(AD176:AS176)-(45*9)</f>
        <v>6</v>
      </c>
      <c r="AU176" s="49">
        <f>SUM(AE176:AT176)-(45*8)</f>
        <v>40</v>
      </c>
      <c r="AV176" s="49">
        <f>SUM(AF176:AU176)-(45*9)</f>
        <v>25</v>
      </c>
      <c r="AW176" s="49">
        <f>SUM(AG176:AV176)-(45*9)</f>
        <v>33</v>
      </c>
      <c r="AX176" s="49">
        <f>SUM(AH176:AW176)-(45*9)</f>
        <v>38</v>
      </c>
      <c r="AY176" s="49">
        <f>SUM(AI176:AX176)-(45*10)</f>
        <v>21</v>
      </c>
      <c r="AZ176" s="49">
        <f>SUM(AJ176:AY176)-(45*10)</f>
        <v>9</v>
      </c>
      <c r="BA176" s="49">
        <f>SUM(AK176:AZ176)-(45*10)</f>
        <v>14</v>
      </c>
      <c r="BB176" s="49">
        <f>SUM(AL176:BA176)-(45*9)</f>
        <v>28</v>
      </c>
      <c r="BC176" s="49">
        <f>SUM(AM176:BB176)-(45*9)</f>
        <v>12</v>
      </c>
      <c r="BD176" s="49">
        <f>SUM(AN176:BC176)-(45*9)</f>
        <v>4</v>
      </c>
      <c r="BE176" s="49">
        <f>SUM(AO176:BD176)-(45*8)</f>
        <v>11</v>
      </c>
      <c r="BF176" s="49">
        <f>SUM(AP176:BE176)-(45*8)</f>
        <v>18</v>
      </c>
      <c r="BG176" s="49">
        <f>SUM(AQ176:BF176)-(45*7)</f>
        <v>41</v>
      </c>
      <c r="BH176" s="49">
        <f>SUM(AR176:BG176)-(45*8)</f>
        <v>4</v>
      </c>
      <c r="BI176" s="49">
        <f>SUM(AS176:BH176)-(45*7)</f>
        <v>33</v>
      </c>
      <c r="BJ176" s="49">
        <f>SUM(AT176:BI176)-(45*7)</f>
        <v>22</v>
      </c>
      <c r="BK176" s="49">
        <f>SUM(AU176:BJ176)-(45*7)</f>
        <v>38</v>
      </c>
      <c r="BL176" s="49">
        <f>SUM(AV176:BK176)-(45*7)</f>
        <v>36</v>
      </c>
      <c r="BM176" s="49">
        <f>SUM(AW176:BL176)-(45*8)</f>
        <v>2</v>
      </c>
      <c r="BN176" s="49">
        <f>SUM(AX176:BM176)-(45*7)</f>
        <v>16</v>
      </c>
      <c r="BO176" s="49">
        <f>SUM(AY176:BN176)-(45*6)</f>
        <v>39</v>
      </c>
      <c r="BP176" s="49">
        <f>SUM(AZ176:BO176)-(45*7)</f>
        <v>12</v>
      </c>
      <c r="BQ176" s="49">
        <f>SUM(BA176:BP176)-(45*7)</f>
        <v>15</v>
      </c>
      <c r="BR176" s="49">
        <f>SUM(BB176:BQ176)-(45*7)</f>
        <v>16</v>
      </c>
      <c r="BS176" s="49">
        <f>SUM(BC176:BR176)-(45*7)</f>
        <v>4</v>
      </c>
      <c r="BT176" s="49">
        <f>SUM(BD176:BS176)-(45*6)</f>
        <v>41</v>
      </c>
      <c r="BU176" s="49">
        <f>SUM(BE176:BT176)-(45*7)</f>
        <v>33</v>
      </c>
      <c r="BV176" s="49">
        <f>SUM(BF176:BU176)-(45*8)</f>
        <v>10</v>
      </c>
      <c r="BX176" s="271"/>
      <c r="CE176" s="122"/>
    </row>
    <row r="177" spans="2:83" s="277" customFormat="1" ht="17.25">
      <c r="B177" s="278"/>
      <c r="C177" s="44">
        <v>646</v>
      </c>
      <c r="D177" s="108" t="s">
        <v>448</v>
      </c>
      <c r="E177" s="48">
        <v>18</v>
      </c>
      <c r="F177" s="63">
        <v>22</v>
      </c>
      <c r="G177" s="63">
        <v>3</v>
      </c>
      <c r="H177" s="48">
        <f>SUM(E177:F177)-(45*0)</f>
        <v>40</v>
      </c>
      <c r="I177" s="48">
        <v>16</v>
      </c>
      <c r="J177" s="49">
        <f>SUM(E177:I177)-(45*2)</f>
        <v>9</v>
      </c>
      <c r="K177" s="49">
        <f>SUM(E177:J177)-(45*2)</f>
        <v>18</v>
      </c>
      <c r="L177" s="49">
        <f>SUM(E177:K177)-(45*2)</f>
        <v>36</v>
      </c>
      <c r="M177" s="49">
        <f>SUM(E177:L177)-(45*3)</f>
        <v>27</v>
      </c>
      <c r="N177" s="49">
        <f>SUM(E177:M177)-(45*4)</f>
        <v>9</v>
      </c>
      <c r="O177" s="49">
        <f>SUM(E177:N177)-(45*4)</f>
        <v>18</v>
      </c>
      <c r="P177" s="49">
        <f>SUM(E177:O177)-(45*4)</f>
        <v>36</v>
      </c>
      <c r="Q177" s="49">
        <f>SUM(F177:P177)-(45*5)</f>
        <v>9</v>
      </c>
      <c r="R177" s="49">
        <f>SUM(G177:Q177)-(45*4)</f>
        <v>41</v>
      </c>
      <c r="S177" s="49">
        <f>SUM(H177:R177)-(45*5)</f>
        <v>34</v>
      </c>
      <c r="T177" s="49">
        <f>SUM(I177:S177)-(45*5)</f>
        <v>28</v>
      </c>
      <c r="U177" s="49">
        <f>SUM(J177:T177)-(45*5)</f>
        <v>40</v>
      </c>
      <c r="V177" s="49">
        <f>SUM(K177:U177)-(45*6)</f>
        <v>26</v>
      </c>
      <c r="W177" s="49">
        <f>SUM(L177:V177)-(45*6)</f>
        <v>34</v>
      </c>
      <c r="X177" s="49">
        <f>SUM(M177:W177)-(45*6)</f>
        <v>32</v>
      </c>
      <c r="Y177" s="49">
        <f>SUM(N177:X177)-(45*6)</f>
        <v>37</v>
      </c>
      <c r="Z177" s="49">
        <f>SUM(O177:Y177)-(45*7)</f>
        <v>20</v>
      </c>
      <c r="AA177" s="49">
        <f>SUM(P177:Z177)-(45*7)</f>
        <v>22</v>
      </c>
      <c r="AB177" s="49">
        <f>SUM(Q177:AA177)-(45*7)</f>
        <v>8</v>
      </c>
      <c r="AC177" s="49">
        <f>SUM(M177:AB177)-(45*9)</f>
        <v>16</v>
      </c>
      <c r="AD177" s="49">
        <f>SUM(N177:AC177)-(45*9)</f>
        <v>5</v>
      </c>
      <c r="AE177" s="49">
        <f>SUM(O177:AD177)-(45*9)</f>
        <v>1</v>
      </c>
      <c r="AF177" s="49">
        <f t="shared" ref="AF177:AK177" si="1859">SUM(P177:AE177)-(45*8)</f>
        <v>29</v>
      </c>
      <c r="AG177" s="49">
        <f t="shared" si="1859"/>
        <v>22</v>
      </c>
      <c r="AH177" s="49">
        <f t="shared" si="1859"/>
        <v>35</v>
      </c>
      <c r="AI177" s="49">
        <f t="shared" si="1859"/>
        <v>29</v>
      </c>
      <c r="AJ177" s="49">
        <f t="shared" si="1859"/>
        <v>24</v>
      </c>
      <c r="AK177" s="49">
        <f t="shared" si="1859"/>
        <v>20</v>
      </c>
      <c r="AL177" s="49">
        <f>SUM(V177:AK177)-(45*7)</f>
        <v>45</v>
      </c>
      <c r="AM177" s="49">
        <f>SUM(W177:AL177)-(45*8)</f>
        <v>19</v>
      </c>
      <c r="AN177" s="49">
        <f>SUM(X177:AM177)-(45*8)</f>
        <v>4</v>
      </c>
      <c r="AO177" s="49">
        <f>SUM(Y177:AN177)-(45*7)</f>
        <v>21</v>
      </c>
      <c r="AP177" s="49">
        <f>SUM(Z177:AO177)-(45*7)</f>
        <v>5</v>
      </c>
      <c r="AQ177" s="49">
        <f>SUM(AA177:AP177)-(45*6)</f>
        <v>35</v>
      </c>
      <c r="AR177" s="49">
        <f>SUM(AB177:AQ177)-(45*7)</f>
        <v>3</v>
      </c>
      <c r="AS177" s="49">
        <f>SUM(AC177:AR177)-(45*6)</f>
        <v>43</v>
      </c>
      <c r="AT177" s="49">
        <f>SUM(AD177:AS177)-(45*7)</f>
        <v>25</v>
      </c>
      <c r="AU177" s="49">
        <f>SUM(AE177:AT177)-(45*7)</f>
        <v>45</v>
      </c>
      <c r="AV177" s="49">
        <f>SUM(AF177:AU177)-(45*8)</f>
        <v>44</v>
      </c>
      <c r="AW177" s="49">
        <f>SUM(AG177:AV177)-(45*9)</f>
        <v>14</v>
      </c>
      <c r="AX177" s="49">
        <f>SUM(AH177:AW177)-(45*9)</f>
        <v>6</v>
      </c>
      <c r="AY177" s="49">
        <f>SUM(AI177:AX177)-(45*8)</f>
        <v>22</v>
      </c>
      <c r="AZ177" s="49">
        <f>SUM(AJ177:AY177)-(45*8)</f>
        <v>15</v>
      </c>
      <c r="BA177" s="49">
        <f>SUM(AK177:AZ177)-(45*8)</f>
        <v>6</v>
      </c>
      <c r="BB177" s="49">
        <f>SUM(AL177:BA177)-(45*7)</f>
        <v>37</v>
      </c>
      <c r="BC177" s="49">
        <f>SUM(AM177:BB177)-(45*7)</f>
        <v>29</v>
      </c>
      <c r="BD177" s="49">
        <f>SUM(AN177:BC177)-(45*7)</f>
        <v>39</v>
      </c>
      <c r="BE177" s="49">
        <f>SUM(AO177:BD177)-(45*8)</f>
        <v>29</v>
      </c>
      <c r="BF177" s="49">
        <f>SUM(AP177:BE177)-(45*8)</f>
        <v>37</v>
      </c>
      <c r="BG177" s="49">
        <f>SUM(AQ177:BF177)-(45*9)</f>
        <v>24</v>
      </c>
      <c r="BH177" s="49">
        <f>SUM(AR177:BG177)-(45*9)</f>
        <v>13</v>
      </c>
      <c r="BI177" s="49">
        <f>SUM(AS177:BH177)-(45*9)</f>
        <v>23</v>
      </c>
      <c r="BJ177" s="49">
        <f>SUM(AT177:BI177)-(45*9)</f>
        <v>3</v>
      </c>
      <c r="BK177" s="49">
        <f>SUM(AU177:BJ177)-(45*8)</f>
        <v>26</v>
      </c>
      <c r="BL177" s="49">
        <f>SUM(AV177:BK177)-(45*8)</f>
        <v>7</v>
      </c>
      <c r="BM177" s="49">
        <f>SUM(AW177:BL177)-(45*7)</f>
        <v>15</v>
      </c>
      <c r="BN177" s="49">
        <f>SUM(AX177:BM177)-(45*7)</f>
        <v>16</v>
      </c>
      <c r="BO177" s="49">
        <f>SUM(AY177:BN177)-(45*7)</f>
        <v>26</v>
      </c>
      <c r="BP177" s="49">
        <f>SUM(AZ177:BO177)-(45*7)</f>
        <v>30</v>
      </c>
      <c r="BQ177" s="49">
        <f>SUM(BA177:BP177)-(45*7)</f>
        <v>45</v>
      </c>
      <c r="BR177" s="49">
        <f>SUM(BB177:BQ177)-(45*8)</f>
        <v>39</v>
      </c>
      <c r="BS177" s="49">
        <f>SUM(BC177:BR177)-(45*8)</f>
        <v>41</v>
      </c>
      <c r="BT177" s="49">
        <f>SUM(BD177:BS177)-(45*9)</f>
        <v>8</v>
      </c>
      <c r="BU177" s="49">
        <f>SUM(BE177:BT177)-(45*8)</f>
        <v>22</v>
      </c>
      <c r="BV177" s="49">
        <f>SUM(BF177:BU177)-(45*8)</f>
        <v>15</v>
      </c>
      <c r="BX177" s="271"/>
      <c r="CE177" s="122"/>
    </row>
    <row r="178" spans="2:83" s="277" customFormat="1" ht="17.25">
      <c r="B178" s="285"/>
      <c r="C178" s="44">
        <v>647</v>
      </c>
      <c r="D178" s="108" t="s">
        <v>449</v>
      </c>
      <c r="E178" s="48">
        <v>25</v>
      </c>
      <c r="F178" s="63">
        <v>29</v>
      </c>
      <c r="G178" s="63">
        <v>4</v>
      </c>
      <c r="H178" s="48">
        <f>SUM(E178:F178)-(45*1)</f>
        <v>9</v>
      </c>
      <c r="I178" s="48">
        <v>17</v>
      </c>
      <c r="J178" s="49">
        <f>SUM(E178:I178)-(45*1)</f>
        <v>39</v>
      </c>
      <c r="K178" s="49">
        <f>SUM(E178:J178)-(45*2)</f>
        <v>33</v>
      </c>
      <c r="L178" s="49">
        <f>SUM(E178:K178)-(45*3)</f>
        <v>21</v>
      </c>
      <c r="M178" s="49">
        <f>SUM(E178:L178)-(45*3)</f>
        <v>42</v>
      </c>
      <c r="N178" s="49">
        <f>SUM(E178:M178)-(45*4)</f>
        <v>39</v>
      </c>
      <c r="O178" s="49">
        <f>SUM(E178:N178)-(45*5)</f>
        <v>33</v>
      </c>
      <c r="P178" s="49">
        <f>SUM(E178:O178)-(45*6)</f>
        <v>21</v>
      </c>
      <c r="Q178" s="49">
        <f>SUM(F178:P178)-(45*6)</f>
        <v>17</v>
      </c>
      <c r="R178" s="49">
        <f>SUM(G178:Q178)-(45*6)</f>
        <v>5</v>
      </c>
      <c r="S178" s="49">
        <f>SUM(H178:R178)-(45*6)</f>
        <v>6</v>
      </c>
      <c r="T178" s="49">
        <f>SUM(I178:S178)-(45*6)</f>
        <v>3</v>
      </c>
      <c r="U178" s="49">
        <f>SUM(J178:T178)-(45*5)</f>
        <v>34</v>
      </c>
      <c r="V178" s="49">
        <f>SUM(K178:U178)-(45*5)</f>
        <v>29</v>
      </c>
      <c r="W178" s="49">
        <f>SUM(L178:V178)-(45*5)</f>
        <v>25</v>
      </c>
      <c r="X178" s="49">
        <f>SUM(M178:W178)-(45*5)</f>
        <v>29</v>
      </c>
      <c r="Y178" s="49">
        <f>SUM(N178:X178)-(45*5)</f>
        <v>16</v>
      </c>
      <c r="Z178" s="49">
        <f>SUM(O178:Y178)-(45*4)</f>
        <v>38</v>
      </c>
      <c r="AA178" s="49">
        <f>SUM(P178:Z178)-(45*4)</f>
        <v>43</v>
      </c>
      <c r="AB178" s="49">
        <f>SUM(Q178:AA178)-(45*5)</f>
        <v>20</v>
      </c>
      <c r="AC178" s="49">
        <f>SUM(M178:AB178)-(45*8)</f>
        <v>40</v>
      </c>
      <c r="AD178" s="49">
        <f>SUM(N178:AC178)-(45*8)</f>
        <v>38</v>
      </c>
      <c r="AE178" s="49">
        <f>SUM(O178:AD178)-(45*8)</f>
        <v>37</v>
      </c>
      <c r="AF178" s="49">
        <f>SUM(P178:AE178)-(45*8)</f>
        <v>41</v>
      </c>
      <c r="AG178" s="49">
        <f>SUM(Q178:AF178)-(45*9)</f>
        <v>16</v>
      </c>
      <c r="AH178" s="49">
        <f>SUM(R178:AG178)-(45*9)</f>
        <v>15</v>
      </c>
      <c r="AI178" s="49">
        <f>SUM(S178:AH178)-(45*9)</f>
        <v>25</v>
      </c>
      <c r="AJ178" s="49">
        <f>SUM(T178:AI178)-(45*9)</f>
        <v>44</v>
      </c>
      <c r="AK178" s="49">
        <f>SUM(U178:AJ178)-(45*10)</f>
        <v>40</v>
      </c>
      <c r="AL178" s="49">
        <f>SUM(V178:AK178)-(45*11)</f>
        <v>1</v>
      </c>
      <c r="AM178" s="49">
        <f>SUM(W178:AL178)-(45*10)</f>
        <v>18</v>
      </c>
      <c r="AN178" s="49">
        <f>SUM(X178:AM178)-(45*10)</f>
        <v>11</v>
      </c>
      <c r="AO178" s="49">
        <f>SUM(Y178:AN178)-(45*9)</f>
        <v>38</v>
      </c>
      <c r="AP178" s="49">
        <f>SUM(Z178:AO178)-(45*10)</f>
        <v>15</v>
      </c>
      <c r="AQ178" s="49">
        <f>SUM(AA178:AP178)-(45*9)</f>
        <v>37</v>
      </c>
      <c r="AR178" s="49">
        <f t="shared" ref="AR178" si="1860">SUM(AB178:AQ178)-(45*9)</f>
        <v>31</v>
      </c>
      <c r="AS178" s="49">
        <f>SUM(AC178:AR178)-(45*9)</f>
        <v>42</v>
      </c>
      <c r="AT178" s="49">
        <f>SUM(AD178:AS178)-(45*9)</f>
        <v>44</v>
      </c>
      <c r="AU178" s="49">
        <f>SUM(AE178:AT178)-(45*10)</f>
        <v>5</v>
      </c>
      <c r="AV178" s="49">
        <f>SUM(AF178:AU178)-(45*9)</f>
        <v>18</v>
      </c>
      <c r="AW178" s="49">
        <f>SUM(AG178:AV178)-(45*8)</f>
        <v>40</v>
      </c>
      <c r="AX178" s="49">
        <f>SUM(AH178:AW178)-(45*9)</f>
        <v>19</v>
      </c>
      <c r="AY178" s="49">
        <f>SUM(AI178:AX178)-(45*9)</f>
        <v>23</v>
      </c>
      <c r="AZ178" s="49">
        <f>SUM(AJ178:AY178)-(45*9)</f>
        <v>21</v>
      </c>
      <c r="BA178" s="49">
        <f>SUM(AK178:AZ178)-(45*8)</f>
        <v>43</v>
      </c>
      <c r="BB178" s="49">
        <f>SUM(AL178:BA178)-(45*9)</f>
        <v>1</v>
      </c>
      <c r="BC178" s="49">
        <f>SUM(AM178:BB178)-(45*9)</f>
        <v>1</v>
      </c>
      <c r="BD178" s="49">
        <f>SUM(AN178:BC178)-(45*8)</f>
        <v>29</v>
      </c>
      <c r="BE178" s="49">
        <f>SUM(AO178:BD178)-(45*9)</f>
        <v>2</v>
      </c>
      <c r="BF178" s="49">
        <f>SUM(AP178:BE178)-(45*8)</f>
        <v>11</v>
      </c>
      <c r="BG178" s="49">
        <f>SUM(AQ178:BF178)-(45*8)</f>
        <v>7</v>
      </c>
      <c r="BH178" s="49">
        <f>SUM(AR178:BG178)-(45*7)</f>
        <v>22</v>
      </c>
      <c r="BI178" s="49">
        <f>SUM(AS178:BH178)-(45*7)</f>
        <v>13</v>
      </c>
      <c r="BJ178" s="49">
        <f t="shared" ref="BJ178:BP178" si="1861">SUM(AT178:BI178)-(45*6)</f>
        <v>29</v>
      </c>
      <c r="BK178" s="49">
        <f t="shared" si="1861"/>
        <v>14</v>
      </c>
      <c r="BL178" s="49">
        <f t="shared" si="1861"/>
        <v>23</v>
      </c>
      <c r="BM178" s="49">
        <f t="shared" si="1861"/>
        <v>28</v>
      </c>
      <c r="BN178" s="49">
        <f t="shared" si="1861"/>
        <v>16</v>
      </c>
      <c r="BO178" s="49">
        <f t="shared" si="1861"/>
        <v>13</v>
      </c>
      <c r="BP178" s="49">
        <f t="shared" si="1861"/>
        <v>3</v>
      </c>
      <c r="BQ178" s="49">
        <f>SUM(BA178:BP178)-(45*5)</f>
        <v>30</v>
      </c>
      <c r="BR178" s="49">
        <f>SUM(BB178:BQ178)-(45*5)</f>
        <v>17</v>
      </c>
      <c r="BS178" s="49">
        <f>SUM(BC178:BR178)-(45*5)</f>
        <v>33</v>
      </c>
      <c r="BT178" s="49">
        <f>SUM(BD178:BS178)-(45*6)</f>
        <v>20</v>
      </c>
      <c r="BU178" s="49">
        <f>SUM(BE178:BT178)-(45*6)</f>
        <v>11</v>
      </c>
      <c r="BV178" s="49">
        <f>SUM(BF178:BU178)-(45*6)</f>
        <v>20</v>
      </c>
      <c r="BX178" s="271"/>
      <c r="CE178" s="122"/>
    </row>
    <row r="179" spans="2:83" s="277" customFormat="1" ht="17.25">
      <c r="B179" s="322"/>
      <c r="C179" s="53">
        <v>648</v>
      </c>
      <c r="D179" s="324" t="s">
        <v>450</v>
      </c>
      <c r="E179" s="48">
        <v>2</v>
      </c>
      <c r="F179" s="63">
        <v>7</v>
      </c>
      <c r="G179" s="63">
        <v>1</v>
      </c>
      <c r="H179" s="48">
        <f>SUM(E179:F179)-(45*0)</f>
        <v>9</v>
      </c>
      <c r="I179" s="48">
        <v>18</v>
      </c>
      <c r="J179" s="49">
        <f>SUM(E179:I179)-(45*0)</f>
        <v>37</v>
      </c>
      <c r="K179" s="49">
        <f>SUM(E179:J179)-(45*1)</f>
        <v>29</v>
      </c>
      <c r="L179" s="49">
        <f>SUM(E179:K179)-(45*2)</f>
        <v>13</v>
      </c>
      <c r="M179" s="49">
        <f>SUM(E179:L179)-(45*2)</f>
        <v>26</v>
      </c>
      <c r="N179" s="49">
        <f>SUM(E179:M179)-(45*3)</f>
        <v>7</v>
      </c>
      <c r="O179" s="49">
        <f>SUM(E179:N179)-(45*3)</f>
        <v>14</v>
      </c>
      <c r="P179" s="49">
        <f>SUM(E179:O179)-(45*3)</f>
        <v>28</v>
      </c>
      <c r="Q179" s="49">
        <f>SUM(F179:P179)-(45*4)</f>
        <v>9</v>
      </c>
      <c r="R179" s="49">
        <f>SUM(G179:Q179)-(45*4)</f>
        <v>11</v>
      </c>
      <c r="S179" s="49">
        <f>SUM(H179:R179)-(45*4)</f>
        <v>21</v>
      </c>
      <c r="T179" s="49">
        <f>SUM(I179:S179)-(45*4)</f>
        <v>33</v>
      </c>
      <c r="U179" s="49">
        <f>SUM(J179:T179)-(45*5)</f>
        <v>3</v>
      </c>
      <c r="V179" s="49">
        <f>SUM(K179:U179)-(45*4)</f>
        <v>14</v>
      </c>
      <c r="W179" s="49">
        <f>SUM(L179:V179)-(45*3)</f>
        <v>44</v>
      </c>
      <c r="X179" s="49">
        <f>SUM(M179:W179)-(45*4)</f>
        <v>30</v>
      </c>
      <c r="Y179" s="49">
        <f>SUM(N179:X179)-(45*4)</f>
        <v>34</v>
      </c>
      <c r="Z179" s="49">
        <f>SUM(O179:Y179)-(45*5)</f>
        <v>16</v>
      </c>
      <c r="AA179" s="49">
        <f>SUM(P179:Z179)-(45*5)</f>
        <v>18</v>
      </c>
      <c r="AB179" s="49">
        <f>SUM(Q179:AA179)-(45*5)</f>
        <v>8</v>
      </c>
      <c r="AC179" s="49">
        <f>SUM(M179:AB179)-(45*7)</f>
        <v>1</v>
      </c>
      <c r="AD179" s="49">
        <f>SUM(N179:AC179)-(45*6)</f>
        <v>21</v>
      </c>
      <c r="AE179" s="49">
        <f>SUM(O179:AD179)-(45*6)</f>
        <v>35</v>
      </c>
      <c r="AF179" s="49">
        <f>SUM(P179:AE179)-(45*7)</f>
        <v>11</v>
      </c>
      <c r="AG179" s="49">
        <f>SUM(Q179:AF179)-(45*6)</f>
        <v>39</v>
      </c>
      <c r="AH179" s="49">
        <f>SUM(R179:AG179)-(45*7)</f>
        <v>24</v>
      </c>
      <c r="AI179" s="49">
        <f>SUM(S179:AH179)-(45*7)</f>
        <v>37</v>
      </c>
      <c r="AJ179" s="49">
        <f t="shared" ref="AJ179" si="1862">SUM(T179:AI179)-(45*8)</f>
        <v>8</v>
      </c>
      <c r="AK179" s="49">
        <f>SUM(U179:AJ179)-(45*7)</f>
        <v>28</v>
      </c>
      <c r="AL179" s="49">
        <f>SUM(V179:AK179)-(45*8)</f>
        <v>8</v>
      </c>
      <c r="AM179" s="49">
        <f>SUM(W179:AL179)-(45*8)</f>
        <v>2</v>
      </c>
      <c r="AN179" s="49">
        <f>SUM(X179:AM179)-(45*7)</f>
        <v>5</v>
      </c>
      <c r="AO179" s="49">
        <f t="shared" ref="AO179:AT179" si="1863">SUM(Y179:AN179)-(45*6)</f>
        <v>25</v>
      </c>
      <c r="AP179" s="49">
        <f t="shared" si="1863"/>
        <v>16</v>
      </c>
      <c r="AQ179" s="49">
        <f t="shared" si="1863"/>
        <v>16</v>
      </c>
      <c r="AR179" s="49">
        <f t="shared" si="1863"/>
        <v>14</v>
      </c>
      <c r="AS179" s="49">
        <f t="shared" si="1863"/>
        <v>20</v>
      </c>
      <c r="AT179" s="49">
        <f t="shared" si="1863"/>
        <v>39</v>
      </c>
      <c r="AU179" s="49">
        <f>SUM(AE179:AT179)-(45*7)</f>
        <v>12</v>
      </c>
      <c r="AV179" s="49">
        <f>SUM(AF179:AU179)-(45*6)</f>
        <v>34</v>
      </c>
      <c r="AW179" s="49">
        <f>SUM(AG179:AV179)-(45*7)</f>
        <v>12</v>
      </c>
      <c r="AX179" s="49">
        <f>SUM(AH179:AW179)-(45*6)</f>
        <v>30</v>
      </c>
      <c r="AY179" s="49">
        <f>SUM(AI179:AX179)-(45*6)</f>
        <v>36</v>
      </c>
      <c r="AZ179" s="49">
        <f>SUM(AJ179:AY179)-(45*6)</f>
        <v>35</v>
      </c>
      <c r="BA179" s="49">
        <f>SUM(AK179:AZ179)-(45*7)</f>
        <v>17</v>
      </c>
      <c r="BB179" s="49">
        <f>SUM(AL179:BA179)-(45*7)</f>
        <v>6</v>
      </c>
      <c r="BC179" s="49">
        <f>SUM(AM179:BB179)-(45*7)</f>
        <v>4</v>
      </c>
      <c r="BD179" s="49">
        <f>SUM(AN179:BC179)-(45*7)</f>
        <v>6</v>
      </c>
      <c r="BE179" s="49">
        <f>SUM(AO179:BD179)-(45*7)</f>
        <v>7</v>
      </c>
      <c r="BF179" s="49">
        <f>SUM(AP179:BE179)-(45*6)</f>
        <v>34</v>
      </c>
      <c r="BG179" s="49">
        <f>SUM(AQ179:BF179)-(45*7)</f>
        <v>7</v>
      </c>
      <c r="BH179" s="49">
        <f>SUM(AR179:BG179)-(45*6)</f>
        <v>43</v>
      </c>
      <c r="BI179" s="49">
        <f>SUM(AS179:BH179)-(45*7)</f>
        <v>27</v>
      </c>
      <c r="BJ179" s="49">
        <f>SUM(AT179:BI179)-(45*7)</f>
        <v>34</v>
      </c>
      <c r="BK179" s="49">
        <f>SUM(AU179:BJ179)-(45*7)</f>
        <v>29</v>
      </c>
      <c r="BL179" s="49">
        <f>SUM(AV179:BK179)-(45*8)</f>
        <v>1</v>
      </c>
      <c r="BM179" s="49">
        <f>SUM(AW179:BL179)-(45*7)</f>
        <v>13</v>
      </c>
      <c r="BN179" s="49">
        <f>SUM(AX179:BM179)-(45*7)</f>
        <v>14</v>
      </c>
      <c r="BO179" s="49">
        <f>SUM(AY179:BN179)-(45*6)</f>
        <v>43</v>
      </c>
      <c r="BP179" s="49">
        <f>SUM(AZ179:BO179)-(45*7)</f>
        <v>5</v>
      </c>
      <c r="BQ179" s="49">
        <f>SUM(BA179:BP179)-(45*6)</f>
        <v>20</v>
      </c>
      <c r="BR179" s="49">
        <f>SUM(BB179:BQ179)-(45*6)</f>
        <v>23</v>
      </c>
      <c r="BS179" s="49">
        <f>SUM(BC179:BR179)-(45*6)</f>
        <v>40</v>
      </c>
      <c r="BT179" s="49">
        <f>SUM(BD179:BS179)-(45*7)</f>
        <v>31</v>
      </c>
      <c r="BU179" s="49">
        <f>SUM(BE179:BT179)-(45*8)</f>
        <v>11</v>
      </c>
      <c r="BV179" s="49">
        <f>SUM(BF179:BU179)-(45*8)</f>
        <v>15</v>
      </c>
      <c r="BX179" s="271"/>
      <c r="CE179" s="122"/>
    </row>
    <row r="180" spans="2:83" s="277" customFormat="1" ht="17.25">
      <c r="B180" s="323"/>
      <c r="C180" s="44">
        <v>649</v>
      </c>
      <c r="D180" s="108" t="s">
        <v>451</v>
      </c>
      <c r="E180" s="48">
        <v>9</v>
      </c>
      <c r="F180" s="63">
        <v>14</v>
      </c>
      <c r="G180" s="63">
        <v>2</v>
      </c>
      <c r="H180" s="48">
        <f>SUM(E180:F180)-(45*0)</f>
        <v>23</v>
      </c>
      <c r="I180" s="48">
        <v>19</v>
      </c>
      <c r="J180" s="49">
        <f>SUM(E180:I180)-(45*1)</f>
        <v>22</v>
      </c>
      <c r="K180" s="49">
        <f>SUM(E180:J180)-(45*1)</f>
        <v>44</v>
      </c>
      <c r="L180" s="49">
        <f>SUM(E180:K180)-(45*2)</f>
        <v>43</v>
      </c>
      <c r="M180" s="49">
        <f>SUM(E180:L180)-(45*3)</f>
        <v>41</v>
      </c>
      <c r="N180" s="49">
        <f>SUM(E180:M180)-(45*4)</f>
        <v>37</v>
      </c>
      <c r="O180" s="49">
        <f>SUM(E180:N180)-(45*5)</f>
        <v>29</v>
      </c>
      <c r="P180" s="49">
        <f>SUM(E180:O180)-(45*6)</f>
        <v>13</v>
      </c>
      <c r="Q180" s="49">
        <f>SUM(F180:P180)-(45*6)</f>
        <v>17</v>
      </c>
      <c r="R180" s="49">
        <f>SUM(G180:Q180)-(45*6)</f>
        <v>20</v>
      </c>
      <c r="S180" s="49">
        <f>SUM(H180:R180)-(45*6)</f>
        <v>38</v>
      </c>
      <c r="T180" s="49">
        <f>SUM(I180:S180)-(45*7)</f>
        <v>8</v>
      </c>
      <c r="U180" s="49">
        <f>SUM(J180:T180)-(45*6)</f>
        <v>42</v>
      </c>
      <c r="V180" s="49">
        <f>SUM(K180:U180)-(45*7)</f>
        <v>17</v>
      </c>
      <c r="W180" s="49">
        <f t="shared" ref="W180:Y181" si="1864">SUM(L180:V180)-(45*6)</f>
        <v>35</v>
      </c>
      <c r="X180" s="49">
        <f t="shared" si="1864"/>
        <v>27</v>
      </c>
      <c r="Y180" s="49">
        <f t="shared" si="1864"/>
        <v>13</v>
      </c>
      <c r="Z180" s="49">
        <f>SUM(O180:Y180)-(45*5)</f>
        <v>34</v>
      </c>
      <c r="AA180" s="49">
        <f>SUM(P180:Z180)-(45*5)</f>
        <v>39</v>
      </c>
      <c r="AB180" s="49">
        <f>SUM(Q180:AA180)-(45*6)</f>
        <v>20</v>
      </c>
      <c r="AC180" s="49">
        <f>SUM(M180:AB180)-(45*9)</f>
        <v>25</v>
      </c>
      <c r="AD180" s="49">
        <f>SUM(N180:AC180)-(45*9)</f>
        <v>9</v>
      </c>
      <c r="AE180" s="49">
        <f>SUM(O180:AD180)-(45*8)</f>
        <v>26</v>
      </c>
      <c r="AF180" s="49">
        <f>SUM(P180:AE180)-(45*8)</f>
        <v>23</v>
      </c>
      <c r="AG180" s="49">
        <f>SUM(Q180:AF180)-(45*8)</f>
        <v>33</v>
      </c>
      <c r="AH180" s="49">
        <f>SUM(R180:AG180)-(45*9)</f>
        <v>4</v>
      </c>
      <c r="AI180" s="49">
        <f>SUM(S180:AH180)-(45*8)</f>
        <v>33</v>
      </c>
      <c r="AJ180" s="49">
        <f>SUM(T180:AI180)-(45*8)</f>
        <v>28</v>
      </c>
      <c r="AK180" s="49">
        <f>SUM(U180:AJ180)-(45*9)</f>
        <v>3</v>
      </c>
      <c r="AL180" s="49">
        <f>SUM(V180:AK180)-(45*8)</f>
        <v>9</v>
      </c>
      <c r="AM180" s="49">
        <f>SUM(W180:AL180)-(45*8)</f>
        <v>1</v>
      </c>
      <c r="AN180" s="49">
        <f>SUM(X180:AM180)-(45*7)</f>
        <v>12</v>
      </c>
      <c r="AO180" s="49">
        <f>SUM(Y180:AN180)-(45*6)</f>
        <v>42</v>
      </c>
      <c r="AP180" s="49">
        <f>SUM(Z180:AO180)-(45*7)</f>
        <v>26</v>
      </c>
      <c r="AQ180" s="49">
        <f>SUM(AA180:AP180)-(45*7)</f>
        <v>18</v>
      </c>
      <c r="AR180" s="49">
        <f>SUM(AB180:AQ180)-(45*6)</f>
        <v>42</v>
      </c>
      <c r="AS180" s="49">
        <f>SUM(AC180:AR180)-(45*7)</f>
        <v>19</v>
      </c>
      <c r="AT180" s="49">
        <f>SUM(AD180:AS180)-(45*7)</f>
        <v>13</v>
      </c>
      <c r="AU180" s="49">
        <f>SUM(AE180:AT180)-(45*7)</f>
        <v>17</v>
      </c>
      <c r="AV180" s="49">
        <f>SUM(AF180:AU180)-(45*7)</f>
        <v>8</v>
      </c>
      <c r="AW180" s="49">
        <f>SUM(AG180:AV180)-(45*6)</f>
        <v>38</v>
      </c>
      <c r="AX180" s="49">
        <f>SUM(AH180:AW180)-(45*6)</f>
        <v>43</v>
      </c>
      <c r="AY180" s="49">
        <f>SUM(AI180:AX180)-(45*7)</f>
        <v>37</v>
      </c>
      <c r="AZ180" s="49">
        <f>SUM(AJ180:AY180)-(45*7)</f>
        <v>41</v>
      </c>
      <c r="BA180" s="49">
        <f>SUM(AK180:AZ180)-(45*8)</f>
        <v>9</v>
      </c>
      <c r="BB180" s="49">
        <f>SUM(AL180:BA180)-(45*8)</f>
        <v>15</v>
      </c>
      <c r="BC180" s="49">
        <f>SUM(AM180:BB180)-(45*8)</f>
        <v>21</v>
      </c>
      <c r="BD180" s="49">
        <f>SUM(AN180:BC180)-(45*8)</f>
        <v>41</v>
      </c>
      <c r="BE180" s="49">
        <f>SUM(AO180:BD180)-(45*9)</f>
        <v>25</v>
      </c>
      <c r="BF180" s="49">
        <f>SUM(AP180:BE180)-(45*9)</f>
        <v>8</v>
      </c>
      <c r="BG180" s="49">
        <f>SUM(AQ180:BF180)-(45*8)</f>
        <v>35</v>
      </c>
      <c r="BH180" s="49">
        <f>SUM(AR180:BG180)-(45*9)</f>
        <v>7</v>
      </c>
      <c r="BI180" s="49">
        <f>SUM(AS180:BH180)-(45*8)</f>
        <v>17</v>
      </c>
      <c r="BJ180" s="49">
        <f>SUM(AT180:BI180)-(45*8)</f>
        <v>15</v>
      </c>
      <c r="BK180" s="49">
        <f>SUM(AU180:BJ180)-(45*8)</f>
        <v>17</v>
      </c>
      <c r="BL180" s="49">
        <f>SUM(AV180:BK180)-(45*8)</f>
        <v>17</v>
      </c>
      <c r="BM180" s="49">
        <f>SUM(AW180:BL180)-(45*8)</f>
        <v>26</v>
      </c>
      <c r="BN180" s="49">
        <f>SUM(AX180:BM180)-(45*8)</f>
        <v>14</v>
      </c>
      <c r="BO180" s="49">
        <f>SUM(AY180:BN180)-(45*7)</f>
        <v>30</v>
      </c>
      <c r="BP180" s="49">
        <f>SUM(AZ180:BO180)-(45*7)</f>
        <v>23</v>
      </c>
      <c r="BQ180" s="49">
        <f>SUM(BA180:BP180)-(45*7)</f>
        <v>5</v>
      </c>
      <c r="BR180" s="49">
        <f>SUM(BB180:BQ180)-(45*7)</f>
        <v>1</v>
      </c>
      <c r="BS180" s="49">
        <f>SUM(BC180:BR180)-(45*6)</f>
        <v>32</v>
      </c>
      <c r="BT180" s="49">
        <f>SUM(BD180:BS180)-(45*6)</f>
        <v>43</v>
      </c>
      <c r="BU180" s="49">
        <f>SUM(BE180:BT180)-(45*6)</f>
        <v>45</v>
      </c>
      <c r="BV180" s="49">
        <f>SUM(BF180:BU180)-(45*7)</f>
        <v>20</v>
      </c>
      <c r="BX180" s="271"/>
      <c r="CE180" s="122"/>
    </row>
    <row r="181" spans="2:83" s="277" customFormat="1" ht="17.25">
      <c r="B181" s="325"/>
      <c r="C181" s="44">
        <v>650</v>
      </c>
      <c r="D181" s="108" t="s">
        <v>452</v>
      </c>
      <c r="E181" s="48">
        <v>16</v>
      </c>
      <c r="F181" s="63">
        <v>21</v>
      </c>
      <c r="G181" s="63">
        <v>3</v>
      </c>
      <c r="H181" s="48">
        <f>SUM(E181:F181)-(45*0)</f>
        <v>37</v>
      </c>
      <c r="I181" s="48">
        <v>11</v>
      </c>
      <c r="J181" s="49">
        <f>SUM(E181:I181)-(45*1)</f>
        <v>43</v>
      </c>
      <c r="K181" s="49">
        <f>SUM(E181:J181)-(45*2)</f>
        <v>41</v>
      </c>
      <c r="L181" s="49">
        <f>SUM(E181:K181)-(45*3)</f>
        <v>37</v>
      </c>
      <c r="M181" s="49">
        <f>SUM(E181:L181)-(45*4)</f>
        <v>29</v>
      </c>
      <c r="N181" s="49">
        <f>SUM(E181:M181)-(45*5)</f>
        <v>13</v>
      </c>
      <c r="O181" s="49">
        <f>SUM(E181:N181)-(45*5)</f>
        <v>26</v>
      </c>
      <c r="P181" s="49">
        <f>SUM(E181:O181)-(45*6)</f>
        <v>7</v>
      </c>
      <c r="Q181" s="49">
        <f>SUM(F181:P181)-(45*5)</f>
        <v>43</v>
      </c>
      <c r="R181" s="49">
        <f>SUM(G181:Q181)-(45*6)</f>
        <v>20</v>
      </c>
      <c r="S181" s="49">
        <f>SUM(H181:R181)-(45*6)</f>
        <v>37</v>
      </c>
      <c r="T181" s="49">
        <f>SUM(I181:S181)-(45*6)</f>
        <v>37</v>
      </c>
      <c r="U181" s="49">
        <f>SUM(J181:T181)-(45*7)</f>
        <v>18</v>
      </c>
      <c r="V181" s="49">
        <f>SUM(K181:U181)-(45*6)</f>
        <v>38</v>
      </c>
      <c r="W181" s="49">
        <f t="shared" si="1864"/>
        <v>35</v>
      </c>
      <c r="X181" s="49">
        <f t="shared" si="1864"/>
        <v>33</v>
      </c>
      <c r="Y181" s="49">
        <f t="shared" si="1864"/>
        <v>37</v>
      </c>
      <c r="Z181" s="49">
        <f>SUM(O181:Y181)-(45*7)</f>
        <v>16</v>
      </c>
      <c r="AA181" s="49">
        <f>SUM(P181:Z181)-(45*7)</f>
        <v>6</v>
      </c>
      <c r="AB181" s="49">
        <f>SUM(Q181:AA181)-(45*7)</f>
        <v>5</v>
      </c>
      <c r="AC181" s="49">
        <f>SUM(M181:AB181)-(45*8)</f>
        <v>40</v>
      </c>
      <c r="AD181" s="49">
        <f>SUM(N181:AC181)-(45*9)</f>
        <v>6</v>
      </c>
      <c r="AE181" s="49">
        <f>SUM(O181:AD181)-(45*8)</f>
        <v>44</v>
      </c>
      <c r="AF181" s="49">
        <f>SUM(P181:AE181)-(45*9)</f>
        <v>17</v>
      </c>
      <c r="AG181" s="49">
        <f>SUM(Q181:AF181)-(45*9)</f>
        <v>27</v>
      </c>
      <c r="AH181" s="49">
        <f>SUM(R181:AG181)-(45*9)</f>
        <v>11</v>
      </c>
      <c r="AI181" s="49">
        <f>SUM(S181:AH181)-(45*9)</f>
        <v>2</v>
      </c>
      <c r="AJ181" s="49">
        <f>SUM(T181:AI181)-(45*8)</f>
        <v>12</v>
      </c>
      <c r="AK181" s="49">
        <f>SUM(U181:AJ181)-(45*7)</f>
        <v>32</v>
      </c>
      <c r="AL181" s="49">
        <f>SUM(V181:AK181)-(45*8)</f>
        <v>1</v>
      </c>
      <c r="AM181" s="49">
        <f>SUM(W181:AL181)-(45*7)</f>
        <v>9</v>
      </c>
      <c r="AN181" s="49">
        <f>SUM(X181:AM181)-(45*6)</f>
        <v>28</v>
      </c>
      <c r="AO181" s="49">
        <f>SUM(Y181:AN181)-(45*6)</f>
        <v>23</v>
      </c>
      <c r="AP181" s="49">
        <f>SUM(Z181:AO181)-(45*6)</f>
        <v>9</v>
      </c>
      <c r="AQ181" s="49">
        <f>SUM(AA181:AP181)-(45*6)</f>
        <v>2</v>
      </c>
      <c r="AR181" s="49">
        <f>SUM(AB181:AQ181)-(45*5)</f>
        <v>43</v>
      </c>
      <c r="AS181" s="49">
        <f>SUM(AC181:AR181)-(45*6)</f>
        <v>36</v>
      </c>
      <c r="AT181" s="49">
        <f>SUM(AD181:AS181)-(45*6)</f>
        <v>32</v>
      </c>
      <c r="AU181" s="49">
        <f>SUM(AE181:AT181)-(45*7)</f>
        <v>13</v>
      </c>
      <c r="AV181" s="49">
        <f>SUM(AF181:AU181)-(45*6)</f>
        <v>27</v>
      </c>
      <c r="AW181" s="49">
        <f>SUM(AG181:AV181)-(45*6)</f>
        <v>37</v>
      </c>
      <c r="AX181" s="49">
        <f>SUM(AH181:AW181)-(45*7)</f>
        <v>2</v>
      </c>
      <c r="AY181" s="49">
        <f>SUM(AI181:AX181)-(45*6)</f>
        <v>38</v>
      </c>
      <c r="AZ181" s="49">
        <f>SUM(AJ181:AY181)-(45*7)</f>
        <v>29</v>
      </c>
      <c r="BA181" s="49">
        <f>SUM(AK181:AZ181)-(45*8)</f>
        <v>1</v>
      </c>
      <c r="BB181" s="49">
        <f>SUM(AL181:BA181)-(45*7)</f>
        <v>15</v>
      </c>
      <c r="BC181" s="49">
        <f>SUM(AM181:BB181)-(45*7)</f>
        <v>29</v>
      </c>
      <c r="BD181" s="49">
        <f>SUM(AN181:BC181)-(45*8)</f>
        <v>4</v>
      </c>
      <c r="BE181" s="49">
        <f>SUM(AO181:BD181)-(45*7)</f>
        <v>25</v>
      </c>
      <c r="BF181" s="49">
        <f>SUM(AP181:BE181)-(45*7)</f>
        <v>27</v>
      </c>
      <c r="BG181" s="49">
        <f>SUM(AQ181:BF181)-(45*7)</f>
        <v>45</v>
      </c>
      <c r="BH181" s="49">
        <f>SUM(AR181:BG181)-(45*8)</f>
        <v>43</v>
      </c>
      <c r="BI181" s="49">
        <f>SUM(AS181:BH181)-(45*8)</f>
        <v>43</v>
      </c>
      <c r="BJ181" s="49">
        <f>SUM(AT181:BI181)-(45*9)</f>
        <v>5</v>
      </c>
      <c r="BK181" s="49">
        <f>SUM(AU181:BJ181)-(45*8)</f>
        <v>23</v>
      </c>
      <c r="BL181" s="49">
        <f>SUM(AV181:BK181)-(45*8)</f>
        <v>33</v>
      </c>
      <c r="BM181" s="49">
        <f>SUM(AW181:BL181)-(45*8)</f>
        <v>39</v>
      </c>
      <c r="BN181" s="49">
        <f>SUM(AX181:BM181)-(45*8)</f>
        <v>41</v>
      </c>
      <c r="BO181" s="49">
        <f>SUM(AY181:BN181)-(45*9)</f>
        <v>35</v>
      </c>
      <c r="BP181" s="49">
        <f>SUM(AZ181:BO181)-(45*9)</f>
        <v>32</v>
      </c>
      <c r="BQ181" s="49">
        <f>SUM(BA181:BP181)-(45*9)</f>
        <v>35</v>
      </c>
      <c r="BR181" s="49">
        <f>SUM(BB181:BQ181)-(45*10)</f>
        <v>24</v>
      </c>
      <c r="BS181" s="49">
        <f>SUM(BC181:BR181)-(45*10)</f>
        <v>33</v>
      </c>
      <c r="BT181" s="49">
        <f>SUM(BD181:BS181)-(45*10)</f>
        <v>37</v>
      </c>
      <c r="BU181" s="49">
        <f>SUM(BE181:BT181)-(45*11)</f>
        <v>25</v>
      </c>
      <c r="BV181" s="49">
        <f>SUM(BF181:BU181)-(45*11)</f>
        <v>25</v>
      </c>
      <c r="BX181" s="271"/>
      <c r="CE181" s="122"/>
    </row>
    <row r="182" spans="2:83" s="277" customFormat="1" ht="17.25">
      <c r="B182" s="326"/>
      <c r="C182" s="44">
        <v>651</v>
      </c>
      <c r="D182" s="108" t="s">
        <v>453</v>
      </c>
      <c r="E182" s="48">
        <v>23</v>
      </c>
      <c r="F182" s="63">
        <v>28</v>
      </c>
      <c r="G182" s="63">
        <v>4</v>
      </c>
      <c r="H182" s="48">
        <f>SUM(E182:F182)-(45*1)</f>
        <v>6</v>
      </c>
      <c r="I182" s="48">
        <v>12</v>
      </c>
      <c r="J182" s="49">
        <f>SUM(E182:I182)-(45*1)</f>
        <v>28</v>
      </c>
      <c r="K182" s="49">
        <f>SUM(E182:J182)-(45*2)</f>
        <v>11</v>
      </c>
      <c r="L182" s="49">
        <f>SUM(E182:K182)-(45*2)</f>
        <v>22</v>
      </c>
      <c r="M182" s="49">
        <f>SUM(E182:L182)-(45*2)</f>
        <v>44</v>
      </c>
      <c r="N182" s="49">
        <f>SUM(E182:M182)-(45*3)</f>
        <v>43</v>
      </c>
      <c r="O182" s="49">
        <f>SUM(E182:N182)-(45*4)</f>
        <v>41</v>
      </c>
      <c r="P182" s="49">
        <f>SUM(E182:O182)-(45*5)</f>
        <v>37</v>
      </c>
      <c r="Q182" s="49">
        <f>SUM(F182:P182)-(45*6)</f>
        <v>6</v>
      </c>
      <c r="R182" s="49">
        <f>SUM(G182:Q182)-(45*5)</f>
        <v>29</v>
      </c>
      <c r="S182" s="49">
        <f>SUM(H182:R182)-(45*6)</f>
        <v>9</v>
      </c>
      <c r="T182" s="49">
        <f>SUM(I182:S182)-(45*6)</f>
        <v>12</v>
      </c>
      <c r="U182" s="49">
        <f>SUM(J182:T182)-(45*6)</f>
        <v>12</v>
      </c>
      <c r="V182" s="49">
        <f>SUM(K182:U182)-(45*5)</f>
        <v>41</v>
      </c>
      <c r="W182" s="49">
        <f t="shared" ref="W182" si="1865">SUM(L182:V182)-(45*6)</f>
        <v>26</v>
      </c>
      <c r="X182" s="49">
        <f t="shared" ref="X182" si="1866">SUM(M182:W182)-(45*6)</f>
        <v>30</v>
      </c>
      <c r="Y182" s="49">
        <f t="shared" ref="Y182" si="1867">SUM(N182:X182)-(45*6)</f>
        <v>16</v>
      </c>
      <c r="Z182" s="49">
        <f>SUM(O182:Y182)-(45*5)</f>
        <v>34</v>
      </c>
      <c r="AA182" s="49">
        <f>SUM(P182:Z182)-(45*5)</f>
        <v>27</v>
      </c>
      <c r="AB182" s="49">
        <f>SUM(Q182:AA182)-(45*5)</f>
        <v>17</v>
      </c>
      <c r="AC182" s="49">
        <f>SUM(M182:AB182)-(45*9)</f>
        <v>19</v>
      </c>
      <c r="AD182" s="49">
        <f>SUM(N182:AC182)-(45*8)</f>
        <v>39</v>
      </c>
      <c r="AE182" s="49">
        <f>SUM(O182:AD182)-(45*8)</f>
        <v>35</v>
      </c>
      <c r="AF182" s="49">
        <f>SUM(P182:AE182)-(45*8)</f>
        <v>29</v>
      </c>
      <c r="AG182" s="49">
        <f>SUM(Q182:AF182)-(45*8)</f>
        <v>21</v>
      </c>
      <c r="AH182" s="49">
        <f>SUM(R182:AG182)-(45*8)</f>
        <v>36</v>
      </c>
      <c r="AI182" s="49">
        <f>SUM(S182:AH182)-(45*8)</f>
        <v>43</v>
      </c>
      <c r="AJ182" s="49">
        <f>SUM(T182:AI182)-(45*9)</f>
        <v>32</v>
      </c>
      <c r="AK182" s="49">
        <f>SUM(U182:AJ182)-(45*10)</f>
        <v>7</v>
      </c>
      <c r="AL182" s="49">
        <f>SUM(V182:AK182)-(45*10)</f>
        <v>2</v>
      </c>
      <c r="AM182" s="49">
        <f>SUM(W182:AL182)-(45*9)</f>
        <v>8</v>
      </c>
      <c r="AN182" s="49">
        <f>SUM(X182:AM182)-(45*8)</f>
        <v>35</v>
      </c>
      <c r="AO182" s="49">
        <f>SUM(Y182:AN182)-(45*8)</f>
        <v>40</v>
      </c>
      <c r="AP182" s="49">
        <f>SUM(Z182:AO182)-(45*9)</f>
        <v>19</v>
      </c>
      <c r="AQ182" s="49">
        <f>SUM(AA182:AP182)-(45*9)</f>
        <v>4</v>
      </c>
      <c r="AR182" s="49">
        <f>SUM(AB182:AQ182)-(45*8)</f>
        <v>26</v>
      </c>
      <c r="AS182" s="49">
        <f>SUM(AC182:AR182)-(45*8)</f>
        <v>35</v>
      </c>
      <c r="AT182" s="49">
        <f>SUM(AD182:AS182)-(45*9)</f>
        <v>6</v>
      </c>
      <c r="AU182" s="49">
        <f>SUM(AE182:AT182)-(45*8)</f>
        <v>18</v>
      </c>
      <c r="AV182" s="49">
        <f>SUM(AF182:AU182)-(45*8)</f>
        <v>1</v>
      </c>
      <c r="AW182" s="49">
        <f>SUM(AG182:AV182)-(45*7)</f>
        <v>18</v>
      </c>
      <c r="AX182" s="49">
        <f>SUM(AH182:AW182)-(45*7)</f>
        <v>15</v>
      </c>
      <c r="AY182" s="49">
        <f>SUM(AI182:AX182)-(45*6)</f>
        <v>39</v>
      </c>
      <c r="AZ182" s="49">
        <f>SUM(AJ182:AY182)-(45*6)</f>
        <v>35</v>
      </c>
      <c r="BA182" s="49">
        <f>SUM(AK182:AZ182)-(45*6)</f>
        <v>38</v>
      </c>
      <c r="BB182" s="49">
        <f>SUM(AL182:BA182)-(45*7)</f>
        <v>24</v>
      </c>
      <c r="BC182" s="49">
        <f>SUM(AM182:BB182)-(45*8)</f>
        <v>1</v>
      </c>
      <c r="BD182" s="49">
        <f>SUM(AN182:BC182)-(45*7)</f>
        <v>39</v>
      </c>
      <c r="BE182" s="49">
        <f>SUM(AO182:BD182)-(45*7)</f>
        <v>43</v>
      </c>
      <c r="BF182" s="49">
        <f>SUM(AP182:BE182)-(45*8)</f>
        <v>1</v>
      </c>
      <c r="BG182" s="49">
        <f>SUM(AQ182:BF182)-(45*7)</f>
        <v>28</v>
      </c>
      <c r="BH182" s="49">
        <f>SUM(AR182:BG182)-(45*8)</f>
        <v>7</v>
      </c>
      <c r="BI182" s="49">
        <f>SUM(AS182:BH182)-(45*7)</f>
        <v>33</v>
      </c>
      <c r="BJ182" s="49">
        <f>SUM(AT182:BI182)-(45*7)</f>
        <v>31</v>
      </c>
      <c r="BK182" s="49">
        <f>SUM(AU182:BJ182)-(45*8)</f>
        <v>11</v>
      </c>
      <c r="BL182" s="49">
        <f>SUM(AV182:BK182)-(45*8)</f>
        <v>4</v>
      </c>
      <c r="BM182" s="49">
        <f>SUM(AW182:BL182)-(45*8)</f>
        <v>7</v>
      </c>
      <c r="BN182" s="49">
        <f>SUM(AX182:BM182)-(45*7)</f>
        <v>41</v>
      </c>
      <c r="BO182" s="49">
        <f>SUM(AY182:BN182)-(45*8)</f>
        <v>22</v>
      </c>
      <c r="BP182" s="49">
        <f>SUM(AZ182:BO182)-(45*8)</f>
        <v>5</v>
      </c>
      <c r="BQ182" s="49">
        <f>SUM(BA182:BP182)-(45*7)</f>
        <v>20</v>
      </c>
      <c r="BR182" s="49">
        <f>SUM(BB182:BQ182)-(45*7)</f>
        <v>2</v>
      </c>
      <c r="BS182" s="49">
        <f>SUM(BC182:BR182)-(45*6)</f>
        <v>25</v>
      </c>
      <c r="BT182" s="49">
        <f>SUM(BD182:BS182)-(45*7)</f>
        <v>4</v>
      </c>
      <c r="BU182" s="49">
        <f>SUM(BE182:BT182)-(45*6)</f>
        <v>14</v>
      </c>
      <c r="BV182" s="49">
        <f>SUM(BF182:BU182)-(45*5)</f>
        <v>30</v>
      </c>
      <c r="BX182" s="271"/>
      <c r="CE182" s="122"/>
    </row>
    <row r="183" spans="2:83" s="277" customFormat="1" ht="17.25">
      <c r="B183" s="327"/>
      <c r="C183" s="44">
        <v>652</v>
      </c>
      <c r="D183" s="108" t="s">
        <v>454</v>
      </c>
      <c r="E183" s="48">
        <v>30</v>
      </c>
      <c r="F183" s="63">
        <v>35</v>
      </c>
      <c r="G183" s="63">
        <v>5</v>
      </c>
      <c r="H183" s="48">
        <f>SUM(E183:F183)-(45*1)</f>
        <v>20</v>
      </c>
      <c r="I183" s="48">
        <v>13</v>
      </c>
      <c r="J183" s="49">
        <f>SUM(E183:I183)-(45*2)</f>
        <v>13</v>
      </c>
      <c r="K183" s="49">
        <f>SUM(E183:J183)-(45*2)</f>
        <v>26</v>
      </c>
      <c r="L183" s="49">
        <f>SUM(E183:K183)-(45*3)</f>
        <v>7</v>
      </c>
      <c r="M183" s="49">
        <f>SUM(E183:L183)-(45*3)</f>
        <v>14</v>
      </c>
      <c r="N183" s="49">
        <f>SUM(E183:M183)-(45*3)</f>
        <v>28</v>
      </c>
      <c r="O183" s="49">
        <f>SUM(E183:N183)-(45*4)</f>
        <v>11</v>
      </c>
      <c r="P183" s="49">
        <f>SUM(E183:O183)-(45*4)</f>
        <v>22</v>
      </c>
      <c r="Q183" s="49">
        <f>SUM(F183:P183)-(45*4)</f>
        <v>14</v>
      </c>
      <c r="R183" s="49">
        <f>SUM(G183:Q183)-(45*3)</f>
        <v>38</v>
      </c>
      <c r="S183" s="49">
        <f>SUM(H183:R183)-(45*4)</f>
        <v>26</v>
      </c>
      <c r="T183" s="49">
        <f>SUM(I183:S183)-(45*4)</f>
        <v>32</v>
      </c>
      <c r="U183" s="49">
        <f>SUM(J183:T183)-(45*5)</f>
        <v>6</v>
      </c>
      <c r="V183" s="49">
        <f>SUM(K183:U183)-(45*4)</f>
        <v>44</v>
      </c>
      <c r="W183" s="49">
        <f>SUM(L183:V183)-(45*5)</f>
        <v>17</v>
      </c>
      <c r="X183" s="49">
        <f>SUM(M183:W183)-(45*5)</f>
        <v>27</v>
      </c>
      <c r="Y183" s="49">
        <f>SUM(N183:X183)-(45*5)</f>
        <v>40</v>
      </c>
      <c r="Z183" s="49">
        <f>SUM(O183:Y183)-(45*6)</f>
        <v>7</v>
      </c>
      <c r="AA183" s="49">
        <f>SUM(P183:Z183)-(45*6)</f>
        <v>3</v>
      </c>
      <c r="AB183" s="49">
        <f>SUM(Q183:AA183)-(45*5)</f>
        <v>29</v>
      </c>
      <c r="AC183" s="49">
        <f>SUM(M183:AB183)-(45*7)</f>
        <v>43</v>
      </c>
      <c r="AD183" s="49">
        <f>SUM(N183:AC183)-(45*8)</f>
        <v>27</v>
      </c>
      <c r="AE183" s="49">
        <f>SUM(O183:AD183)-(45*8)</f>
        <v>26</v>
      </c>
      <c r="AF183" s="49">
        <f>SUM(P183:AE183)-(45*8)</f>
        <v>41</v>
      </c>
      <c r="AG183" s="49">
        <f>SUM(Q183:AF183)-(45*9)</f>
        <v>15</v>
      </c>
      <c r="AH183" s="49">
        <f>SUM(R183:AG183)-(45*9)</f>
        <v>16</v>
      </c>
      <c r="AI183" s="49">
        <f>SUM(S183:AH183)-(45*8)</f>
        <v>39</v>
      </c>
      <c r="AJ183" s="49">
        <f>SUM(T183:AI183)-(45*9)</f>
        <v>7</v>
      </c>
      <c r="AK183" s="49">
        <f>SUM(U183:AJ183)-(45*8)</f>
        <v>27</v>
      </c>
      <c r="AL183" s="49">
        <f>SUM(V183:AK183)-(45*9)</f>
        <v>3</v>
      </c>
      <c r="AM183" s="49">
        <f>SUM(W183:AL183)-(45*8)</f>
        <v>7</v>
      </c>
      <c r="AN183" s="49">
        <f>SUM(X183:AM183)-(45*7)</f>
        <v>42</v>
      </c>
      <c r="AO183" s="49">
        <f>SUM(Y183:AN183)-(45*8)</f>
        <v>12</v>
      </c>
      <c r="AP183" s="49">
        <f>SUM(Z183:AO183)-(45*7)</f>
        <v>29</v>
      </c>
      <c r="AQ183" s="49">
        <f>SUM(AA183:AP183)-(45*8)</f>
        <v>6</v>
      </c>
      <c r="AR183" s="49">
        <f>SUM(AB183:AQ183)-(45*8)</f>
        <v>9</v>
      </c>
      <c r="AS183" s="49">
        <f>SUM(AC183:AR183)-(45*7)</f>
        <v>34</v>
      </c>
      <c r="AT183" s="49">
        <f>SUM(AD183:AS183)-(45*7)</f>
        <v>25</v>
      </c>
      <c r="AU183" s="49">
        <f>SUM(AE183:AT183)-(45*7)</f>
        <v>23</v>
      </c>
      <c r="AV183" s="49">
        <f>SUM(AF183:AU183)-(45*7)</f>
        <v>20</v>
      </c>
      <c r="AW183" s="49">
        <f>SUM(AG183:AV183)-(45*6)</f>
        <v>44</v>
      </c>
      <c r="AX183" s="49">
        <f>SUM(AH183:AW183)-(45*7)</f>
        <v>28</v>
      </c>
      <c r="AY183" s="49">
        <f t="shared" ref="AY183:AZ185" si="1868">SUM(AI183:AX183)-(45*7)</f>
        <v>40</v>
      </c>
      <c r="AZ183" s="49">
        <f t="shared" si="1868"/>
        <v>41</v>
      </c>
      <c r="BA183" s="49">
        <f>SUM(AK183:AZ183)-(45*8)</f>
        <v>30</v>
      </c>
      <c r="BB183" s="49">
        <f>SUM(AL183:BA183)-(45*8)</f>
        <v>33</v>
      </c>
      <c r="BC183" s="49">
        <f t="shared" ref="BC183:BJ183" si="1869">SUM(AM183:BB183)-(45*9)</f>
        <v>18</v>
      </c>
      <c r="BD183" s="49">
        <f t="shared" si="1869"/>
        <v>29</v>
      </c>
      <c r="BE183" s="49">
        <f t="shared" si="1869"/>
        <v>16</v>
      </c>
      <c r="BF183" s="49">
        <f t="shared" si="1869"/>
        <v>20</v>
      </c>
      <c r="BG183" s="49">
        <f t="shared" si="1869"/>
        <v>11</v>
      </c>
      <c r="BH183" s="49">
        <f t="shared" si="1869"/>
        <v>16</v>
      </c>
      <c r="BI183" s="49">
        <f t="shared" si="1869"/>
        <v>23</v>
      </c>
      <c r="BJ183" s="49">
        <f t="shared" si="1869"/>
        <v>12</v>
      </c>
      <c r="BK183" s="49">
        <f>SUM(AU183:BJ183)-(45*8)</f>
        <v>44</v>
      </c>
      <c r="BL183" s="49">
        <f>SUM(AV183:BK183)-(45*9)</f>
        <v>20</v>
      </c>
      <c r="BM183" s="49">
        <f>SUM(AW183:BL183)-(45*9)</f>
        <v>20</v>
      </c>
      <c r="BN183" s="49">
        <f>SUM(AX183:BM183)-(45*8)</f>
        <v>41</v>
      </c>
      <c r="BO183" s="49">
        <f>SUM(AY183:BN183)-(45*9)</f>
        <v>9</v>
      </c>
      <c r="BP183" s="49">
        <f>SUM(AZ183:BO183)-(45*8)</f>
        <v>23</v>
      </c>
      <c r="BQ183" s="49">
        <f>SUM(BA183:BP183)-(45*8)</f>
        <v>5</v>
      </c>
      <c r="BR183" s="49">
        <f>SUM(BB183:BQ183)-(45*7)</f>
        <v>25</v>
      </c>
      <c r="BS183" s="49">
        <f>SUM(BC183:BR183)-(45*7)</f>
        <v>17</v>
      </c>
      <c r="BT183" s="49">
        <f>SUM(BD183:BS183)-(45*7)</f>
        <v>16</v>
      </c>
      <c r="BU183" s="49">
        <f>SUM(BE183:BT183)-(45*7)</f>
        <v>3</v>
      </c>
      <c r="BV183" s="49">
        <f>SUM(BF183:BU183)-(45*6)</f>
        <v>35</v>
      </c>
      <c r="BX183" s="271"/>
      <c r="CE183" s="122"/>
    </row>
    <row r="184" spans="2:83" s="277" customFormat="1" ht="17.25">
      <c r="B184" s="328"/>
      <c r="C184" s="44">
        <v>653</v>
      </c>
      <c r="D184" s="108" t="s">
        <v>455</v>
      </c>
      <c r="E184" s="48">
        <v>6</v>
      </c>
      <c r="F184" s="63">
        <v>12</v>
      </c>
      <c r="G184" s="63">
        <v>1</v>
      </c>
      <c r="H184" s="48">
        <f>SUM(E184:F184)-(45*0)</f>
        <v>18</v>
      </c>
      <c r="I184" s="48">
        <v>14</v>
      </c>
      <c r="J184" s="49">
        <f>SUM(E184:I184)-(45*1)</f>
        <v>6</v>
      </c>
      <c r="K184" s="49">
        <f>SUM(E184:J184)-(45*1)</f>
        <v>12</v>
      </c>
      <c r="L184" s="49">
        <f>SUM(E184:K184)-(45*1)</f>
        <v>24</v>
      </c>
      <c r="M184" s="49">
        <f>SUM(E184:L184)-(45*2)</f>
        <v>3</v>
      </c>
      <c r="N184" s="49">
        <f>SUM(E184:M184)-(45*2)</f>
        <v>6</v>
      </c>
      <c r="O184" s="49">
        <f>SUM(E184:N184)-(45*2)</f>
        <v>12</v>
      </c>
      <c r="P184" s="49">
        <f>SUM(E184:O184)-(45*2)</f>
        <v>24</v>
      </c>
      <c r="Q184" s="49">
        <f>SUM(F184:P184)-(45*2)</f>
        <v>42</v>
      </c>
      <c r="R184" s="49">
        <f>SUM(G184:Q184)-(45*3)</f>
        <v>27</v>
      </c>
      <c r="S184" s="49">
        <f>SUM(H184:R184)-(45*4)</f>
        <v>8</v>
      </c>
      <c r="T184" s="49">
        <f>SUM(I184:S184)-(45*3)</f>
        <v>43</v>
      </c>
      <c r="U184" s="49">
        <f>SUM(J184:T184)-(45*4)</f>
        <v>27</v>
      </c>
      <c r="V184" s="49">
        <f>SUM(K184:U184)-(45*5)</f>
        <v>3</v>
      </c>
      <c r="W184" s="49">
        <f>SUM(L184:V184)-(45*4)</f>
        <v>39</v>
      </c>
      <c r="X184" s="49">
        <f>SUM(M184:W184)-(45*5)</f>
        <v>9</v>
      </c>
      <c r="Y184" s="49">
        <f>SUM(N184:X184)-(45*5)</f>
        <v>15</v>
      </c>
      <c r="Z184" s="49">
        <f>SUM(O184:Y184)-(45*5)</f>
        <v>24</v>
      </c>
      <c r="AA184" s="49">
        <f>SUM(P184:Z184)-(45*5)</f>
        <v>36</v>
      </c>
      <c r="AB184" s="49">
        <f>SUM(Q184:AA184)-(45*6)</f>
        <v>3</v>
      </c>
      <c r="AC184" s="49">
        <f>SUM(M184:AB184)-(45*7)</f>
        <v>6</v>
      </c>
      <c r="AD184" s="49">
        <f>SUM(N184:AC184)-(45*7)</f>
        <v>9</v>
      </c>
      <c r="AE184" s="49">
        <f>SUM(O184:AD184)-(45*7)</f>
        <v>12</v>
      </c>
      <c r="AF184" s="49">
        <f>SUM(P184:AE184)-(45*7)</f>
        <v>12</v>
      </c>
      <c r="AG184" s="49">
        <f>SUM(Q184:AF184)-(45*6)</f>
        <v>45</v>
      </c>
      <c r="AH184" s="49">
        <f>SUM(R184:AG184)-(45*7)</f>
        <v>3</v>
      </c>
      <c r="AI184" s="49">
        <f>SUM(S184:AH184)-(45*6)</f>
        <v>24</v>
      </c>
      <c r="AJ184" s="49">
        <f>SUM(T184:AI184)-(45*6)</f>
        <v>40</v>
      </c>
      <c r="AK184" s="49">
        <f>SUM(U184:AJ184)-(45*6)</f>
        <v>37</v>
      </c>
      <c r="AL184" s="49">
        <f>SUM(V184:AK184)-(45*7)</f>
        <v>2</v>
      </c>
      <c r="AM184" s="49">
        <f>SUM(W184:AL184)-(45*7)</f>
        <v>1</v>
      </c>
      <c r="AN184" s="49">
        <f>SUM(X184:AM184)-(45*6)</f>
        <v>8</v>
      </c>
      <c r="AO184" s="49">
        <f>SUM(Y184:AN184)-(45*6)</f>
        <v>7</v>
      </c>
      <c r="AP184" s="49">
        <f>SUM(Z184:AO184)-(45*5)</f>
        <v>44</v>
      </c>
      <c r="AQ184" s="49">
        <f>SUM(AA184:AP184)-(45*6)</f>
        <v>19</v>
      </c>
      <c r="AR184" s="49">
        <f>SUM(AB184:AQ184)-(45*6)</f>
        <v>2</v>
      </c>
      <c r="AS184" s="49">
        <f>SUM(AC184:AR184)-(45*6)</f>
        <v>1</v>
      </c>
      <c r="AT184" s="49">
        <f>SUM(AD184:AS184)-(45*5)</f>
        <v>41</v>
      </c>
      <c r="AU184" s="49">
        <f>SUM(AE184:AT184)-(45*6)</f>
        <v>28</v>
      </c>
      <c r="AV184" s="49">
        <f>SUM(AF184:AU184)-(45*6)</f>
        <v>44</v>
      </c>
      <c r="AW184" s="49">
        <f>SUM(AG184:AV184)-(45*7)</f>
        <v>31</v>
      </c>
      <c r="AX184" s="49">
        <f>SUM(AH184:AW184)-(45*7)</f>
        <v>17</v>
      </c>
      <c r="AY184" s="49">
        <f t="shared" si="1868"/>
        <v>31</v>
      </c>
      <c r="AZ184" s="49">
        <f t="shared" si="1868"/>
        <v>38</v>
      </c>
      <c r="BA184" s="49">
        <f>SUM(AK184:AZ184)-(45*7)</f>
        <v>36</v>
      </c>
      <c r="BB184" s="49">
        <f>SUM(AL184:BA184)-(45*7)</f>
        <v>35</v>
      </c>
      <c r="BC184" s="49">
        <f>SUM(AM184:BB184)-(45*8)</f>
        <v>23</v>
      </c>
      <c r="BD184" s="49">
        <f>SUM(AN184:BC184)-(45*8)</f>
        <v>45</v>
      </c>
      <c r="BE184" s="49">
        <f t="shared" ref="BE184" si="1870">SUM(AO184:BD184)-(45*9)</f>
        <v>37</v>
      </c>
      <c r="BF184" s="49">
        <f>SUM(AP184:BE184)-(45*10)</f>
        <v>22</v>
      </c>
      <c r="BG184" s="49">
        <f t="shared" ref="BG184" si="1871">SUM(AQ184:BF184)-(45*9)</f>
        <v>45</v>
      </c>
      <c r="BH184" s="49">
        <f>SUM(AR184:BG184)-(45*10)</f>
        <v>26</v>
      </c>
      <c r="BI184" s="49">
        <f>SUM(AS184:BH184)-(45*11)</f>
        <v>5</v>
      </c>
      <c r="BJ184" s="49">
        <f>SUM(AT184:BI184)-(45*11)</f>
        <v>9</v>
      </c>
      <c r="BK184" s="49">
        <f>SUM(AU184:BJ184)-(45*10)</f>
        <v>22</v>
      </c>
      <c r="BL184" s="49">
        <f>SUM(AV184:BK184)-(45*10)</f>
        <v>16</v>
      </c>
      <c r="BM184" s="49">
        <f>SUM(AW184:BL184)-(45*9)</f>
        <v>33</v>
      </c>
      <c r="BN184" s="49">
        <f>SUM(AX184:BM184)-(45*9)</f>
        <v>35</v>
      </c>
      <c r="BO184" s="49">
        <f>SUM(AY184:BN184)-(45*10)</f>
        <v>8</v>
      </c>
      <c r="BP184" s="49">
        <f>SUM(AZ184:BO184)-(45*9)</f>
        <v>30</v>
      </c>
      <c r="BQ184" s="49">
        <f>SUM(BA184:BP184)-(45*9)</f>
        <v>22</v>
      </c>
      <c r="BR184" s="49">
        <f>SUM(BB184:BQ184)-(45*9)</f>
        <v>8</v>
      </c>
      <c r="BS184" s="49">
        <f>SUM(BC184:BR184)-(45*8)</f>
        <v>26</v>
      </c>
      <c r="BT184" s="49">
        <f>SUM(BD184:BS184)-(45*8)</f>
        <v>29</v>
      </c>
      <c r="BU184" s="49">
        <f>SUM(BE184:BT184)-(45*8)</f>
        <v>13</v>
      </c>
      <c r="BV184" s="49">
        <f>SUM(BF184:BU184)-(45*7)</f>
        <v>34</v>
      </c>
      <c r="BX184" s="271"/>
      <c r="CE184" s="122"/>
    </row>
    <row r="185" spans="2:83" s="277" customFormat="1" ht="17.25">
      <c r="B185" s="330"/>
      <c r="C185" s="44">
        <v>654</v>
      </c>
      <c r="D185" s="108" t="s">
        <v>456</v>
      </c>
      <c r="E185" s="48">
        <v>13</v>
      </c>
      <c r="F185" s="63">
        <v>19</v>
      </c>
      <c r="G185" s="63">
        <v>2</v>
      </c>
      <c r="H185" s="48">
        <f>SUM(E185:F185)-(45*0)</f>
        <v>32</v>
      </c>
      <c r="I185" s="48">
        <v>15</v>
      </c>
      <c r="J185" s="49">
        <f>SUM(E185:I185)-(45*1)</f>
        <v>36</v>
      </c>
      <c r="K185" s="49">
        <f>SUM(E185:J185)-(45*2)</f>
        <v>27</v>
      </c>
      <c r="L185" s="49">
        <f>SUM(E185:K185)-(45*3)</f>
        <v>9</v>
      </c>
      <c r="M185" s="49">
        <f>SUM(E185:L185)-(45*3)</f>
        <v>18</v>
      </c>
      <c r="N185" s="49">
        <f>SUM(E185:M185)-(45*3)</f>
        <v>36</v>
      </c>
      <c r="O185" s="49">
        <f>SUM(E185:N185)-(45*4)</f>
        <v>27</v>
      </c>
      <c r="P185" s="49">
        <f>SUM(E185:O185)-(45*5)</f>
        <v>9</v>
      </c>
      <c r="Q185" s="49">
        <f>SUM(F185:P185)-(45*5)</f>
        <v>5</v>
      </c>
      <c r="R185" s="49">
        <f>SUM(G185:Q185)-(45*4)</f>
        <v>36</v>
      </c>
      <c r="S185" s="49">
        <f>SUM(H185:R185)-(45*5)</f>
        <v>25</v>
      </c>
      <c r="T185" s="49">
        <f>SUM(I185:S185)-(45*5)</f>
        <v>18</v>
      </c>
      <c r="U185" s="49">
        <f>SUM(J185:T185)-(45*5)</f>
        <v>21</v>
      </c>
      <c r="V185" s="49">
        <f>SUM(K185:U185)-(45*5)</f>
        <v>6</v>
      </c>
      <c r="W185" s="49">
        <f>SUM(L185:V185)-(45*4)</f>
        <v>30</v>
      </c>
      <c r="X185" s="49">
        <f>SUM(M185:W185)-(45*5)</f>
        <v>6</v>
      </c>
      <c r="Y185" s="49">
        <f>SUM(N185:X185)-(45*4)</f>
        <v>39</v>
      </c>
      <c r="Z185" s="49">
        <f>SUM(O185:Y185)-(45*4)</f>
        <v>42</v>
      </c>
      <c r="AA185" s="49">
        <f>SUM(P185:Z185)-(45*5)</f>
        <v>12</v>
      </c>
      <c r="AB185" s="49">
        <f>SUM(Q185:AA185)-(45*5)</f>
        <v>15</v>
      </c>
      <c r="AC185" s="49">
        <f>SUM(M185:AB185)-(45*7)</f>
        <v>30</v>
      </c>
      <c r="AD185" s="49">
        <f>SUM(N185:AC185)-(45*7)</f>
        <v>42</v>
      </c>
      <c r="AE185" s="49">
        <f>SUM(O185:AD185)-(45*8)</f>
        <v>3</v>
      </c>
      <c r="AF185" s="49">
        <f>SUM(P185:AE185)-(45*7)</f>
        <v>24</v>
      </c>
      <c r="AG185" s="49">
        <f>SUM(Q185:AF185)-(45*7)</f>
        <v>39</v>
      </c>
      <c r="AH185" s="49">
        <f>SUM(R185:AG185)-(45*8)</f>
        <v>28</v>
      </c>
      <c r="AI185" s="49">
        <f>SUM(S185:AH185)-(45*8)</f>
        <v>20</v>
      </c>
      <c r="AJ185" s="49">
        <f>SUM(T185:AI185)-(45*8)</f>
        <v>15</v>
      </c>
      <c r="AK185" s="49">
        <f>SUM(U185:AJ185)-(45*8)</f>
        <v>12</v>
      </c>
      <c r="AL185" s="49">
        <f>SUM(V185:AK185)-(45*8)</f>
        <v>3</v>
      </c>
      <c r="AM185" s="49">
        <f>SUM(W185:AL185)-(45*7)</f>
        <v>45</v>
      </c>
      <c r="AN185" s="49">
        <f>SUM(X185:AM185)-(45*8)</f>
        <v>15</v>
      </c>
      <c r="AO185" s="49">
        <f>SUM(Y185:AN185)-(45*8)</f>
        <v>24</v>
      </c>
      <c r="AP185" s="49">
        <f>SUM(Z185:AO185)-(45*8)</f>
        <v>9</v>
      </c>
      <c r="AQ185" s="49">
        <f>SUM(AA185:AP185)-(45*7)</f>
        <v>21</v>
      </c>
      <c r="AR185" s="49">
        <f>SUM(AB185:AQ185)-(45*7)</f>
        <v>30</v>
      </c>
      <c r="AS185" s="49">
        <f>SUM(AC185:AR185)-(45*7)</f>
        <v>45</v>
      </c>
      <c r="AT185" s="49">
        <f>SUM(AD185:AS185)-(45*8)</f>
        <v>15</v>
      </c>
      <c r="AU185" s="49">
        <f>SUM(AE185:AT185)-(45*7)</f>
        <v>33</v>
      </c>
      <c r="AV185" s="49">
        <f>SUM(AF185:AU185)-(45*8)</f>
        <v>18</v>
      </c>
      <c r="AW185" s="49">
        <f>SUM(AG185:AV185)-(45*8)</f>
        <v>12</v>
      </c>
      <c r="AX185" s="49">
        <f>SUM(AH185:AW185)-(45*7)</f>
        <v>30</v>
      </c>
      <c r="AY185" s="49">
        <f t="shared" si="1868"/>
        <v>32</v>
      </c>
      <c r="AZ185" s="49">
        <f t="shared" si="1868"/>
        <v>44</v>
      </c>
      <c r="BA185" s="49">
        <f>SUM(AK185:AZ185)-(45*8)</f>
        <v>28</v>
      </c>
      <c r="BB185" s="49">
        <f>SUM(AL185:BA185)-(45*8)</f>
        <v>44</v>
      </c>
      <c r="BC185" s="49">
        <f>SUM(AM185:BB185)-(45*9)</f>
        <v>40</v>
      </c>
      <c r="BD185" s="49">
        <f>SUM(AN185:BC185)-(45*9)</f>
        <v>35</v>
      </c>
      <c r="BE185" s="49">
        <f>SUM(AO185:BD185)-(45*10)</f>
        <v>10</v>
      </c>
      <c r="BF185" s="49">
        <f>SUM(AP185:BE185)-(45*9)</f>
        <v>41</v>
      </c>
      <c r="BG185" s="49">
        <f>SUM(AQ185:BF185)-(45*10)</f>
        <v>28</v>
      </c>
      <c r="BH185" s="49">
        <f>SUM(AR185:BG185)-(45*10)</f>
        <v>35</v>
      </c>
      <c r="BI185" s="49">
        <f>SUM(AS185:BH185)-(45*10)</f>
        <v>40</v>
      </c>
      <c r="BJ185" s="49">
        <f>SUM(AT185:BI185)-(45*10)</f>
        <v>35</v>
      </c>
      <c r="BK185" s="49">
        <f>SUM(AU185:BJ185)-(45*11)</f>
        <v>10</v>
      </c>
      <c r="BL185" s="49">
        <f>SUM(AV185:BK185)-(45*10)</f>
        <v>32</v>
      </c>
      <c r="BM185" s="49">
        <f>SUM(AW185:BL185)-(45*11)</f>
        <v>1</v>
      </c>
      <c r="BN185" s="49">
        <f>SUM(AX185:BM185)-(45*10)</f>
        <v>35</v>
      </c>
      <c r="BO185" s="49">
        <f>SUM(AY185:BN185)-(45*10)</f>
        <v>40</v>
      </c>
      <c r="BP185" s="49">
        <f>SUM(AZ185:BO185)-(45*11)</f>
        <v>3</v>
      </c>
      <c r="BQ185" s="49">
        <f>SUM(BA185:BP185)-(45*10)</f>
        <v>7</v>
      </c>
      <c r="BR185" s="49">
        <f>SUM(BB185:BQ185)-(45*9)</f>
        <v>31</v>
      </c>
      <c r="BS185" s="49">
        <f>SUM(BC185:BR185)-(45*9)</f>
        <v>18</v>
      </c>
      <c r="BT185" s="49">
        <f t="shared" ref="BT185:BT190" si="1872">SUM(BD185:BS185)-(45*8)</f>
        <v>41</v>
      </c>
      <c r="BU185" s="49">
        <f>SUM(BE185:BT185)-(45*9)</f>
        <v>2</v>
      </c>
      <c r="BV185" s="49">
        <f>SUM(BF185:BU185)-(45*8)</f>
        <v>39</v>
      </c>
      <c r="BX185" s="271"/>
      <c r="CE185" s="122"/>
    </row>
    <row r="186" spans="2:83" s="331" customFormat="1" ht="17.25">
      <c r="B186" s="333"/>
      <c r="C186" s="44">
        <v>655</v>
      </c>
      <c r="D186" s="108" t="s">
        <v>457</v>
      </c>
      <c r="E186" s="48">
        <v>20</v>
      </c>
      <c r="F186" s="63">
        <v>26</v>
      </c>
      <c r="G186" s="63">
        <v>3</v>
      </c>
      <c r="H186" s="48">
        <f>SUM(E186:F186)-(45*1)</f>
        <v>1</v>
      </c>
      <c r="I186" s="48">
        <v>16</v>
      </c>
      <c r="J186" s="49">
        <f>SUM(E186:I186)-(45*1)</f>
        <v>21</v>
      </c>
      <c r="K186" s="49">
        <f>SUM(E186:J186)-(45*1)</f>
        <v>42</v>
      </c>
      <c r="L186" s="49">
        <f>SUM(E186:K186)-(45*2)</f>
        <v>39</v>
      </c>
      <c r="M186" s="49">
        <f>SUM(E186:L186)-(45*3)</f>
        <v>33</v>
      </c>
      <c r="N186" s="49">
        <f>SUM(E186:M186)-(45*4)</f>
        <v>21</v>
      </c>
      <c r="O186" s="49">
        <f>SUM(E186:N186)-(45*4)</f>
        <v>42</v>
      </c>
      <c r="P186" s="49">
        <f>SUM(E186:O186)-(45*5)</f>
        <v>39</v>
      </c>
      <c r="Q186" s="49">
        <f>SUM(F186:P186)-(45*6)</f>
        <v>13</v>
      </c>
      <c r="R186" s="49">
        <f>SUM(G186:Q186)-(45*5)</f>
        <v>45</v>
      </c>
      <c r="S186" s="49">
        <f>SUM(H186:R186)-(45*6)</f>
        <v>42</v>
      </c>
      <c r="T186" s="49">
        <f>SUM(I186:S186)-(45*7)</f>
        <v>38</v>
      </c>
      <c r="U186" s="49">
        <f>SUM(J186:T186)-(45*8)</f>
        <v>15</v>
      </c>
      <c r="V186" s="49">
        <f>SUM(K186:U186)-(45*8)</f>
        <v>9</v>
      </c>
      <c r="W186" s="49">
        <f>SUM(L186:V186)-(45*7)</f>
        <v>21</v>
      </c>
      <c r="X186" s="49">
        <f>SUM(M186:W186)-(45*7)</f>
        <v>3</v>
      </c>
      <c r="Y186" s="49">
        <f>SUM(N186:X186)-(45*6)</f>
        <v>18</v>
      </c>
      <c r="Z186" s="49">
        <f>SUM(O186:Y186)-(45*6)</f>
        <v>15</v>
      </c>
      <c r="AA186" s="49">
        <f>SUM(P186:Z186)-(45*5)</f>
        <v>33</v>
      </c>
      <c r="AB186" s="49">
        <f>SUM(Q186:AA186)-(45*5)</f>
        <v>27</v>
      </c>
      <c r="AC186" s="49">
        <f>SUM(M186:AB186)-(45*9)</f>
        <v>9</v>
      </c>
      <c r="AD186" s="49">
        <f>SUM(N186:AC186)-(45*8)</f>
        <v>30</v>
      </c>
      <c r="AE186" s="49">
        <f>SUM(O186:AD186)-(45*8)</f>
        <v>39</v>
      </c>
      <c r="AF186" s="49">
        <f>SUM(P186:AE186)-(45*8)</f>
        <v>36</v>
      </c>
      <c r="AG186" s="49">
        <f>SUM(Q186:AF186)-(45*8)</f>
        <v>33</v>
      </c>
      <c r="AH186" s="49">
        <f>SUM(R186:AG186)-(45*9)</f>
        <v>8</v>
      </c>
      <c r="AI186" s="49">
        <f>SUM(S186:AH186)-(45*8)</f>
        <v>16</v>
      </c>
      <c r="AJ186" s="49">
        <f>SUM(T186:AI186)-(45*7)</f>
        <v>35</v>
      </c>
      <c r="AK186" s="49">
        <f>SUM(U186:AJ186)-(45*7)</f>
        <v>32</v>
      </c>
      <c r="AL186" s="49">
        <f>SUM(V186:AK186)-(45*8)</f>
        <v>4</v>
      </c>
      <c r="AM186" s="49">
        <f>SUM(W186:AL186)-(45*7)</f>
        <v>44</v>
      </c>
      <c r="AN186" s="49">
        <f>SUM(X186:AM186)-(45*8)</f>
        <v>22</v>
      </c>
      <c r="AO186" s="49">
        <f>SUM(Y186:AN186)-(45*8)</f>
        <v>41</v>
      </c>
      <c r="AP186" s="49">
        <f>SUM(Z186:AO186)-(45*9)</f>
        <v>19</v>
      </c>
      <c r="AQ186" s="49">
        <f>SUM(AA186:AP186)-(45*9)</f>
        <v>23</v>
      </c>
      <c r="AR186" s="49">
        <f>SUM(AB186:AQ186)-(45*9)</f>
        <v>13</v>
      </c>
      <c r="AS186" s="49">
        <f>SUM(AC186:AR186)-(45*8)</f>
        <v>44</v>
      </c>
      <c r="AT186" s="49">
        <f>SUM(AD186:AS186)-(45*9)</f>
        <v>34</v>
      </c>
      <c r="AU186" s="49">
        <f>SUM(AE186:AT186)-(45*9)</f>
        <v>38</v>
      </c>
      <c r="AV186" s="49">
        <f>SUM(AF186:AU186)-(45*9)</f>
        <v>37</v>
      </c>
      <c r="AW186" s="49">
        <f>SUM(AG186:AV186)-(45*9)</f>
        <v>38</v>
      </c>
      <c r="AX186" s="49">
        <f>SUM(AH186:AW186)-(45*9)</f>
        <v>43</v>
      </c>
      <c r="AY186" s="49">
        <f>SUM(AI186:AX186)-(45*10)</f>
        <v>33</v>
      </c>
      <c r="AZ186" s="49">
        <f>SUM(AJ186:AY186)-(45*11)</f>
        <v>5</v>
      </c>
      <c r="BA186" s="49">
        <f>SUM(AK186:AZ186)-(45*10)</f>
        <v>20</v>
      </c>
      <c r="BB186" s="49">
        <f>SUM(AL186:BA186)-(45*10)</f>
        <v>8</v>
      </c>
      <c r="BC186" s="49">
        <f>SUM(AM186:BB186)-(45*10)</f>
        <v>12</v>
      </c>
      <c r="BD186" s="49">
        <f>SUM(AN186:BC186)-(45*9)</f>
        <v>25</v>
      </c>
      <c r="BE186" s="49">
        <f t="shared" ref="BE186" si="1873">SUM(AO186:BD186)-(45*9)</f>
        <v>28</v>
      </c>
      <c r="BF186" s="49">
        <f>SUM(AP186:BE186)-(45*9)</f>
        <v>15</v>
      </c>
      <c r="BG186" s="49">
        <f t="shared" ref="BG186" si="1874">SUM(AQ186:BF186)-(45*9)</f>
        <v>11</v>
      </c>
      <c r="BH186" s="49">
        <f>SUM(AR186:BG186)-(45*8)</f>
        <v>44</v>
      </c>
      <c r="BI186" s="49">
        <f>SUM(AS186:BH186)-(45*9)</f>
        <v>30</v>
      </c>
      <c r="BJ186" s="49">
        <f>SUM(AT186:BI186)-(45*9)</f>
        <v>16</v>
      </c>
      <c r="BK186" s="49">
        <f>SUM(AU186:BJ186)-(45*8)</f>
        <v>43</v>
      </c>
      <c r="BL186" s="49">
        <f>SUM(AV186:BK186)-(45*9)</f>
        <v>3</v>
      </c>
      <c r="BM186" s="49">
        <f>SUM(AW186:BL186)-(45*8)</f>
        <v>14</v>
      </c>
      <c r="BN186" s="49">
        <f>SUM(AX186:BM186)-(45*7)</f>
        <v>35</v>
      </c>
      <c r="BO186" s="49">
        <f>SUM(AY186:BN186)-(45*7)</f>
        <v>27</v>
      </c>
      <c r="BP186" s="49">
        <f>SUM(AZ186:BO186)-(45*7)</f>
        <v>21</v>
      </c>
      <c r="BQ186" s="49">
        <f>SUM(BA186:BP186)-(45*7)</f>
        <v>37</v>
      </c>
      <c r="BR186" s="49">
        <f>SUM(BB186:BQ186)-(45*8)</f>
        <v>9</v>
      </c>
      <c r="BS186" s="49">
        <f>SUM(BC186:BR186)-(45*8)</f>
        <v>10</v>
      </c>
      <c r="BT186" s="49">
        <f t="shared" si="1872"/>
        <v>8</v>
      </c>
      <c r="BU186" s="49">
        <f>SUM(BE186:BT186)-(45*7)</f>
        <v>36</v>
      </c>
      <c r="BV186" s="49">
        <f>SUM(BF186:BU186)-(45*7)</f>
        <v>44</v>
      </c>
      <c r="BX186" s="332"/>
      <c r="CE186" s="334"/>
    </row>
    <row r="187" spans="2:83" s="331" customFormat="1" ht="17.25">
      <c r="B187" s="333"/>
      <c r="C187" s="44">
        <v>656</v>
      </c>
      <c r="D187" s="108" t="s">
        <v>458</v>
      </c>
      <c r="E187" s="48">
        <v>27</v>
      </c>
      <c r="F187" s="63">
        <v>33</v>
      </c>
      <c r="G187" s="63">
        <v>4</v>
      </c>
      <c r="H187" s="48">
        <f>SUM(E187:F187)-(45*1)</f>
        <v>15</v>
      </c>
      <c r="I187" s="48">
        <v>17</v>
      </c>
      <c r="J187" s="49">
        <f>SUM(E187:I187)-(45*2)</f>
        <v>6</v>
      </c>
      <c r="K187" s="49">
        <f>SUM(E187:J187)-(45*2)</f>
        <v>12</v>
      </c>
      <c r="L187" s="49">
        <f>SUM(E187:K187)-(45*2)</f>
        <v>24</v>
      </c>
      <c r="M187" s="49">
        <f>SUM(E187:L187)-(45*3)</f>
        <v>3</v>
      </c>
      <c r="N187" s="49">
        <f>SUM(E187:M187)-(45*3)</f>
        <v>6</v>
      </c>
      <c r="O187" s="49">
        <f>SUM(E187:N187)-(45*3)</f>
        <v>12</v>
      </c>
      <c r="P187" s="49">
        <f t="shared" ref="P187:W187" si="1875">SUM(E187:O187)-(45*3)</f>
        <v>24</v>
      </c>
      <c r="Q187" s="49">
        <f t="shared" si="1875"/>
        <v>21</v>
      </c>
      <c r="R187" s="49">
        <f t="shared" si="1875"/>
        <v>9</v>
      </c>
      <c r="S187" s="49">
        <f t="shared" si="1875"/>
        <v>14</v>
      </c>
      <c r="T187" s="49">
        <f t="shared" si="1875"/>
        <v>13</v>
      </c>
      <c r="U187" s="49">
        <f t="shared" si="1875"/>
        <v>9</v>
      </c>
      <c r="V187" s="49">
        <f t="shared" si="1875"/>
        <v>12</v>
      </c>
      <c r="W187" s="49">
        <f t="shared" si="1875"/>
        <v>12</v>
      </c>
      <c r="X187" s="49">
        <f>SUM(M187:W187)-(45*2)</f>
        <v>45</v>
      </c>
      <c r="Y187" s="49">
        <f>SUM(N187:X187)-(45*3)</f>
        <v>42</v>
      </c>
      <c r="Z187" s="49">
        <f>SUM(O187:Y187)-(45*4)</f>
        <v>33</v>
      </c>
      <c r="AA187" s="49">
        <f>SUM(P187:Z187)-(45*5)</f>
        <v>9</v>
      </c>
      <c r="AB187" s="49">
        <f>SUM(Q187:AA187)-(45*4)</f>
        <v>39</v>
      </c>
      <c r="AC187" s="49">
        <f>SUM(M187:AB187)-(45*6)</f>
        <v>33</v>
      </c>
      <c r="AD187" s="49">
        <f>SUM(N187:AC187)-(45*7)</f>
        <v>18</v>
      </c>
      <c r="AE187" s="49">
        <f>SUM(O187:AD187)-(45*7)</f>
        <v>30</v>
      </c>
      <c r="AF187" s="49">
        <f>SUM(P187:AE187)-(45*8)</f>
        <v>3</v>
      </c>
      <c r="AG187" s="49">
        <f>SUM(Q187:AF187)-(45*7)</f>
        <v>27</v>
      </c>
      <c r="AH187" s="49">
        <f>SUM(R187:AG187)-(45*7)</f>
        <v>33</v>
      </c>
      <c r="AI187" s="49">
        <f>SUM(S187:AH187)-(45*8)</f>
        <v>12</v>
      </c>
      <c r="AJ187" s="49">
        <f>SUM(T187:AI187)-(45*8)</f>
        <v>10</v>
      </c>
      <c r="AK187" s="49">
        <f>SUM(U187:AJ187)-(45*8)</f>
        <v>7</v>
      </c>
      <c r="AL187" s="49">
        <f>SUM(V187:AK187)-(45*8)</f>
        <v>5</v>
      </c>
      <c r="AM187" s="49">
        <f>SUM(W187:AL187)-(45*7)</f>
        <v>43</v>
      </c>
      <c r="AN187" s="49">
        <f>SUM(X187:AM187)-(45*8)</f>
        <v>29</v>
      </c>
      <c r="AO187" s="49">
        <f>SUM(Y187:AN187)-(45*8)</f>
        <v>13</v>
      </c>
      <c r="AP187" s="49">
        <f>SUM(Z187:AO187)-(45*7)</f>
        <v>29</v>
      </c>
      <c r="AQ187" s="49">
        <f>SUM(AA187:AP187)-(45*7)</f>
        <v>25</v>
      </c>
      <c r="AR187" s="49">
        <f>SUM(AB187:AQ187)-(45*7)</f>
        <v>41</v>
      </c>
      <c r="AS187" s="49">
        <f>SUM(AC187:AR187)-(45*7)</f>
        <v>43</v>
      </c>
      <c r="AT187" s="49">
        <f>SUM(AD187:AS187)-(45*8)</f>
        <v>8</v>
      </c>
      <c r="AU187" s="49">
        <f>SUM(AE187:AT187)-(45*7)</f>
        <v>43</v>
      </c>
      <c r="AV187" s="49">
        <f>SUM(AF187:AU187)-(45*8)</f>
        <v>11</v>
      </c>
      <c r="AW187" s="49">
        <f>SUM(AG187:AV187)-(45*8)</f>
        <v>19</v>
      </c>
      <c r="AX187" s="49">
        <f>SUM(AH187:AW187)-(45*8)</f>
        <v>11</v>
      </c>
      <c r="AY187" s="49">
        <f>SUM(AI187:AX187)-(45*7)</f>
        <v>34</v>
      </c>
      <c r="AZ187" s="49">
        <f t="shared" ref="AZ187:BE187" si="1876">SUM(AJ187:AY187)-(45*8)</f>
        <v>11</v>
      </c>
      <c r="BA187" s="49">
        <f t="shared" si="1876"/>
        <v>12</v>
      </c>
      <c r="BB187" s="49">
        <f t="shared" si="1876"/>
        <v>17</v>
      </c>
      <c r="BC187" s="49">
        <f t="shared" si="1876"/>
        <v>29</v>
      </c>
      <c r="BD187" s="49">
        <f t="shared" si="1876"/>
        <v>15</v>
      </c>
      <c r="BE187" s="49">
        <f t="shared" si="1876"/>
        <v>1</v>
      </c>
      <c r="BF187" s="49">
        <f>SUM(AP187:BE187)-(45*7)</f>
        <v>34</v>
      </c>
      <c r="BG187" s="49">
        <f>SUM(AQ187:BF187)-(45*7)</f>
        <v>39</v>
      </c>
      <c r="BH187" s="49">
        <f>SUM(AR187:BG187)-(45*8)</f>
        <v>8</v>
      </c>
      <c r="BI187" s="49">
        <f>SUM(AS187:BH187)-(45*7)</f>
        <v>20</v>
      </c>
      <c r="BJ187" s="49">
        <f>SUM(AT187:BI187)-(45*6)</f>
        <v>42</v>
      </c>
      <c r="BK187" s="49">
        <f>SUM(AU187:BJ187)-(45*7)</f>
        <v>31</v>
      </c>
      <c r="BL187" s="49">
        <f>SUM(AV187:BK187)-(45*7)</f>
        <v>19</v>
      </c>
      <c r="BM187" s="49">
        <f>SUM(AW187:BL187)-(45*7)</f>
        <v>27</v>
      </c>
      <c r="BN187" s="49">
        <f>SUM(AX187:BM187)-(45*7)</f>
        <v>35</v>
      </c>
      <c r="BO187" s="49">
        <f>SUM(AY187:BN187)-(45*8)</f>
        <v>14</v>
      </c>
      <c r="BP187" s="49">
        <f>SUM(AZ187:BO187)-(45*7)</f>
        <v>39</v>
      </c>
      <c r="BQ187" s="49">
        <f>SUM(BA187:BP187)-(45*8)</f>
        <v>22</v>
      </c>
      <c r="BR187" s="49">
        <f>SUM(BB187:BQ187)-(45*8)</f>
        <v>32</v>
      </c>
      <c r="BS187" s="49">
        <f>SUM(BC187:BR187)-(45*9)</f>
        <v>2</v>
      </c>
      <c r="BT187" s="49">
        <f t="shared" si="1872"/>
        <v>20</v>
      </c>
      <c r="BU187" s="49">
        <f>SUM(BE187:BT187)-(45*8)</f>
        <v>25</v>
      </c>
      <c r="BV187" s="49">
        <f>SUM(BF187:BU187)-(45*9)</f>
        <v>4</v>
      </c>
      <c r="BX187" s="332"/>
      <c r="CE187" s="334"/>
    </row>
    <row r="188" spans="2:83" s="331" customFormat="1" ht="17.25">
      <c r="B188" s="335"/>
      <c r="C188" s="44">
        <v>657</v>
      </c>
      <c r="D188" s="108" t="s">
        <v>459</v>
      </c>
      <c r="E188" s="48">
        <v>4</v>
      </c>
      <c r="F188" s="63">
        <v>11</v>
      </c>
      <c r="G188" s="63">
        <v>1</v>
      </c>
      <c r="H188" s="48">
        <f>SUM(E188:F188)-(45*0)</f>
        <v>15</v>
      </c>
      <c r="I188" s="48">
        <v>18</v>
      </c>
      <c r="J188" s="49">
        <f>SUM(E188:I188)-(45*1)</f>
        <v>4</v>
      </c>
      <c r="K188" s="49">
        <f>SUM(E188:J188)-(45*1)</f>
        <v>8</v>
      </c>
      <c r="L188" s="49">
        <f>SUM(E188:K188)-(45*1)</f>
        <v>16</v>
      </c>
      <c r="M188" s="49">
        <f>SUM(E188:L188)-(45*1)</f>
        <v>32</v>
      </c>
      <c r="N188" s="49">
        <f>SUM(E188:M188)-(45*2)</f>
        <v>19</v>
      </c>
      <c r="O188" s="49">
        <f>SUM(E188:N188)-(45*2)</f>
        <v>38</v>
      </c>
      <c r="P188" s="49">
        <f>SUM(E188:O188)-(45*3)</f>
        <v>31</v>
      </c>
      <c r="Q188" s="49">
        <f>SUM(F188:P188)-(45*4)</f>
        <v>13</v>
      </c>
      <c r="R188" s="49">
        <f>SUM(G188:Q188)-(45*4)</f>
        <v>15</v>
      </c>
      <c r="S188" s="49">
        <f>SUM(H188:R188)-(45*4)</f>
        <v>29</v>
      </c>
      <c r="T188" s="49">
        <f>SUM(I188:S188)-(45*4)</f>
        <v>43</v>
      </c>
      <c r="U188" s="49">
        <f>SUM(J188:T188)-(45*5)</f>
        <v>23</v>
      </c>
      <c r="V188" s="49">
        <f>SUM(K188:U188)-(45*5)</f>
        <v>42</v>
      </c>
      <c r="W188" s="49">
        <f>SUM(L188:V188)-(45*6)</f>
        <v>31</v>
      </c>
      <c r="X188" s="49">
        <f>SUM(M188:W188)-(45*7)</f>
        <v>1</v>
      </c>
      <c r="Y188" s="49">
        <f>SUM(N188:X188)-(45*6)</f>
        <v>15</v>
      </c>
      <c r="Z188" s="49">
        <f>SUM(O188:Y188)-(45*6)</f>
        <v>11</v>
      </c>
      <c r="AA188" s="49">
        <f>SUM(P188:Z188)-(45*5)</f>
        <v>29</v>
      </c>
      <c r="AB188" s="49">
        <f>SUM(Q188:AA188)-(45*5)</f>
        <v>27</v>
      </c>
      <c r="AC188" s="49">
        <f>SUM(M188:AB188)-(45*8)</f>
        <v>39</v>
      </c>
      <c r="AD188" s="49">
        <f>SUM(N188:AC188)-(45*9)</f>
        <v>1</v>
      </c>
      <c r="AE188" s="49">
        <f>SUM(O188:AD188)-(45*8)</f>
        <v>28</v>
      </c>
      <c r="AF188" s="49">
        <f>SUM(P188:AE188)-(45*8)</f>
        <v>18</v>
      </c>
      <c r="AG188" s="49">
        <f>SUM(Q188:AF188)-(45*8)</f>
        <v>5</v>
      </c>
      <c r="AH188" s="49">
        <f>SUM(R188:AG188)-(45*7)</f>
        <v>42</v>
      </c>
      <c r="AI188" s="49">
        <f>SUM(S188:AH188)-(45*8)</f>
        <v>24</v>
      </c>
      <c r="AJ188" s="49">
        <f>SUM(T188:AI188)-(45*8)</f>
        <v>19</v>
      </c>
      <c r="AK188" s="49">
        <f>SUM(U188:AJ188)-(45*7)</f>
        <v>40</v>
      </c>
      <c r="AL188" s="49">
        <f>SUM(V188:AK188)-(45*8)</f>
        <v>12</v>
      </c>
      <c r="AM188" s="49">
        <f>SUM(W188:AL188)-(45*7)</f>
        <v>27</v>
      </c>
      <c r="AN188" s="49">
        <f>SUM(X188:AM188)-(45*7)</f>
        <v>23</v>
      </c>
      <c r="AO188" s="49">
        <f>SUM(Y188:AN188)-(45*7)</f>
        <v>45</v>
      </c>
      <c r="AP188" s="49">
        <f>SUM(Z188:AO188)-(45*8)</f>
        <v>30</v>
      </c>
      <c r="AQ188" s="49">
        <f>SUM(AA188:AP188)-(45*9)</f>
        <v>4</v>
      </c>
      <c r="AR188" s="49">
        <f>SUM(AB188:AQ188)-(45*8)</f>
        <v>24</v>
      </c>
      <c r="AS188" s="49">
        <f>SUM(AC188:AR188)-(45*8)</f>
        <v>21</v>
      </c>
      <c r="AT188" s="49">
        <f>SUM(AD188:AS188)-(45*8)</f>
        <v>3</v>
      </c>
      <c r="AU188" s="49">
        <f>SUM(AE188:AT188)-(45*8)</f>
        <v>5</v>
      </c>
      <c r="AV188" s="49">
        <f>SUM(AF188:AU188)-(45*7)</f>
        <v>27</v>
      </c>
      <c r="AW188" s="49">
        <f>SUM(AG188:AV188)-(45*7)</f>
        <v>36</v>
      </c>
      <c r="AX188" s="49">
        <f>SUM(AH188:AW188)-(45*8)</f>
        <v>22</v>
      </c>
      <c r="AY188" s="49">
        <f>SUM(AI188:AX188)-(45*8)</f>
        <v>2</v>
      </c>
      <c r="AZ188" s="49">
        <f>SUM(AJ188:AY188)-(45*7)</f>
        <v>25</v>
      </c>
      <c r="BA188" s="49">
        <f>SUM(AK188:AZ188)-(45*7)</f>
        <v>31</v>
      </c>
      <c r="BB188" s="49">
        <f>SUM(AL188:BA188)-(45*7)</f>
        <v>22</v>
      </c>
      <c r="BC188" s="49">
        <f>SUM(AM188:BB188)-(45*7)</f>
        <v>32</v>
      </c>
      <c r="BD188" s="49">
        <f>SUM(AN188:BC188)-(45*7)</f>
        <v>37</v>
      </c>
      <c r="BE188" s="49">
        <f>SUM(AO188:BD188)-(45*8)</f>
        <v>6</v>
      </c>
      <c r="BF188" s="49">
        <f>SUM(AP188:BE188)-(45*7)</f>
        <v>12</v>
      </c>
      <c r="BG188" s="49">
        <f>SUM(AQ188:BF188)-(45*6)</f>
        <v>39</v>
      </c>
      <c r="BH188" s="49">
        <f>SUM(AR188:BG188)-(45*7)</f>
        <v>29</v>
      </c>
      <c r="BI188" s="49">
        <f>SUM(AS188:BH188)-(45*7)</f>
        <v>34</v>
      </c>
      <c r="BJ188" s="49">
        <f>SUM(AT188:BI188)-(45*8)</f>
        <v>2</v>
      </c>
      <c r="BK188" s="49">
        <f>SUM(AU188:BJ188)-(45*8)</f>
        <v>1</v>
      </c>
      <c r="BL188" s="49">
        <f>SUM(AV188:BK188)-(45*7)</f>
        <v>42</v>
      </c>
      <c r="BM188" s="49">
        <f>SUM(AW188:BL188)-(45*8)</f>
        <v>12</v>
      </c>
      <c r="BN188" s="49">
        <f>SUM(AX188:BM188)-(45*7)</f>
        <v>33</v>
      </c>
      <c r="BO188" s="49">
        <f>SUM(AY188:BN188)-(45*7)</f>
        <v>44</v>
      </c>
      <c r="BP188" s="49">
        <f>SUM(AZ188:BO188)-(45*8)</f>
        <v>41</v>
      </c>
      <c r="BQ188" s="49">
        <f>SUM(BA188:BP188)-(45*9)</f>
        <v>12</v>
      </c>
      <c r="BR188" s="49">
        <f>SUM(BB188:BQ188)-(45*8)</f>
        <v>38</v>
      </c>
      <c r="BS188" s="49">
        <f>SUM(BC188:BR188)-(45*9)</f>
        <v>9</v>
      </c>
      <c r="BT188" s="49">
        <f t="shared" si="1872"/>
        <v>31</v>
      </c>
      <c r="BU188" s="49">
        <f>SUM(BE188:BT188)-(45*8)</f>
        <v>25</v>
      </c>
      <c r="BV188" s="49">
        <f>SUM(BF188:BU188)-(45*8)</f>
        <v>44</v>
      </c>
      <c r="BX188" s="332"/>
      <c r="CE188" s="334"/>
    </row>
    <row r="189" spans="2:83" s="331" customFormat="1" ht="17.25">
      <c r="B189" s="336"/>
      <c r="C189" s="44">
        <v>658</v>
      </c>
      <c r="D189" s="108" t="s">
        <v>460</v>
      </c>
      <c r="E189" s="48">
        <v>11</v>
      </c>
      <c r="F189" s="63">
        <v>18</v>
      </c>
      <c r="G189" s="63">
        <v>2</v>
      </c>
      <c r="H189" s="48">
        <f>SUM(E189:F189)-(45*0)</f>
        <v>29</v>
      </c>
      <c r="I189" s="48">
        <v>19</v>
      </c>
      <c r="J189" s="49">
        <f>SUM(E189:I189)-(45*1)</f>
        <v>34</v>
      </c>
      <c r="K189" s="49">
        <f>SUM(E189:J189)-(45*2)</f>
        <v>23</v>
      </c>
      <c r="L189" s="49">
        <f>SUM(E189:K189)-(45*3)</f>
        <v>1</v>
      </c>
      <c r="M189" s="49">
        <f>SUM(E189:L189)-(45*3)</f>
        <v>2</v>
      </c>
      <c r="N189" s="49">
        <f>SUM(E189:M189)-(45*3)</f>
        <v>4</v>
      </c>
      <c r="O189" s="49">
        <f>SUM(E189:N189)-(45*3)</f>
        <v>8</v>
      </c>
      <c r="P189" s="49">
        <f>SUM(E189:O189)-(45*3)</f>
        <v>16</v>
      </c>
      <c r="Q189" s="49">
        <f>SUM(F189:P189)-(45*3)</f>
        <v>21</v>
      </c>
      <c r="R189" s="49">
        <f>SUM(G189:Q189)-(45*3)</f>
        <v>24</v>
      </c>
      <c r="S189" s="49">
        <f>SUM(H189:R189)-(45*4)</f>
        <v>1</v>
      </c>
      <c r="T189" s="49">
        <f>SUM(I189:S189)-(45*3)</f>
        <v>18</v>
      </c>
      <c r="U189" s="49">
        <f>SUM(J189:T189)-(45*3)</f>
        <v>17</v>
      </c>
      <c r="V189" s="49">
        <f>SUM(K189:U189)-(45*2)</f>
        <v>45</v>
      </c>
      <c r="W189" s="49">
        <f>SUM(L189:V189)-(45*3)</f>
        <v>22</v>
      </c>
      <c r="X189" s="49">
        <f>SUM(M189:W189)-(45*3)</f>
        <v>43</v>
      </c>
      <c r="Y189" s="49">
        <f>SUM(N189:X189)-(45*4)</f>
        <v>39</v>
      </c>
      <c r="Z189" s="49">
        <f>SUM(O189:Y189)-(45*5)</f>
        <v>29</v>
      </c>
      <c r="AA189" s="49">
        <f>SUM(P189:Z189)-(45*6)</f>
        <v>5</v>
      </c>
      <c r="AB189" s="49">
        <f>SUM(Q189:AA189)-(45*5)</f>
        <v>39</v>
      </c>
      <c r="AC189" s="49">
        <f>SUM(M189:AB189)-(45*7)</f>
        <v>18</v>
      </c>
      <c r="AD189" s="49">
        <f>SUM(N189:AC189)-(45*7)</f>
        <v>34</v>
      </c>
      <c r="AE189" s="49">
        <f>SUM(O189:AD189)-(45*8)</f>
        <v>19</v>
      </c>
      <c r="AF189" s="49">
        <f>SUM(P189:AE189)-(45*8)</f>
        <v>30</v>
      </c>
      <c r="AG189" s="49">
        <f>SUM(Q189:AF189)-(45*8)</f>
        <v>44</v>
      </c>
      <c r="AH189" s="49">
        <f>SUM(R189:AG189)-(45*9)</f>
        <v>22</v>
      </c>
      <c r="AI189" s="49">
        <f>SUM(S189:AH189)-(45*9)</f>
        <v>20</v>
      </c>
      <c r="AJ189" s="49">
        <f>SUM(T189:AI189)-(45*9)</f>
        <v>39</v>
      </c>
      <c r="AK189" s="49">
        <f>SUM(U189:AJ189)-(45*10)</f>
        <v>15</v>
      </c>
      <c r="AL189" s="49">
        <f>SUM(V189:AK189)-(45*10)</f>
        <v>13</v>
      </c>
      <c r="AM189" s="49">
        <f>SUM(W189:AL189)-(45*9)</f>
        <v>26</v>
      </c>
      <c r="AN189" s="49">
        <f>SUM(X189:AM189)-(45*9)</f>
        <v>30</v>
      </c>
      <c r="AO189" s="49">
        <f>SUM(Y189:AN189)-(45*9)</f>
        <v>17</v>
      </c>
      <c r="AP189" s="49">
        <f>SUM(Z189:AO189)-(45*8)</f>
        <v>40</v>
      </c>
      <c r="AQ189" s="49">
        <f>SUM(AA189:AP189)-(45*9)</f>
        <v>6</v>
      </c>
      <c r="AR189" s="49">
        <f>SUM(AB189:AQ189)-(45*9)</f>
        <v>7</v>
      </c>
      <c r="AS189" s="49">
        <f>SUM(AC189:AR189)-(45*8)</f>
        <v>20</v>
      </c>
      <c r="AT189" s="49">
        <f>SUM(AD189:AS189)-(45*8)</f>
        <v>22</v>
      </c>
      <c r="AU189" s="49">
        <f>SUM(AE189:AT189)-(45*8)</f>
        <v>10</v>
      </c>
      <c r="AV189" s="49">
        <f>SUM(AF189:AU189)-(45*8)</f>
        <v>1</v>
      </c>
      <c r="AW189" s="49">
        <f>SUM(AG189:AV189)-(45*7)</f>
        <v>17</v>
      </c>
      <c r="AX189" s="49">
        <f>SUM(AH189:AW189)-(45*6)</f>
        <v>35</v>
      </c>
      <c r="AY189" s="49">
        <f>SUM(AI189:AX189)-(45*7)</f>
        <v>3</v>
      </c>
      <c r="AZ189" s="49">
        <f>SUM(AJ189:AY189)-(45*6)</f>
        <v>31</v>
      </c>
      <c r="BA189" s="49">
        <f>SUM(AK189:AZ189)-(45*6)</f>
        <v>23</v>
      </c>
      <c r="BB189" s="49">
        <f>SUM(AL189:BA189)-(45*6)</f>
        <v>31</v>
      </c>
      <c r="BC189" s="49">
        <f>SUM(AM189:BB189)-(45*7)</f>
        <v>4</v>
      </c>
      <c r="BD189" s="49">
        <f>SUM(AN189:BC189)-(45*6)</f>
        <v>27</v>
      </c>
      <c r="BE189" s="49">
        <f>SUM(AO189:BD189)-(45*6)</f>
        <v>24</v>
      </c>
      <c r="BF189" s="49">
        <f>SUM(AP189:BE189)-(45*6)</f>
        <v>31</v>
      </c>
      <c r="BG189" s="49">
        <f>SUM(AQ189:BF189)-(45*6)</f>
        <v>22</v>
      </c>
      <c r="BH189" s="49">
        <f>SUM(AR189:BG189)-(45*6)</f>
        <v>38</v>
      </c>
      <c r="BI189" s="49">
        <f>SUM(AS189:BH189)-(45*7)</f>
        <v>24</v>
      </c>
      <c r="BJ189" s="49">
        <f>SUM(AT189:BI189)-(45*7)</f>
        <v>28</v>
      </c>
      <c r="BK189" s="49">
        <f>SUM(AU189:BJ189)-(45*7)</f>
        <v>34</v>
      </c>
      <c r="BL189" s="49">
        <f>SUM(AV189:BK189)-(45*8)</f>
        <v>13</v>
      </c>
      <c r="BM189" s="49">
        <f>SUM(AW189:BL189)-(45*8)</f>
        <v>25</v>
      </c>
      <c r="BN189" s="49">
        <f>SUM(AX189:BM189)-(45*8)</f>
        <v>33</v>
      </c>
      <c r="BO189" s="49">
        <f>SUM(AY189:BN189)-(45*8)</f>
        <v>31</v>
      </c>
      <c r="BP189" s="49">
        <f>SUM(AZ189:BO189)-(45*9)</f>
        <v>14</v>
      </c>
      <c r="BQ189" s="49">
        <f>SUM(BA189:BP189)-(45*8)</f>
        <v>42</v>
      </c>
      <c r="BR189" s="49">
        <f>SUM(BB189:BQ189)-(45*9)</f>
        <v>16</v>
      </c>
      <c r="BS189" s="49">
        <f>SUM(BC189:BR189)-(45*9)</f>
        <v>1</v>
      </c>
      <c r="BT189" s="49">
        <f t="shared" si="1872"/>
        <v>43</v>
      </c>
      <c r="BU189" s="49">
        <f>SUM(BE189:BT189)-(45*9)</f>
        <v>14</v>
      </c>
      <c r="BV189" s="49">
        <f>SUM(BF189:BU189)-(45*9)</f>
        <v>4</v>
      </c>
      <c r="BX189" s="332"/>
      <c r="CE189" s="334"/>
    </row>
    <row r="190" spans="2:83" s="338" customFormat="1" ht="17.25">
      <c r="B190" s="337"/>
      <c r="C190" s="44">
        <v>659</v>
      </c>
      <c r="D190" s="108" t="s">
        <v>461</v>
      </c>
      <c r="E190" s="48">
        <v>18</v>
      </c>
      <c r="F190" s="63">
        <v>25</v>
      </c>
      <c r="G190" s="63">
        <v>3</v>
      </c>
      <c r="H190" s="48">
        <f>SUM(E190:F190)-(45*0)</f>
        <v>43</v>
      </c>
      <c r="I190" s="48">
        <v>20</v>
      </c>
      <c r="J190" s="49">
        <f>SUM(E190:I190)-(45*2)</f>
        <v>19</v>
      </c>
      <c r="K190" s="49">
        <f>SUM(E190:J190)-(45*2)</f>
        <v>38</v>
      </c>
      <c r="L190" s="49">
        <f>SUM(E190:K190)-(45*3)</f>
        <v>31</v>
      </c>
      <c r="M190" s="49">
        <f>SUM(E190:L190)-(45*4)</f>
        <v>17</v>
      </c>
      <c r="N190" s="49">
        <f>SUM(E190:M190)-(45*4)</f>
        <v>34</v>
      </c>
      <c r="O190" s="49">
        <f>SUM(E190:N190)-(45*5)</f>
        <v>23</v>
      </c>
      <c r="P190" s="49">
        <f>SUM(E190:O190)-(45*6)</f>
        <v>1</v>
      </c>
      <c r="Q190" s="49">
        <f>SUM(F190:P190)-(45*5)</f>
        <v>29</v>
      </c>
      <c r="R190" s="49">
        <f>SUM(G190:Q190)-(45*5)</f>
        <v>33</v>
      </c>
      <c r="S190" s="49">
        <f>SUM(H190:R190)-(45*6)</f>
        <v>18</v>
      </c>
      <c r="T190" s="49">
        <f>SUM(I190:S190)-(45*5)</f>
        <v>38</v>
      </c>
      <c r="U190" s="49">
        <f>SUM(J190:T190)-(45*6)</f>
        <v>11</v>
      </c>
      <c r="V190" s="49">
        <f>SUM(K190:U190)-(45*6)</f>
        <v>3</v>
      </c>
      <c r="W190" s="49">
        <f>SUM(L190:V190)-(45*5)</f>
        <v>13</v>
      </c>
      <c r="X190" s="49">
        <f>SUM(M190:W190)-(45*4)</f>
        <v>40</v>
      </c>
      <c r="Y190" s="49">
        <f>SUM(N190:X190)-(45*5)</f>
        <v>18</v>
      </c>
      <c r="Z190" s="49">
        <f>SUM(O190:Y190)-(45*5)</f>
        <v>2</v>
      </c>
      <c r="AA190" s="49">
        <f>SUM(P190:Z190)-(45*4)</f>
        <v>26</v>
      </c>
      <c r="AB190" s="49">
        <f>SUM(Q190:AA190)-(45*5)</f>
        <v>6</v>
      </c>
      <c r="AC190" s="49">
        <f>SUM(M190:AB190)-(45*6)</f>
        <v>42</v>
      </c>
      <c r="AD190" s="49">
        <f>SUM(N190:AC190)-(45*7)</f>
        <v>22</v>
      </c>
      <c r="AE190" s="49">
        <f>SUM(O190:AD190)-(45*7)</f>
        <v>10</v>
      </c>
      <c r="AF190" s="49">
        <f>SUM(P190:AE190)-(45*6)</f>
        <v>42</v>
      </c>
      <c r="AG190" s="49">
        <f>SUM(Q190:AF190)-(45*7)</f>
        <v>38</v>
      </c>
      <c r="AH190" s="49">
        <f>SUM(R190:AG190)-(45*8)</f>
        <v>2</v>
      </c>
      <c r="AI190" s="49">
        <f>SUM(S190:AH190)-(45*7)</f>
        <v>16</v>
      </c>
      <c r="AJ190" s="49">
        <f>SUM(T190:AI190)-(45*7)</f>
        <v>14</v>
      </c>
      <c r="AK190" s="49">
        <f>SUM(U190:AJ190)-(45*6)</f>
        <v>35</v>
      </c>
      <c r="AL190" s="49">
        <f>SUM(V190:AK190)-(45*7)</f>
        <v>14</v>
      </c>
      <c r="AM190" s="49">
        <f>SUM(W190:AL190)-(45*7)</f>
        <v>25</v>
      </c>
      <c r="AN190" s="49">
        <f>SUM(X190:AM190)-(45*7)</f>
        <v>37</v>
      </c>
      <c r="AO190" s="49">
        <f>SUM(Y190:AN190)-(45*7)</f>
        <v>34</v>
      </c>
      <c r="AP190" s="49">
        <f>SUM(Z190:AO190)-(45*8)</f>
        <v>5</v>
      </c>
      <c r="AQ190" s="49">
        <f>SUM(AA190:AP190)-(45*8)</f>
        <v>8</v>
      </c>
      <c r="AR190" s="49">
        <f>SUM(AB190:AQ190)-(45*7)</f>
        <v>35</v>
      </c>
      <c r="AS190" s="49">
        <f>SUM(AC190:AR190)-(45*8)</f>
        <v>19</v>
      </c>
      <c r="AT190" s="49">
        <f>SUM(AD190:AS190)-(45*7)</f>
        <v>41</v>
      </c>
      <c r="AU190" s="49">
        <f>SUM(AE190:AT190)-(45*8)</f>
        <v>15</v>
      </c>
      <c r="AV190" s="49">
        <f>SUM(AF190:AU190)-(45*8)</f>
        <v>20</v>
      </c>
      <c r="AW190" s="49">
        <f>SUM(AG190:AV190)-(45*7)</f>
        <v>43</v>
      </c>
      <c r="AX190" s="49">
        <f>SUM(AH190:AW190)-(45*8)</f>
        <v>3</v>
      </c>
      <c r="AY190" s="49">
        <f>SUM(AI190:AX190)-(45*8)</f>
        <v>4</v>
      </c>
      <c r="AZ190" s="49">
        <f>SUM(AJ190:AY190)-(45*7)</f>
        <v>37</v>
      </c>
      <c r="BA190" s="49">
        <f>SUM(AK190:AZ190)-(45*8)</f>
        <v>15</v>
      </c>
      <c r="BB190" s="49">
        <f>SUM(AL190:BA190)-(45*7)</f>
        <v>40</v>
      </c>
      <c r="BC190" s="49">
        <f>SUM(AM190:BB190)-(45*8)</f>
        <v>21</v>
      </c>
      <c r="BD190" s="49">
        <f>SUM(AN190:BC190)-(45*8)</f>
        <v>17</v>
      </c>
      <c r="BE190" s="49">
        <f>SUM(AO190:BD190)-(45*7)</f>
        <v>42</v>
      </c>
      <c r="BF190" s="49">
        <f>SUM(AP190:BE190)-(45*8)</f>
        <v>5</v>
      </c>
      <c r="BG190" s="49">
        <f>SUM(AQ190:BF190)-(45*8)</f>
        <v>5</v>
      </c>
      <c r="BH190" s="49">
        <f>SUM(AR190:BG190)-(45*8)</f>
        <v>2</v>
      </c>
      <c r="BI190" s="49">
        <f>SUM(AS190:BH190)-(45*7)</f>
        <v>14</v>
      </c>
      <c r="BJ190" s="49">
        <f>SUM(AT190:BI190)-(45*7)</f>
        <v>9</v>
      </c>
      <c r="BK190" s="49">
        <f>SUM(AU190:BJ190)-(45*6)</f>
        <v>22</v>
      </c>
      <c r="BL190" s="49">
        <f>SUM(AV190:BK190)-(45*6)</f>
        <v>29</v>
      </c>
      <c r="BM190" s="49">
        <f>SUM(AW190:BL190)-(45*6)</f>
        <v>38</v>
      </c>
      <c r="BN190" s="49">
        <f>SUM(AX190:BM190)-(45*6)</f>
        <v>33</v>
      </c>
      <c r="BO190" s="49">
        <f>SUM(AY190:BN190)-(45*7)</f>
        <v>18</v>
      </c>
      <c r="BP190" s="49">
        <f>SUM(AZ190:BO190)-(45*7)</f>
        <v>32</v>
      </c>
      <c r="BQ190" s="49">
        <f>SUM(BA190:BP190)-(45*7)</f>
        <v>27</v>
      </c>
      <c r="BR190" s="49">
        <f>SUM(BB190:BQ190)-(45*7)</f>
        <v>39</v>
      </c>
      <c r="BS190" s="49">
        <f>SUM(BC190:BR190)-(45*7)</f>
        <v>38</v>
      </c>
      <c r="BT190" s="49">
        <f t="shared" si="1872"/>
        <v>10</v>
      </c>
      <c r="BU190" s="49">
        <f>SUM(BE190:BT190)-(45*8)</f>
        <v>3</v>
      </c>
      <c r="BV190" s="49">
        <f>SUM(BF190:BU190)-(45*7)</f>
        <v>9</v>
      </c>
      <c r="BX190" s="332"/>
      <c r="CE190" s="334"/>
    </row>
    <row r="191" spans="2:83" s="338" customFormat="1" ht="17.25">
      <c r="B191" s="339"/>
      <c r="C191" s="44">
        <v>660</v>
      </c>
      <c r="D191" s="108" t="s">
        <v>462</v>
      </c>
      <c r="E191" s="48">
        <v>25</v>
      </c>
      <c r="F191" s="63">
        <v>32</v>
      </c>
      <c r="G191" s="63">
        <v>4</v>
      </c>
      <c r="H191" s="48">
        <f>SUM(E191:F191)-(45*1)</f>
        <v>12</v>
      </c>
      <c r="I191" s="48">
        <v>12</v>
      </c>
      <c r="J191" s="49">
        <f>SUM(E191:I191)-(45*1)</f>
        <v>40</v>
      </c>
      <c r="K191" s="49">
        <f>SUM(E191:J191)-(45*2)</f>
        <v>35</v>
      </c>
      <c r="L191" s="49">
        <f>SUM(E191:K191)-(45*3)</f>
        <v>25</v>
      </c>
      <c r="M191" s="49">
        <f>SUM(E191:L191)-(45*4)</f>
        <v>5</v>
      </c>
      <c r="N191" s="49">
        <f>SUM(E191:M191)-(45*4)</f>
        <v>10</v>
      </c>
      <c r="O191" s="49">
        <f>SUM(E191:N191)-(45*4)</f>
        <v>20</v>
      </c>
      <c r="P191" s="49">
        <f>SUM(E191:O191)-(45*4)</f>
        <v>40</v>
      </c>
      <c r="Q191" s="49">
        <f>SUM(F191:P191)-(45*5)</f>
        <v>10</v>
      </c>
      <c r="R191" s="49">
        <f>SUM(G191:Q191)-(45*4)</f>
        <v>33</v>
      </c>
      <c r="S191" s="49">
        <f>SUM(H191:R191)-(45*5)</f>
        <v>17</v>
      </c>
      <c r="T191" s="49">
        <f>SUM(I191:S191)-(45*5)</f>
        <v>22</v>
      </c>
      <c r="U191" s="49">
        <f>SUM(J191:T191)-(45*5)</f>
        <v>32</v>
      </c>
      <c r="V191" s="49">
        <f>SUM(K191:U191)-(45*5)</f>
        <v>24</v>
      </c>
      <c r="W191" s="49">
        <f>SUM(L191:V191)-(45*5)</f>
        <v>13</v>
      </c>
      <c r="X191" s="49">
        <f>SUM(M191:W191)-(45*5)</f>
        <v>1</v>
      </c>
      <c r="Y191" s="49">
        <f>SUM(N191:X191)-(45*4)</f>
        <v>42</v>
      </c>
      <c r="Z191" s="49">
        <f>SUM(O191:Y191)-(45*5)</f>
        <v>29</v>
      </c>
      <c r="AA191" s="49">
        <f t="shared" ref="AA191:AA196" si="1877">SUM(P191:Z191)-(45*5)</f>
        <v>38</v>
      </c>
      <c r="AB191" s="49">
        <f>SUM(Q191:AA191)-(45*5)</f>
        <v>36</v>
      </c>
      <c r="AC191" s="49">
        <f>SUM(M191:AB191)-(45*8)</f>
        <v>12</v>
      </c>
      <c r="AD191" s="49">
        <f>SUM(N191:AC191)-(45*8)</f>
        <v>19</v>
      </c>
      <c r="AE191" s="49">
        <f>SUM(O191:AD191)-(45*8)</f>
        <v>28</v>
      </c>
      <c r="AF191" s="49">
        <f>SUM(P191:AE191)-(45*8)</f>
        <v>36</v>
      </c>
      <c r="AG191" s="49">
        <f>SUM(Q191:AF191)-(45*8)</f>
        <v>32</v>
      </c>
      <c r="AH191" s="49">
        <f>SUM(R191:AG191)-(45*9)</f>
        <v>9</v>
      </c>
      <c r="AI191" s="49">
        <f>SUM(S191:AH191)-(45*8)</f>
        <v>30</v>
      </c>
      <c r="AJ191" s="49">
        <f>SUM(T191:AI191)-(45*8)</f>
        <v>43</v>
      </c>
      <c r="AK191" s="49">
        <f>SUM(U191:AJ191)-(45*9)</f>
        <v>19</v>
      </c>
      <c r="AL191" s="49">
        <f>SUM(V191:AK191)-(45*9)</f>
        <v>6</v>
      </c>
      <c r="AM191" s="49">
        <f>SUM(W191:AL191)-(45*8)</f>
        <v>33</v>
      </c>
      <c r="AN191" s="49">
        <f>SUM(X191:AM191)-(45*9)</f>
        <v>8</v>
      </c>
      <c r="AO191" s="49">
        <f>SUM(Y191:AN191)-(45*9)</f>
        <v>15</v>
      </c>
      <c r="AP191" s="49">
        <f>SUM(Z191:AO191)-(45*8)</f>
        <v>33</v>
      </c>
      <c r="AQ191" s="49">
        <f>SUM(AA191:AP191)-(45*8)</f>
        <v>37</v>
      </c>
      <c r="AR191" s="49">
        <f>SUM(AB191:AQ191)-(45*8)</f>
        <v>36</v>
      </c>
      <c r="AS191" s="49">
        <f>SUM(AC191:AR191)-(45*8)</f>
        <v>36</v>
      </c>
      <c r="AT191" s="49">
        <f>SUM(AD191:AS191)-(45*9)</f>
        <v>15</v>
      </c>
      <c r="AU191" s="49">
        <f>SUM(AE191:AT191)-(45*9)</f>
        <v>11</v>
      </c>
      <c r="AV191" s="49">
        <f>SUM(AF191:AU191)-(45*8)</f>
        <v>39</v>
      </c>
      <c r="AW191" s="49">
        <f>SUM(AG191:AV191)-(45*8)</f>
        <v>42</v>
      </c>
      <c r="AX191" s="49">
        <f>SUM(AH191:AW191)-(45*9)</f>
        <v>7</v>
      </c>
      <c r="AY191" s="49">
        <f>SUM(AI191:AX191)-(45*9)</f>
        <v>5</v>
      </c>
      <c r="AZ191" s="49">
        <f>SUM(AJ191:AY191)-(45*8)</f>
        <v>25</v>
      </c>
      <c r="BA191" s="49">
        <f>SUM(AK191:AZ191)-(45*8)</f>
        <v>7</v>
      </c>
      <c r="BB191" s="49">
        <f>SUM(AL191:BA191)-(45*7)</f>
        <v>40</v>
      </c>
      <c r="BC191" s="49">
        <f>SUM(AM191:BB191)-(45*8)</f>
        <v>29</v>
      </c>
      <c r="BD191" s="49">
        <f>SUM(AN191:BC191)-(45*8)</f>
        <v>25</v>
      </c>
      <c r="BE191" s="49">
        <f>SUM(AO191:BD191)-(45*8)</f>
        <v>42</v>
      </c>
      <c r="BF191" s="49">
        <f>SUM(AP191:BE191)-(45*9)</f>
        <v>24</v>
      </c>
      <c r="BG191" s="49">
        <f>SUM(AQ191:BF191)-(45*9)</f>
        <v>15</v>
      </c>
      <c r="BH191" s="49">
        <f>SUM(AR191:BG191)-(45*8)</f>
        <v>38</v>
      </c>
      <c r="BI191" s="49">
        <f>SUM(AS191:BH191)-(45*8)</f>
        <v>40</v>
      </c>
      <c r="BJ191" s="49">
        <f>SUM(AT191:BI191)-(45*8)</f>
        <v>44</v>
      </c>
      <c r="BK191" s="49">
        <f>SUM(AU191:BJ191)-(45*9)</f>
        <v>28</v>
      </c>
      <c r="BL191" s="49">
        <f>SUM(AV191:BK191)-(45*9)</f>
        <v>45</v>
      </c>
      <c r="BM191" s="49">
        <f>SUM(AW191:BL191)-(45*10)</f>
        <v>6</v>
      </c>
      <c r="BN191" s="49">
        <f>SUM(AX191:BM191)-(45*9)</f>
        <v>15</v>
      </c>
      <c r="BO191" s="49">
        <f>SUM(AY191:BN191)-(45*9)</f>
        <v>23</v>
      </c>
      <c r="BP191" s="49">
        <f>SUM(AZ191:BO191)-(45*9)</f>
        <v>41</v>
      </c>
      <c r="BQ191" s="49">
        <f>SUM(BA191:BP191)-(45*10)</f>
        <v>12</v>
      </c>
      <c r="BR191" s="49">
        <f>SUM(BB191:BQ191)-(45*10)</f>
        <v>17</v>
      </c>
      <c r="BS191" s="49">
        <f>SUM(BC191:BR191)-(45*9)</f>
        <v>39</v>
      </c>
      <c r="BT191" s="49">
        <f>SUM(BD191:BS191)-(45*10)</f>
        <v>4</v>
      </c>
      <c r="BU191" s="49">
        <f>SUM(BE191:BT191)-(45*9)</f>
        <v>28</v>
      </c>
      <c r="BV191" s="49">
        <f>SUM(BF191:BU191)-(45*9)</f>
        <v>14</v>
      </c>
      <c r="BX191" s="332"/>
      <c r="CE191" s="334"/>
    </row>
    <row r="192" spans="2:83" s="338" customFormat="1" ht="17.25">
      <c r="B192" s="341"/>
      <c r="C192" s="44">
        <v>661</v>
      </c>
      <c r="D192" s="108" t="s">
        <v>463</v>
      </c>
      <c r="E192" s="48">
        <v>1</v>
      </c>
      <c r="F192" s="63">
        <v>9</v>
      </c>
      <c r="G192" s="63">
        <v>1</v>
      </c>
      <c r="H192" s="48">
        <f>SUM(E192:F192)-(45*0)</f>
        <v>10</v>
      </c>
      <c r="I192" s="48">
        <v>13</v>
      </c>
      <c r="J192" s="49">
        <f>SUM(E192:I192)-(45*0)</f>
        <v>34</v>
      </c>
      <c r="K192" s="49">
        <f>SUM(E192:J192)-(45*1)</f>
        <v>23</v>
      </c>
      <c r="L192" s="49">
        <f>SUM(E192:K192)-(45*2)</f>
        <v>1</v>
      </c>
      <c r="M192" s="49">
        <f>SUM(E192:L192)-(45*2)</f>
        <v>2</v>
      </c>
      <c r="N192" s="49">
        <f>SUM(E192:M192)-(45*2)</f>
        <v>4</v>
      </c>
      <c r="O192" s="49">
        <f>SUM(E192:N192)-(45*2)</f>
        <v>8</v>
      </c>
      <c r="P192" s="49">
        <f>SUM(E192:O192)-(45*2)</f>
        <v>16</v>
      </c>
      <c r="Q192" s="49">
        <f>SUM(F192:P192)-(45*2)</f>
        <v>31</v>
      </c>
      <c r="R192" s="49">
        <f t="shared" ref="R192:X192" si="1878">SUM(G192:Q192)-(45*3)</f>
        <v>8</v>
      </c>
      <c r="S192" s="49">
        <f t="shared" si="1878"/>
        <v>15</v>
      </c>
      <c r="T192" s="49">
        <f t="shared" si="1878"/>
        <v>20</v>
      </c>
      <c r="U192" s="49">
        <f t="shared" si="1878"/>
        <v>27</v>
      </c>
      <c r="V192" s="49">
        <f t="shared" si="1878"/>
        <v>20</v>
      </c>
      <c r="W192" s="49">
        <f t="shared" si="1878"/>
        <v>17</v>
      </c>
      <c r="X192" s="49">
        <f t="shared" si="1878"/>
        <v>33</v>
      </c>
      <c r="Y192" s="49">
        <f>SUM(N192:X192)-(45*4)</f>
        <v>19</v>
      </c>
      <c r="Z192" s="49">
        <f>SUM(O192:Y192)-(45*4)</f>
        <v>34</v>
      </c>
      <c r="AA192" s="49">
        <f t="shared" si="1877"/>
        <v>15</v>
      </c>
      <c r="AB192" s="49">
        <f>SUM(Q192:AA192)-(45*5)</f>
        <v>14</v>
      </c>
      <c r="AC192" s="49">
        <f>SUM(M192:AB192)-(45*6)</f>
        <v>13</v>
      </c>
      <c r="AD192" s="49">
        <f>SUM(N192:AC192)-(45*6)</f>
        <v>24</v>
      </c>
      <c r="AE192" s="49">
        <f>SUM(O192:AD192)-(45*6)</f>
        <v>44</v>
      </c>
      <c r="AF192" s="49">
        <f>SUM(P192:AE192)-(45*7)</f>
        <v>35</v>
      </c>
      <c r="AG192" s="49">
        <f>SUM(Q192:AF192)-(45*8)</f>
        <v>9</v>
      </c>
      <c r="AH192" s="49">
        <f>SUM(R192:AG192)-(45*7)</f>
        <v>32</v>
      </c>
      <c r="AI192" s="49">
        <f>SUM(S192:AH192)-(45*8)</f>
        <v>11</v>
      </c>
      <c r="AJ192" s="49">
        <f>SUM(T192:AI192)-(45*8)</f>
        <v>7</v>
      </c>
      <c r="AK192" s="49">
        <f>SUM(U192:AJ192)-(45*7)</f>
        <v>39</v>
      </c>
      <c r="AL192" s="49">
        <f>SUM(V192:AK192)-(45*8)</f>
        <v>6</v>
      </c>
      <c r="AM192" s="49">
        <f>SUM(W192:AL192)-(45*7)</f>
        <v>37</v>
      </c>
      <c r="AN192" s="49">
        <f>SUM(X192:AM192)-(45*8)</f>
        <v>12</v>
      </c>
      <c r="AO192" s="49">
        <f>SUM(Y192:AN192)-(45*7)</f>
        <v>36</v>
      </c>
      <c r="AP192" s="49">
        <f>SUM(Z192:AO192)-(45*8)</f>
        <v>8</v>
      </c>
      <c r="AQ192" s="49">
        <f>SUM(AA192:AP192)-(45*7)</f>
        <v>27</v>
      </c>
      <c r="AR192" s="49">
        <f>SUM(AB192:AQ192)-(45*7)</f>
        <v>39</v>
      </c>
      <c r="AS192" s="49">
        <f>SUM(AC192:AR192)-(45*8)</f>
        <v>19</v>
      </c>
      <c r="AT192" s="49">
        <f>SUM(AD192:AS192)-(45*8)</f>
        <v>25</v>
      </c>
      <c r="AU192" s="49">
        <f>SUM(AE192:AT192)-(45*8)</f>
        <v>26</v>
      </c>
      <c r="AV192" s="49">
        <f>SUM(AF192:AU192)-(45*8)</f>
        <v>8</v>
      </c>
      <c r="AW192" s="49">
        <f t="shared" ref="AW192:AX194" si="1879">SUM(AG192:AV192)-(45*7)</f>
        <v>26</v>
      </c>
      <c r="AX192" s="49">
        <f t="shared" si="1879"/>
        <v>43</v>
      </c>
      <c r="AY192" s="49">
        <f>SUM(AI192:AX192)-(45*8)</f>
        <v>9</v>
      </c>
      <c r="AZ192" s="49">
        <f>SUM(AJ192:AY192)-(45*8)</f>
        <v>7</v>
      </c>
      <c r="BA192" s="49">
        <f>SUM(AK192:AZ192)-(45*8)</f>
        <v>7</v>
      </c>
      <c r="BB192" s="49">
        <f>SUM(AL192:BA192)-(45*7)</f>
        <v>20</v>
      </c>
      <c r="BC192" s="49">
        <f>SUM(AM192:BB192)-(45*7)</f>
        <v>34</v>
      </c>
      <c r="BD192" s="49">
        <f>SUM(AN192:BC192)-(45*7)</f>
        <v>31</v>
      </c>
      <c r="BE192" s="49">
        <f>SUM(AO192:BD192)-(45*8)</f>
        <v>5</v>
      </c>
      <c r="BF192" s="49">
        <f t="shared" ref="BF192:BK192" si="1880">SUM(AP192:BE192)-(45*7)</f>
        <v>19</v>
      </c>
      <c r="BG192" s="49">
        <f t="shared" si="1880"/>
        <v>30</v>
      </c>
      <c r="BH192" s="49">
        <f t="shared" si="1880"/>
        <v>33</v>
      </c>
      <c r="BI192" s="49">
        <f t="shared" si="1880"/>
        <v>27</v>
      </c>
      <c r="BJ192" s="49">
        <f t="shared" si="1880"/>
        <v>35</v>
      </c>
      <c r="BK192" s="49">
        <f t="shared" si="1880"/>
        <v>45</v>
      </c>
      <c r="BL192" s="49">
        <f>SUM(AV192:BK192)-(45*8)</f>
        <v>19</v>
      </c>
      <c r="BM192" s="49">
        <f>SUM(AW192:BL192)-(45*8)</f>
        <v>30</v>
      </c>
      <c r="BN192" s="49">
        <f>SUM(AX192:BM192)-(45*8)</f>
        <v>34</v>
      </c>
      <c r="BO192" s="49">
        <f>SUM(AY192:BN192)-(45*8)</f>
        <v>25</v>
      </c>
      <c r="BP192" s="49">
        <f>SUM(AZ192:BO192)-(45*8)</f>
        <v>41</v>
      </c>
      <c r="BQ192" s="49">
        <f>SUM(BA192:BP192)-(45*9)</f>
        <v>30</v>
      </c>
      <c r="BR192" s="49">
        <f>SUM(BB192:BQ192)-(45*10)</f>
        <v>8</v>
      </c>
      <c r="BS192" s="49">
        <f>SUM(BC192:BR192)-(45*9)</f>
        <v>41</v>
      </c>
      <c r="BT192" s="49">
        <f>SUM(BD192:BS192)-(45*10)</f>
        <v>3</v>
      </c>
      <c r="BU192" s="49">
        <f>SUM(BE192:BT192)-(45*9)</f>
        <v>20</v>
      </c>
      <c r="BV192" s="49">
        <f>SUM(BF192:BU192)-(45*9)</f>
        <v>35</v>
      </c>
      <c r="BX192" s="332"/>
      <c r="CE192" s="334"/>
    </row>
    <row r="193" spans="2:83" s="338" customFormat="1" ht="17.25">
      <c r="B193" s="342"/>
      <c r="C193" s="44">
        <v>662</v>
      </c>
      <c r="D193" s="108" t="s">
        <v>464</v>
      </c>
      <c r="E193" s="48">
        <v>8</v>
      </c>
      <c r="F193" s="63">
        <v>16</v>
      </c>
      <c r="G193" s="63">
        <v>2</v>
      </c>
      <c r="H193" s="48">
        <f>SUM(E193:F193)-(45*0)</f>
        <v>24</v>
      </c>
      <c r="I193" s="48">
        <v>14</v>
      </c>
      <c r="J193" s="49">
        <f>SUM(E193:I193)-(45*1)</f>
        <v>19</v>
      </c>
      <c r="K193" s="49">
        <f>SUM(E193:J193)-(45*1)</f>
        <v>38</v>
      </c>
      <c r="L193" s="49">
        <f>SUM(E193:K193)-(45*2)</f>
        <v>31</v>
      </c>
      <c r="M193" s="49">
        <f>SUM(E193:L193)-(45*3)</f>
        <v>17</v>
      </c>
      <c r="N193" s="49">
        <f>SUM(E193:M193)-(45*3)</f>
        <v>34</v>
      </c>
      <c r="O193" s="49">
        <f>SUM(E193:N193)-(45*4)</f>
        <v>23</v>
      </c>
      <c r="P193" s="49">
        <f>SUM(E193:O193)-(45*5)</f>
        <v>1</v>
      </c>
      <c r="Q193" s="49">
        <f>SUM(F193:P193)-(45*4)</f>
        <v>39</v>
      </c>
      <c r="R193" s="49">
        <f>SUM(G193:Q193)-(45*5)</f>
        <v>17</v>
      </c>
      <c r="S193" s="49">
        <f>SUM(H193:R193)-(45*5)</f>
        <v>32</v>
      </c>
      <c r="T193" s="49">
        <f>SUM(I193:S193)-(45*5)</f>
        <v>40</v>
      </c>
      <c r="U193" s="49">
        <f>SUM(J193:T193)-(45*6)</f>
        <v>21</v>
      </c>
      <c r="V193" s="49">
        <f>SUM(K193:U193)-(45*6)</f>
        <v>23</v>
      </c>
      <c r="W193" s="49">
        <f>SUM(L193:V193)-(45*6)</f>
        <v>8</v>
      </c>
      <c r="X193" s="49">
        <f>SUM(M193:W193)-(45*5)</f>
        <v>30</v>
      </c>
      <c r="Y193" s="49">
        <f>SUM(N193:X193)-(45*5)</f>
        <v>43</v>
      </c>
      <c r="Z193" s="49">
        <f>SUM(O193:Y193)-(45*6)</f>
        <v>7</v>
      </c>
      <c r="AA193" s="49">
        <f t="shared" si="1877"/>
        <v>36</v>
      </c>
      <c r="AB193" s="49">
        <f>SUM(Q193:AA193)-(45*6)</f>
        <v>26</v>
      </c>
      <c r="AC193" s="49">
        <f>SUM(M193:AB193)-(45*8)</f>
        <v>37</v>
      </c>
      <c r="AD193" s="49">
        <f>SUM(N193:AC193)-(45*9)</f>
        <v>12</v>
      </c>
      <c r="AE193" s="49">
        <f>SUM(O193:AD193)-(45*8)</f>
        <v>35</v>
      </c>
      <c r="AF193" s="49">
        <f>SUM(P193:AE193)-(45*9)</f>
        <v>2</v>
      </c>
      <c r="AG193" s="49">
        <f>SUM(Q193:AF193)-(45*9)</f>
        <v>3</v>
      </c>
      <c r="AH193" s="49">
        <f>SUM(R193:AG193)-(45*8)</f>
        <v>12</v>
      </c>
      <c r="AI193" s="49">
        <f>SUM(S193:AH193)-(45*8)</f>
        <v>7</v>
      </c>
      <c r="AJ193" s="49">
        <f>SUM(T193:AI193)-(45*7)</f>
        <v>27</v>
      </c>
      <c r="AK193" s="49">
        <f>SUM(U193:AJ193)-(45*7)</f>
        <v>14</v>
      </c>
      <c r="AL193" s="49">
        <f>SUM(V193:AK193)-(45*7)</f>
        <v>7</v>
      </c>
      <c r="AM193" s="49">
        <f>SUM(W193:AL193)-(45*6)</f>
        <v>36</v>
      </c>
      <c r="AN193" s="49">
        <f>SUM(X193:AM193)-(45*7)</f>
        <v>19</v>
      </c>
      <c r="AO193" s="49">
        <f>SUM(Y193:AN193)-(45*7)</f>
        <v>8</v>
      </c>
      <c r="AP193" s="49">
        <f>SUM(Z193:AO193)-(45*6)</f>
        <v>18</v>
      </c>
      <c r="AQ193" s="49">
        <f>SUM(AA193:AP193)-(45*6)</f>
        <v>29</v>
      </c>
      <c r="AR193" s="49">
        <f>SUM(AB193:AQ193)-(45*6)</f>
        <v>22</v>
      </c>
      <c r="AS193" s="49">
        <f>SUM(AC193:AR193)-(45*6)</f>
        <v>18</v>
      </c>
      <c r="AT193" s="49">
        <f>SUM(AD193:AS193)-(45*5)</f>
        <v>44</v>
      </c>
      <c r="AU193" s="49">
        <f>SUM(AE193:AT193)-(45*6)</f>
        <v>31</v>
      </c>
      <c r="AV193" s="49">
        <f>SUM(AF193:AU193)-(45*6)</f>
        <v>27</v>
      </c>
      <c r="AW193" s="49">
        <f t="shared" si="1879"/>
        <v>7</v>
      </c>
      <c r="AX193" s="49">
        <f t="shared" si="1879"/>
        <v>11</v>
      </c>
      <c r="AY193" s="49">
        <f>SUM(AI193:AX193)-(45*7)</f>
        <v>10</v>
      </c>
      <c r="AZ193" s="49">
        <f>SUM(AJ193:AY193)-(45*7)</f>
        <v>13</v>
      </c>
      <c r="BA193" s="49">
        <f>SUM(AK193:AZ193)-(45*6)</f>
        <v>44</v>
      </c>
      <c r="BB193" s="49">
        <f>SUM(AL193:BA193)-(45*7)</f>
        <v>29</v>
      </c>
      <c r="BC193" s="49">
        <f>SUM(AM193:BB193)-(45*8)</f>
        <v>6</v>
      </c>
      <c r="BD193" s="49">
        <f>SUM(AN193:BC193)-(45*7)</f>
        <v>21</v>
      </c>
      <c r="BE193" s="49">
        <f>SUM(AO193:BD193)-(45*7)</f>
        <v>23</v>
      </c>
      <c r="BF193" s="49">
        <f>SUM(AP193:BE193)-(45*7)</f>
        <v>38</v>
      </c>
      <c r="BG193" s="49">
        <f>SUM(AQ193:BF193)-(45*8)</f>
        <v>13</v>
      </c>
      <c r="BH193" s="49">
        <f>SUM(AR193:BG193)-(45*7)</f>
        <v>42</v>
      </c>
      <c r="BI193" s="49">
        <f>SUM(AS193:BH193)-(45*8)</f>
        <v>17</v>
      </c>
      <c r="BJ193" s="49">
        <f>SUM(AT193:BI193)-(45*8)</f>
        <v>16</v>
      </c>
      <c r="BK193" s="49">
        <f>SUM(AU193:BJ193)-(45*7)</f>
        <v>33</v>
      </c>
      <c r="BL193" s="49">
        <f>SUM(AV193:BK193)-(45*7)</f>
        <v>35</v>
      </c>
      <c r="BM193" s="49">
        <f>SUM(AW193:BL193)-(45*7)</f>
        <v>43</v>
      </c>
      <c r="BN193" s="49">
        <f>SUM(AX193:BM193)-(45*8)</f>
        <v>34</v>
      </c>
      <c r="BO193" s="49">
        <f>SUM(AY193:BN193)-(45*9)</f>
        <v>12</v>
      </c>
      <c r="BP193" s="49">
        <f>SUM(AZ193:BO193)-(45*9)</f>
        <v>14</v>
      </c>
      <c r="BQ193" s="49">
        <f>SUM(BA193:BP193)-(45*9)</f>
        <v>15</v>
      </c>
      <c r="BR193" s="49">
        <f>SUM(BB193:BQ193)-(45*8)</f>
        <v>31</v>
      </c>
      <c r="BS193" s="49">
        <f>SUM(BC193:BR193)-(45*8)</f>
        <v>33</v>
      </c>
      <c r="BT193" s="49">
        <f>SUM(BD193:BS193)-(45*9)</f>
        <v>15</v>
      </c>
      <c r="BU193" s="49">
        <f>SUM(BE193:BT193)-(45*9)</f>
        <v>9</v>
      </c>
      <c r="BV193" s="49">
        <f>SUM(BF193:BU193)-(45*8)</f>
        <v>40</v>
      </c>
      <c r="BX193" s="332"/>
      <c r="CE193" s="334"/>
    </row>
    <row r="194" spans="2:83" s="338" customFormat="1" ht="17.25">
      <c r="B194" s="343"/>
      <c r="C194" s="44">
        <v>663</v>
      </c>
      <c r="D194" s="108" t="s">
        <v>466</v>
      </c>
      <c r="E194" s="48">
        <v>15</v>
      </c>
      <c r="F194" s="63">
        <v>23</v>
      </c>
      <c r="G194" s="63">
        <v>3</v>
      </c>
      <c r="H194" s="48">
        <f>SUM(E194:F194)-(45*0)</f>
        <v>38</v>
      </c>
      <c r="I194" s="48">
        <v>15</v>
      </c>
      <c r="J194" s="49">
        <f>SUM(E194:I194)-(45*2)</f>
        <v>4</v>
      </c>
      <c r="K194" s="49">
        <f>SUM(E194:J194)-(45*2)</f>
        <v>8</v>
      </c>
      <c r="L194" s="49">
        <f>SUM(E194:K194)-(45*2)</f>
        <v>16</v>
      </c>
      <c r="M194" s="49">
        <f>SUM(E194:L194)-(45*2)</f>
        <v>32</v>
      </c>
      <c r="N194" s="49">
        <f>SUM(E194:M194)-(45*3)</f>
        <v>19</v>
      </c>
      <c r="O194" s="49">
        <f>SUM(E194:N194)-(45*3)</f>
        <v>38</v>
      </c>
      <c r="P194" s="49">
        <f>SUM(E194:O194)-(45*4)</f>
        <v>31</v>
      </c>
      <c r="Q194" s="49">
        <f>SUM(F194:P194)-(45*5)</f>
        <v>2</v>
      </c>
      <c r="R194" s="49">
        <f>SUM(G194:Q194)-(45*4)</f>
        <v>26</v>
      </c>
      <c r="S194" s="49">
        <f>SUM(H194:R194)-(45*5)</f>
        <v>4</v>
      </c>
      <c r="T194" s="49">
        <f>SUM(I194:S194)-(45*4)</f>
        <v>15</v>
      </c>
      <c r="U194" s="49">
        <f>SUM(J194:T194)-(45*4)</f>
        <v>15</v>
      </c>
      <c r="V194" s="49">
        <f>SUM(K194:U194)-(45*4)</f>
        <v>26</v>
      </c>
      <c r="W194" s="49">
        <f>SUM(L194:V194)-(45*4)</f>
        <v>44</v>
      </c>
      <c r="X194" s="49">
        <f>SUM(M194:W194)-(45*5)</f>
        <v>27</v>
      </c>
      <c r="Y194" s="49">
        <f>SUM(N194:X194)-(45*5)</f>
        <v>22</v>
      </c>
      <c r="Z194" s="49">
        <f>SUM(O194:Y194)-(45*5)</f>
        <v>25</v>
      </c>
      <c r="AA194" s="49">
        <f t="shared" si="1877"/>
        <v>12</v>
      </c>
      <c r="AB194" s="49">
        <f>SUM(Q194:AA194)-(45*4)</f>
        <v>38</v>
      </c>
      <c r="AC194" s="49">
        <f>SUM(M194:AB194)-(45*8)</f>
        <v>16</v>
      </c>
      <c r="AD194" s="49">
        <f>SUM(N194:AC194)-(45*7)</f>
        <v>45</v>
      </c>
      <c r="AE194" s="49">
        <f>SUM(O194:AD194)-(45*8)</f>
        <v>26</v>
      </c>
      <c r="AF194" s="49">
        <f>SUM(P194:AE194)-(45*8)</f>
        <v>14</v>
      </c>
      <c r="AG194" s="49">
        <f>SUM(Q194:AF194)-(45*7)</f>
        <v>42</v>
      </c>
      <c r="AH194" s="49">
        <f>SUM(R194:AG194)-(45*8)</f>
        <v>37</v>
      </c>
      <c r="AI194" s="49">
        <f>SUM(S194:AH194)-(45*9)</f>
        <v>3</v>
      </c>
      <c r="AJ194" s="49">
        <f>SUM(T194:AI194)-(45*9)</f>
        <v>2</v>
      </c>
      <c r="AK194" s="49">
        <f>SUM(U194:AJ194)-(45*8)</f>
        <v>34</v>
      </c>
      <c r="AL194" s="49">
        <f>SUM(V194:AK194)-(45*9)</f>
        <v>8</v>
      </c>
      <c r="AM194" s="49">
        <f>SUM(W194:AL194)-(45*8)</f>
        <v>35</v>
      </c>
      <c r="AN194" s="49">
        <f>SUM(X194:AM194)-(45*8)</f>
        <v>26</v>
      </c>
      <c r="AO194" s="49">
        <f>SUM(Y194:AN194)-(45*8)</f>
        <v>25</v>
      </c>
      <c r="AP194" s="49">
        <f>SUM(Z194:AO194)-(45*8)</f>
        <v>28</v>
      </c>
      <c r="AQ194" s="49">
        <f>SUM(AA194:AP194)-(45*8)</f>
        <v>31</v>
      </c>
      <c r="AR194" s="49">
        <f>SUM(AB194:AQ194)-(45*9)</f>
        <v>5</v>
      </c>
      <c r="AS194" s="49">
        <f>SUM(AC194:AR194)-(45*8)</f>
        <v>17</v>
      </c>
      <c r="AT194" s="49">
        <f>SUM(AD194:AS194)-(45*8)</f>
        <v>18</v>
      </c>
      <c r="AU194" s="49">
        <f>SUM(AE194:AT194)-(45*7)</f>
        <v>36</v>
      </c>
      <c r="AV194" s="49">
        <f>SUM(AF194:AU194)-(45*8)</f>
        <v>1</v>
      </c>
      <c r="AW194" s="49">
        <f t="shared" si="1879"/>
        <v>33</v>
      </c>
      <c r="AX194" s="49">
        <f t="shared" si="1879"/>
        <v>24</v>
      </c>
      <c r="AY194" s="49">
        <f>SUM(AI194:AX194)-(45*7)</f>
        <v>11</v>
      </c>
      <c r="AZ194" s="49">
        <f>SUM(AJ194:AY194)-(45*7)</f>
        <v>19</v>
      </c>
      <c r="BA194" s="49">
        <f>SUM(AK194:AZ194)-(45*7)</f>
        <v>36</v>
      </c>
      <c r="BB194" s="49">
        <f>SUM(AL194:BA194)-(45*7)</f>
        <v>38</v>
      </c>
      <c r="BC194" s="49">
        <f>SUM(AM194:BB194)-(45*8)</f>
        <v>23</v>
      </c>
      <c r="BD194" s="49">
        <f>SUM(AN194:BC194)-(45*8)</f>
        <v>11</v>
      </c>
      <c r="BE194" s="49">
        <f>SUM(AO194:BD194)-(45*7)</f>
        <v>41</v>
      </c>
      <c r="BF194" s="49">
        <f>SUM(AP194:BE194)-(45*8)</f>
        <v>12</v>
      </c>
      <c r="BG194" s="49">
        <f t="shared" ref="BG194" si="1881">SUM(AQ194:BF194)-(45*7)</f>
        <v>41</v>
      </c>
      <c r="BH194" s="49">
        <f>SUM(AR194:BG194)-(45*8)</f>
        <v>6</v>
      </c>
      <c r="BI194" s="49">
        <f>SUM(AS194:BH194)-(45*8)</f>
        <v>7</v>
      </c>
      <c r="BJ194" s="49">
        <f t="shared" ref="BJ194" si="1882">SUM(AT194:BI194)-(45*7)</f>
        <v>42</v>
      </c>
      <c r="BK194" s="49">
        <f>SUM(AU194:BJ194)-(45*8)</f>
        <v>21</v>
      </c>
      <c r="BL194" s="49">
        <f>SUM(AV194:BK194)-(45*8)</f>
        <v>6</v>
      </c>
      <c r="BM194" s="49">
        <f>SUM(AW194:BL194)-(45*8)</f>
        <v>11</v>
      </c>
      <c r="BN194" s="49">
        <f>SUM(AX194:BM194)-(45*7)</f>
        <v>34</v>
      </c>
      <c r="BO194" s="49">
        <f>SUM(AY194:BN194)-(45*7)</f>
        <v>44</v>
      </c>
      <c r="BP194" s="49">
        <f>SUM(AZ194:BO194)-(45*8)</f>
        <v>32</v>
      </c>
      <c r="BQ194" s="49">
        <f>SUM(BA194:BP194)-(45*8)</f>
        <v>45</v>
      </c>
      <c r="BR194" s="49">
        <f>SUM(BB194:BQ194)-(45*9)</f>
        <v>9</v>
      </c>
      <c r="BS194" s="49">
        <f>SUM(BC194:BR194)-(45*8)</f>
        <v>25</v>
      </c>
      <c r="BT194" s="49">
        <f>SUM(BD194:BS194)-(45*8)</f>
        <v>27</v>
      </c>
      <c r="BU194" s="49">
        <f>SUM(BE194:BT194)-(45*8)</f>
        <v>43</v>
      </c>
      <c r="BV194" s="49">
        <f>SUM(BF194:BU194)-(45*8)</f>
        <v>45</v>
      </c>
      <c r="BX194" s="332"/>
      <c r="CE194" s="334"/>
    </row>
    <row r="195" spans="2:83" s="338" customFormat="1" ht="17.25">
      <c r="B195" s="344"/>
      <c r="C195" s="44">
        <v>664</v>
      </c>
      <c r="D195" s="108" t="s">
        <v>468</v>
      </c>
      <c r="E195" s="48">
        <v>22</v>
      </c>
      <c r="F195" s="63">
        <v>30</v>
      </c>
      <c r="G195" s="63">
        <v>4</v>
      </c>
      <c r="H195" s="48">
        <f>SUM(E195:F195)-(45*1)</f>
        <v>7</v>
      </c>
      <c r="I195" s="48">
        <v>16</v>
      </c>
      <c r="J195" s="49">
        <f>SUM(E195:I195)-(45*1)</f>
        <v>34</v>
      </c>
      <c r="K195" s="49">
        <f>SUM(E195:J195)-(45*2)</f>
        <v>23</v>
      </c>
      <c r="L195" s="49">
        <f>SUM(E195:K195)-(45*3)</f>
        <v>1</v>
      </c>
      <c r="M195" s="49">
        <f>SUM(E195:L195)-(45*3)</f>
        <v>2</v>
      </c>
      <c r="N195" s="49">
        <f>SUM(E195:M195)-(45*3)</f>
        <v>4</v>
      </c>
      <c r="O195" s="49">
        <f>SUM(E195:N195)-(45*3)</f>
        <v>8</v>
      </c>
      <c r="P195" s="49">
        <f>SUM(E195:O195)-(45*3)</f>
        <v>16</v>
      </c>
      <c r="Q195" s="49">
        <f>SUM(F195:P195)-(45*3)</f>
        <v>10</v>
      </c>
      <c r="R195" s="49">
        <f>SUM(G195:Q195)-(45*2)</f>
        <v>35</v>
      </c>
      <c r="S195" s="49">
        <f>SUM(H195:R195)-(45*3)</f>
        <v>21</v>
      </c>
      <c r="T195" s="49">
        <f>SUM(I195:S195)-(45*3)</f>
        <v>35</v>
      </c>
      <c r="U195" s="49">
        <f>SUM(J195:T195)-(45*4)</f>
        <v>9</v>
      </c>
      <c r="V195" s="49">
        <f>SUM(K195:U195)-(45*3)</f>
        <v>29</v>
      </c>
      <c r="W195" s="49">
        <f>SUM(L195:V195)-(45*3)</f>
        <v>35</v>
      </c>
      <c r="X195" s="49">
        <f>SUM(M195:W195)-(45*4)</f>
        <v>24</v>
      </c>
      <c r="Y195" s="49">
        <f>SUM(N195:X195)-(45*5)</f>
        <v>1</v>
      </c>
      <c r="Z195" s="49">
        <f>SUM(O195:Y195)-(45*4)</f>
        <v>43</v>
      </c>
      <c r="AA195" s="49">
        <f t="shared" si="1877"/>
        <v>33</v>
      </c>
      <c r="AB195" s="49">
        <f>SUM(Q195:AA195)-(45*6)</f>
        <v>5</v>
      </c>
      <c r="AC195" s="49">
        <f>SUM(M195:AB195)-(45*6)</f>
        <v>40</v>
      </c>
      <c r="AD195" s="49">
        <f>SUM(N195:AC195)-(45*7)</f>
        <v>33</v>
      </c>
      <c r="AE195" s="49">
        <f>SUM(O195:AD195)-(45*8)</f>
        <v>17</v>
      </c>
      <c r="AF195" s="49">
        <f>SUM(P195:AE195)-(45*8)</f>
        <v>26</v>
      </c>
      <c r="AG195" s="49">
        <f>SUM(Q195:AF195)-(45*8)</f>
        <v>36</v>
      </c>
      <c r="AH195" s="49">
        <f>SUM(R195:AG195)-(45*9)</f>
        <v>17</v>
      </c>
      <c r="AI195" s="49">
        <f>SUM(S195:AH195)-(45*8)</f>
        <v>44</v>
      </c>
      <c r="AJ195" s="49">
        <f>SUM(T195:AI195)-(45*9)</f>
        <v>22</v>
      </c>
      <c r="AK195" s="49">
        <f>SUM(U195:AJ195)-(45*9)</f>
        <v>9</v>
      </c>
      <c r="AL195" s="49">
        <f>SUM(V195:AK195)-(45*9)</f>
        <v>9</v>
      </c>
      <c r="AM195" s="49">
        <f>SUM(W195:AL195)-(45*8)</f>
        <v>34</v>
      </c>
      <c r="AN195" s="49">
        <f>SUM(X195:AM195)-(45*8)</f>
        <v>33</v>
      </c>
      <c r="AO195" s="49">
        <f>SUM(Y195:AN195)-(45*8)</f>
        <v>42</v>
      </c>
      <c r="AP195" s="49">
        <f>SUM(Z195:AO195)-(45*9)</f>
        <v>38</v>
      </c>
      <c r="AQ195" s="49">
        <f>SUM(AA195:AP195)-(45*9)</f>
        <v>33</v>
      </c>
      <c r="AR195" s="49">
        <f>SUM(AB195:AQ195)-(45*9)</f>
        <v>33</v>
      </c>
      <c r="AS195" s="49">
        <f>SUM(AC195:AR195)-(45*10)</f>
        <v>16</v>
      </c>
      <c r="AT195" s="49">
        <f>SUM(AD195:AS195)-(45*9)</f>
        <v>37</v>
      </c>
      <c r="AU195" s="49">
        <f>SUM(AE195:AT195)-(45*9)</f>
        <v>41</v>
      </c>
      <c r="AV195" s="49">
        <f>SUM(AF195:AU195)-(45*10)</f>
        <v>20</v>
      </c>
      <c r="AW195" s="49">
        <f>SUM(AG195:AV195)-(45*10)</f>
        <v>14</v>
      </c>
      <c r="AX195" s="49">
        <f>SUM(AH195:AW195)-(45*9)</f>
        <v>37</v>
      </c>
      <c r="AY195" s="49">
        <f>SUM(AI195:AX195)-(45*10)</f>
        <v>12</v>
      </c>
      <c r="AZ195" s="49">
        <f>SUM(AJ195:AY195)-(45*9)</f>
        <v>25</v>
      </c>
      <c r="BA195" s="49">
        <f>SUM(AK195:AZ195)-(45*9)</f>
        <v>28</v>
      </c>
      <c r="BB195" s="49">
        <f>SUM(AL195:BA195)-(45*10)</f>
        <v>2</v>
      </c>
      <c r="BC195" s="49">
        <f>SUM(AM195:BB195)-(45*9)</f>
        <v>40</v>
      </c>
      <c r="BD195" s="49">
        <f>SUM(AN195:BC195)-(45*10)</f>
        <v>1</v>
      </c>
      <c r="BE195" s="49">
        <f>SUM(AO195:BD195)-(45*9)</f>
        <v>14</v>
      </c>
      <c r="BF195" s="49">
        <f>SUM(AP195:BE195)-(45*8)</f>
        <v>31</v>
      </c>
      <c r="BG195" s="49">
        <f>SUM(AQ195:BF195)-(45*8)</f>
        <v>24</v>
      </c>
      <c r="BH195" s="49">
        <f>SUM(AR195:BG195)-(45*8)</f>
        <v>15</v>
      </c>
      <c r="BI195" s="49">
        <f>SUM(AS195:BH195)-(45*7)</f>
        <v>42</v>
      </c>
      <c r="BJ195" s="49">
        <f>SUM(AT195:BI195)-(45*8)</f>
        <v>23</v>
      </c>
      <c r="BK195" s="49">
        <f>SUM(AU195:BJ195)-(45*8)</f>
        <v>9</v>
      </c>
      <c r="BL195" s="49">
        <f>SUM(AV195:BK195)-(45*7)</f>
        <v>22</v>
      </c>
      <c r="BM195" s="49">
        <f>SUM(AW195:BL195)-(45*7)</f>
        <v>24</v>
      </c>
      <c r="BN195" s="49">
        <f>SUM(AX195:BM195)-(45*7)</f>
        <v>34</v>
      </c>
      <c r="BO195" s="49">
        <f>SUM(AY195:BN195)-(45*7)</f>
        <v>31</v>
      </c>
      <c r="BP195" s="49">
        <f>SUM(AZ195:BO195)-(45*8)</f>
        <v>5</v>
      </c>
      <c r="BQ195" s="49">
        <f>SUM(BA195:BP195)-(45*7)</f>
        <v>30</v>
      </c>
      <c r="BR195" s="49">
        <f>SUM(BB195:BQ195)-(45*7)</f>
        <v>32</v>
      </c>
      <c r="BS195" s="49">
        <f>SUM(BC195:BR195)-(45*8)</f>
        <v>17</v>
      </c>
      <c r="BT195" s="49">
        <f>SUM(BD195:BS195)-(45*7)</f>
        <v>39</v>
      </c>
      <c r="BU195" s="49">
        <f>SUM(BE195:BT195)-(45*8)</f>
        <v>32</v>
      </c>
      <c r="BV195" s="49">
        <f>SUM(BF195:BU195)-(45*9)</f>
        <v>5</v>
      </c>
      <c r="BX195" s="332"/>
      <c r="CE195" s="334"/>
    </row>
    <row r="196" spans="2:83" s="338" customFormat="1" ht="17.25">
      <c r="B196" s="346"/>
      <c r="C196" s="44">
        <v>665</v>
      </c>
      <c r="D196" s="108" t="s">
        <v>469</v>
      </c>
      <c r="E196" s="48">
        <v>29</v>
      </c>
      <c r="F196" s="63">
        <v>37</v>
      </c>
      <c r="G196" s="63">
        <v>5</v>
      </c>
      <c r="H196" s="48">
        <f>SUM(E196:F196)-(45*1)</f>
        <v>21</v>
      </c>
      <c r="I196" s="48">
        <v>17</v>
      </c>
      <c r="J196" s="49">
        <f>SUM(E196:I196)-(45*2)</f>
        <v>19</v>
      </c>
      <c r="K196" s="49">
        <f>SUM(E196:J196)-(45*2)</f>
        <v>38</v>
      </c>
      <c r="L196" s="49">
        <f>SUM(E196:K196)-(45*3)</f>
        <v>31</v>
      </c>
      <c r="M196" s="49">
        <f>SUM(E196:L196)-(45*4)</f>
        <v>17</v>
      </c>
      <c r="N196" s="49">
        <f>SUM(E196:M196)-(45*4)</f>
        <v>34</v>
      </c>
      <c r="O196" s="49">
        <f>SUM(E196:N196)-(45*5)</f>
        <v>23</v>
      </c>
      <c r="P196" s="49">
        <f>SUM(E196:O196)-(45*6)</f>
        <v>1</v>
      </c>
      <c r="Q196" s="49">
        <f>SUM(F196:P196)-(45*5)</f>
        <v>18</v>
      </c>
      <c r="R196" s="49">
        <f>SUM(G196:Q196)-(45*4)</f>
        <v>44</v>
      </c>
      <c r="S196" s="49">
        <f>SUM(H196:R196)-(45*5)</f>
        <v>38</v>
      </c>
      <c r="T196" s="49">
        <f>SUM(I196:S196)-(45*6)</f>
        <v>10</v>
      </c>
      <c r="U196" s="49">
        <f>SUM(J196:T196)-(45*6)</f>
        <v>3</v>
      </c>
      <c r="V196" s="49">
        <f>SUM(K196:U196)-(45*5)</f>
        <v>32</v>
      </c>
      <c r="W196" s="49">
        <f>SUM(L196:V196)-(45*5)</f>
        <v>26</v>
      </c>
      <c r="X196" s="49">
        <f>SUM(M196:W196)-(45*5)</f>
        <v>21</v>
      </c>
      <c r="Y196" s="49">
        <f>SUM(N196:X196)-(45*5)</f>
        <v>25</v>
      </c>
      <c r="Z196" s="49">
        <f>SUM(O196:Y196)-(45*5)</f>
        <v>16</v>
      </c>
      <c r="AA196" s="49">
        <f t="shared" si="1877"/>
        <v>9</v>
      </c>
      <c r="AB196" s="49">
        <f>SUM(Q196:AA196)-(45*5)</f>
        <v>17</v>
      </c>
      <c r="AC196" s="49">
        <f>SUM(M196:AB196)-(45*7)</f>
        <v>19</v>
      </c>
      <c r="AD196" s="49">
        <f>SUM(N196:AC196)-(45*7)</f>
        <v>21</v>
      </c>
      <c r="AE196" s="49">
        <f>SUM(O196:AD196)-(45*7)</f>
        <v>8</v>
      </c>
      <c r="AF196" s="49">
        <f>SUM(P196:AE196)-(45*6)</f>
        <v>38</v>
      </c>
      <c r="AG196" s="49">
        <f>SUM(Q196:AF196)-(45*7)</f>
        <v>30</v>
      </c>
      <c r="AH196" s="49">
        <f>SUM(R196:AG196)-(45*7)</f>
        <v>42</v>
      </c>
      <c r="AI196" s="49">
        <f>SUM(S196:AH196)-(45*7)</f>
        <v>40</v>
      </c>
      <c r="AJ196" s="49">
        <f>SUM(T196:AI196)-(45*7)</f>
        <v>42</v>
      </c>
      <c r="AK196" s="49">
        <f>SUM(U196:AJ196)-(45*8)</f>
        <v>29</v>
      </c>
      <c r="AL196" s="49">
        <f>SUM(V196:AK196)-(45*9)</f>
        <v>10</v>
      </c>
      <c r="AM196" s="49">
        <f>SUM(W196:AL196)-(45*8)</f>
        <v>33</v>
      </c>
      <c r="AN196" s="49">
        <f>SUM(X196:AM196)-(45*8)</f>
        <v>40</v>
      </c>
      <c r="AO196" s="49">
        <f>SUM(Y196:AN196)-(45*9)</f>
        <v>14</v>
      </c>
      <c r="AP196" s="49">
        <f>SUM(Z196:AO196)-(45*9)</f>
        <v>3</v>
      </c>
      <c r="AQ196" s="49">
        <f>SUM(AA196:AP196)-(45*8)</f>
        <v>35</v>
      </c>
      <c r="AR196" s="49">
        <f>SUM(AB196:AQ196)-(45*9)</f>
        <v>16</v>
      </c>
      <c r="AS196" s="49">
        <f>SUM(AC196:AR196)-(45*9)</f>
        <v>15</v>
      </c>
      <c r="AT196" s="49">
        <f>SUM(AD196:AS196)-(45*9)</f>
        <v>11</v>
      </c>
      <c r="AU196" s="49">
        <f>SUM(AE196:AT196)-(45*9)</f>
        <v>1</v>
      </c>
      <c r="AV196" s="49">
        <f>SUM(AF196:AU196)-(45*8)</f>
        <v>39</v>
      </c>
      <c r="AW196" s="49">
        <f>SUM(AG196:AV196)-(45*8)</f>
        <v>40</v>
      </c>
      <c r="AX196" s="49">
        <f>SUM(AH196:AW196)-(45*9)</f>
        <v>5</v>
      </c>
      <c r="AY196" s="49">
        <f>SUM(AI196:AX196)-(45*8)</f>
        <v>13</v>
      </c>
      <c r="AZ196" s="49">
        <f>SUM(AJ196:AY196)-(45*7)</f>
        <v>31</v>
      </c>
      <c r="BA196" s="49">
        <f>SUM(AK196:AZ196)-(45*7)</f>
        <v>20</v>
      </c>
      <c r="BB196" s="49">
        <f>SUM(AL196:BA196)-(45*7)</f>
        <v>11</v>
      </c>
      <c r="BC196" s="49">
        <f>SUM(AM196:BB196)-(45*7)</f>
        <v>12</v>
      </c>
      <c r="BD196" s="49">
        <f>SUM(AN196:BC196)-(45*6)</f>
        <v>36</v>
      </c>
      <c r="BE196" s="49">
        <f>SUM(AO196:BD196)-(45*6)</f>
        <v>32</v>
      </c>
      <c r="BF196" s="49">
        <f>SUM(AP196:BE196)-(45*7)</f>
        <v>5</v>
      </c>
      <c r="BG196" s="49">
        <f t="shared" ref="BG196" si="1883">SUM(AQ196:BF196)-(45*7)</f>
        <v>7</v>
      </c>
      <c r="BH196" s="49">
        <f>SUM(AR196:BG196)-(45*6)</f>
        <v>24</v>
      </c>
      <c r="BI196" s="49">
        <f>SUM(AS196:BH196)-(45*6)</f>
        <v>32</v>
      </c>
      <c r="BJ196" s="49">
        <f t="shared" ref="BJ196" si="1884">SUM(AT196:BI196)-(45*7)</f>
        <v>4</v>
      </c>
      <c r="BK196" s="49">
        <f>SUM(AU196:BJ196)-(45*6)</f>
        <v>42</v>
      </c>
      <c r="BL196" s="49">
        <f>SUM(AV196:BK196)-(45*7)</f>
        <v>38</v>
      </c>
      <c r="BM196" s="49">
        <f>SUM(AW196:BL196)-(45*7)</f>
        <v>37</v>
      </c>
      <c r="BN196" s="49">
        <f>SUM(AX196:BM196)-(45*7)</f>
        <v>34</v>
      </c>
      <c r="BO196" s="49">
        <f>SUM(AY196:BN196)-(45*8)</f>
        <v>18</v>
      </c>
      <c r="BP196" s="49">
        <f>SUM(AZ196:BO196)-(45*8)</f>
        <v>23</v>
      </c>
      <c r="BQ196" s="49">
        <f>SUM(BA196:BP196)-(45*8)</f>
        <v>15</v>
      </c>
      <c r="BR196" s="49">
        <f>SUM(BB196:BQ196)-(45*8)</f>
        <v>10</v>
      </c>
      <c r="BS196" s="49">
        <f>SUM(BC196:BR196)-(45*8)</f>
        <v>9</v>
      </c>
      <c r="BT196" s="49">
        <f>SUM(BD196:BS196)-(45*8)</f>
        <v>6</v>
      </c>
      <c r="BU196" s="49">
        <f>SUM(BE196:BT196)-(45*7)</f>
        <v>21</v>
      </c>
      <c r="BV196" s="49">
        <f>SUM(BF196:BU196)-(45*7)</f>
        <v>10</v>
      </c>
      <c r="BX196" s="332"/>
      <c r="CE196" s="334"/>
    </row>
    <row r="197" spans="2:83" s="338" customFormat="1" ht="17.25">
      <c r="B197" s="347"/>
      <c r="C197" s="44">
        <v>666</v>
      </c>
      <c r="D197" s="108" t="s">
        <v>470</v>
      </c>
      <c r="E197" s="48">
        <v>5</v>
      </c>
      <c r="F197" s="63">
        <v>14</v>
      </c>
      <c r="G197" s="63">
        <v>1</v>
      </c>
      <c r="H197" s="48">
        <f>SUM(E197:F197)-(45*0)</f>
        <v>19</v>
      </c>
      <c r="I197" s="48">
        <v>18</v>
      </c>
      <c r="J197" s="49">
        <f>SUM(E197:I197)-(45*1)</f>
        <v>12</v>
      </c>
      <c r="K197" s="49">
        <f>SUM(E197:J197)-(45*1)</f>
        <v>24</v>
      </c>
      <c r="L197" s="49">
        <f>SUM(E197:K197)-(45*2)</f>
        <v>3</v>
      </c>
      <c r="M197" s="49">
        <f>SUM(E197:L197)-(45*2)</f>
        <v>6</v>
      </c>
      <c r="N197" s="49">
        <f>SUM(E197:M197)-(45*2)</f>
        <v>12</v>
      </c>
      <c r="O197" s="49">
        <f>SUM(E197:N197)-(45*2)</f>
        <v>24</v>
      </c>
      <c r="P197" s="49">
        <f>SUM(E197:O197)-(45*3)</f>
        <v>3</v>
      </c>
      <c r="Q197" s="49">
        <f>SUM(F197:P197)-(45*3)</f>
        <v>1</v>
      </c>
      <c r="R197" s="49">
        <f>SUM(G197:Q197)-(45*2)</f>
        <v>33</v>
      </c>
      <c r="S197" s="49">
        <f>SUM(H197:R197)-(45*3)</f>
        <v>20</v>
      </c>
      <c r="T197" s="49">
        <f>SUM(I197:S197)-(45*3)</f>
        <v>21</v>
      </c>
      <c r="U197" s="49">
        <f>SUM(J197:T197)-(45*3)</f>
        <v>24</v>
      </c>
      <c r="V197" s="49">
        <f>SUM(K197:U197)-(45*3)</f>
        <v>36</v>
      </c>
      <c r="W197" s="49">
        <f>SUM(L197:V197)-(45*4)</f>
        <v>3</v>
      </c>
      <c r="X197" s="49">
        <f>SUM(M197:W197)-(45*4)</f>
        <v>3</v>
      </c>
      <c r="Y197" s="49">
        <f>SUM(N197:X197)-(45*3)</f>
        <v>45</v>
      </c>
      <c r="Z197" s="49">
        <f>SUM(O197:Y197)-(45*4)</f>
        <v>33</v>
      </c>
      <c r="AA197" s="49">
        <f>SUM(P197:Z197)-(45*4)</f>
        <v>42</v>
      </c>
      <c r="AB197" s="49">
        <f>SUM(Q197:AA197)-(45*5)</f>
        <v>36</v>
      </c>
      <c r="AC197" s="49">
        <f>SUM(M197:AB197)-(45*7)</f>
        <v>27</v>
      </c>
      <c r="AD197" s="49">
        <f>SUM(N197:AC197)-(45*8)</f>
        <v>3</v>
      </c>
      <c r="AE197" s="49">
        <f>SUM(O197:AD197)-(45*7)</f>
        <v>39</v>
      </c>
      <c r="AF197" s="49">
        <f>SUM(P197:AE197)-(45*8)</f>
        <v>9</v>
      </c>
      <c r="AG197" s="49">
        <f>SUM(Q197:AF197)-(45*8)</f>
        <v>15</v>
      </c>
      <c r="AH197" s="49">
        <f>SUM(R197:AG197)-(45*8)</f>
        <v>29</v>
      </c>
      <c r="AI197" s="49">
        <f>SUM(S197:AH197)-(45*8)</f>
        <v>25</v>
      </c>
      <c r="AJ197" s="49">
        <f>SUM(T197:AI197)-(45*8)</f>
        <v>30</v>
      </c>
      <c r="AK197" s="49">
        <f>SUM(U197:AJ197)-(45*8)</f>
        <v>39</v>
      </c>
      <c r="AL197" s="49">
        <f>SUM(V197:AK197)-(45*9)</f>
        <v>9</v>
      </c>
      <c r="AM197" s="49">
        <f>SUM(W197:AL197)-(45*8)</f>
        <v>27</v>
      </c>
      <c r="AN197" s="49">
        <f>SUM(X197:AM197)-(45*9)</f>
        <v>6</v>
      </c>
      <c r="AO197" s="49">
        <f>SUM(Y197:AN197)-(45*9)</f>
        <v>9</v>
      </c>
      <c r="AP197" s="49">
        <f>SUM(Z197:AO197)-(45*8)</f>
        <v>18</v>
      </c>
      <c r="AQ197" s="49">
        <f>SUM(AA197:AP197)-(45*8)</f>
        <v>3</v>
      </c>
      <c r="AR197" s="49">
        <f>SUM(AB197:AQ197)-(45*7)</f>
        <v>9</v>
      </c>
      <c r="AS197" s="49">
        <f>SUM(AC197:AR197)-(45*6)</f>
        <v>27</v>
      </c>
      <c r="AT197" s="49">
        <f>SUM(AD197:AS197)-(45*6)</f>
        <v>27</v>
      </c>
      <c r="AU197" s="49">
        <f>SUM(AE197:AT197)-(45*7)</f>
        <v>6</v>
      </c>
      <c r="AV197" s="49">
        <f>SUM(AF197:AU197)-(45*6)</f>
        <v>18</v>
      </c>
      <c r="AW197" s="49">
        <f>SUM(AG197:AV197)-(45*6)</f>
        <v>27</v>
      </c>
      <c r="AX197" s="49">
        <f>SUM(AH197:AW197)-(45*6)</f>
        <v>39</v>
      </c>
      <c r="AY197" s="49">
        <f>SUM(AI197:AX197)-(45*7)</f>
        <v>4</v>
      </c>
      <c r="AZ197" s="49">
        <f>SUM(AJ197:AY197)-(45*6)</f>
        <v>28</v>
      </c>
      <c r="BA197" s="49">
        <f>SUM(AK197:AZ197)-(45*6)</f>
        <v>26</v>
      </c>
      <c r="BB197" s="49">
        <f>SUM(AL197:BA197)-(45*6)</f>
        <v>13</v>
      </c>
      <c r="BC197" s="49">
        <f>SUM(AM197:BB197)-(45*6)</f>
        <v>17</v>
      </c>
      <c r="BD197" s="49">
        <f>SUM(AN197:BC197)-(45*6)</f>
        <v>7</v>
      </c>
      <c r="BE197" s="49">
        <f>SUM(AO197:BD197)-(45*6)</f>
        <v>8</v>
      </c>
      <c r="BF197" s="49">
        <f>SUM(AP197:BE197)-(45*6)</f>
        <v>7</v>
      </c>
      <c r="BG197" s="49">
        <f>SUM(AQ197:BF197)-(45*5)</f>
        <v>41</v>
      </c>
      <c r="BH197" s="49">
        <f>SUM(AR197:BG197)-(45*6)</f>
        <v>34</v>
      </c>
      <c r="BI197" s="49">
        <f>SUM(AS197:BH197)-(45*7)</f>
        <v>14</v>
      </c>
      <c r="BJ197" s="49">
        <f>SUM(AT197:BI197)-(45*7)</f>
        <v>1</v>
      </c>
      <c r="BK197" s="49">
        <f>SUM(AU197:BJ197)-(45*6)</f>
        <v>20</v>
      </c>
      <c r="BL197" s="49">
        <f>SUM(AV197:BK197)-(45*6)</f>
        <v>34</v>
      </c>
      <c r="BM197" s="49">
        <f>SUM(AW197:BL197)-(45*7)</f>
        <v>5</v>
      </c>
      <c r="BN197" s="49">
        <f>SUM(AX197:BM197)-(45*6)</f>
        <v>28</v>
      </c>
      <c r="BO197" s="49">
        <f>SUM(AY197:BN197)-(45*6)</f>
        <v>17</v>
      </c>
      <c r="BP197" s="49">
        <f>SUM(AZ197:BO197)-(45*6)</f>
        <v>30</v>
      </c>
      <c r="BQ197" s="49">
        <f>SUM(BA197:BP197)-(45*6)</f>
        <v>32</v>
      </c>
      <c r="BR197" s="49">
        <f>SUM(BB197:BQ197)-(45*6)</f>
        <v>38</v>
      </c>
      <c r="BS197" s="49">
        <f>SUM(BC197:BR197)-(45*7)</f>
        <v>18</v>
      </c>
      <c r="BT197" s="49">
        <f>SUM(BD197:BS197)-(45*7)</f>
        <v>19</v>
      </c>
      <c r="BU197" s="49">
        <f>SUM(BE197:BT197)-(45*7)</f>
        <v>31</v>
      </c>
      <c r="BV197" s="49">
        <f>SUM(BF197:BU197)-(45*8)</f>
        <v>9</v>
      </c>
      <c r="BX197" s="332"/>
      <c r="CE197" s="334"/>
    </row>
    <row r="198" spans="2:83" s="338" customFormat="1" ht="17.25">
      <c r="B198" s="348"/>
      <c r="C198" s="44">
        <v>667</v>
      </c>
      <c r="D198" s="108" t="s">
        <v>471</v>
      </c>
      <c r="E198" s="48">
        <v>12</v>
      </c>
      <c r="F198" s="63">
        <v>21</v>
      </c>
      <c r="G198" s="63">
        <v>2</v>
      </c>
      <c r="H198" s="48">
        <f>SUM(E198:F198)-(45*0)</f>
        <v>33</v>
      </c>
      <c r="I198" s="48">
        <v>19</v>
      </c>
      <c r="J198" s="49">
        <f>SUM(E198:I198)-(45*1)</f>
        <v>42</v>
      </c>
      <c r="K198" s="49">
        <f>SUM(E198:J198)-(45*2)</f>
        <v>39</v>
      </c>
      <c r="L198" s="49">
        <f>SUM(E198:K198)-(45*3)</f>
        <v>33</v>
      </c>
      <c r="M198" s="49">
        <f>SUM(E198:L198)-(45*4)</f>
        <v>21</v>
      </c>
      <c r="N198" s="49">
        <f>SUM(E198:M198)-(45*4)</f>
        <v>42</v>
      </c>
      <c r="O198" s="49">
        <f>SUM(E198:N198)-(45*5)</f>
        <v>39</v>
      </c>
      <c r="P198" s="49">
        <f>SUM(E198:O198)-(45*6)</f>
        <v>33</v>
      </c>
      <c r="Q198" s="49">
        <f>SUM(F198:P198)-(45*7)</f>
        <v>9</v>
      </c>
      <c r="R198" s="49">
        <f>SUM(G198:Q198)-(45*6)</f>
        <v>42</v>
      </c>
      <c r="S198" s="49">
        <f>SUM(H198:R198)-(45*7)</f>
        <v>37</v>
      </c>
      <c r="T198" s="49">
        <f>SUM(I198:S198)-(45*7)</f>
        <v>41</v>
      </c>
      <c r="U198" s="49">
        <f>SUM(J198:T198)-(45*8)</f>
        <v>18</v>
      </c>
      <c r="V198" s="49">
        <f>SUM(K198:U198)-(45*7)</f>
        <v>39</v>
      </c>
      <c r="W198" s="49">
        <f>SUM(L198:V198)-(45*7)</f>
        <v>39</v>
      </c>
      <c r="X198" s="49">
        <f>SUM(M198:W198)-(45*7)</f>
        <v>45</v>
      </c>
      <c r="Y198" s="49">
        <f>SUM(N198:X198)-(45*8)</f>
        <v>24</v>
      </c>
      <c r="Z198" s="49">
        <f>SUM(O198:Y198)-(45*8)</f>
        <v>6</v>
      </c>
      <c r="AA198" s="49">
        <f>SUM(P198:Z198)-(45*7)</f>
        <v>18</v>
      </c>
      <c r="AB198" s="49">
        <f>SUM(Q198:AA198)-(45*7)</f>
        <v>3</v>
      </c>
      <c r="AC198" s="49">
        <f>SUM(M198:AB198)-(45*10)</f>
        <v>6</v>
      </c>
      <c r="AD198" s="49">
        <f>SUM(N198:AC198)-(45*9)</f>
        <v>36</v>
      </c>
      <c r="AE198" s="49">
        <f>SUM(O198:AD198)-(45*9)</f>
        <v>30</v>
      </c>
      <c r="AF198" s="49">
        <f>SUM(P198:AE198)-(45*9)</f>
        <v>21</v>
      </c>
      <c r="AG198" s="49">
        <f>SUM(Q198:AF198)-(45*9)</f>
        <v>9</v>
      </c>
      <c r="AH198" s="49">
        <f>SUM(R198:AG198)-(45*9)</f>
        <v>9</v>
      </c>
      <c r="AI198" s="49">
        <f>SUM(S198:AH198)-(45*8)</f>
        <v>21</v>
      </c>
      <c r="AJ198" s="49">
        <f>SUM(T198:AI198)-(45*8)</f>
        <v>5</v>
      </c>
      <c r="AK198" s="49">
        <f>SUM(U198:AJ198)-(45*7)</f>
        <v>14</v>
      </c>
      <c r="AL198" s="49">
        <f>SUM(V198:AK198)-(45*7)</f>
        <v>10</v>
      </c>
      <c r="AM198" s="49">
        <f>SUM(W198:AL198)-(45*6)</f>
        <v>26</v>
      </c>
      <c r="AN198" s="49">
        <f>SUM(X198:AM198)-(45*6)</f>
        <v>13</v>
      </c>
      <c r="AO198" s="49">
        <f>SUM(Y198:AN198)-(45*5)</f>
        <v>26</v>
      </c>
      <c r="AP198" s="49">
        <f>SUM(Z198:AO198)-(45*5)</f>
        <v>28</v>
      </c>
      <c r="AQ198" s="49">
        <f>SUM(AA198:AP198)-(45*6)</f>
        <v>5</v>
      </c>
      <c r="AR198" s="49">
        <f>SUM(AB198:AQ198)-(45*5)</f>
        <v>37</v>
      </c>
      <c r="AS198" s="49">
        <f>SUM(AC198:AR198)-(45*6)</f>
        <v>26</v>
      </c>
      <c r="AT198" s="49">
        <f>SUM(AD198:AS198)-(45*7)</f>
        <v>1</v>
      </c>
      <c r="AU198" s="49">
        <f>SUM(AE198:AT198)-(45*6)</f>
        <v>11</v>
      </c>
      <c r="AV198" s="49">
        <f>SUM(AF198:AU198)-(45*5)</f>
        <v>37</v>
      </c>
      <c r="AW198" s="49">
        <f>SUM(AG198:AV198)-(45*6)</f>
        <v>8</v>
      </c>
      <c r="AX198" s="49">
        <f>SUM(AH198:AW198)-(45*6)</f>
        <v>7</v>
      </c>
      <c r="AY198" s="49">
        <f>SUM(AI198:AX198)-(45*6)</f>
        <v>5</v>
      </c>
      <c r="AZ198" s="49">
        <f>SUM(AJ198:AY198)-(45*5)</f>
        <v>34</v>
      </c>
      <c r="BA198" s="49">
        <f>SUM(AK198:AZ198)-(45*6)</f>
        <v>18</v>
      </c>
      <c r="BB198" s="49">
        <f>SUM(AL198:BA198)-(45*6)</f>
        <v>22</v>
      </c>
      <c r="BC198" s="49">
        <f>SUM(AM198:BB198)-(45*6)</f>
        <v>34</v>
      </c>
      <c r="BD198" s="49">
        <f>SUM(AN198:BC198)-(45*6)</f>
        <v>42</v>
      </c>
      <c r="BE198" s="49">
        <f>SUM(AO198:BD198)-(45*7)</f>
        <v>26</v>
      </c>
      <c r="BF198" s="49">
        <f>SUM(AP198:BE198)-(45*7)</f>
        <v>26</v>
      </c>
      <c r="BG198" s="49">
        <f t="shared" ref="BG198" si="1885">SUM(AQ198:BF198)-(45*7)</f>
        <v>24</v>
      </c>
      <c r="BH198" s="49">
        <f>SUM(AR198:BG198)-(45*7)</f>
        <v>43</v>
      </c>
      <c r="BI198" s="49">
        <f>SUM(AS198:BH198)-(45*8)</f>
        <v>4</v>
      </c>
      <c r="BJ198" s="49">
        <f t="shared" ref="BJ198" si="1886">SUM(AT198:BI198)-(45*7)</f>
        <v>27</v>
      </c>
      <c r="BK198" s="49">
        <f>SUM(AU198:BJ198)-(45*8)</f>
        <v>8</v>
      </c>
      <c r="BL198" s="49">
        <f>SUM(AV198:BK198)-(45*8)</f>
        <v>5</v>
      </c>
      <c r="BM198" s="49">
        <f>SUM(AW198:BL198)-(45*7)</f>
        <v>18</v>
      </c>
      <c r="BN198" s="49">
        <f>SUM(AX198:BM198)-(45*7)</f>
        <v>28</v>
      </c>
      <c r="BO198" s="49">
        <f>SUM(AY198:BN198)-(45*8)</f>
        <v>4</v>
      </c>
      <c r="BP198" s="49">
        <f>SUM(AZ198:BO198)-(45*8)</f>
        <v>3</v>
      </c>
      <c r="BQ198" s="49">
        <f>SUM(BA198:BP198)-(45*7)</f>
        <v>17</v>
      </c>
      <c r="BR198" s="49">
        <f>SUM(BB198:BQ198)-(45*7)</f>
        <v>16</v>
      </c>
      <c r="BS198" s="49">
        <f>SUM(BC198:BR198)-(45*7)</f>
        <v>10</v>
      </c>
      <c r="BT198" s="49">
        <f>SUM(BD198:BS198)-(45*6)</f>
        <v>31</v>
      </c>
      <c r="BU198" s="49">
        <f>SUM(BE198:BT198)-(45*6)</f>
        <v>20</v>
      </c>
      <c r="BV198" s="49">
        <f>SUM(BF198:BU198)-(45*6)</f>
        <v>14</v>
      </c>
      <c r="BX198" s="332"/>
      <c r="CE198" s="334"/>
    </row>
    <row r="199" spans="2:83" s="338" customFormat="1" ht="17.25">
      <c r="B199" s="349"/>
      <c r="C199" s="44">
        <v>668</v>
      </c>
      <c r="D199" s="108" t="s">
        <v>472</v>
      </c>
      <c r="E199" s="48">
        <v>19</v>
      </c>
      <c r="F199" s="63">
        <v>28</v>
      </c>
      <c r="G199" s="63">
        <v>3</v>
      </c>
      <c r="H199" s="48">
        <f>SUM(E199:F199)-(45*1)</f>
        <v>2</v>
      </c>
      <c r="I199" s="48">
        <v>20</v>
      </c>
      <c r="J199" s="49">
        <f>SUM(E199:I199)-(45*1)</f>
        <v>27</v>
      </c>
      <c r="K199" s="49">
        <f>SUM(E199:J199)-(45*2)</f>
        <v>9</v>
      </c>
      <c r="L199" s="49">
        <f>SUM(E199:K199)-(45*2)</f>
        <v>18</v>
      </c>
      <c r="M199" s="49">
        <f>SUM(E199:L199)-(45*2)</f>
        <v>36</v>
      </c>
      <c r="N199" s="49">
        <f>SUM(E199:M199)-(45*3)</f>
        <v>27</v>
      </c>
      <c r="O199" s="49">
        <f>SUM(E199:N199)-(45*4)</f>
        <v>9</v>
      </c>
      <c r="P199" s="49">
        <f t="shared" ref="P199:U199" si="1887">SUM(E199:O199)-(45*4)</f>
        <v>18</v>
      </c>
      <c r="Q199" s="49">
        <f t="shared" si="1887"/>
        <v>17</v>
      </c>
      <c r="R199" s="49">
        <f t="shared" si="1887"/>
        <v>6</v>
      </c>
      <c r="S199" s="49">
        <f t="shared" si="1887"/>
        <v>9</v>
      </c>
      <c r="T199" s="49">
        <f t="shared" si="1887"/>
        <v>16</v>
      </c>
      <c r="U199" s="49">
        <f t="shared" si="1887"/>
        <v>12</v>
      </c>
      <c r="V199" s="49">
        <f>SUM(K199:U199)-(45*3)</f>
        <v>42</v>
      </c>
      <c r="W199" s="49">
        <f t="shared" ref="W199:X201" si="1888">SUM(L199:V199)-(45*4)</f>
        <v>30</v>
      </c>
      <c r="X199" s="49">
        <f t="shared" si="1888"/>
        <v>42</v>
      </c>
      <c r="Y199" s="49">
        <f>SUM(N199:X199)-(45*5)</f>
        <v>3</v>
      </c>
      <c r="Z199" s="49">
        <f>SUM(O199:Y199)-(45*4)</f>
        <v>24</v>
      </c>
      <c r="AA199" s="49">
        <f>SUM(P199:Z199)-(45*4)</f>
        <v>39</v>
      </c>
      <c r="AB199" s="49">
        <f>SUM(Q199:AA199)-(45*5)</f>
        <v>15</v>
      </c>
      <c r="AC199" s="49">
        <f>SUM(M199:AB199)-(45*7)</f>
        <v>30</v>
      </c>
      <c r="AD199" s="49">
        <f>SUM(N199:AC199)-(45*7)</f>
        <v>24</v>
      </c>
      <c r="AE199" s="49">
        <f>SUM(O199:AD199)-(45*7)</f>
        <v>21</v>
      </c>
      <c r="AF199" s="49">
        <f>SUM(P199:AE199)-(45*7)</f>
        <v>33</v>
      </c>
      <c r="AG199" s="49">
        <f>SUM(Q199:AF199)-(45*8)</f>
        <v>3</v>
      </c>
      <c r="AH199" s="49">
        <f>SUM(R199:AG199)-(45*7)</f>
        <v>34</v>
      </c>
      <c r="AI199" s="49">
        <f>SUM(S199:AH199)-(45*8)</f>
        <v>17</v>
      </c>
      <c r="AJ199" s="49">
        <f>SUM(T199:AI199)-(45*8)</f>
        <v>25</v>
      </c>
      <c r="AK199" s="49">
        <f>SUM(U199:AJ199)-(45*8)</f>
        <v>34</v>
      </c>
      <c r="AL199" s="49">
        <f>SUM(V199:AK199)-(45*9)</f>
        <v>11</v>
      </c>
      <c r="AM199" s="49">
        <f>SUM(W199:AL199)-(45*8)</f>
        <v>25</v>
      </c>
      <c r="AN199" s="49">
        <f>SUM(X199:AM199)-(45*8)</f>
        <v>20</v>
      </c>
      <c r="AO199" s="49">
        <f>SUM(Y199:AN199)-(45*7)</f>
        <v>43</v>
      </c>
      <c r="AP199" s="49">
        <f>SUM(Z199:AO199)-(45*8)</f>
        <v>38</v>
      </c>
      <c r="AQ199" s="49">
        <f>SUM(AA199:AP199)-(45*9)</f>
        <v>7</v>
      </c>
      <c r="AR199" s="49">
        <f>SUM(AB199:AQ199)-(45*8)</f>
        <v>20</v>
      </c>
      <c r="AS199" s="49">
        <f>SUM(AC199:AR199)-(45*8)</f>
        <v>25</v>
      </c>
      <c r="AT199" s="49">
        <f>SUM(AD199:AS199)-(45*8)</f>
        <v>20</v>
      </c>
      <c r="AU199" s="49">
        <f>SUM(AE199:AT199)-(45*8)</f>
        <v>16</v>
      </c>
      <c r="AV199" s="49">
        <f>SUM(AF199:AU199)-(45*8)</f>
        <v>11</v>
      </c>
      <c r="AW199" s="49">
        <f>SUM(AG199:AV199)-(45*7)</f>
        <v>34</v>
      </c>
      <c r="AX199" s="49">
        <f>SUM(AH199:AW199)-(45*8)</f>
        <v>20</v>
      </c>
      <c r="AY199" s="49">
        <f>SUM(AI199:AX199)-(45*8)</f>
        <v>6</v>
      </c>
      <c r="AZ199" s="49">
        <f>SUM(AJ199:AY199)-(45*7)</f>
        <v>40</v>
      </c>
      <c r="BA199" s="49">
        <f>SUM(AK199:AZ199)-(45*8)</f>
        <v>10</v>
      </c>
      <c r="BB199" s="49">
        <f>SUM(AL199:BA199)-(45*7)</f>
        <v>31</v>
      </c>
      <c r="BC199" s="49">
        <f>SUM(AM199:BB199)-(45*8)</f>
        <v>6</v>
      </c>
      <c r="BD199" s="49">
        <f>SUM(AN199:BC199)-(45*7)</f>
        <v>32</v>
      </c>
      <c r="BE199" s="49">
        <f>SUM(AO199:BD199)-(45*7)</f>
        <v>44</v>
      </c>
      <c r="BF199" s="49">
        <f>SUM(AP199:BE199)-(45*7)</f>
        <v>45</v>
      </c>
      <c r="BG199" s="49">
        <f>SUM(AQ199:BF199)-(45*8)</f>
        <v>7</v>
      </c>
      <c r="BH199" s="49">
        <f>SUM(AR199:BG199)-(45*8)</f>
        <v>7</v>
      </c>
      <c r="BI199" s="49">
        <f>SUM(AS199:BH199)-(45*7)</f>
        <v>39</v>
      </c>
      <c r="BJ199" s="49">
        <f>SUM(AT199:BI199)-(45*8)</f>
        <v>8</v>
      </c>
      <c r="BK199" s="49">
        <f>SUM(AU199:BJ199)-(45*7)</f>
        <v>41</v>
      </c>
      <c r="BL199" s="49">
        <f>SUM(AV199:BK199)-(45*8)</f>
        <v>21</v>
      </c>
      <c r="BM199" s="49">
        <f>SUM(AW199:BL199)-(45*8)</f>
        <v>31</v>
      </c>
      <c r="BN199" s="49">
        <f>SUM(AX199:BM199)-(45*8)</f>
        <v>28</v>
      </c>
      <c r="BO199" s="49">
        <f>SUM(AY199:BN199)-(45*8)</f>
        <v>36</v>
      </c>
      <c r="BP199" s="49">
        <f>SUM(AZ199:BO199)-(45*9)</f>
        <v>21</v>
      </c>
      <c r="BQ199" s="49">
        <f>SUM(BA199:BP199)-(45*9)</f>
        <v>2</v>
      </c>
      <c r="BR199" s="49">
        <f>SUM(BB199:BQ199)-(45*8)</f>
        <v>39</v>
      </c>
      <c r="BS199" s="49">
        <f>SUM(BC199:BR199)-(45*9)</f>
        <v>2</v>
      </c>
      <c r="BT199" s="49">
        <f>SUM(BD199:BS199)-(45*8)</f>
        <v>43</v>
      </c>
      <c r="BU199" s="49">
        <f>SUM(BE199:BT199)-(45*9)</f>
        <v>9</v>
      </c>
      <c r="BV199" s="49">
        <f>SUM(BF199:BU199)-(45*8)</f>
        <v>19</v>
      </c>
      <c r="BX199" s="332"/>
      <c r="CE199" s="334"/>
    </row>
    <row r="200" spans="2:83" s="354" customFormat="1" ht="17.25">
      <c r="B200" s="356"/>
      <c r="C200" s="44">
        <v>669</v>
      </c>
      <c r="D200" s="108" t="s">
        <v>473</v>
      </c>
      <c r="E200" s="48">
        <v>26</v>
      </c>
      <c r="F200" s="63">
        <v>35</v>
      </c>
      <c r="G200" s="63">
        <v>4</v>
      </c>
      <c r="H200" s="48">
        <f>SUM(E200:F200)-(45*1)</f>
        <v>16</v>
      </c>
      <c r="I200" s="48">
        <v>21</v>
      </c>
      <c r="J200" s="49">
        <f>SUM(E200:I200)-(45*2)</f>
        <v>12</v>
      </c>
      <c r="K200" s="49">
        <f>SUM(E200:J200)-(45*2)</f>
        <v>24</v>
      </c>
      <c r="L200" s="49">
        <f>SUM(E200:K200)-(45*3)</f>
        <v>3</v>
      </c>
      <c r="M200" s="49">
        <f>SUM(E200:L200)-(45*3)</f>
        <v>6</v>
      </c>
      <c r="N200" s="49">
        <f>SUM(E200:M200)-(45*3)</f>
        <v>12</v>
      </c>
      <c r="O200" s="49">
        <f>SUM(E200:N200)-(45*3)</f>
        <v>24</v>
      </c>
      <c r="P200" s="49">
        <f>SUM(E200:O200)-(45*4)</f>
        <v>3</v>
      </c>
      <c r="Q200" s="49">
        <f>SUM(F200:P200)-(45*3)</f>
        <v>25</v>
      </c>
      <c r="R200" s="49">
        <f>SUM(G200:Q200)-(45*3)</f>
        <v>15</v>
      </c>
      <c r="S200" s="49">
        <f>SUM(H200:R200)-(45*3)</f>
        <v>26</v>
      </c>
      <c r="T200" s="49">
        <f>SUM(I200:S200)-(45*3)</f>
        <v>36</v>
      </c>
      <c r="U200" s="49">
        <f>SUM(J200:T200)-(45*4)</f>
        <v>6</v>
      </c>
      <c r="V200" s="49">
        <f>SUM(K200:U200)-(45*3)</f>
        <v>45</v>
      </c>
      <c r="W200" s="49">
        <f t="shared" si="1888"/>
        <v>21</v>
      </c>
      <c r="X200" s="49">
        <f t="shared" si="1888"/>
        <v>39</v>
      </c>
      <c r="Y200" s="49">
        <f>SUM(N200:X200)-(45*5)</f>
        <v>27</v>
      </c>
      <c r="Z200" s="49">
        <f>SUM(O200:Y200)-(45*5)</f>
        <v>42</v>
      </c>
      <c r="AA200" s="49">
        <f>SUM(P200:Z200)-(45*6)</f>
        <v>15</v>
      </c>
      <c r="AB200" s="49">
        <f>SUM(Q200:AA200)-(45*6)</f>
        <v>27</v>
      </c>
      <c r="AC200" s="49">
        <f>SUM(M200:AB200)-(45*8)</f>
        <v>9</v>
      </c>
      <c r="AD200" s="49">
        <f>SUM(N200:AC200)-(45*8)</f>
        <v>12</v>
      </c>
      <c r="AE200" s="49">
        <f>SUM(O200:AD200)-(45*8)</f>
        <v>12</v>
      </c>
      <c r="AF200" s="49">
        <f>SUM(P200:AE200)-(45*7)</f>
        <v>45</v>
      </c>
      <c r="AG200" s="49">
        <f>SUM(Q200:AF200)-(45*8)</f>
        <v>42</v>
      </c>
      <c r="AH200" s="49">
        <f>SUM(R200:AG200)-(45*9)</f>
        <v>14</v>
      </c>
      <c r="AI200" s="49">
        <f>SUM(S200:AH200)-(45*9)</f>
        <v>13</v>
      </c>
      <c r="AJ200" s="49">
        <f>SUM(T200:AI200)-(45*8)</f>
        <v>45</v>
      </c>
      <c r="AK200" s="49">
        <f>SUM(U200:AJ200)-(45*9)</f>
        <v>9</v>
      </c>
      <c r="AL200" s="49">
        <f>SUM(V200:AK200)-(45*9)</f>
        <v>12</v>
      </c>
      <c r="AM200" s="49">
        <f>SUM(W200:AL200)-(45*8)</f>
        <v>24</v>
      </c>
      <c r="AN200" s="49">
        <f>SUM(X200:AM200)-(45*8)</f>
        <v>27</v>
      </c>
      <c r="AO200" s="49">
        <f>SUM(Y200:AN200)-(45*8)</f>
        <v>15</v>
      </c>
      <c r="AP200" s="49">
        <f>SUM(Z200:AO200)-(45*8)</f>
        <v>3</v>
      </c>
      <c r="AQ200" s="49">
        <f>SUM(AA200:AP200)-(45*7)</f>
        <v>9</v>
      </c>
      <c r="AR200" s="49">
        <f>SUM(AB200:AQ200)-(45*7)</f>
        <v>3</v>
      </c>
      <c r="AS200" s="49">
        <f>SUM(AC200:AR200)-(45*6)</f>
        <v>24</v>
      </c>
      <c r="AT200" s="49">
        <f>SUM(AD200:AS200)-(45*6)</f>
        <v>39</v>
      </c>
      <c r="AU200" s="49">
        <f>SUM(AE200:AT200)-(45*7)</f>
        <v>21</v>
      </c>
      <c r="AV200" s="49">
        <f>SUM(AF200:AU200)-(45*7)</f>
        <v>30</v>
      </c>
      <c r="AW200" s="49">
        <f>SUM(AG200:AV200)-(45*7)</f>
        <v>15</v>
      </c>
      <c r="AX200" s="49">
        <f>SUM(AH200:AW200)-(45*6)</f>
        <v>33</v>
      </c>
      <c r="AY200" s="49">
        <f>SUM(AI200:AX200)-(45*7)</f>
        <v>7</v>
      </c>
      <c r="AZ200" s="49">
        <f>SUM(AJ200:AY200)-(45*7)</f>
        <v>1</v>
      </c>
      <c r="BA200" s="49">
        <f>SUM(AK200:AZ200)-(45*6)</f>
        <v>2</v>
      </c>
      <c r="BB200" s="49">
        <f>SUM(AL200:BA200)-(45*5)</f>
        <v>40</v>
      </c>
      <c r="BC200" s="49">
        <f>SUM(AM200:BB200)-(45*6)</f>
        <v>23</v>
      </c>
      <c r="BD200" s="49">
        <f>SUM(AN200:BC200)-(45*6)</f>
        <v>22</v>
      </c>
      <c r="BE200" s="49">
        <f>SUM(AO200:BD200)-(45*6)</f>
        <v>17</v>
      </c>
      <c r="BF200" s="49">
        <f>SUM(AP200:BE200)-(45*6)</f>
        <v>19</v>
      </c>
      <c r="BG200" s="49">
        <f>SUM(AQ200:BF200)-(45*6)</f>
        <v>35</v>
      </c>
      <c r="BH200" s="49">
        <f>SUM(AR200:BG200)-(45*7)</f>
        <v>16</v>
      </c>
      <c r="BI200" s="49">
        <f>SUM(AS200:BH200)-(45*7)</f>
        <v>29</v>
      </c>
      <c r="BJ200" s="49">
        <f t="shared" ref="BJ200" si="1889">SUM(AT200:BI200)-(45*7)</f>
        <v>34</v>
      </c>
      <c r="BK200" s="49">
        <f>SUM(AU200:BJ200)-(45*7)</f>
        <v>29</v>
      </c>
      <c r="BL200" s="49">
        <f t="shared" ref="BL200:BM202" si="1890">SUM(AV200:BK200)-(45*7)</f>
        <v>37</v>
      </c>
      <c r="BM200" s="49">
        <f t="shared" si="1890"/>
        <v>44</v>
      </c>
      <c r="BN200" s="49">
        <f>SUM(AX200:BM200)-(45*8)</f>
        <v>28</v>
      </c>
      <c r="BO200" s="49">
        <f>SUM(AY200:BN200)-(45*8)</f>
        <v>23</v>
      </c>
      <c r="BP200" s="49">
        <f>SUM(AZ200:BO200)-(45*8)</f>
        <v>39</v>
      </c>
      <c r="BQ200" s="49">
        <f>SUM(BA200:BP200)-(45*9)</f>
        <v>32</v>
      </c>
      <c r="BR200" s="49">
        <f>SUM(BB200:BQ200)-(45*10)</f>
        <v>17</v>
      </c>
      <c r="BS200" s="49">
        <f>SUM(BC200:BR200)-(45*9)</f>
        <v>39</v>
      </c>
      <c r="BT200" s="49">
        <f>SUM(BD200:BS200)-(45*10)</f>
        <v>10</v>
      </c>
      <c r="BU200" s="49">
        <f>SUM(BE200:BT200)-(45*9)</f>
        <v>43</v>
      </c>
      <c r="BV200" s="49">
        <f>SUM(BF200:BU200)-(45*10)</f>
        <v>24</v>
      </c>
      <c r="BX200" s="332"/>
      <c r="CE200" s="334"/>
    </row>
    <row r="201" spans="2:83" s="358" customFormat="1" ht="17.25">
      <c r="B201" s="357"/>
      <c r="C201" s="44">
        <v>670</v>
      </c>
      <c r="D201" s="108" t="s">
        <v>474</v>
      </c>
      <c r="E201" s="48">
        <v>3</v>
      </c>
      <c r="F201" s="63">
        <v>13</v>
      </c>
      <c r="G201" s="63">
        <v>1</v>
      </c>
      <c r="H201" s="48">
        <f>SUM(E201:F201)-(45*0)</f>
        <v>16</v>
      </c>
      <c r="I201" s="48">
        <v>13</v>
      </c>
      <c r="J201" s="49">
        <f>SUM(E201:I201)-(45*1)</f>
        <v>1</v>
      </c>
      <c r="K201" s="49">
        <f>SUM(E201:J201)-(45*1)</f>
        <v>2</v>
      </c>
      <c r="L201" s="49">
        <f>SUM(E201:K201)-(45*1)</f>
        <v>4</v>
      </c>
      <c r="M201" s="49">
        <f>SUM(E201:L201)-(45*1)</f>
        <v>8</v>
      </c>
      <c r="N201" s="49">
        <f>SUM(E201:M201)-(45*1)</f>
        <v>16</v>
      </c>
      <c r="O201" s="49">
        <f>SUM(E201:N201)-(45*1)</f>
        <v>32</v>
      </c>
      <c r="P201" s="49">
        <f>SUM(E201:O201)-(45*2)</f>
        <v>19</v>
      </c>
      <c r="Q201" s="49">
        <f>SUM(F201:P201)-(45*2)</f>
        <v>35</v>
      </c>
      <c r="R201" s="49">
        <f>SUM(G201:Q201)-(45*3)</f>
        <v>12</v>
      </c>
      <c r="S201" s="49">
        <f>SUM(H201:R201)-(45*3)</f>
        <v>23</v>
      </c>
      <c r="T201" s="49">
        <f>SUM(I201:S201)-(45*3)</f>
        <v>30</v>
      </c>
      <c r="U201" s="49">
        <f t="shared" ref="U201" si="1891">SUM(J201:T201)-(45*4)</f>
        <v>2</v>
      </c>
      <c r="V201" s="49">
        <f>SUM(K201:U201)-(45*4)</f>
        <v>3</v>
      </c>
      <c r="W201" s="49">
        <f t="shared" si="1888"/>
        <v>4</v>
      </c>
      <c r="X201" s="49">
        <f t="shared" si="1888"/>
        <v>4</v>
      </c>
      <c r="Y201" s="49">
        <f>SUM(N201:X201)-(45*3)</f>
        <v>45</v>
      </c>
      <c r="Z201" s="49">
        <f>SUM(O201:Y201)-(45*4)</f>
        <v>29</v>
      </c>
      <c r="AA201" s="49">
        <f>SUM(P201:Z201)-(45*4)</f>
        <v>26</v>
      </c>
      <c r="AB201" s="49">
        <f>SUM(Q201:AA201)-(45*4)</f>
        <v>33</v>
      </c>
      <c r="AC201" s="49">
        <f>SUM(M201:AB201)-(45*7)</f>
        <v>6</v>
      </c>
      <c r="AD201" s="49">
        <f>SUM(N201:AC201)-(45*7)</f>
        <v>4</v>
      </c>
      <c r="AE201" s="49">
        <f>SUM(O201:AD201)-(45*6)</f>
        <v>37</v>
      </c>
      <c r="AF201" s="49">
        <f>SUM(P201:AE201)-(45*6)</f>
        <v>42</v>
      </c>
      <c r="AG201" s="49">
        <f>SUM(Q201:AF201)-(45*7)</f>
        <v>20</v>
      </c>
      <c r="AH201" s="49">
        <f>SUM(R201:AG201)-(45*7)</f>
        <v>5</v>
      </c>
      <c r="AI201" s="49">
        <f>SUM(S201:AH201)-(45*6)</f>
        <v>43</v>
      </c>
      <c r="AJ201" s="49">
        <f>SUM(T201:AI201)-(45*7)</f>
        <v>18</v>
      </c>
      <c r="AK201" s="49">
        <f>SUM(U201:AJ201)-(45*7)</f>
        <v>6</v>
      </c>
      <c r="AL201" s="49">
        <f>SUM(V201:AK201)-(45*7)</f>
        <v>10</v>
      </c>
      <c r="AM201" s="49">
        <f>SUM(W201:AL201)-(45*7)</f>
        <v>17</v>
      </c>
      <c r="AN201" s="49">
        <f>SUM(X201:AM201)-(45*7)</f>
        <v>30</v>
      </c>
      <c r="AO201" s="49">
        <f>SUM(Y201:AN201)-(45*8)</f>
        <v>11</v>
      </c>
      <c r="AP201" s="49">
        <f>SUM(Z201:AO201)-(45*7)</f>
        <v>22</v>
      </c>
      <c r="AQ201" s="49">
        <f>SUM(AA201:AP201)-(45*7)</f>
        <v>15</v>
      </c>
      <c r="AR201" s="49">
        <f>SUM(AB201:AQ201)-(45*7)</f>
        <v>4</v>
      </c>
      <c r="AS201" s="49">
        <f>SUM(AC201:AR201)-(45*6)</f>
        <v>20</v>
      </c>
      <c r="AT201" s="49">
        <f>SUM(AD201:AS201)-(45*6)</f>
        <v>34</v>
      </c>
      <c r="AU201" s="49">
        <f>SUM(AE201:AT201)-(45*7)</f>
        <v>19</v>
      </c>
      <c r="AV201" s="49">
        <f>SUM(AF201:AU201)-(45*7)</f>
        <v>1</v>
      </c>
      <c r="AW201" s="49">
        <f>SUM(AG201:AV201)-(45*6)</f>
        <v>5</v>
      </c>
      <c r="AX201" s="49">
        <f>SUM(AH201:AW201)-(45*5)</f>
        <v>35</v>
      </c>
      <c r="AY201" s="49">
        <f>SUM(AI201:AX201)-(45*6)</f>
        <v>20</v>
      </c>
      <c r="AZ201" s="49">
        <f>SUM(AJ201:AY201)-(45*5)</f>
        <v>42</v>
      </c>
      <c r="BA201" s="49">
        <f>SUM(AK201:AZ201)-(45*6)</f>
        <v>21</v>
      </c>
      <c r="BB201" s="49">
        <f>SUM(AL201:BA201)-(45*6)</f>
        <v>36</v>
      </c>
      <c r="BC201" s="49">
        <f>SUM(AM201:BB201)-(45*7)</f>
        <v>17</v>
      </c>
      <c r="BD201" s="49">
        <f>SUM(AN201:BC201)-(45*7)</f>
        <v>17</v>
      </c>
      <c r="BE201" s="49">
        <f>SUM(AO201:BD201)-(45*7)</f>
        <v>4</v>
      </c>
      <c r="BF201" s="49">
        <f>SUM(AP201:BE201)-(45*6)</f>
        <v>42</v>
      </c>
      <c r="BG201" s="49">
        <f>SUM(AQ201:BF201)-(45*7)</f>
        <v>17</v>
      </c>
      <c r="BH201" s="49">
        <f>SUM(AR201:BG201)-(45*7)</f>
        <v>19</v>
      </c>
      <c r="BI201" s="49">
        <f>SUM(AS201:BH201)-(45*7)</f>
        <v>34</v>
      </c>
      <c r="BJ201" s="49">
        <f>SUM(AT201:BI201)-(45*8)</f>
        <v>3</v>
      </c>
      <c r="BK201" s="49">
        <f>SUM(AU201:BJ201)-(45*7)</f>
        <v>17</v>
      </c>
      <c r="BL201" s="49">
        <f t="shared" si="1890"/>
        <v>15</v>
      </c>
      <c r="BM201" s="49">
        <f t="shared" si="1890"/>
        <v>29</v>
      </c>
      <c r="BN201" s="49">
        <f>SUM(AX201:BM201)-(45*8)</f>
        <v>8</v>
      </c>
      <c r="BO201" s="49">
        <f t="shared" ref="BO201:BT201" si="1892">SUM(AY201:BN201)-(45*7)</f>
        <v>26</v>
      </c>
      <c r="BP201" s="49">
        <f t="shared" si="1892"/>
        <v>32</v>
      </c>
      <c r="BQ201" s="49">
        <f t="shared" si="1892"/>
        <v>22</v>
      </c>
      <c r="BR201" s="49">
        <f t="shared" si="1892"/>
        <v>23</v>
      </c>
      <c r="BS201" s="49">
        <f t="shared" si="1892"/>
        <v>10</v>
      </c>
      <c r="BT201" s="49">
        <f t="shared" si="1892"/>
        <v>3</v>
      </c>
      <c r="BU201" s="49">
        <f>SUM(BE201:BT201)-(45*6)</f>
        <v>34</v>
      </c>
      <c r="BV201" s="49">
        <f>SUM(BF201:BU201)-(45*7)</f>
        <v>19</v>
      </c>
      <c r="BX201" s="332"/>
      <c r="CE201" s="334"/>
    </row>
    <row r="202" spans="2:83" s="358" customFormat="1" ht="17.25">
      <c r="B202" s="360"/>
      <c r="C202" s="44">
        <v>671</v>
      </c>
      <c r="D202" s="108" t="s">
        <v>475</v>
      </c>
      <c r="E202" s="48">
        <v>10</v>
      </c>
      <c r="F202" s="63">
        <v>20</v>
      </c>
      <c r="G202" s="63">
        <v>2</v>
      </c>
      <c r="H202" s="48">
        <f>SUM(E202:F202)-(45*0)</f>
        <v>30</v>
      </c>
      <c r="I202" s="48">
        <v>14</v>
      </c>
      <c r="J202" s="49">
        <f>SUM(E202:I202)-(45*1)</f>
        <v>31</v>
      </c>
      <c r="K202" s="49">
        <f>SUM(E202:J202)-(45*2)</f>
        <v>17</v>
      </c>
      <c r="L202" s="49">
        <f>SUM(E202:K202)-(45*2)</f>
        <v>34</v>
      </c>
      <c r="M202" s="49">
        <f>SUM(E202:L202)-(45*3)</f>
        <v>23</v>
      </c>
      <c r="N202" s="49">
        <f>SUM(E202:M202)-(45*4)</f>
        <v>1</v>
      </c>
      <c r="O202" s="49">
        <f>SUM(E202:N202)-(45*4)</f>
        <v>2</v>
      </c>
      <c r="P202" s="49">
        <f>SUM(E202:O202)-(45*4)</f>
        <v>4</v>
      </c>
      <c r="Q202" s="49">
        <f>SUM(F202:P202)-(45*3)</f>
        <v>43</v>
      </c>
      <c r="R202" s="49">
        <f>SUM(G202:Q202)-(45*4)</f>
        <v>21</v>
      </c>
      <c r="S202" s="49">
        <f>SUM(H202:R202)-(45*4)</f>
        <v>40</v>
      </c>
      <c r="T202" s="49">
        <f>SUM(I202:S202)-(45*5)</f>
        <v>5</v>
      </c>
      <c r="U202" s="49">
        <f>SUM(J202:T202)-(45*4)</f>
        <v>41</v>
      </c>
      <c r="V202" s="49">
        <f>SUM(K202:U202)-(45*5)</f>
        <v>6</v>
      </c>
      <c r="W202" s="49">
        <f t="shared" ref="W202" si="1893">SUM(L202:V202)-(45*4)</f>
        <v>40</v>
      </c>
      <c r="X202" s="49">
        <f>SUM(M202:W202)-(45*5)</f>
        <v>1</v>
      </c>
      <c r="Y202" s="49">
        <f>SUM(N202:X202)-(45*4)</f>
        <v>24</v>
      </c>
      <c r="Z202" s="49">
        <f>SUM(O202:Y202)-(45*5)</f>
        <v>2</v>
      </c>
      <c r="AA202" s="49">
        <f>SUM(P202:Z202)-(45*5)</f>
        <v>2</v>
      </c>
      <c r="AB202" s="49">
        <f>SUM(Q202:AA202)-(45*4)</f>
        <v>45</v>
      </c>
      <c r="AC202" s="49">
        <f>SUM(M202:AB202)-(45*6)</f>
        <v>30</v>
      </c>
      <c r="AD202" s="49">
        <f>SUM(N202:AC202)-(45*6)</f>
        <v>37</v>
      </c>
      <c r="AE202" s="49">
        <f>SUM(O202:AD202)-(45*7)</f>
        <v>28</v>
      </c>
      <c r="AF202" s="49">
        <f>SUM(P202:AE202)-(45*8)</f>
        <v>9</v>
      </c>
      <c r="AG202" s="49">
        <f>SUM(Q202:AF202)-(45*8)</f>
        <v>14</v>
      </c>
      <c r="AH202" s="49">
        <f>SUM(R202:AG202)-(45*7)</f>
        <v>30</v>
      </c>
      <c r="AI202" s="49">
        <f>SUM(S202:AH202)-(45*7)</f>
        <v>39</v>
      </c>
      <c r="AJ202" s="49">
        <f>SUM(T202:AI202)-(45*7)</f>
        <v>38</v>
      </c>
      <c r="AK202" s="49">
        <f>SUM(U202:AJ202)-(45*8)</f>
        <v>26</v>
      </c>
      <c r="AL202" s="49">
        <f>SUM(V202:AK202)-(45*8)</f>
        <v>11</v>
      </c>
      <c r="AM202" s="49">
        <f>SUM(W202:AL202)-(45*8)</f>
        <v>16</v>
      </c>
      <c r="AN202" s="49">
        <f>SUM(X202:AM202)-(45*7)</f>
        <v>37</v>
      </c>
      <c r="AO202" s="49">
        <f>SUM(Y202:AN202)-(45*8)</f>
        <v>28</v>
      </c>
      <c r="AP202" s="49">
        <f>SUM(Z202:AO202)-(45*8)</f>
        <v>32</v>
      </c>
      <c r="AQ202" s="49">
        <f>SUM(AA202:AP202)-(45*9)</f>
        <v>17</v>
      </c>
      <c r="AR202" s="49">
        <f>SUM(AB202:AQ202)-(45*9)</f>
        <v>32</v>
      </c>
      <c r="AS202" s="49">
        <f>SUM(AC202:AR202)-(45*9)</f>
        <v>19</v>
      </c>
      <c r="AT202" s="49">
        <f>SUM(AD202:AS202)-(45*9)</f>
        <v>8</v>
      </c>
      <c r="AU202" s="49">
        <f>SUM(AE202:AT202)-(45*8)</f>
        <v>24</v>
      </c>
      <c r="AV202" s="49">
        <f>SUM(AF202:AU202)-(45*8)</f>
        <v>20</v>
      </c>
      <c r="AW202" s="49">
        <f>SUM(AG202:AV202)-(45*8)</f>
        <v>31</v>
      </c>
      <c r="AX202" s="49">
        <f>SUM(AH202:AW202)-(45*9)</f>
        <v>3</v>
      </c>
      <c r="AY202" s="49">
        <f>SUM(AI202:AX202)-(45*8)</f>
        <v>21</v>
      </c>
      <c r="AZ202" s="49">
        <f>SUM(AJ202:AY202)-(45*8)</f>
        <v>3</v>
      </c>
      <c r="BA202" s="49">
        <f>SUM(AK202:AZ202)-(45*7)</f>
        <v>13</v>
      </c>
      <c r="BB202" s="49">
        <f>SUM(AL202:BA202)-(45*6)</f>
        <v>45</v>
      </c>
      <c r="BC202" s="49">
        <f>SUM(AM202:BB202)-(45*7)</f>
        <v>34</v>
      </c>
      <c r="BD202" s="49">
        <f>SUM(AN202:BC202)-(45*8)</f>
        <v>7</v>
      </c>
      <c r="BE202" s="49">
        <f>SUM(AO202:BD202)-(45*7)</f>
        <v>22</v>
      </c>
      <c r="BF202" s="49">
        <f>SUM(AP202:BE202)-(45*7)</f>
        <v>16</v>
      </c>
      <c r="BG202" s="49">
        <f>SUM(AQ202:BF202)-(45*6)</f>
        <v>45</v>
      </c>
      <c r="BH202" s="49">
        <f>SUM(AR202:BG202)-(45*7)</f>
        <v>28</v>
      </c>
      <c r="BI202" s="49">
        <f>SUM(AS202:BH202)-(45*7)</f>
        <v>24</v>
      </c>
      <c r="BJ202" s="49">
        <f t="shared" ref="BJ202" si="1894">SUM(AT202:BI202)-(45*7)</f>
        <v>29</v>
      </c>
      <c r="BK202" s="49">
        <f>SUM(AU202:BJ202)-(45*8)</f>
        <v>5</v>
      </c>
      <c r="BL202" s="49">
        <f t="shared" si="1890"/>
        <v>31</v>
      </c>
      <c r="BM202" s="49">
        <f t="shared" si="1890"/>
        <v>42</v>
      </c>
      <c r="BN202" s="49">
        <f>SUM(AX202:BM202)-(45*8)</f>
        <v>8</v>
      </c>
      <c r="BO202" s="49">
        <f>SUM(AY202:BN202)-(45*8)</f>
        <v>13</v>
      </c>
      <c r="BP202" s="49">
        <f>SUM(AZ202:BO202)-(45*8)</f>
        <v>5</v>
      </c>
      <c r="BQ202" s="49">
        <f>SUM(BA202:BP202)-(45*8)</f>
        <v>7</v>
      </c>
      <c r="BR202" s="49">
        <f>SUM(BB202:BQ202)-(45*8)</f>
        <v>1</v>
      </c>
      <c r="BS202" s="49">
        <f>SUM(BC202:BR202)-(45*7)</f>
        <v>2</v>
      </c>
      <c r="BT202" s="49">
        <f>SUM(BD202:BS202)-(45*6)</f>
        <v>15</v>
      </c>
      <c r="BU202" s="49">
        <f>SUM(BE202:BT202)-(45*6)</f>
        <v>23</v>
      </c>
      <c r="BV202" s="49">
        <f>SUM(BF202:BU202)-(45*6)</f>
        <v>24</v>
      </c>
      <c r="BX202" s="332"/>
      <c r="CE202" s="334"/>
    </row>
    <row r="203" spans="2:83" s="358" customFormat="1" ht="17.25">
      <c r="B203" s="361"/>
      <c r="C203" s="44">
        <v>672</v>
      </c>
      <c r="D203" s="108" t="s">
        <v>476</v>
      </c>
      <c r="E203" s="48">
        <v>17</v>
      </c>
      <c r="F203" s="63">
        <v>27</v>
      </c>
      <c r="G203" s="63">
        <v>3</v>
      </c>
      <c r="H203" s="48">
        <f>SUM(E203:F203)-(45*0)</f>
        <v>44</v>
      </c>
      <c r="I203" s="48">
        <v>15</v>
      </c>
      <c r="J203" s="49">
        <f>SUM(E203:I203)-(45*2)</f>
        <v>16</v>
      </c>
      <c r="K203" s="49">
        <f>SUM(E203:J203)-(45*2)</f>
        <v>32</v>
      </c>
      <c r="L203" s="49">
        <f>SUM(E203:K203)-(45*3)</f>
        <v>19</v>
      </c>
      <c r="M203" s="49">
        <f>SUM(E203:L203)-(45*3)</f>
        <v>38</v>
      </c>
      <c r="N203" s="49">
        <f>SUM(E203:M203)-(45*4)</f>
        <v>31</v>
      </c>
      <c r="O203" s="49">
        <f>SUM(E203:N203)-(45*5)</f>
        <v>17</v>
      </c>
      <c r="P203" s="49">
        <f>SUM(E203:O203)-(45*5)</f>
        <v>34</v>
      </c>
      <c r="Q203" s="49">
        <f>SUM(F203:P203)-(45*6)</f>
        <v>6</v>
      </c>
      <c r="R203" s="49">
        <f>SUM(G203:Q203)-(45*5)</f>
        <v>30</v>
      </c>
      <c r="S203" s="49">
        <f>SUM(H203:R203)-(45*6)</f>
        <v>12</v>
      </c>
      <c r="T203" s="49">
        <f>SUM(I203:S203)-(45*5)</f>
        <v>25</v>
      </c>
      <c r="U203" s="49">
        <f>SUM(J203:T203)-(45*5)</f>
        <v>35</v>
      </c>
      <c r="V203" s="49">
        <f>SUM(K203:U203)-(45*6)</f>
        <v>9</v>
      </c>
      <c r="W203" s="49">
        <f>SUM(L203:V203)-(45*5)</f>
        <v>31</v>
      </c>
      <c r="X203" s="49">
        <f>SUM(M203:W203)-(45*5)</f>
        <v>43</v>
      </c>
      <c r="Y203" s="49">
        <f>SUM(N203:X203)-(45*6)</f>
        <v>3</v>
      </c>
      <c r="Z203" s="49">
        <f>SUM(O203:Y203)-(45*5)</f>
        <v>20</v>
      </c>
      <c r="AA203" s="49">
        <f>SUM(P203:Z203)-(45*5)</f>
        <v>23</v>
      </c>
      <c r="AB203" s="49">
        <f>SUM(Q203:AA203)-(45*5)</f>
        <v>12</v>
      </c>
      <c r="AC203" s="49">
        <f>SUM(M203:AB203)-(45*8)</f>
        <v>9</v>
      </c>
      <c r="AD203" s="49">
        <f>SUM(N203:AC203)-(45*7)</f>
        <v>25</v>
      </c>
      <c r="AE203" s="49">
        <f>SUM(O203:AD203)-(45*7)</f>
        <v>19</v>
      </c>
      <c r="AF203" s="49">
        <f>SUM(P203:AE203)-(45*7)</f>
        <v>21</v>
      </c>
      <c r="AG203" s="49">
        <f>SUM(Q203:AF203)-(45*7)</f>
        <v>8</v>
      </c>
      <c r="AH203" s="49">
        <f>SUM(R203:AG203)-(45*7)</f>
        <v>10</v>
      </c>
      <c r="AI203" s="49">
        <f>SUM(S203:AH203)-(45*6)</f>
        <v>35</v>
      </c>
      <c r="AJ203" s="49">
        <f>SUM(T203:AI203)-(45*7)</f>
        <v>13</v>
      </c>
      <c r="AK203" s="49">
        <f>SUM(U203:AJ203)-(45*7)</f>
        <v>1</v>
      </c>
      <c r="AL203" s="49">
        <f>SUM(V203:AK203)-(45*6)</f>
        <v>12</v>
      </c>
      <c r="AM203" s="49">
        <f>SUM(W203:AL203)-(45*6)</f>
        <v>15</v>
      </c>
      <c r="AN203" s="49">
        <f>SUM(X203:AM203)-(45*5)</f>
        <v>44</v>
      </c>
      <c r="AO203" s="49">
        <f>SUM(Y203:AN203)-(45*5)</f>
        <v>45</v>
      </c>
      <c r="AP203" s="49">
        <f>SUM(Z203:AO203)-(45*6)</f>
        <v>42</v>
      </c>
      <c r="AQ203" s="49">
        <f t="shared" ref="AQ203:AV203" si="1895">SUM(AA203:AP203)-(45*7)</f>
        <v>19</v>
      </c>
      <c r="AR203" s="49">
        <f t="shared" si="1895"/>
        <v>15</v>
      </c>
      <c r="AS203" s="49">
        <f t="shared" si="1895"/>
        <v>18</v>
      </c>
      <c r="AT203" s="49">
        <f t="shared" si="1895"/>
        <v>27</v>
      </c>
      <c r="AU203" s="49">
        <f t="shared" si="1895"/>
        <v>29</v>
      </c>
      <c r="AV203" s="49">
        <f t="shared" si="1895"/>
        <v>39</v>
      </c>
      <c r="AW203" s="49">
        <f>SUM(AG203:AV203)-(45*8)</f>
        <v>12</v>
      </c>
      <c r="AX203" s="49">
        <f>SUM(AH203:AW203)-(45*8)</f>
        <v>16</v>
      </c>
      <c r="AY203" s="49">
        <f>SUM(AI203:AX203)-(45*8)</f>
        <v>22</v>
      </c>
      <c r="AZ203" s="49">
        <f>SUM(AJ203:AY203)-(45*8)</f>
        <v>9</v>
      </c>
      <c r="BA203" s="49">
        <f>SUM(AK203:AZ203)-(45*8)</f>
        <v>5</v>
      </c>
      <c r="BB203" s="49">
        <f>SUM(AL203:BA203)-(45*8)</f>
        <v>9</v>
      </c>
      <c r="BC203" s="49">
        <f>SUM(AM203:BB203)-(45*8)</f>
        <v>6</v>
      </c>
      <c r="BD203" s="49">
        <f>SUM(AN203:BC203)-(45*7)</f>
        <v>42</v>
      </c>
      <c r="BE203" s="49">
        <f>SUM(AO203:BD203)-(45*7)</f>
        <v>40</v>
      </c>
      <c r="BF203" s="49">
        <f>SUM(AP203:BE203)-(45*7)</f>
        <v>35</v>
      </c>
      <c r="BG203" s="49">
        <f>SUM(AQ203:BF203)-(45*7)</f>
        <v>28</v>
      </c>
      <c r="BH203" s="49">
        <f>SUM(AR203:BG203)-(45*7)</f>
        <v>37</v>
      </c>
      <c r="BI203" s="49">
        <f>SUM(AS203:BH203)-(45*8)</f>
        <v>14</v>
      </c>
      <c r="BJ203" s="49">
        <f>SUM(AT203:BI203)-(45*8)</f>
        <v>10</v>
      </c>
      <c r="BK203" s="49">
        <f>SUM(AU203:BJ203)-(45*7)</f>
        <v>38</v>
      </c>
      <c r="BL203" s="49">
        <f>SUM(AV203:BK203)-(45*8)</f>
        <v>2</v>
      </c>
      <c r="BM203" s="49">
        <f t="shared" ref="BM203:BM204" si="1896">SUM(AW203:BL203)-(45*7)</f>
        <v>10</v>
      </c>
      <c r="BN203" s="49">
        <f>SUM(AX203:BM203)-(45*7)</f>
        <v>8</v>
      </c>
      <c r="BO203" s="49">
        <f>SUM(AY203:BN203)-(45*6)</f>
        <v>45</v>
      </c>
      <c r="BP203" s="49">
        <f>SUM(AZ203:BO203)-(45*7)</f>
        <v>23</v>
      </c>
      <c r="BQ203" s="49">
        <f>SUM(BA203:BP203)-(45*7)</f>
        <v>37</v>
      </c>
      <c r="BR203" s="49">
        <f>SUM(BB203:BQ203)-(45*8)</f>
        <v>24</v>
      </c>
      <c r="BS203" s="49">
        <f>SUM(BC203:BR203)-(45*8)</f>
        <v>39</v>
      </c>
      <c r="BT203" s="49">
        <f>SUM(BD203:BS203)-(45*9)</f>
        <v>27</v>
      </c>
      <c r="BU203" s="49">
        <f>SUM(BE203:BT203)-(45*9)</f>
        <v>12</v>
      </c>
      <c r="BV203" s="49">
        <f>SUM(BF203:BU203)-(45*8)</f>
        <v>29</v>
      </c>
      <c r="BX203" s="332"/>
      <c r="CE203" s="334"/>
    </row>
    <row r="204" spans="2:83" s="358" customFormat="1" ht="17.25">
      <c r="B204" s="363"/>
      <c r="C204" s="44">
        <v>673</v>
      </c>
      <c r="D204" s="108" t="s">
        <v>477</v>
      </c>
      <c r="E204" s="48">
        <v>24</v>
      </c>
      <c r="F204" s="63">
        <v>34</v>
      </c>
      <c r="G204" s="63">
        <v>4</v>
      </c>
      <c r="H204" s="48">
        <f>SUM(E204:F204)-(45*1)</f>
        <v>13</v>
      </c>
      <c r="I204" s="48">
        <v>16</v>
      </c>
      <c r="J204" s="49">
        <f>SUM(E204:I204)-(45*2)</f>
        <v>1</v>
      </c>
      <c r="K204" s="49">
        <f>SUM(E204:J204)-(45*2)</f>
        <v>2</v>
      </c>
      <c r="L204" s="49">
        <f>SUM(E204:K204)-(45*2)</f>
        <v>4</v>
      </c>
      <c r="M204" s="49">
        <f>SUM(E204:L204)-(45*2)</f>
        <v>8</v>
      </c>
      <c r="N204" s="49">
        <f>SUM(E204:M204)-(45*2)</f>
        <v>16</v>
      </c>
      <c r="O204" s="49">
        <f>SUM(E204:N204)-(45*2)</f>
        <v>32</v>
      </c>
      <c r="P204" s="49">
        <f>SUM(E204:O204)-(45*3)</f>
        <v>19</v>
      </c>
      <c r="Q204" s="49">
        <f>SUM(F204:P204)-(45*3)</f>
        <v>14</v>
      </c>
      <c r="R204" s="49">
        <f>SUM(G204:Q204)-(45*2)</f>
        <v>39</v>
      </c>
      <c r="S204" s="49">
        <f>SUM(H204:R204)-(45*3)</f>
        <v>29</v>
      </c>
      <c r="T204" s="49">
        <f>SUM(I204:S204)-(45*3)</f>
        <v>45</v>
      </c>
      <c r="U204" s="49">
        <f>SUM(J204:T204)-(45*4)</f>
        <v>29</v>
      </c>
      <c r="V204" s="49">
        <f>SUM(K204:U204)-(45*5)</f>
        <v>12</v>
      </c>
      <c r="W204" s="49">
        <f>SUM(L204:V204)-(45*5)</f>
        <v>22</v>
      </c>
      <c r="X204" s="49">
        <f>SUM(M204:W204)-(45*5)</f>
        <v>40</v>
      </c>
      <c r="Y204" s="49">
        <f>SUM(N204:X204)-(45*6)</f>
        <v>27</v>
      </c>
      <c r="Z204" s="49">
        <f>SUM(O204:Y204)-(45*6)</f>
        <v>38</v>
      </c>
      <c r="AA204" s="49">
        <f>SUM(P204:Z204)-(45*6)</f>
        <v>44</v>
      </c>
      <c r="AB204" s="49">
        <f>SUM(Q204:AA204)-(45*7)</f>
        <v>24</v>
      </c>
      <c r="AC204" s="49">
        <f>SUM(M204:AB204)-(45*9)</f>
        <v>33</v>
      </c>
      <c r="AD204" s="49">
        <f>SUM(N204:AC204)-(45*10)</f>
        <v>13</v>
      </c>
      <c r="AE204" s="49">
        <f>SUM(O204:AD204)-(45*10)</f>
        <v>10</v>
      </c>
      <c r="AF204" s="49">
        <f>SUM(P204:AE204)-(45*9)</f>
        <v>33</v>
      </c>
      <c r="AG204" s="49">
        <f>SUM(Q204:AF204)-(45*10)</f>
        <v>2</v>
      </c>
      <c r="AH204" s="49">
        <f t="shared" ref="AH204:AN204" si="1897">SUM(R204:AG204)-(45*9)</f>
        <v>35</v>
      </c>
      <c r="AI204" s="49">
        <f t="shared" si="1897"/>
        <v>31</v>
      </c>
      <c r="AJ204" s="49">
        <f t="shared" si="1897"/>
        <v>33</v>
      </c>
      <c r="AK204" s="49">
        <f t="shared" si="1897"/>
        <v>21</v>
      </c>
      <c r="AL204" s="49">
        <f t="shared" si="1897"/>
        <v>13</v>
      </c>
      <c r="AM204" s="49">
        <f t="shared" si="1897"/>
        <v>14</v>
      </c>
      <c r="AN204" s="49">
        <f t="shared" si="1897"/>
        <v>6</v>
      </c>
      <c r="AO204" s="49">
        <f>SUM(Y204:AN204)-(45*8)</f>
        <v>17</v>
      </c>
      <c r="AP204" s="49">
        <f>SUM(Z204:AO204)-(45*8)</f>
        <v>7</v>
      </c>
      <c r="AQ204" s="49">
        <f>SUM(AA204:AP204)-(45*7)</f>
        <v>21</v>
      </c>
      <c r="AR204" s="49">
        <f>SUM(AB204:AQ204)-(45*6)</f>
        <v>43</v>
      </c>
      <c r="AS204" s="49">
        <f>SUM(AC204:AR204)-(45*7)</f>
        <v>17</v>
      </c>
      <c r="AT204" s="49">
        <f>SUM(AD204:AS204)-(45*7)</f>
        <v>1</v>
      </c>
      <c r="AU204" s="49">
        <f>SUM(AE204:AT204)-(45*6)</f>
        <v>34</v>
      </c>
      <c r="AV204" s="49">
        <f>SUM(AF204:AU204)-(45*7)</f>
        <v>13</v>
      </c>
      <c r="AW204" s="49">
        <f>SUM(AG204:AV204)-(45*6)</f>
        <v>38</v>
      </c>
      <c r="AX204" s="49">
        <f>SUM(AH204:AW204)-(45*7)</f>
        <v>29</v>
      </c>
      <c r="AY204" s="49">
        <f>SUM(AI204:AX204)-(45*7)</f>
        <v>23</v>
      </c>
      <c r="AZ204" s="49">
        <f>SUM(AJ204:AY204)-(45*7)</f>
        <v>15</v>
      </c>
      <c r="BA204" s="49">
        <f>SUM(AK204:AZ204)-(45*6)</f>
        <v>42</v>
      </c>
      <c r="BB204" s="49">
        <f>SUM(AL204:BA204)-(45*7)</f>
        <v>18</v>
      </c>
      <c r="BC204" s="49">
        <f>SUM(AM204:BB204)-(45*7)</f>
        <v>23</v>
      </c>
      <c r="BD204" s="49">
        <f>SUM(AN204:BC204)-(45*7)</f>
        <v>32</v>
      </c>
      <c r="BE204" s="49">
        <f>SUM(AO204:BD204)-(45*8)</f>
        <v>13</v>
      </c>
      <c r="BF204" s="49">
        <f>SUM(AP204:BE204)-(45*8)</f>
        <v>9</v>
      </c>
      <c r="BG204" s="49">
        <f>SUM(AQ204:BF204)-(45*8)</f>
        <v>11</v>
      </c>
      <c r="BH204" s="49">
        <f>SUM(AR204:BG204)-(45*8)</f>
        <v>1</v>
      </c>
      <c r="BI204" s="49">
        <f>SUM(AS204:BH204)-(45*7)</f>
        <v>4</v>
      </c>
      <c r="BJ204" s="49">
        <f>SUM(AT204:BI204)-(45*6)</f>
        <v>36</v>
      </c>
      <c r="BK204" s="49">
        <f>SUM(AU204:BJ204)-(45*7)</f>
        <v>26</v>
      </c>
      <c r="BL204" s="49">
        <f t="shared" ref="BL204" si="1898">SUM(AV204:BK204)-(45*7)</f>
        <v>18</v>
      </c>
      <c r="BM204" s="49">
        <f t="shared" si="1896"/>
        <v>23</v>
      </c>
      <c r="BN204" s="49">
        <f>SUM(AX204:BM204)-(45*7)</f>
        <v>8</v>
      </c>
      <c r="BO204" s="49">
        <f>SUM(AY204:BN204)-(45*6)</f>
        <v>32</v>
      </c>
      <c r="BP204" s="49">
        <f>SUM(AZ204:BO204)-(45*6)</f>
        <v>41</v>
      </c>
      <c r="BQ204" s="49">
        <f>SUM(BA204:BP204)-(45*7)</f>
        <v>22</v>
      </c>
      <c r="BR204" s="49">
        <f>SUM(BB204:BQ204)-(45*7)</f>
        <v>2</v>
      </c>
      <c r="BS204" s="49">
        <f>SUM(BC204:BR204)-(45*6)</f>
        <v>31</v>
      </c>
      <c r="BT204" s="49">
        <f>SUM(BD204:BS204)-(45*6)</f>
        <v>39</v>
      </c>
      <c r="BU204" s="49">
        <f>SUM(BE204:BT204)-(45*7)</f>
        <v>1</v>
      </c>
      <c r="BV204" s="49">
        <f>SUM(BF204:BU204)-(45*6)</f>
        <v>34</v>
      </c>
      <c r="BX204" s="332"/>
      <c r="CE204" s="334"/>
    </row>
    <row r="205" spans="2:83" s="358" customFormat="1" ht="17.25">
      <c r="B205" s="366"/>
      <c r="C205" s="44">
        <v>674</v>
      </c>
      <c r="D205" s="108" t="s">
        <v>478</v>
      </c>
      <c r="E205" s="48">
        <v>31</v>
      </c>
      <c r="F205" s="63">
        <v>41</v>
      </c>
      <c r="G205" s="63">
        <v>5</v>
      </c>
      <c r="H205" s="48">
        <f>SUM(E205:F205)-(45*1)</f>
        <v>27</v>
      </c>
      <c r="I205" s="48">
        <v>17</v>
      </c>
      <c r="J205" s="49">
        <f>SUM(E205:I205)-(45*2)</f>
        <v>31</v>
      </c>
      <c r="K205" s="49">
        <f>SUM(E205:J205)-(45*3)</f>
        <v>17</v>
      </c>
      <c r="L205" s="49">
        <f>SUM(E205:K205)-(45*3)</f>
        <v>34</v>
      </c>
      <c r="M205" s="49">
        <f>SUM(E205:L205)-(45*4)</f>
        <v>23</v>
      </c>
      <c r="N205" s="49">
        <f>SUM(E205:M205)-(45*5)</f>
        <v>1</v>
      </c>
      <c r="O205" s="49">
        <f>SUM(E205:N205)-(45*5)</f>
        <v>2</v>
      </c>
      <c r="P205" s="49">
        <f>SUM(E205:O205)-(45*5)</f>
        <v>4</v>
      </c>
      <c r="Q205" s="49">
        <f>SUM(F205:P205)-(45*4)</f>
        <v>22</v>
      </c>
      <c r="R205" s="49">
        <f>SUM(G205:Q205)-(45*4)</f>
        <v>3</v>
      </c>
      <c r="S205" s="49">
        <f>SUM(H205:R205)-(45*4)</f>
        <v>1</v>
      </c>
      <c r="T205" s="49">
        <f>SUM(I205:S205)-(45*3)</f>
        <v>20</v>
      </c>
      <c r="U205" s="49">
        <f>SUM(J205:T205)-(45*3)</f>
        <v>23</v>
      </c>
      <c r="V205" s="49">
        <f>SUM(K205:U205)-(45*3)</f>
        <v>15</v>
      </c>
      <c r="W205" s="49">
        <f>SUM(L205:V205)-(45*3)</f>
        <v>13</v>
      </c>
      <c r="X205" s="49">
        <f>SUM(M205:W205)-(45*2)</f>
        <v>37</v>
      </c>
      <c r="Y205" s="49">
        <f>SUM(N205:X205)-(45*3)</f>
        <v>6</v>
      </c>
      <c r="Z205" s="49">
        <f>SUM(O205:Y205)-(45*3)</f>
        <v>11</v>
      </c>
      <c r="AA205" s="49">
        <f>SUM(P205:Z205)-(45*3)</f>
        <v>20</v>
      </c>
      <c r="AB205" s="49">
        <f>SUM(Q205:AA205)-(45*3)</f>
        <v>36</v>
      </c>
      <c r="AC205" s="49">
        <f>SUM(M205:AB205)-(45*5)</f>
        <v>12</v>
      </c>
      <c r="AD205" s="49">
        <f>SUM(N205:AC205)-(45*5)</f>
        <v>1</v>
      </c>
      <c r="AE205" s="49">
        <f>SUM(O205:AD205)-(45*5)</f>
        <v>1</v>
      </c>
      <c r="AF205" s="49">
        <f>SUM(P205:AE205)-(45*4)</f>
        <v>45</v>
      </c>
      <c r="AG205" s="49">
        <f>SUM(Q205:AF205)-(45*5)</f>
        <v>41</v>
      </c>
      <c r="AH205" s="49">
        <f>SUM(R205:AG205)-(45*6)</f>
        <v>15</v>
      </c>
      <c r="AI205" s="49">
        <f>SUM(S205:AH205)-(45*6)</f>
        <v>27</v>
      </c>
      <c r="AJ205" s="49">
        <f>SUM(T205:AI205)-(45*7)</f>
        <v>8</v>
      </c>
      <c r="AK205" s="49">
        <f>SUM(U205:AJ205)-(45*6)</f>
        <v>41</v>
      </c>
      <c r="AL205" s="49">
        <f>SUM(V205:AK205)-(45*7)</f>
        <v>14</v>
      </c>
      <c r="AM205" s="49">
        <f>SUM(W205:AL205)-(45*7)</f>
        <v>13</v>
      </c>
      <c r="AN205" s="49">
        <f>SUM(X205:AM205)-(45*7)</f>
        <v>13</v>
      </c>
      <c r="AO205" s="49">
        <f>SUM(Y205:AN205)-(45*6)</f>
        <v>34</v>
      </c>
      <c r="AP205" s="49">
        <f>SUM(Z205:AO205)-(45*7)</f>
        <v>17</v>
      </c>
      <c r="AQ205" s="49">
        <f t="shared" ref="AQ205" si="1899">SUM(AA205:AP205)-(45*7)</f>
        <v>23</v>
      </c>
      <c r="AR205" s="49">
        <f t="shared" ref="AR205" si="1900">SUM(AB205:AQ205)-(45*7)</f>
        <v>26</v>
      </c>
      <c r="AS205" s="49">
        <f t="shared" ref="AS205" si="1901">SUM(AC205:AR205)-(45*7)</f>
        <v>16</v>
      </c>
      <c r="AT205" s="49">
        <f t="shared" ref="AT205" si="1902">SUM(AD205:AS205)-(45*7)</f>
        <v>20</v>
      </c>
      <c r="AU205" s="49">
        <f t="shared" ref="AU205" si="1903">SUM(AE205:AT205)-(45*7)</f>
        <v>39</v>
      </c>
      <c r="AV205" s="49">
        <f>SUM(AF205:AU205)-(45*8)</f>
        <v>32</v>
      </c>
      <c r="AW205" s="49">
        <f>SUM(AG205:AV205)-(45*8)</f>
        <v>19</v>
      </c>
      <c r="AX205" s="49">
        <f>SUM(AH205:AW205)-(45*7)</f>
        <v>42</v>
      </c>
      <c r="AY205" s="49">
        <f>SUM(AI205:AX205)-(45*8)</f>
        <v>24</v>
      </c>
      <c r="AZ205" s="49">
        <f>SUM(AJ205:AY205)-(45*8)</f>
        <v>21</v>
      </c>
      <c r="BA205" s="49">
        <f>SUM(AK205:AZ205)-(45*8)</f>
        <v>34</v>
      </c>
      <c r="BB205" s="49">
        <f>SUM(AL205:BA205)-(45*8)</f>
        <v>27</v>
      </c>
      <c r="BC205" s="49">
        <f>SUM(AM205:BB205)-(45*8)</f>
        <v>40</v>
      </c>
      <c r="BD205" s="49">
        <f>SUM(AN205:BC205)-(45*9)</f>
        <v>22</v>
      </c>
      <c r="BE205" s="49">
        <f>SUM(AO205:BD205)-(45*9)</f>
        <v>31</v>
      </c>
      <c r="BF205" s="49">
        <f>SUM(AP205:BE205)-(45*9)</f>
        <v>28</v>
      </c>
      <c r="BG205" s="49">
        <f>SUM(AQ205:BF205)-(45*9)</f>
        <v>39</v>
      </c>
      <c r="BH205" s="49">
        <f>SUM(AR205:BG205)-(45*10)</f>
        <v>10</v>
      </c>
      <c r="BI205" s="49">
        <f>SUM(AS205:BH205)-(45*9)</f>
        <v>39</v>
      </c>
      <c r="BJ205" s="49">
        <f>SUM(AT205:BI205)-(45*10)</f>
        <v>17</v>
      </c>
      <c r="BK205" s="49">
        <f>SUM(AU205:BJ205)-(45*10)</f>
        <v>14</v>
      </c>
      <c r="BL205" s="49">
        <f>SUM(AV205:BK205)-(45*9)</f>
        <v>34</v>
      </c>
      <c r="BM205" s="49">
        <f>SUM(AW205:BL205)-(45*9)</f>
        <v>36</v>
      </c>
      <c r="BN205" s="49">
        <f>SUM(AX205:BM205)-(45*10)</f>
        <v>8</v>
      </c>
      <c r="BO205" s="49">
        <f>SUM(AY205:BN205)-(45*9)</f>
        <v>19</v>
      </c>
      <c r="BP205" s="49">
        <f>SUM(AZ205:BO205)-(45*9)</f>
        <v>14</v>
      </c>
      <c r="BQ205" s="49">
        <f>SUM(BA205:BP205)-(45*9)</f>
        <v>7</v>
      </c>
      <c r="BR205" s="49">
        <f>SUM(BB205:BQ205)-(45*8)</f>
        <v>25</v>
      </c>
      <c r="BS205" s="49">
        <f>SUM(BC205:BR205)-(45*8)</f>
        <v>23</v>
      </c>
      <c r="BT205" s="49">
        <f>SUM(BD205:BS205)-(45*8)</f>
        <v>6</v>
      </c>
      <c r="BU205" s="49">
        <f>SUM(BE205:BT205)-(45*7)</f>
        <v>35</v>
      </c>
      <c r="BV205" s="49">
        <f>SUM(BF205:BU205)-(45*7)</f>
        <v>39</v>
      </c>
      <c r="BX205" s="332"/>
      <c r="CE205" s="334"/>
    </row>
    <row r="206" spans="2:83" s="358" customFormat="1" ht="17.25">
      <c r="B206" s="367"/>
      <c r="C206" s="44">
        <v>675</v>
      </c>
      <c r="D206" s="108" t="s">
        <v>479</v>
      </c>
      <c r="E206" s="48">
        <v>7</v>
      </c>
      <c r="F206" s="63">
        <v>18</v>
      </c>
      <c r="G206" s="63">
        <v>1</v>
      </c>
      <c r="H206" s="48">
        <f>SUM(E206:F206)-(45*0)</f>
        <v>25</v>
      </c>
      <c r="I206" s="48">
        <v>18</v>
      </c>
      <c r="J206" s="49">
        <f>SUM(E206:I206)-(45*1)</f>
        <v>24</v>
      </c>
      <c r="K206" s="49">
        <f>SUM(E206:J206)-(45*2)</f>
        <v>3</v>
      </c>
      <c r="L206" s="49">
        <f>SUM(E206:K206)-(45*2)</f>
        <v>6</v>
      </c>
      <c r="M206" s="49">
        <f>SUM(E206:L206)-(45*2)</f>
        <v>12</v>
      </c>
      <c r="N206" s="49">
        <f>SUM(E206:M206)-(45*2)</f>
        <v>24</v>
      </c>
      <c r="O206" s="49">
        <f>SUM(E206:N206)-(45*3)</f>
        <v>3</v>
      </c>
      <c r="P206" s="49">
        <f>SUM(E206:O206)-(45*3)</f>
        <v>6</v>
      </c>
      <c r="Q206" s="49">
        <f>SUM(F206:P206)-(45*3)</f>
        <v>5</v>
      </c>
      <c r="R206" s="49">
        <f>SUM(G206:Q206)-(45*2)</f>
        <v>37</v>
      </c>
      <c r="S206" s="49">
        <f>SUM(H206:R206)-(45*3)</f>
        <v>28</v>
      </c>
      <c r="T206" s="49">
        <f>SUM(I206:S206)-(45*3)</f>
        <v>31</v>
      </c>
      <c r="U206" s="49">
        <f>SUM(J206:T206)-(45*3)</f>
        <v>44</v>
      </c>
      <c r="V206" s="49">
        <f>SUM(K206:U206)-(45*4)</f>
        <v>19</v>
      </c>
      <c r="W206" s="49">
        <f>SUM(L206:V206)-(45*4)</f>
        <v>35</v>
      </c>
      <c r="X206" s="49">
        <f t="shared" ref="X206:Z207" si="1904">SUM(M206:W206)-(45*5)</f>
        <v>19</v>
      </c>
      <c r="Y206" s="49">
        <f t="shared" si="1904"/>
        <v>26</v>
      </c>
      <c r="Z206" s="49">
        <f t="shared" si="1904"/>
        <v>28</v>
      </c>
      <c r="AA206" s="49">
        <f>SUM(P206:Z206)-(45*6)</f>
        <v>8</v>
      </c>
      <c r="AB206" s="49">
        <f>SUM(Q206:AA206)-(45*6)</f>
        <v>10</v>
      </c>
      <c r="AC206" s="49">
        <f>SUM(M206:AB206)-(45*7)</f>
        <v>20</v>
      </c>
      <c r="AD206" s="49">
        <f>SUM(N206:AC206)-(45*7)</f>
        <v>28</v>
      </c>
      <c r="AE206" s="49">
        <f>SUM(O206:AD206)-(45*7)</f>
        <v>32</v>
      </c>
      <c r="AF206" s="49">
        <f>SUM(P206:AE206)-(45*8)</f>
        <v>16</v>
      </c>
      <c r="AG206" s="49">
        <f>SUM(Q206:AF206)-(45*8)</f>
        <v>26</v>
      </c>
      <c r="AH206" s="49">
        <f t="shared" ref="AH206" si="1905">SUM(R206:AG206)-(45*9)</f>
        <v>2</v>
      </c>
      <c r="AI206" s="49">
        <f>SUM(S206:AH206)-(45*8)</f>
        <v>12</v>
      </c>
      <c r="AJ206" s="49">
        <f>SUM(T206:AI206)-(45*7)</f>
        <v>41</v>
      </c>
      <c r="AK206" s="49">
        <f>SUM(U206:AJ206)-(45*8)</f>
        <v>6</v>
      </c>
      <c r="AL206" s="49">
        <f>SUM(V206:AK206)-(45*7)</f>
        <v>13</v>
      </c>
      <c r="AM206" s="49">
        <f>SUM(W206:AL206)-(45*7)</f>
        <v>7</v>
      </c>
      <c r="AN206" s="49">
        <f>SUM(X206:AM206)-(45*6)</f>
        <v>24</v>
      </c>
      <c r="AO206" s="49">
        <f>SUM(Y206:AN206)-(45*6)</f>
        <v>29</v>
      </c>
      <c r="AP206" s="49">
        <f>SUM(Z206:AO206)-(45*6)</f>
        <v>32</v>
      </c>
      <c r="AQ206" s="49">
        <f>SUM(AA206:AP206)-(45*6)</f>
        <v>36</v>
      </c>
      <c r="AR206" s="49">
        <f>SUM(AB206:AQ206)-(45*7)</f>
        <v>19</v>
      </c>
      <c r="AS206" s="49">
        <f>SUM(AC206:AR206)-(45*7)</f>
        <v>28</v>
      </c>
      <c r="AT206" s="49">
        <f>SUM(AD206:AS206)-(45*7)</f>
        <v>36</v>
      </c>
      <c r="AU206" s="49">
        <f>SUM(AE206:AT206)-(45*7)</f>
        <v>44</v>
      </c>
      <c r="AV206" s="49">
        <f>SUM(AF206:AU206)-(45*8)</f>
        <v>11</v>
      </c>
      <c r="AW206" s="49">
        <f>SUM(AG206:AV206)-(45*8)</f>
        <v>6</v>
      </c>
      <c r="AX206" s="49">
        <f>SUM(AH206:AW206)-(45*7)</f>
        <v>31</v>
      </c>
      <c r="AY206" s="49">
        <f>SUM(AI206:AX206)-(45*8)</f>
        <v>15</v>
      </c>
      <c r="AZ206" s="49">
        <f>SUM(AJ206:AY206)-(45*8)</f>
        <v>18</v>
      </c>
      <c r="BA206" s="49">
        <f>SUM(AK206:AZ206)-(45*7)</f>
        <v>40</v>
      </c>
      <c r="BB206" s="49">
        <f>SUM(AL206:BA206)-(45*8)</f>
        <v>29</v>
      </c>
      <c r="BC206" s="49">
        <f>SUM(AM206:BB206)-(45*8)</f>
        <v>45</v>
      </c>
      <c r="BD206" s="49">
        <f>SUM(AN206:BC206)-(45*9)</f>
        <v>38</v>
      </c>
      <c r="BE206" s="49">
        <f>SUM(AO206:BD206)-(45*10)</f>
        <v>7</v>
      </c>
      <c r="BF206" s="49">
        <f>SUM(AP206:BE206)-(45*9)</f>
        <v>30</v>
      </c>
      <c r="BG206" s="49">
        <f>SUM(AQ206:BF206)-(45*9)</f>
        <v>28</v>
      </c>
      <c r="BH206" s="49">
        <f>SUM(AR206:BG206)-(45*9)</f>
        <v>20</v>
      </c>
      <c r="BI206" s="49">
        <f>SUM(AS206:BH206)-(45*9)</f>
        <v>21</v>
      </c>
      <c r="BJ206" s="49">
        <f>SUM(AT206:BI206)-(45*9)</f>
        <v>14</v>
      </c>
      <c r="BK206" s="49">
        <f>SUM(AU206:BJ206)-(45*8)</f>
        <v>37</v>
      </c>
      <c r="BL206" s="49">
        <f>SUM(AV206:BK206)-(45*8)</f>
        <v>30</v>
      </c>
      <c r="BM206" s="49">
        <f>SUM(AW206:BL206)-(45*9)</f>
        <v>4</v>
      </c>
      <c r="BN206" s="49">
        <f>SUM(AX206:BM206)-(45*9)</f>
        <v>2</v>
      </c>
      <c r="BO206" s="49">
        <f>SUM(AY206:BN206)-(45*8)</f>
        <v>18</v>
      </c>
      <c r="BP206" s="49">
        <f>SUM(AZ206:BO206)-(45*8)</f>
        <v>21</v>
      </c>
      <c r="BQ206" s="49">
        <f>SUM(BA206:BP206)-(45*8)</f>
        <v>24</v>
      </c>
      <c r="BR206" s="49">
        <f>SUM(BB206:BQ206)-(45*8)</f>
        <v>8</v>
      </c>
      <c r="BS206" s="49">
        <f>SUM(BC206:BR206)-(45*7)</f>
        <v>32</v>
      </c>
      <c r="BT206" s="49">
        <f>SUM(BD206:BS206)-(45*7)</f>
        <v>19</v>
      </c>
      <c r="BU206" s="49">
        <f>SUM(BE206:BT206)-(45*6)</f>
        <v>45</v>
      </c>
      <c r="BV206" s="49">
        <f>SUM(BF206:BU206)-(45*7)</f>
        <v>38</v>
      </c>
      <c r="BX206" s="332"/>
      <c r="CE206" s="334"/>
    </row>
    <row r="207" spans="2:83" s="369" customFormat="1" ht="17.25">
      <c r="B207" s="370"/>
      <c r="C207" s="44">
        <v>676</v>
      </c>
      <c r="D207" s="108" t="s">
        <v>480</v>
      </c>
      <c r="E207" s="48">
        <v>14</v>
      </c>
      <c r="F207" s="63">
        <v>25</v>
      </c>
      <c r="G207" s="63">
        <v>2</v>
      </c>
      <c r="H207" s="48">
        <f>SUM(E207:F207)-(45*0)</f>
        <v>39</v>
      </c>
      <c r="I207" s="48">
        <v>19</v>
      </c>
      <c r="J207" s="49">
        <f>SUM(E207:I207)-(45*2)</f>
        <v>9</v>
      </c>
      <c r="K207" s="49">
        <f>SUM(E207:J207)-(45*2)</f>
        <v>18</v>
      </c>
      <c r="L207" s="49">
        <f>SUM(E207:K207)-(45*2)</f>
        <v>36</v>
      </c>
      <c r="M207" s="49">
        <f>SUM(E207:L207)-(45*3)</f>
        <v>27</v>
      </c>
      <c r="N207" s="49">
        <f>SUM(E207:M207)-(45*4)</f>
        <v>9</v>
      </c>
      <c r="O207" s="49">
        <f>SUM(E207:N207)-(45*4)</f>
        <v>18</v>
      </c>
      <c r="P207" s="49">
        <f>SUM(E207:O207)-(45*4)</f>
        <v>36</v>
      </c>
      <c r="Q207" s="49">
        <f>SUM(F207:P207)-(45*5)</f>
        <v>13</v>
      </c>
      <c r="R207" s="49">
        <f>SUM(G207:Q207)-(45*5)</f>
        <v>1</v>
      </c>
      <c r="S207" s="49">
        <f>SUM(H207:R207)-(45*4)</f>
        <v>45</v>
      </c>
      <c r="T207" s="49">
        <f>SUM(I207:S207)-(45*5)</f>
        <v>6</v>
      </c>
      <c r="U207" s="49">
        <f>SUM(J207:T207)-(45*4)</f>
        <v>38</v>
      </c>
      <c r="V207" s="49">
        <f>SUM(K207:U207)-(45*5)</f>
        <v>22</v>
      </c>
      <c r="W207" s="49">
        <f>SUM(L207:V207)-(45*5)</f>
        <v>26</v>
      </c>
      <c r="X207" s="49">
        <f t="shared" si="1904"/>
        <v>16</v>
      </c>
      <c r="Y207" s="49">
        <f t="shared" si="1904"/>
        <v>5</v>
      </c>
      <c r="Z207" s="49">
        <f t="shared" si="1904"/>
        <v>1</v>
      </c>
      <c r="AA207" s="49">
        <f>SUM(P207:Z207)-(45*4)</f>
        <v>29</v>
      </c>
      <c r="AB207" s="49">
        <f>SUM(Q207:AA207)-(45*4)</f>
        <v>22</v>
      </c>
      <c r="AC207" s="49">
        <f>SUM(M207:AB207)-(45*6)</f>
        <v>44</v>
      </c>
      <c r="AD207" s="49">
        <f>SUM(N207:AC207)-(45*7)</f>
        <v>16</v>
      </c>
      <c r="AE207" s="49">
        <f>SUM(O207:AD207)-(45*7)</f>
        <v>23</v>
      </c>
      <c r="AF207" s="49">
        <f>SUM(P207:AE207)-(45*7)</f>
        <v>28</v>
      </c>
      <c r="AG207" s="49">
        <f>SUM(Q207:AF207)-(45*7)</f>
        <v>20</v>
      </c>
      <c r="AH207" s="49">
        <f>SUM(R207:AG207)-(45*7)</f>
        <v>27</v>
      </c>
      <c r="AI207" s="49">
        <f>SUM(S207:AH207)-(45*8)</f>
        <v>8</v>
      </c>
      <c r="AJ207" s="49">
        <f>SUM(T207:AI207)-(45*7)</f>
        <v>16</v>
      </c>
      <c r="AK207" s="49">
        <f>SUM(U207:AJ207)-(45*7)</f>
        <v>26</v>
      </c>
      <c r="AL207" s="49">
        <f>SUM(V207:AK207)-(45*7)</f>
        <v>14</v>
      </c>
      <c r="AM207" s="49">
        <f>SUM(W207:AL207)-(45*7)</f>
        <v>6</v>
      </c>
      <c r="AN207" s="49">
        <f>SUM(X207:AM207)-(45*6)</f>
        <v>31</v>
      </c>
      <c r="AO207" s="49">
        <f>SUM(Y207:AN207)-(45*7)</f>
        <v>1</v>
      </c>
      <c r="AP207" s="49">
        <f>SUM(Z207:AO207)-(45*6)</f>
        <v>42</v>
      </c>
      <c r="AQ207" s="49">
        <f t="shared" ref="AQ207" si="1906">SUM(AA207:AP207)-(45*7)</f>
        <v>38</v>
      </c>
      <c r="AR207" s="49">
        <f>SUM(AB207:AQ207)-(45*8)</f>
        <v>2</v>
      </c>
      <c r="AS207" s="49">
        <f t="shared" ref="AS207" si="1907">SUM(AC207:AR207)-(45*7)</f>
        <v>27</v>
      </c>
      <c r="AT207" s="49">
        <f t="shared" ref="AT207" si="1908">SUM(AD207:AS207)-(45*7)</f>
        <v>10</v>
      </c>
      <c r="AU207" s="49">
        <f t="shared" ref="AU207" si="1909">SUM(AE207:AT207)-(45*7)</f>
        <v>4</v>
      </c>
      <c r="AV207" s="49">
        <f>SUM(AF207:AU207)-(45*6)</f>
        <v>30</v>
      </c>
      <c r="AW207" s="49">
        <f>SUM(AG207:AV207)-(45*6)</f>
        <v>32</v>
      </c>
      <c r="AX207" s="49">
        <f>SUM(AH207:AW207)-(45*6)</f>
        <v>44</v>
      </c>
      <c r="AY207" s="49">
        <f>SUM(AI207:AX207)-(45*7)</f>
        <v>16</v>
      </c>
      <c r="AZ207" s="49">
        <f>SUM(AJ207:AY207)-(45*7)</f>
        <v>24</v>
      </c>
      <c r="BA207" s="49">
        <f>SUM(AK207:AZ207)-(45*7)</f>
        <v>32</v>
      </c>
      <c r="BB207" s="49">
        <f>SUM(AL207:BA207)-(45*7)</f>
        <v>38</v>
      </c>
      <c r="BC207" s="49">
        <f>SUM(AM207:BB207)-(45*8)</f>
        <v>17</v>
      </c>
      <c r="BD207" s="49">
        <f>SUM(AN207:BC207)-(45*8)</f>
        <v>28</v>
      </c>
      <c r="BE207" s="49">
        <f>SUM(AO207:BD207)-(45*8)</f>
        <v>25</v>
      </c>
      <c r="BF207" s="49">
        <f>SUM(AP207:BE207)-(45*9)</f>
        <v>4</v>
      </c>
      <c r="BG207" s="49">
        <f>SUM(AQ207:BF207)-(45*8)</f>
        <v>11</v>
      </c>
      <c r="BH207" s="49">
        <f>SUM(AR207:BG207)-(45*7)</f>
        <v>29</v>
      </c>
      <c r="BI207" s="49">
        <f>SUM(AS207:BH207)-(45*8)</f>
        <v>11</v>
      </c>
      <c r="BJ207" s="49">
        <f>SUM(AT207:BI207)-(45*7)</f>
        <v>40</v>
      </c>
      <c r="BK207" s="49">
        <f>SUM(AU207:BJ207)-(45*8)</f>
        <v>25</v>
      </c>
      <c r="BL207" s="49">
        <f>SUM(AV207:BK207)-(45*9)</f>
        <v>1</v>
      </c>
      <c r="BM207" s="49">
        <f>SUM(AW207:BL207)-(45*8)</f>
        <v>17</v>
      </c>
      <c r="BN207" s="49">
        <f>SUM(AX207:BM207)-(45*8)</f>
        <v>2</v>
      </c>
      <c r="BO207" s="49">
        <f>SUM(AY207:BN207)-(45*7)</f>
        <v>5</v>
      </c>
      <c r="BP207" s="49">
        <f>SUM(AZ207:BO207)-(45*6)</f>
        <v>39</v>
      </c>
      <c r="BQ207" s="49">
        <f>SUM(BA207:BP207)-(45*7)</f>
        <v>9</v>
      </c>
      <c r="BR207" s="49">
        <f>SUM(BB207:BQ207)-(45*6)</f>
        <v>31</v>
      </c>
      <c r="BS207" s="49">
        <f>SUM(BC207:BR207)-(45*6)</f>
        <v>24</v>
      </c>
      <c r="BT207" s="49">
        <f>SUM(BD207:BS207)-(45*6)</f>
        <v>31</v>
      </c>
      <c r="BU207" s="49">
        <f>SUM(BE207:BT207)-(45*6)</f>
        <v>34</v>
      </c>
      <c r="BV207" s="49">
        <f>SUM(BF207:BU207)-(45*6)</f>
        <v>43</v>
      </c>
      <c r="BX207" s="332"/>
      <c r="CE207" s="334"/>
    </row>
    <row r="208" spans="2:83" s="369" customFormat="1" ht="17.25">
      <c r="B208" s="371"/>
      <c r="C208" s="44">
        <v>677</v>
      </c>
      <c r="D208" s="108" t="s">
        <v>481</v>
      </c>
      <c r="E208" s="48">
        <v>21</v>
      </c>
      <c r="F208" s="63">
        <v>32</v>
      </c>
      <c r="G208" s="63">
        <v>3</v>
      </c>
      <c r="H208" s="48">
        <f>SUM(E208:F208)-(45*1)</f>
        <v>8</v>
      </c>
      <c r="I208" s="48">
        <v>20</v>
      </c>
      <c r="J208" s="49">
        <f>SUM(E208:I208)-(45*1)</f>
        <v>39</v>
      </c>
      <c r="K208" s="49">
        <f>SUM(E208:J208)-(45*2)</f>
        <v>33</v>
      </c>
      <c r="L208" s="49">
        <f>SUM(E208:K208)-(45*3)</f>
        <v>21</v>
      </c>
      <c r="M208" s="49">
        <f>SUM(E208:L208)-(45*3)</f>
        <v>42</v>
      </c>
      <c r="N208" s="49">
        <f>SUM(E208:M208)-(45*4)</f>
        <v>39</v>
      </c>
      <c r="O208" s="49">
        <f>SUM(E208:N208)-(45*5)</f>
        <v>33</v>
      </c>
      <c r="P208" s="49">
        <f t="shared" ref="P208:X208" si="1910">SUM(E208:O208)-(45*6)</f>
        <v>21</v>
      </c>
      <c r="Q208" s="49">
        <f t="shared" si="1910"/>
        <v>21</v>
      </c>
      <c r="R208" s="49">
        <f t="shared" si="1910"/>
        <v>10</v>
      </c>
      <c r="S208" s="49">
        <f t="shared" si="1910"/>
        <v>17</v>
      </c>
      <c r="T208" s="49">
        <f t="shared" si="1910"/>
        <v>26</v>
      </c>
      <c r="U208" s="49">
        <f t="shared" si="1910"/>
        <v>32</v>
      </c>
      <c r="V208" s="49">
        <f t="shared" si="1910"/>
        <v>25</v>
      </c>
      <c r="W208" s="49">
        <f t="shared" si="1910"/>
        <v>17</v>
      </c>
      <c r="X208" s="49">
        <f t="shared" si="1910"/>
        <v>13</v>
      </c>
      <c r="Y208" s="49">
        <f t="shared" ref="Y208" si="1911">SUM(N208:X208)-(45*5)</f>
        <v>29</v>
      </c>
      <c r="Z208" s="49">
        <f t="shared" ref="Z208" si="1912">SUM(O208:Y208)-(45*5)</f>
        <v>19</v>
      </c>
      <c r="AA208" s="49">
        <f>SUM(P208:Z208)-(45*5)</f>
        <v>5</v>
      </c>
      <c r="AB208" s="49">
        <f>SUM(Q208:AA208)-(45*4)</f>
        <v>34</v>
      </c>
      <c r="AC208" s="49">
        <f>SUM(M208:AB208)-(45*8)</f>
        <v>23</v>
      </c>
      <c r="AD208" s="49">
        <f>SUM(N208:AC208)-(45*8)</f>
        <v>4</v>
      </c>
      <c r="AE208" s="49">
        <f>SUM(O208:AD208)-(45*7)</f>
        <v>14</v>
      </c>
      <c r="AF208" s="49">
        <f>SUM(P208:AE208)-(45*6)</f>
        <v>40</v>
      </c>
      <c r="AG208" s="49">
        <f>SUM(Q208:AF208)-(45*7)</f>
        <v>14</v>
      </c>
      <c r="AH208" s="49">
        <f>SUM(R208:AG208)-(45*7)</f>
        <v>7</v>
      </c>
      <c r="AI208" s="49">
        <f>SUM(S208:AH208)-(45*7)</f>
        <v>4</v>
      </c>
      <c r="AJ208" s="49">
        <f>SUM(T208:AI208)-(45*6)</f>
        <v>36</v>
      </c>
      <c r="AK208" s="49">
        <f>SUM(U208:AJ208)-(45*7)</f>
        <v>1</v>
      </c>
      <c r="AL208" s="49">
        <f t="shared" ref="AL208:AM210" si="1913">SUM(V208:AK208)-(45*6)</f>
        <v>15</v>
      </c>
      <c r="AM208" s="49">
        <f t="shared" si="1913"/>
        <v>5</v>
      </c>
      <c r="AN208" s="49">
        <f>SUM(X208:AM208)-(45*5)</f>
        <v>38</v>
      </c>
      <c r="AO208" s="49">
        <f>SUM(Y208:AN208)-(45*6)</f>
        <v>18</v>
      </c>
      <c r="AP208" s="49">
        <f>SUM(Z208:AO208)-(45*6)</f>
        <v>7</v>
      </c>
      <c r="AQ208" s="49">
        <f>SUM(AA208:AP208)-(45*5)</f>
        <v>40</v>
      </c>
      <c r="AR208" s="49">
        <f>SUM(AB208:AQ208)-(45*6)</f>
        <v>30</v>
      </c>
      <c r="AS208" s="49">
        <f>SUM(AC208:AR208)-(45*6)</f>
        <v>26</v>
      </c>
      <c r="AT208" s="49">
        <f>SUM(AD208:AS208)-(45*6)</f>
        <v>29</v>
      </c>
      <c r="AU208" s="49">
        <f>SUM(AE208:AT208)-(45*7)</f>
        <v>9</v>
      </c>
      <c r="AV208" s="49">
        <f>SUM(AF208:AU208)-(45*7)</f>
        <v>4</v>
      </c>
      <c r="AW208" s="49">
        <f>SUM(AG208:AV208)-(45*6)</f>
        <v>13</v>
      </c>
      <c r="AX208" s="49">
        <f>SUM(AH208:AW208)-(45*6)</f>
        <v>12</v>
      </c>
      <c r="AY208" s="49">
        <f>SUM(AI208:AX208)-(45*6)</f>
        <v>17</v>
      </c>
      <c r="AZ208" s="49">
        <f>SUM(AJ208:AY208)-(45*6)</f>
        <v>30</v>
      </c>
      <c r="BA208" s="49">
        <f>SUM(AK208:AZ208)-(45*6)</f>
        <v>24</v>
      </c>
      <c r="BB208" s="49">
        <f>SUM(AL208:BA208)-(45*7)</f>
        <v>2</v>
      </c>
      <c r="BC208" s="49">
        <f>SUM(AM208:BB208)-(45*6)</f>
        <v>34</v>
      </c>
      <c r="BD208" s="49">
        <f>SUM(AN208:BC208)-(45*7)</f>
        <v>18</v>
      </c>
      <c r="BE208" s="49">
        <f>SUM(AO208:BD208)-(45*6)</f>
        <v>43</v>
      </c>
      <c r="BF208" s="49">
        <f>SUM(AP208:BE208)-(45*7)</f>
        <v>23</v>
      </c>
      <c r="BG208" s="49">
        <f>SUM(AQ208:BF208)-(45*7)</f>
        <v>39</v>
      </c>
      <c r="BH208" s="49">
        <f>SUM(AR208:BG208)-(45*7)</f>
        <v>38</v>
      </c>
      <c r="BI208" s="49">
        <f>SUM(AS208:BH208)-(45*8)</f>
        <v>1</v>
      </c>
      <c r="BJ208" s="49">
        <f>SUM(AT208:BI208)-(45*7)</f>
        <v>21</v>
      </c>
      <c r="BK208" s="49">
        <f>SUM(AU208:BJ208)-(45*7)</f>
        <v>13</v>
      </c>
      <c r="BL208" s="49">
        <f>SUM(AV208:BK208)-(45*7)</f>
        <v>17</v>
      </c>
      <c r="BM208" s="49">
        <f>SUM(AW208:BL208)-(45*7)</f>
        <v>30</v>
      </c>
      <c r="BN208" s="49">
        <f>SUM(AX208:BM208)-(45*8)</f>
        <v>2</v>
      </c>
      <c r="BO208" s="49">
        <f>SUM(AY208:BN208)-(45*7)</f>
        <v>37</v>
      </c>
      <c r="BP208" s="49">
        <f>SUM(AZ208:BO208)-(45*8)</f>
        <v>12</v>
      </c>
      <c r="BQ208" s="49">
        <f>SUM(BA208:BP208)-(45*7)</f>
        <v>39</v>
      </c>
      <c r="BR208" s="49">
        <f>SUM(BB208:BQ208)-(45*8)</f>
        <v>9</v>
      </c>
      <c r="BS208" s="49">
        <f>SUM(BC208:BR208)-(45*8)</f>
        <v>16</v>
      </c>
      <c r="BT208" s="49">
        <f>SUM(BD208:BS208)-(45*7)</f>
        <v>43</v>
      </c>
      <c r="BU208" s="49">
        <f>SUM(BE208:BT208)-(45*8)</f>
        <v>23</v>
      </c>
      <c r="BV208" s="49">
        <f>SUM(BF208:BU208)-(45*8)</f>
        <v>3</v>
      </c>
      <c r="BX208" s="332"/>
      <c r="CE208" s="334"/>
    </row>
    <row r="209" spans="2:83" s="369" customFormat="1" ht="17.25">
      <c r="B209" s="372"/>
      <c r="C209" s="44">
        <v>678</v>
      </c>
      <c r="D209" s="108" t="s">
        <v>482</v>
      </c>
      <c r="E209" s="48">
        <v>28</v>
      </c>
      <c r="F209" s="63">
        <v>39</v>
      </c>
      <c r="G209" s="63">
        <v>4</v>
      </c>
      <c r="H209" s="48">
        <f>SUM(E209:F209)-(45*1)</f>
        <v>22</v>
      </c>
      <c r="I209" s="48">
        <v>21</v>
      </c>
      <c r="J209" s="49">
        <f>SUM(E209:I209)-(45*2)</f>
        <v>24</v>
      </c>
      <c r="K209" s="49">
        <f>SUM(E209:J209)-(45*3)</f>
        <v>3</v>
      </c>
      <c r="L209" s="49">
        <f>SUM(E209:K209)-(45*3)</f>
        <v>6</v>
      </c>
      <c r="M209" s="49">
        <f>SUM(E209:L209)-(45*3)</f>
        <v>12</v>
      </c>
      <c r="N209" s="49">
        <f>SUM(E209:M209)-(45*3)</f>
        <v>24</v>
      </c>
      <c r="O209" s="49">
        <f>SUM(E209:N209)-(45*4)</f>
        <v>3</v>
      </c>
      <c r="P209" s="49">
        <f>SUM(E209:O209)-(45*4)</f>
        <v>6</v>
      </c>
      <c r="Q209" s="49">
        <f>SUM(F209:P209)-(45*3)</f>
        <v>29</v>
      </c>
      <c r="R209" s="49">
        <f>SUM(G209:Q209)-(45*3)</f>
        <v>19</v>
      </c>
      <c r="S209" s="49">
        <f>SUM(H209:R209)-(45*3)</f>
        <v>34</v>
      </c>
      <c r="T209" s="49">
        <f>SUM(I209:S209)-(45*4)</f>
        <v>1</v>
      </c>
      <c r="U209" s="49">
        <f>SUM(J209:T209)-(45*3)</f>
        <v>26</v>
      </c>
      <c r="V209" s="49">
        <f>SUM(K209:U209)-(45*3)</f>
        <v>28</v>
      </c>
      <c r="W209" s="49">
        <f>SUM(L209:V209)-(45*4)</f>
        <v>8</v>
      </c>
      <c r="X209" s="49">
        <f>SUM(M209:W209)-(45*4)</f>
        <v>10</v>
      </c>
      <c r="Y209" s="49">
        <f>SUM(N209:X209)-(45*4)</f>
        <v>8</v>
      </c>
      <c r="Z209" s="49">
        <f>SUM(O209:Y209)-(45*3)</f>
        <v>37</v>
      </c>
      <c r="AA209" s="49">
        <f>SUM(P209:Z209)-(45*4)</f>
        <v>26</v>
      </c>
      <c r="AB209" s="49">
        <f>SUM(Q209:AA209)-(45*5)</f>
        <v>1</v>
      </c>
      <c r="AC209" s="49">
        <f>SUM(M209:AB209)-(45*6)</f>
        <v>2</v>
      </c>
      <c r="AD209" s="49">
        <f>SUM(N209:AC209)-(45*5)</f>
        <v>37</v>
      </c>
      <c r="AE209" s="49">
        <f>SUM(O209:AD209)-(45*6)</f>
        <v>5</v>
      </c>
      <c r="AF209" s="49">
        <f>SUM(P209:AE209)-(45*6)</f>
        <v>7</v>
      </c>
      <c r="AG209" s="49">
        <f>SUM(Q209:AF209)-(45*6)</f>
        <v>8</v>
      </c>
      <c r="AH209" s="49">
        <f>SUM(R209:AG209)-(45*5)</f>
        <v>32</v>
      </c>
      <c r="AI209" s="49">
        <f>SUM(S209:AH209)-(45*5)</f>
        <v>45</v>
      </c>
      <c r="AJ209" s="49">
        <f>SUM(T209:AI209)-(45*6)</f>
        <v>11</v>
      </c>
      <c r="AK209" s="49">
        <f>SUM(U209:AJ209)-(45*6)</f>
        <v>21</v>
      </c>
      <c r="AL209" s="49">
        <f t="shared" si="1913"/>
        <v>16</v>
      </c>
      <c r="AM209" s="49">
        <f t="shared" si="1913"/>
        <v>4</v>
      </c>
      <c r="AN209" s="49">
        <f>SUM(X209:AM209)-(45*5)</f>
        <v>45</v>
      </c>
      <c r="AO209" s="49">
        <f>SUM(Y209:AN209)-(45*6)</f>
        <v>35</v>
      </c>
      <c r="AP209" s="49">
        <f>SUM(Z209:AO209)-(45*7)</f>
        <v>17</v>
      </c>
      <c r="AQ209" s="49">
        <f>SUM(AA209:AP209)-(45*6)</f>
        <v>42</v>
      </c>
      <c r="AR209" s="49">
        <f>SUM(AB209:AQ209)-(45*7)</f>
        <v>13</v>
      </c>
      <c r="AS209" s="49">
        <f t="shared" ref="AS209" si="1914">SUM(AC209:AR209)-(45*7)</f>
        <v>25</v>
      </c>
      <c r="AT209" s="49">
        <f>SUM(AD209:AS209)-(45*8)</f>
        <v>3</v>
      </c>
      <c r="AU209" s="49">
        <f t="shared" ref="AU209" si="1915">SUM(AE209:AT209)-(45*7)</f>
        <v>14</v>
      </c>
      <c r="AV209" s="49">
        <f>SUM(AF209:AU209)-(45*7)</f>
        <v>23</v>
      </c>
      <c r="AW209" s="49">
        <f>SUM(AG209:AV209)-(45*7)</f>
        <v>39</v>
      </c>
      <c r="AX209" s="49">
        <f>SUM(AH209:AW209)-(45*8)</f>
        <v>25</v>
      </c>
      <c r="AY209" s="49">
        <f>SUM(AI209:AX209)-(45*8)</f>
        <v>18</v>
      </c>
      <c r="AZ209" s="49">
        <f>SUM(AJ209:AY209)-(45*7)</f>
        <v>36</v>
      </c>
      <c r="BA209" s="49">
        <f>SUM(AK209:AZ209)-(45*8)</f>
        <v>16</v>
      </c>
      <c r="BB209" s="49">
        <f>SUM(AL209:BA209)-(45*8)</f>
        <v>11</v>
      </c>
      <c r="BC209" s="49">
        <f>SUM(AM209:BB209)-(45*8)</f>
        <v>6</v>
      </c>
      <c r="BD209" s="49">
        <f>SUM(AN209:BC209)-(45*8)</f>
        <v>8</v>
      </c>
      <c r="BE209" s="49">
        <f>SUM(AO209:BD209)-(45*7)</f>
        <v>16</v>
      </c>
      <c r="BF209" s="49">
        <f>SUM(AP209:BE209)-(45*6)</f>
        <v>42</v>
      </c>
      <c r="BG209" s="49">
        <f>SUM(AQ209:BF209)-(45*7)</f>
        <v>22</v>
      </c>
      <c r="BH209" s="49">
        <f>SUM(AR209:BG209)-(45*7)</f>
        <v>2</v>
      </c>
      <c r="BI209" s="49">
        <f>SUM(AS209:BH209)-(45*6)</f>
        <v>36</v>
      </c>
      <c r="BJ209" s="49">
        <f>SUM(AT209:BI209)-(45*7)</f>
        <v>2</v>
      </c>
      <c r="BK209" s="49">
        <f>SUM(AU209:BJ209)-(45*7)</f>
        <v>1</v>
      </c>
      <c r="BL209" s="49">
        <f>SUM(AV209:BK209)-(45*6)</f>
        <v>33</v>
      </c>
      <c r="BM209" s="49">
        <f>SUM(AW209:BL209)-(45*6)</f>
        <v>43</v>
      </c>
      <c r="BN209" s="49">
        <f>SUM(AX209:BM209)-(45*7)</f>
        <v>2</v>
      </c>
      <c r="BO209" s="49">
        <f>SUM(AY209:BN209)-(45*6)</f>
        <v>24</v>
      </c>
      <c r="BP209" s="49">
        <f>SUM(AZ209:BO209)-(45*6)</f>
        <v>30</v>
      </c>
      <c r="BQ209" s="49">
        <f>SUM(BA209:BP209)-(45*6)</f>
        <v>24</v>
      </c>
      <c r="BR209" s="49">
        <f>SUM(BB209:BQ209)-(45*6)</f>
        <v>32</v>
      </c>
      <c r="BS209" s="49">
        <f>SUM(BC209:BR209)-(45*7)</f>
        <v>8</v>
      </c>
      <c r="BT209" s="49">
        <f>SUM(BD209:BS209)-(45*7)</f>
        <v>10</v>
      </c>
      <c r="BU209" s="49">
        <f>SUM(BE209:BT209)-(45*7)</f>
        <v>12</v>
      </c>
      <c r="BV209" s="49">
        <f>SUM(BF209:BU209)-(45*7)</f>
        <v>8</v>
      </c>
      <c r="BX209" s="332"/>
      <c r="CE209" s="334"/>
    </row>
    <row r="210" spans="2:83" s="369" customFormat="1" ht="17.25">
      <c r="B210" s="373"/>
      <c r="C210" s="44">
        <v>679</v>
      </c>
      <c r="D210" s="108" t="s">
        <v>483</v>
      </c>
      <c r="E210" s="48">
        <v>5</v>
      </c>
      <c r="F210" s="63">
        <v>17</v>
      </c>
      <c r="G210" s="63">
        <v>1</v>
      </c>
      <c r="H210" s="48">
        <f>SUM(E210:F210)-(45*0)</f>
        <v>22</v>
      </c>
      <c r="I210" s="48">
        <v>22</v>
      </c>
      <c r="J210" s="49">
        <f>SUM(E210:I210)-(45*1)</f>
        <v>22</v>
      </c>
      <c r="K210" s="49">
        <f>SUM(E210:J210)-(45*1)</f>
        <v>44</v>
      </c>
      <c r="L210" s="49">
        <f>SUM(E210:K210)-(45*2)</f>
        <v>43</v>
      </c>
      <c r="M210" s="49">
        <f>SUM(E210:L210)-(45*3)</f>
        <v>41</v>
      </c>
      <c r="N210" s="49">
        <f>SUM(E210:M210)-(45*4)</f>
        <v>37</v>
      </c>
      <c r="O210" s="49">
        <f>SUM(E210:N210)-(45*5)</f>
        <v>29</v>
      </c>
      <c r="P210" s="49">
        <f t="shared" ref="P210" si="1916">SUM(E210:O210)-(45*6)</f>
        <v>13</v>
      </c>
      <c r="Q210" s="49">
        <f t="shared" ref="Q210" si="1917">SUM(F210:P210)-(45*6)</f>
        <v>21</v>
      </c>
      <c r="R210" s="49">
        <f t="shared" ref="R210" si="1918">SUM(G210:Q210)-(45*6)</f>
        <v>25</v>
      </c>
      <c r="S210" s="49">
        <f>SUM(H210:R210)-(45*7)</f>
        <v>4</v>
      </c>
      <c r="T210" s="49">
        <f t="shared" ref="T210" si="1919">SUM(I210:S210)-(45*6)</f>
        <v>31</v>
      </c>
      <c r="U210" s="49">
        <f t="shared" ref="U210" si="1920">SUM(J210:T210)-(45*6)</f>
        <v>40</v>
      </c>
      <c r="V210" s="49">
        <f>SUM(K210:U210)-(45*7)</f>
        <v>13</v>
      </c>
      <c r="W210" s="49">
        <f t="shared" ref="W210" si="1921">SUM(L210:V210)-(45*6)</f>
        <v>27</v>
      </c>
      <c r="X210" s="49">
        <f t="shared" ref="X210" si="1922">SUM(M210:W210)-(45*6)</f>
        <v>11</v>
      </c>
      <c r="Y210" s="49">
        <f t="shared" ref="Y210" si="1923">SUM(N210:X210)-(45*5)</f>
        <v>26</v>
      </c>
      <c r="Z210" s="49">
        <f t="shared" ref="Z210" si="1924">SUM(O210:Y210)-(45*5)</f>
        <v>15</v>
      </c>
      <c r="AA210" s="49">
        <f>SUM(P210:Z210)-(45*5)</f>
        <v>1</v>
      </c>
      <c r="AB210" s="49">
        <f>SUM(Q210:AA210)-(45*4)</f>
        <v>34</v>
      </c>
      <c r="AC210" s="49">
        <f>SUM(M210:AB210)-(45*8)</f>
        <v>8</v>
      </c>
      <c r="AD210" s="49">
        <f>SUM(N210:AC210)-(45*7)</f>
        <v>20</v>
      </c>
      <c r="AE210" s="49">
        <f>SUM(O210:AD210)-(45*7)</f>
        <v>3</v>
      </c>
      <c r="AF210" s="49">
        <f>SUM(P210:AE210)-(45*6)</f>
        <v>22</v>
      </c>
      <c r="AG210" s="49">
        <f>SUM(Q210:AF210)-(45*6)</f>
        <v>31</v>
      </c>
      <c r="AH210" s="49">
        <f>SUM(R210:AG210)-(45*6)</f>
        <v>41</v>
      </c>
      <c r="AI210" s="49">
        <f>SUM(S210:AH210)-(45*7)</f>
        <v>12</v>
      </c>
      <c r="AJ210" s="49">
        <f>SUM(T210:AI210)-(45*7)</f>
        <v>20</v>
      </c>
      <c r="AK210" s="49">
        <f>SUM(U210:AJ210)-(45*7)</f>
        <v>9</v>
      </c>
      <c r="AL210" s="49">
        <f t="shared" si="1913"/>
        <v>23</v>
      </c>
      <c r="AM210" s="49">
        <f t="shared" si="1913"/>
        <v>33</v>
      </c>
      <c r="AN210" s="49">
        <f>SUM(X210:AM210)-(45*6)</f>
        <v>39</v>
      </c>
      <c r="AO210" s="49">
        <f>SUM(Y210:AN210)-(45*7)</f>
        <v>22</v>
      </c>
      <c r="AP210" s="49">
        <f>SUM(Z210:AO210)-(45*7)</f>
        <v>18</v>
      </c>
      <c r="AQ210" s="49">
        <f>SUM(AA210:AP210)-(45*7)</f>
        <v>21</v>
      </c>
      <c r="AR210" s="49">
        <f>SUM(AB210:AQ210)-(45*7)</f>
        <v>41</v>
      </c>
      <c r="AS210" s="49">
        <f>SUM(AC210:AR210)-(45*8)</f>
        <v>3</v>
      </c>
      <c r="AT210" s="49">
        <f>SUM(AD210:AS210)-(45*7)</f>
        <v>43</v>
      </c>
      <c r="AU210" s="49">
        <f>SUM(AE210:AT210)-(45*8)</f>
        <v>21</v>
      </c>
      <c r="AV210" s="49">
        <f>SUM(AF210:AU210)-(45*8)</f>
        <v>39</v>
      </c>
      <c r="AW210" s="49">
        <f>SUM(AG210:AV210)-(45*9)</f>
        <v>11</v>
      </c>
      <c r="AX210" s="49">
        <f>SUM(AH210:AW210)-(45*8)</f>
        <v>36</v>
      </c>
      <c r="AY210" s="49">
        <f>SUM(AI210:AX210)-(45*8)</f>
        <v>31</v>
      </c>
      <c r="AZ210" s="49">
        <f>SUM(AJ210:AY210)-(45*9)</f>
        <v>5</v>
      </c>
      <c r="BA210" s="49">
        <f>SUM(AK210:AZ210)-(45*8)</f>
        <v>35</v>
      </c>
      <c r="BB210" s="49">
        <f>SUM(AL210:BA210)-(45*9)</f>
        <v>16</v>
      </c>
      <c r="BC210" s="49">
        <f>SUM(AM210:BB210)-(45*9)</f>
        <v>9</v>
      </c>
      <c r="BD210" s="49">
        <f t="shared" ref="BD210:BJ210" si="1925">SUM(AN210:BC210)-(45*8)</f>
        <v>30</v>
      </c>
      <c r="BE210" s="49">
        <f t="shared" si="1925"/>
        <v>21</v>
      </c>
      <c r="BF210" s="49">
        <f t="shared" si="1925"/>
        <v>20</v>
      </c>
      <c r="BG210" s="49">
        <f t="shared" si="1925"/>
        <v>22</v>
      </c>
      <c r="BH210" s="49">
        <f t="shared" si="1925"/>
        <v>23</v>
      </c>
      <c r="BI210" s="49">
        <f t="shared" si="1925"/>
        <v>5</v>
      </c>
      <c r="BJ210" s="49">
        <f t="shared" si="1925"/>
        <v>7</v>
      </c>
      <c r="BK210" s="49">
        <f>SUM(AU210:BJ210)-(45*7)</f>
        <v>16</v>
      </c>
      <c r="BL210" s="49">
        <f>SUM(AV210:BK210)-(45*7)</f>
        <v>11</v>
      </c>
      <c r="BM210" s="49">
        <f>SUM(AW210:BL210)-(45*6)</f>
        <v>28</v>
      </c>
      <c r="BN210" s="49">
        <f>SUM(AX210:BM210)-(45*6)</f>
        <v>45</v>
      </c>
      <c r="BO210" s="49">
        <f>SUM(AY210:BN210)-(45*7)</f>
        <v>9</v>
      </c>
      <c r="BP210" s="49">
        <f>SUM(AZ210:BO210)-(45*6)</f>
        <v>32</v>
      </c>
      <c r="BQ210" s="49">
        <f>SUM(BA210:BP210)-(45*7)</f>
        <v>14</v>
      </c>
      <c r="BR210" s="49">
        <f>SUM(BB210:BQ210)-(45*6)</f>
        <v>38</v>
      </c>
      <c r="BS210" s="49">
        <f>SUM(BC210:BR210)-(45*7)</f>
        <v>15</v>
      </c>
      <c r="BT210" s="49">
        <f>SUM(BD210:BS210)-(45*7)</f>
        <v>21</v>
      </c>
      <c r="BU210" s="49">
        <f>SUM(BE210:BT210)-(45*7)</f>
        <v>12</v>
      </c>
      <c r="BV210" s="49">
        <f>SUM(BF210:BU210)-(45*7)</f>
        <v>3</v>
      </c>
      <c r="BX210" s="332"/>
      <c r="CE210" s="334"/>
    </row>
    <row r="211" spans="2:83" s="369" customFormat="1" ht="17.25">
      <c r="B211" s="378"/>
      <c r="C211" s="44">
        <v>680</v>
      </c>
      <c r="D211" s="108" t="s">
        <v>484</v>
      </c>
      <c r="E211" s="48">
        <v>12</v>
      </c>
      <c r="F211" s="63">
        <v>24</v>
      </c>
      <c r="G211" s="63">
        <v>2</v>
      </c>
      <c r="H211" s="48">
        <f>SUM(E211:F211)-(45*0)</f>
        <v>36</v>
      </c>
      <c r="I211" s="48">
        <v>14</v>
      </c>
      <c r="J211" s="49">
        <f>SUM(E211:I211)-(45*1)</f>
        <v>43</v>
      </c>
      <c r="K211" s="49">
        <f>SUM(E211:J211)-(45*2)</f>
        <v>41</v>
      </c>
      <c r="L211" s="49">
        <f>SUM(E211:K211)-(45*3)</f>
        <v>37</v>
      </c>
      <c r="M211" s="49">
        <f>SUM(E211:L211)-(45*4)</f>
        <v>29</v>
      </c>
      <c r="N211" s="49">
        <f>SUM(E211:M211)-(45*5)</f>
        <v>13</v>
      </c>
      <c r="O211" s="49">
        <f>SUM(E211:N211)-(45*5)</f>
        <v>26</v>
      </c>
      <c r="P211" s="49">
        <f>SUM(E211:O211)-(45*6)</f>
        <v>7</v>
      </c>
      <c r="Q211" s="49">
        <f>SUM(F211:P211)-(45*6)</f>
        <v>2</v>
      </c>
      <c r="R211" s="49">
        <f>SUM(G211:Q211)-(45*5)</f>
        <v>25</v>
      </c>
      <c r="S211" s="49">
        <f>SUM(H211:R211)-(45*6)</f>
        <v>3</v>
      </c>
      <c r="T211" s="49">
        <f>SUM(I211:S211)-(45*5)</f>
        <v>15</v>
      </c>
      <c r="U211" s="49">
        <f>SUM(J211:T211)-(45*5)</f>
        <v>16</v>
      </c>
      <c r="V211" s="49">
        <f>SUM(K211:U211)-(45*4)</f>
        <v>34</v>
      </c>
      <c r="W211" s="49">
        <f>SUM(L211:V211)-(45*4)</f>
        <v>27</v>
      </c>
      <c r="X211" s="49">
        <f>SUM(M211:W211)-(45*4)</f>
        <v>17</v>
      </c>
      <c r="Y211" s="49">
        <f>SUM(N211:X211)-(45*4)</f>
        <v>5</v>
      </c>
      <c r="Z211" s="49">
        <f>SUM(O211:Y211)-(45*3)</f>
        <v>42</v>
      </c>
      <c r="AA211" s="49">
        <f>SUM(P211:Z211)-(45*4)</f>
        <v>13</v>
      </c>
      <c r="AB211" s="49">
        <f>SUM(Q211:AA211)-(45*4)</f>
        <v>19</v>
      </c>
      <c r="AC211" s="49">
        <f>SUM(M211:AB211)-(45*6)</f>
        <v>23</v>
      </c>
      <c r="AD211" s="49">
        <f>SUM(N211:AC211)-(45*6)</f>
        <v>17</v>
      </c>
      <c r="AE211" s="49">
        <f>SUM(O211:AD211)-(45*6)</f>
        <v>21</v>
      </c>
      <c r="AF211" s="49">
        <f>SUM(P211:AE211)-(45*6)</f>
        <v>16</v>
      </c>
      <c r="AG211" s="49">
        <f>SUM(Q211:AF211)-(45*6)</f>
        <v>25</v>
      </c>
      <c r="AH211" s="49">
        <f>SUM(R211:AG211)-(45*7)</f>
        <v>3</v>
      </c>
      <c r="AI211" s="49">
        <f>SUM(S211:AH211)-(45*6)</f>
        <v>26</v>
      </c>
      <c r="AJ211" s="49">
        <f>SUM(T211:AI211)-(45*7)</f>
        <v>4</v>
      </c>
      <c r="AK211" s="49">
        <f>SUM(U211:AJ211)-(45*6)</f>
        <v>38</v>
      </c>
      <c r="AL211" s="49">
        <f>SUM(V211:AK211)-(45*7)</f>
        <v>15</v>
      </c>
      <c r="AM211" s="49">
        <f t="shared" ref="AM211:AM212" si="1926">SUM(W211:AL211)-(45*6)</f>
        <v>41</v>
      </c>
      <c r="AN211" s="49">
        <f>SUM(X211:AM211)-(45*7)</f>
        <v>10</v>
      </c>
      <c r="AO211" s="49">
        <f>SUM(Y211:AN211)-(45*7)</f>
        <v>3</v>
      </c>
      <c r="AP211" s="49">
        <f>SUM(Z211:AO211)-(45*7)</f>
        <v>1</v>
      </c>
      <c r="AQ211" s="49">
        <f>SUM(AA211:AP211)-(45*6)</f>
        <v>5</v>
      </c>
      <c r="AR211" s="49">
        <f>SUM(AB211:AQ211)-(45*5)</f>
        <v>42</v>
      </c>
      <c r="AS211" s="49">
        <f>SUM(AC211:AR211)-(45*6)</f>
        <v>20</v>
      </c>
      <c r="AT211" s="49">
        <f>SUM(AD211:AS211)-(45*6)</f>
        <v>17</v>
      </c>
      <c r="AU211" s="49">
        <f>SUM(AE211:AT211)-(45*6)</f>
        <v>17</v>
      </c>
      <c r="AV211" s="49">
        <f>SUM(AF211:AU211)-(45*6)</f>
        <v>13</v>
      </c>
      <c r="AW211" s="49">
        <f>SUM(AG211:AV211)-(45*6)</f>
        <v>10</v>
      </c>
      <c r="AX211" s="49">
        <f>SUM(AH211:AW211)-(45*5)</f>
        <v>40</v>
      </c>
      <c r="AY211" s="49">
        <f>SUM(AI211:AX211)-(45*6)</f>
        <v>32</v>
      </c>
      <c r="AZ211" s="49">
        <f>SUM(AJ211:AY211)-(45*6)</f>
        <v>38</v>
      </c>
      <c r="BA211" s="49">
        <f>SUM(AK211:AZ211)-(45*7)</f>
        <v>27</v>
      </c>
      <c r="BB211" s="49">
        <f>SUM(AL211:BA211)-(45*7)</f>
        <v>16</v>
      </c>
      <c r="BC211" s="49">
        <f>SUM(AM211:BB211)-(45*7)</f>
        <v>17</v>
      </c>
      <c r="BD211" s="49">
        <f>SUM(AN211:BC211)-(45*6)</f>
        <v>38</v>
      </c>
      <c r="BE211" s="49">
        <f>SUM(AO211:BD211)-(45*7)</f>
        <v>21</v>
      </c>
      <c r="BF211" s="49">
        <f>SUM(AP211:BE211)-(45*7)</f>
        <v>39</v>
      </c>
      <c r="BG211" s="49">
        <f>SUM(AQ211:BF211)-(45*8)</f>
        <v>32</v>
      </c>
      <c r="BH211" s="49">
        <f>SUM(AR211:BG211)-(45*9)</f>
        <v>14</v>
      </c>
      <c r="BI211" s="49">
        <f>SUM(AS211:BH211)-(45*8)</f>
        <v>31</v>
      </c>
      <c r="BJ211" s="49">
        <f>SUM(AT211:BI211)-(45*8)</f>
        <v>42</v>
      </c>
      <c r="BK211" s="49">
        <f>SUM(AU211:BJ211)-(45*9)</f>
        <v>22</v>
      </c>
      <c r="BL211" s="49">
        <f>SUM(AV211:BK211)-(45*9)</f>
        <v>27</v>
      </c>
      <c r="BM211" s="49">
        <f>SUM(AW211:BL211)-(45*9)</f>
        <v>41</v>
      </c>
      <c r="BN211" s="49">
        <f>SUM(AX211:BM211)-(45*10)</f>
        <v>27</v>
      </c>
      <c r="BO211" s="49">
        <f>SUM(AY211:BN211)-(45*10)</f>
        <v>14</v>
      </c>
      <c r="BP211" s="49">
        <f>SUM(AZ211:BO211)-(45*9)</f>
        <v>41</v>
      </c>
      <c r="BQ211" s="49">
        <f>SUM(BA211:BP211)-(45*9)</f>
        <v>44</v>
      </c>
      <c r="BR211" s="49">
        <f>SUM(BB211:BQ211)-(45*10)</f>
        <v>16</v>
      </c>
      <c r="BS211" s="49">
        <f>SUM(BC211:BR211)-(45*10)</f>
        <v>16</v>
      </c>
      <c r="BT211" s="49">
        <f>SUM(BD211:BS211)-(45*10)</f>
        <v>15</v>
      </c>
      <c r="BU211" s="49">
        <f>SUM(BE211:BT211)-(45*9)</f>
        <v>37</v>
      </c>
      <c r="BV211" s="49">
        <f>SUM(BF211:BU211)-(45*10)</f>
        <v>8</v>
      </c>
      <c r="BX211" s="332"/>
      <c r="CE211" s="334"/>
    </row>
    <row r="212" spans="2:83" s="369" customFormat="1" ht="17.25">
      <c r="B212" s="380"/>
      <c r="C212" s="44">
        <v>681</v>
      </c>
      <c r="D212" s="108" t="s">
        <v>487</v>
      </c>
      <c r="E212" s="48">
        <v>19</v>
      </c>
      <c r="F212" s="63">
        <v>31</v>
      </c>
      <c r="G212" s="63">
        <v>3</v>
      </c>
      <c r="H212" s="48">
        <f>SUM(E212:F212)-(45*1)</f>
        <v>5</v>
      </c>
      <c r="I212" s="48">
        <v>15</v>
      </c>
      <c r="J212" s="49">
        <f>SUM(E212:I212)-(45*1)</f>
        <v>28</v>
      </c>
      <c r="K212" s="49">
        <f>SUM(E212:J212)-(45*2)</f>
        <v>11</v>
      </c>
      <c r="L212" s="49">
        <f>SUM(E212:K212)-(45*2)</f>
        <v>22</v>
      </c>
      <c r="M212" s="49">
        <f>SUM(E212:L212)-(45*2)</f>
        <v>44</v>
      </c>
      <c r="N212" s="49">
        <f>SUM(E212:M212)-(45*3)</f>
        <v>43</v>
      </c>
      <c r="O212" s="49">
        <f>SUM(E212:N212)-(45*4)</f>
        <v>41</v>
      </c>
      <c r="P212" s="49">
        <f>SUM(E212:O212)-(45*5)</f>
        <v>37</v>
      </c>
      <c r="Q212" s="49">
        <f t="shared" ref="Q212" si="1927">SUM(F212:P212)-(45*6)</f>
        <v>10</v>
      </c>
      <c r="R212" s="49">
        <f>SUM(G212:Q212)-(45*5)</f>
        <v>34</v>
      </c>
      <c r="S212" s="49">
        <f>SUM(H212:R212)-(45*6)</f>
        <v>20</v>
      </c>
      <c r="T212" s="49">
        <f t="shared" ref="T212" si="1928">SUM(I212:S212)-(45*6)</f>
        <v>35</v>
      </c>
      <c r="U212" s="49">
        <f>SUM(J212:T212)-(45*7)</f>
        <v>10</v>
      </c>
      <c r="V212" s="49">
        <f>SUM(K212:U212)-(45*6)</f>
        <v>37</v>
      </c>
      <c r="W212" s="49">
        <f>SUM(L212:V212)-(45*7)</f>
        <v>18</v>
      </c>
      <c r="X212" s="49">
        <f>SUM(M212:W212)-(45*7)</f>
        <v>14</v>
      </c>
      <c r="Y212" s="49">
        <f>SUM(N212:X212)-(45*6)</f>
        <v>29</v>
      </c>
      <c r="Z212" s="49">
        <f>SUM(O212:Y212)-(45*6)</f>
        <v>15</v>
      </c>
      <c r="AA212" s="49">
        <f>SUM(P212:Z212)-(45*5)</f>
        <v>34</v>
      </c>
      <c r="AB212" s="49">
        <f>SUM(Q212:AA212)-(45*5)</f>
        <v>31</v>
      </c>
      <c r="AC212" s="49">
        <f>SUM(M212:AB212)-(45*10)</f>
        <v>2</v>
      </c>
      <c r="AD212" s="49">
        <f>SUM(N212:AC212)-(45*9)</f>
        <v>5</v>
      </c>
      <c r="AE212" s="49">
        <f>SUM(O212:AD212)-(45*8)</f>
        <v>12</v>
      </c>
      <c r="AF212" s="49">
        <f>SUM(P212:AE212)-(45*7)</f>
        <v>28</v>
      </c>
      <c r="AG212" s="49">
        <f>SUM(Q212:AF212)-(45*7)</f>
        <v>19</v>
      </c>
      <c r="AH212" s="49">
        <f>SUM(R212:AG212)-(45*7)</f>
        <v>28</v>
      </c>
      <c r="AI212" s="49">
        <f>SUM(S212:AH212)-(45*7)</f>
        <v>22</v>
      </c>
      <c r="AJ212" s="49">
        <f>SUM(T212:AI212)-(45*7)</f>
        <v>24</v>
      </c>
      <c r="AK212" s="49">
        <f>SUM(U212:AJ212)-(45*7)</f>
        <v>13</v>
      </c>
      <c r="AL212" s="49">
        <f>SUM(V212:AK212)-(45*7)</f>
        <v>16</v>
      </c>
      <c r="AM212" s="49">
        <f t="shared" si="1926"/>
        <v>40</v>
      </c>
      <c r="AN212" s="49">
        <f>SUM(X212:AM212)-(45*7)</f>
        <v>17</v>
      </c>
      <c r="AO212" s="49">
        <f>SUM(Y212:AN212)-(45*7)</f>
        <v>20</v>
      </c>
      <c r="AP212" s="49">
        <f>SUM(Z212:AO212)-(45*7)</f>
        <v>11</v>
      </c>
      <c r="AQ212" s="49">
        <f>SUM(AA212:AP212)-(45*7)</f>
        <v>7</v>
      </c>
      <c r="AR212" s="49">
        <f>SUM(AB212:AQ212)-(45*6)</f>
        <v>25</v>
      </c>
      <c r="AS212" s="49">
        <f>SUM(AC212:AR212)-(45*6)</f>
        <v>19</v>
      </c>
      <c r="AT212" s="49">
        <f>SUM(AD212:AS212)-(45*6)</f>
        <v>36</v>
      </c>
      <c r="AU212" s="49">
        <f>SUM(AE212:AT212)-(45*7)</f>
        <v>22</v>
      </c>
      <c r="AV212" s="49">
        <f>SUM(AF212:AU212)-(45*7)</f>
        <v>32</v>
      </c>
      <c r="AW212" s="49">
        <f>SUM(AG212:AV212)-(45*7)</f>
        <v>36</v>
      </c>
      <c r="AX212" s="49">
        <f>SUM(AH212:AW212)-(45*8)</f>
        <v>8</v>
      </c>
      <c r="AY212" s="49">
        <f>SUM(AI212:AX212)-(45*7)</f>
        <v>33</v>
      </c>
      <c r="AZ212" s="49">
        <f>SUM(AJ212:AY212)-(45*7)</f>
        <v>44</v>
      </c>
      <c r="BA212" s="49">
        <f>SUM(AK212:AZ212)-(45*8)</f>
        <v>19</v>
      </c>
      <c r="BB212" s="49">
        <f>SUM(AL212:BA212)-(45*8)</f>
        <v>25</v>
      </c>
      <c r="BC212" s="49">
        <f>SUM(AM212:BB212)-(45*8)</f>
        <v>34</v>
      </c>
      <c r="BD212" s="49">
        <f t="shared" ref="BD212" si="1929">SUM(AN212:BC212)-(45*8)</f>
        <v>28</v>
      </c>
      <c r="BE212" s="49">
        <f t="shared" ref="BE212" si="1930">SUM(AO212:BD212)-(45*8)</f>
        <v>39</v>
      </c>
      <c r="BF212" s="49">
        <f>SUM(AP212:BE212)-(45*9)</f>
        <v>13</v>
      </c>
      <c r="BG212" s="49">
        <f>SUM(AQ212:BF212)-(45*9)</f>
        <v>15</v>
      </c>
      <c r="BH212" s="49">
        <f>SUM(AR212:BG212)-(45*9)</f>
        <v>23</v>
      </c>
      <c r="BI212" s="49">
        <f>SUM(AS212:BH212)-(45*9)</f>
        <v>21</v>
      </c>
      <c r="BJ212" s="49">
        <f>SUM(AT212:BI212)-(45*9)</f>
        <v>23</v>
      </c>
      <c r="BK212" s="49">
        <f>SUM(AU212:BJ212)-(45*9)</f>
        <v>10</v>
      </c>
      <c r="BL212" s="49">
        <f>SUM(AV212:BK212)-(45*8)</f>
        <v>43</v>
      </c>
      <c r="BM212" s="49">
        <f>SUM(AW212:BL212)-(45*9)</f>
        <v>9</v>
      </c>
      <c r="BN212" s="49">
        <f>SUM(AX212:BM212)-(45*8)</f>
        <v>27</v>
      </c>
      <c r="BO212" s="49">
        <f>SUM(AY212:BN212)-(45*9)</f>
        <v>1</v>
      </c>
      <c r="BP212" s="49">
        <f>SUM(AZ212:BO212)-(45*8)</f>
        <v>14</v>
      </c>
      <c r="BQ212" s="49">
        <f>SUM(BA212:BP212)-(45*7)</f>
        <v>29</v>
      </c>
      <c r="BR212" s="49">
        <f>SUM(BB212:BQ212)-(45*7)</f>
        <v>39</v>
      </c>
      <c r="BS212" s="49">
        <f>SUM(BC212:BR212)-(45*8)</f>
        <v>8</v>
      </c>
      <c r="BT212" s="49">
        <f>SUM(BD212:BS212)-(45*7)</f>
        <v>27</v>
      </c>
      <c r="BU212" s="49">
        <f>SUM(BE212:BT212)-(45*7)</f>
        <v>26</v>
      </c>
      <c r="BV212" s="49">
        <f>SUM(BF212:BU212)-(45*7)</f>
        <v>13</v>
      </c>
      <c r="BX212" s="332"/>
      <c r="CE212" s="334"/>
    </row>
    <row r="213" spans="2:83" s="369" customFormat="1" ht="17.25">
      <c r="B213" s="406"/>
      <c r="C213" s="44">
        <v>682</v>
      </c>
      <c r="D213" s="108" t="s">
        <v>488</v>
      </c>
      <c r="E213" s="48">
        <v>26</v>
      </c>
      <c r="F213" s="63">
        <v>38</v>
      </c>
      <c r="G213" s="63">
        <v>4</v>
      </c>
      <c r="H213" s="48">
        <f>SUM(E213:F213)-(45*1)</f>
        <v>19</v>
      </c>
      <c r="I213" s="48">
        <v>16</v>
      </c>
      <c r="J213" s="49">
        <f>SUM(E213:I213)-(45*2)</f>
        <v>13</v>
      </c>
      <c r="K213" s="49">
        <f>SUM(E213:J213)-(45*2)</f>
        <v>26</v>
      </c>
      <c r="L213" s="49">
        <f>SUM(E213:K213)-(45*3)</f>
        <v>7</v>
      </c>
      <c r="M213" s="49">
        <f>SUM(E213:L213)-(45*3)</f>
        <v>14</v>
      </c>
      <c r="N213" s="49">
        <f>SUM(E213:M213)-(45*3)</f>
        <v>28</v>
      </c>
      <c r="O213" s="49">
        <f>SUM(E213:N213)-(45*4)</f>
        <v>11</v>
      </c>
      <c r="P213" s="49">
        <f>SUM(E213:O213)-(45*4)</f>
        <v>22</v>
      </c>
      <c r="Q213" s="49">
        <f>SUM(F213:P213)-(45*4)</f>
        <v>18</v>
      </c>
      <c r="R213" s="49">
        <f>SUM(G213:Q213)-(45*3)</f>
        <v>43</v>
      </c>
      <c r="S213" s="49">
        <f>SUM(H213:R213)-(45*4)</f>
        <v>37</v>
      </c>
      <c r="T213" s="49">
        <f>SUM(I213:S213)-(45*5)</f>
        <v>10</v>
      </c>
      <c r="U213" s="49">
        <f>SUM(J213:T213)-(45*5)</f>
        <v>4</v>
      </c>
      <c r="V213" s="49">
        <f>SUM(K213:U213)-(45*4)</f>
        <v>40</v>
      </c>
      <c r="W213" s="49">
        <f>SUM(L213:V213)-(45*5)</f>
        <v>9</v>
      </c>
      <c r="X213" s="49">
        <f>SUM(M213:W213)-(45*5)</f>
        <v>11</v>
      </c>
      <c r="Y213" s="49">
        <f>SUM(N213:X213)-(45*5)</f>
        <v>8</v>
      </c>
      <c r="Z213" s="49">
        <f>SUM(O213:Y213)-(45*4)</f>
        <v>33</v>
      </c>
      <c r="AA213" s="49">
        <f>SUM(P213:Z213)-(45*5)</f>
        <v>10</v>
      </c>
      <c r="AB213" s="49">
        <f>SUM(Q213:AA213)-(45*4)</f>
        <v>43</v>
      </c>
      <c r="AC213" s="49">
        <f>SUM(M213:AB213)-(45*7)</f>
        <v>26</v>
      </c>
      <c r="AD213" s="49">
        <f>SUM(N213:AC213)-(45*7)</f>
        <v>38</v>
      </c>
      <c r="AE213" s="49">
        <f>SUM(O213:AD213)-(45*8)</f>
        <v>3</v>
      </c>
      <c r="AF213" s="49">
        <f>SUM(P213:AE213)-(45*7)</f>
        <v>40</v>
      </c>
      <c r="AG213" s="49">
        <f>SUM(Q213:AF213)-(45*8)</f>
        <v>13</v>
      </c>
      <c r="AH213" s="49">
        <f>SUM(R213:AG213)-(45*8)</f>
        <v>8</v>
      </c>
      <c r="AI213" s="49">
        <f>SUM(S213:AH213)-(45*7)</f>
        <v>18</v>
      </c>
      <c r="AJ213" s="49">
        <f>SUM(T213:AI213)-(45*6)</f>
        <v>44</v>
      </c>
      <c r="AK213" s="49">
        <f>SUM(U213:AJ213)-(45*7)</f>
        <v>33</v>
      </c>
      <c r="AL213" s="49">
        <f>SUM(V213:AK213)-(45*8)</f>
        <v>17</v>
      </c>
      <c r="AM213" s="49">
        <f>SUM(W213:AL213)-(45*7)</f>
        <v>39</v>
      </c>
      <c r="AN213" s="49">
        <f>SUM(X213:AM213)-(45*8)</f>
        <v>24</v>
      </c>
      <c r="AO213" s="49">
        <f>SUM(Y213:AN213)-(45*8)</f>
        <v>37</v>
      </c>
      <c r="AP213" s="49">
        <f>SUM(Z213:AO213)-(45*9)</f>
        <v>21</v>
      </c>
      <c r="AQ213" s="49">
        <f>SUM(AA213:AP213)-(45*9)</f>
        <v>9</v>
      </c>
      <c r="AR213" s="49">
        <f>SUM(AB213:AQ213)-(45*9)</f>
        <v>8</v>
      </c>
      <c r="AS213" s="49">
        <f>SUM(AC213:AR213)-(45*8)</f>
        <v>18</v>
      </c>
      <c r="AT213" s="49">
        <f>SUM(AD213:AS213)-(45*8)</f>
        <v>10</v>
      </c>
      <c r="AU213" s="49">
        <f>SUM(AE213:AT213)-(45*7)</f>
        <v>27</v>
      </c>
      <c r="AV213" s="49">
        <f>SUM(AF213:AU213)-(45*8)</f>
        <v>6</v>
      </c>
      <c r="AW213" s="49">
        <f>SUM(AG213:AV213)-(45*7)</f>
        <v>17</v>
      </c>
      <c r="AX213" s="49">
        <f>SUM(AH213:AW213)-(45*7)</f>
        <v>21</v>
      </c>
      <c r="AY213" s="49">
        <f>SUM(AI213:AX213)-(45*7)</f>
        <v>34</v>
      </c>
      <c r="AZ213" s="49">
        <f>SUM(AJ213:AY213)-(45*8)</f>
        <v>5</v>
      </c>
      <c r="BA213" s="49">
        <f>SUM(AK213:AZ213)-(45*7)</f>
        <v>11</v>
      </c>
      <c r="BB213" s="49">
        <f>SUM(AL213:BA213)-(45*6)</f>
        <v>34</v>
      </c>
      <c r="BC213" s="49">
        <f>SUM(AM213:BB213)-(45*7)</f>
        <v>6</v>
      </c>
      <c r="BD213" s="49">
        <f>SUM(AN213:BC213)-(45*6)</f>
        <v>18</v>
      </c>
      <c r="BE213" s="49">
        <f>SUM(AO213:BD213)-(45*6)</f>
        <v>12</v>
      </c>
      <c r="BF213" s="49">
        <f>SUM(AP213:BE213)-(45*5)</f>
        <v>32</v>
      </c>
      <c r="BG213" s="49">
        <f>SUM(AQ213:BF213)-(45*5)</f>
        <v>43</v>
      </c>
      <c r="BH213" s="49">
        <f>SUM(AR213:BG213)-(45*6)</f>
        <v>32</v>
      </c>
      <c r="BI213" s="49">
        <f>SUM(AS213:BH213)-(45*7)</f>
        <v>11</v>
      </c>
      <c r="BJ213" s="49">
        <f>SUM(AT213:BI213)-(45*7)</f>
        <v>4</v>
      </c>
      <c r="BK213" s="49">
        <f>SUM(AU213:BJ213)-(45*6)</f>
        <v>43</v>
      </c>
      <c r="BL213" s="49">
        <f>SUM(AV213:BK213)-(45*7)</f>
        <v>14</v>
      </c>
      <c r="BM213" s="49">
        <f>SUM(AW213:BL213)-(45*7)</f>
        <v>22</v>
      </c>
      <c r="BN213" s="49">
        <f>SUM(AX213:BM213)-(45*7)</f>
        <v>27</v>
      </c>
      <c r="BO213" s="49">
        <f>SUM(AY213:BN213)-(45*7)</f>
        <v>33</v>
      </c>
      <c r="BP213" s="49">
        <f>SUM(AZ213:BO213)-(45*7)</f>
        <v>32</v>
      </c>
      <c r="BQ213" s="49">
        <f>SUM(BA213:BP213)-(45*8)</f>
        <v>14</v>
      </c>
      <c r="BR213" s="49">
        <f>SUM(BB213:BQ213)-(45*8)</f>
        <v>17</v>
      </c>
      <c r="BS213" s="49">
        <f>SUM(BC213:BR213)-(45*7)</f>
        <v>45</v>
      </c>
      <c r="BT213" s="49">
        <f>SUM(BD213:BS213)-(45*8)</f>
        <v>39</v>
      </c>
      <c r="BU213" s="49">
        <f>SUM(BE213:BT213)-(45*9)</f>
        <v>15</v>
      </c>
      <c r="BV213" s="49">
        <f>SUM(BF213:BU213)-(45*9)</f>
        <v>18</v>
      </c>
      <c r="BX213" s="332"/>
      <c r="CE213" s="334"/>
    </row>
    <row r="214" spans="2:83" s="408" customFormat="1" ht="17.25">
      <c r="B214" s="414"/>
      <c r="C214" s="44">
        <v>683</v>
      </c>
      <c r="D214" s="108" t="s">
        <v>489</v>
      </c>
      <c r="E214" s="48">
        <v>2</v>
      </c>
      <c r="F214" s="63">
        <v>3</v>
      </c>
      <c r="G214" s="63">
        <v>1</v>
      </c>
      <c r="H214" s="48">
        <f>SUM(E214:F214)-(45*0)</f>
        <v>5</v>
      </c>
      <c r="I214" s="48">
        <v>17</v>
      </c>
      <c r="J214" s="49">
        <f>SUM(E214:I214)-(45*0)</f>
        <v>28</v>
      </c>
      <c r="K214" s="49">
        <f>SUM(E214:J214)-(45*1)</f>
        <v>11</v>
      </c>
      <c r="L214" s="49">
        <f>SUM(E214:K214)-(45*1)</f>
        <v>22</v>
      </c>
      <c r="M214" s="49">
        <f>SUM(E214:L214)-(45*1)</f>
        <v>44</v>
      </c>
      <c r="N214" s="49">
        <f>SUM(E214:M214)-(45*2)</f>
        <v>43</v>
      </c>
      <c r="O214" s="49">
        <f>SUM(E214:N214)-(45*3)</f>
        <v>41</v>
      </c>
      <c r="P214" s="49">
        <f>SUM(E214:O214)-(45*4)</f>
        <v>37</v>
      </c>
      <c r="Q214" s="49">
        <f>SUM(F214:P214)-(45*5)</f>
        <v>27</v>
      </c>
      <c r="R214" s="49">
        <f>SUM(G214:Q214)-(45*6)</f>
        <v>6</v>
      </c>
      <c r="S214" s="49">
        <f>SUM(H214:R214)-(45*6)</f>
        <v>11</v>
      </c>
      <c r="T214" s="49">
        <f t="shared" ref="T214" si="1931">SUM(I214:S214)-(45*6)</f>
        <v>17</v>
      </c>
      <c r="U214" s="49">
        <f>SUM(J214:T214)-(45*6)</f>
        <v>17</v>
      </c>
      <c r="V214" s="49">
        <f>SUM(K214:U214)-(45*6)</f>
        <v>6</v>
      </c>
      <c r="W214" s="49">
        <f>SUM(L214:V214)-(45*6)</f>
        <v>1</v>
      </c>
      <c r="X214" s="49">
        <f t="shared" ref="X214:Y216" si="1932">SUM(M214:W214)-(45*5)</f>
        <v>25</v>
      </c>
      <c r="Y214" s="49">
        <f t="shared" si="1932"/>
        <v>6</v>
      </c>
      <c r="Z214" s="49">
        <f>SUM(O214:Y214)-(45*4)</f>
        <v>14</v>
      </c>
      <c r="AA214" s="49">
        <f>SUM(P214:Z214)-(45*3)</f>
        <v>32</v>
      </c>
      <c r="AB214" s="49">
        <f>SUM(Q214:AA214)-(45*3)</f>
        <v>27</v>
      </c>
      <c r="AC214" s="49">
        <f>SUM(M214:AB214)-(45*7)</f>
        <v>39</v>
      </c>
      <c r="AD214" s="49">
        <f>SUM(N214:AC214)-(45*7)</f>
        <v>34</v>
      </c>
      <c r="AE214" s="49">
        <f>SUM(O214:AD214)-(45*7)</f>
        <v>25</v>
      </c>
      <c r="AF214" s="49">
        <f>SUM(P214:AE214)-(45*7)</f>
        <v>9</v>
      </c>
      <c r="AG214" s="49">
        <f>SUM(Q214:AF214)-(45*6)</f>
        <v>26</v>
      </c>
      <c r="AH214" s="49">
        <f>SUM(R214:AG214)-(45*6)</f>
        <v>25</v>
      </c>
      <c r="AI214" s="49">
        <f>SUM(S214:AH214)-(45*6)</f>
        <v>44</v>
      </c>
      <c r="AJ214" s="49">
        <f>SUM(T214:AI214)-(45*7)</f>
        <v>32</v>
      </c>
      <c r="AK214" s="49">
        <f>SUM(U214:AJ214)-(45*8)</f>
        <v>2</v>
      </c>
      <c r="AL214" s="49">
        <f>SUM(V214:AK214)-(45*7)</f>
        <v>32</v>
      </c>
      <c r="AM214" s="49">
        <f>SUM(W214:AL214)-(45*8)</f>
        <v>13</v>
      </c>
      <c r="AN214" s="49">
        <f>SUM(X214:AM214)-(45*8)</f>
        <v>25</v>
      </c>
      <c r="AO214" s="49">
        <f>SUM(Y214:AN214)-(45*8)</f>
        <v>25</v>
      </c>
      <c r="AP214" s="49">
        <f>SUM(Z214:AO214)-(45*8)</f>
        <v>44</v>
      </c>
      <c r="AQ214" s="49">
        <f>SUM(AA214:AP214)-(45*9)</f>
        <v>29</v>
      </c>
      <c r="AR214" s="49">
        <f>SUM(AB214:AQ214)-(45*9)</f>
        <v>26</v>
      </c>
      <c r="AS214" s="49">
        <f>SUM(AC214:AR214)-(45*9)</f>
        <v>25</v>
      </c>
      <c r="AT214" s="49">
        <f>SUM(AD214:AS214)-(45*9)</f>
        <v>11</v>
      </c>
      <c r="AU214" s="49">
        <f>SUM(AE214:AT214)-(45*8)</f>
        <v>33</v>
      </c>
      <c r="AV214" s="49">
        <f>SUM(AF214:AU214)-(45*8)</f>
        <v>41</v>
      </c>
      <c r="AW214" s="49">
        <f t="shared" ref="AW214:BC214" si="1933">SUM(AG214:AV214)-(45*9)</f>
        <v>28</v>
      </c>
      <c r="AX214" s="49">
        <f t="shared" si="1933"/>
        <v>30</v>
      </c>
      <c r="AY214" s="49">
        <f t="shared" si="1933"/>
        <v>35</v>
      </c>
      <c r="AZ214" s="49">
        <f t="shared" si="1933"/>
        <v>26</v>
      </c>
      <c r="BA214" s="49">
        <f t="shared" si="1933"/>
        <v>20</v>
      </c>
      <c r="BB214" s="49">
        <f t="shared" si="1933"/>
        <v>38</v>
      </c>
      <c r="BC214" s="49">
        <f t="shared" si="1933"/>
        <v>44</v>
      </c>
      <c r="BD214" s="49">
        <f>SUM(AN214:BC214)-(45*10)</f>
        <v>30</v>
      </c>
      <c r="BE214" s="49">
        <f>SUM(AO214:BD214)-(45*10)</f>
        <v>35</v>
      </c>
      <c r="BF214" s="49">
        <f>SUM(AP214:BE214)-(45*10)</f>
        <v>45</v>
      </c>
      <c r="BG214" s="49">
        <f>SUM(AQ214:BF214)-(45*11)</f>
        <v>1</v>
      </c>
      <c r="BH214" s="49">
        <f>SUM(AR214:BG214)-(45*10)</f>
        <v>18</v>
      </c>
      <c r="BI214" s="49">
        <f>SUM(AS214:BH214)-(45*10)</f>
        <v>10</v>
      </c>
      <c r="BJ214" s="49">
        <f>SUM(AT214:BI214)-(45*9)</f>
        <v>40</v>
      </c>
      <c r="BK214" s="49">
        <f>SUM(AU214:BJ214)-(45*10)</f>
        <v>24</v>
      </c>
      <c r="BL214" s="49">
        <f>SUM(AV214:BK214)-(45*10)</f>
        <v>15</v>
      </c>
      <c r="BM214" s="49">
        <f>SUM(AW214:BL214)-(45*9)</f>
        <v>34</v>
      </c>
      <c r="BN214" s="49">
        <f>SUM(AX214:BM214)-(45*9)</f>
        <v>40</v>
      </c>
      <c r="BO214" s="49">
        <f>SUM(AY214:BN214)-(45*10)</f>
        <v>5</v>
      </c>
      <c r="BP214" s="49">
        <f>SUM(AZ214:BO214)-(45*9)</f>
        <v>20</v>
      </c>
      <c r="BQ214" s="49">
        <f>SUM(BA214:BP214)-(45*9)</f>
        <v>14</v>
      </c>
      <c r="BR214" s="49">
        <f>SUM(BB214:BQ214)-(45*9)</f>
        <v>8</v>
      </c>
      <c r="BS214" s="49">
        <f>SUM(BC214:BR214)-(45*8)</f>
        <v>23</v>
      </c>
      <c r="BT214" s="49">
        <f>SUM(BD214:BS214)-(45*8)</f>
        <v>2</v>
      </c>
      <c r="BU214" s="49">
        <f>SUM(BE214:BT214)-(45*7)</f>
        <v>19</v>
      </c>
      <c r="BV214" s="49">
        <f>SUM(BF214:BU214)-(45*7)</f>
        <v>3</v>
      </c>
      <c r="BX214" s="413"/>
      <c r="CE214" s="409"/>
    </row>
    <row r="215" spans="2:83" s="408" customFormat="1" ht="17.25">
      <c r="B215" s="416"/>
      <c r="C215" s="44">
        <v>684</v>
      </c>
      <c r="D215" s="108" t="s">
        <v>490</v>
      </c>
      <c r="E215" s="48">
        <v>9</v>
      </c>
      <c r="F215" s="63">
        <v>10</v>
      </c>
      <c r="G215" s="63">
        <v>2</v>
      </c>
      <c r="H215" s="48">
        <f>SUM(E215:F215)-(45*0)</f>
        <v>19</v>
      </c>
      <c r="I215" s="48">
        <v>18</v>
      </c>
      <c r="J215" s="49">
        <f>SUM(E215:I215)-(45*1)</f>
        <v>13</v>
      </c>
      <c r="K215" s="49">
        <f>SUM(E215:J215)-(45*1)</f>
        <v>26</v>
      </c>
      <c r="L215" s="49">
        <f>SUM(E215:K215)-(45*2)</f>
        <v>7</v>
      </c>
      <c r="M215" s="49">
        <f>SUM(E215:L215)-(45*2)</f>
        <v>14</v>
      </c>
      <c r="N215" s="49">
        <f>SUM(E215:M215)-(45*2)</f>
        <v>28</v>
      </c>
      <c r="O215" s="49">
        <f>SUM(E215:N215)-(45*3)</f>
        <v>11</v>
      </c>
      <c r="P215" s="49">
        <f>SUM(E215:O215)-(45*3)</f>
        <v>22</v>
      </c>
      <c r="Q215" s="49">
        <f>SUM(F215:P215)-(45*3)</f>
        <v>35</v>
      </c>
      <c r="R215" s="49">
        <f>SUM(G215:Q215)-(45*4)</f>
        <v>15</v>
      </c>
      <c r="S215" s="49">
        <f>SUM(H215:R215)-(45*4)</f>
        <v>28</v>
      </c>
      <c r="T215" s="49">
        <f>SUM(I215:S215)-(45*4)</f>
        <v>37</v>
      </c>
      <c r="U215" s="49">
        <f>SUM(J215:T215)-(45*5)</f>
        <v>11</v>
      </c>
      <c r="V215" s="49">
        <f>SUM(K215:U215)-(45*5)</f>
        <v>9</v>
      </c>
      <c r="W215" s="49">
        <f>SUM(L215:V215)-(45*4)</f>
        <v>37</v>
      </c>
      <c r="X215" s="49">
        <f t="shared" si="1932"/>
        <v>22</v>
      </c>
      <c r="Y215" s="49">
        <f t="shared" si="1932"/>
        <v>30</v>
      </c>
      <c r="Z215" s="49">
        <f>SUM(O215:Y215)-(45*5)</f>
        <v>32</v>
      </c>
      <c r="AA215" s="49">
        <f>SUM(P215:Z215)-(45*6)</f>
        <v>8</v>
      </c>
      <c r="AB215" s="49">
        <f>SUM(Q215:AA215)-(45*5)</f>
        <v>39</v>
      </c>
      <c r="AC215" s="49">
        <f t="shared" ref="AC215:AH215" si="1934">SUM(M215:AB215)-(45*8)</f>
        <v>18</v>
      </c>
      <c r="AD215" s="49">
        <f t="shared" si="1934"/>
        <v>22</v>
      </c>
      <c r="AE215" s="49">
        <f t="shared" si="1934"/>
        <v>16</v>
      </c>
      <c r="AF215" s="49">
        <f t="shared" si="1934"/>
        <v>21</v>
      </c>
      <c r="AG215" s="49">
        <f t="shared" si="1934"/>
        <v>20</v>
      </c>
      <c r="AH215" s="49">
        <f t="shared" si="1934"/>
        <v>5</v>
      </c>
      <c r="AI215" s="49">
        <f>SUM(S215:AH215)-(45*7)</f>
        <v>40</v>
      </c>
      <c r="AJ215" s="49">
        <f>SUM(T215:AI215)-(45*8)</f>
        <v>7</v>
      </c>
      <c r="AK215" s="49">
        <f>SUM(U215:AJ215)-(45*7)</f>
        <v>22</v>
      </c>
      <c r="AL215" s="49">
        <f>SUM(V215:AK215)-(45*7)</f>
        <v>33</v>
      </c>
      <c r="AM215" s="49">
        <f>SUM(W215:AL215)-(45*8)</f>
        <v>12</v>
      </c>
      <c r="AN215" s="49">
        <f>SUM(X215:AM215)-(45*7)</f>
        <v>32</v>
      </c>
      <c r="AO215" s="49">
        <f>SUM(Y215:AN215)-(45*7)</f>
        <v>42</v>
      </c>
      <c r="AP215" s="49">
        <f>SUM(Z215:AO215)-(45*8)</f>
        <v>9</v>
      </c>
      <c r="AQ215" s="49">
        <f>SUM(AA215:AP215)-(45*7)</f>
        <v>31</v>
      </c>
      <c r="AR215" s="49">
        <f>SUM(AB215:AQ215)-(45*8)</f>
        <v>9</v>
      </c>
      <c r="AS215" s="49">
        <f>SUM(AC215:AR215)-(45*7)</f>
        <v>24</v>
      </c>
      <c r="AT215" s="49">
        <f>SUM(AD215:AS215)-(45*7)</f>
        <v>30</v>
      </c>
      <c r="AU215" s="49">
        <f>SUM(AE215:AT215)-(45*7)</f>
        <v>38</v>
      </c>
      <c r="AV215" s="49">
        <f>SUM(AF215:AU215)-(45*8)</f>
        <v>15</v>
      </c>
      <c r="AW215" s="49">
        <f>SUM(AG215:AV215)-(45*8)</f>
        <v>9</v>
      </c>
      <c r="AX215" s="49">
        <f>SUM(AH215:AW215)-(45*7)</f>
        <v>43</v>
      </c>
      <c r="AY215" s="49">
        <f>SUM(AI215:AX215)-(45*8)</f>
        <v>36</v>
      </c>
      <c r="AZ215" s="49">
        <f>SUM(AJ215:AY215)-(45*8)</f>
        <v>32</v>
      </c>
      <c r="BA215" s="49">
        <f>SUM(AK215:AZ215)-(45*9)</f>
        <v>12</v>
      </c>
      <c r="BB215" s="49">
        <f>SUM(AL215:BA215)-(45*9)</f>
        <v>2</v>
      </c>
      <c r="BC215" s="49">
        <f>SUM(AM215:BB215)-(45*8)</f>
        <v>16</v>
      </c>
      <c r="BD215" s="49">
        <f>SUM(AN215:BC215)-(45*8)</f>
        <v>20</v>
      </c>
      <c r="BE215" s="49">
        <f>SUM(AO215:BD215)-(45*8)</f>
        <v>8</v>
      </c>
      <c r="BF215" s="49">
        <f>SUM(AP215:BE215)-(45*7)</f>
        <v>19</v>
      </c>
      <c r="BG215" s="49">
        <f>SUM(AQ215:BF215)-(45*7)</f>
        <v>29</v>
      </c>
      <c r="BH215" s="49">
        <f>SUM(AR215:BG215)-(45*7)</f>
        <v>27</v>
      </c>
      <c r="BI215" s="49">
        <f>SUM(AS215:BH215)-(45*7)</f>
        <v>45</v>
      </c>
      <c r="BJ215" s="49">
        <f>SUM(AT215:BI215)-(45*8)</f>
        <v>21</v>
      </c>
      <c r="BK215" s="49">
        <f>SUM(AU215:BJ215)-(45*8)</f>
        <v>12</v>
      </c>
      <c r="BL215" s="49">
        <f>SUM(AV215:BK215)-(45*7)</f>
        <v>31</v>
      </c>
      <c r="BM215" s="49">
        <f>SUM(AW215:BL215)-(45*8)</f>
        <v>2</v>
      </c>
      <c r="BN215" s="49">
        <f>SUM(AX215:BM215)-(45*7)</f>
        <v>40</v>
      </c>
      <c r="BO215" s="49">
        <f>SUM(AY215:BN215)-(45*7)</f>
        <v>37</v>
      </c>
      <c r="BP215" s="49">
        <f>SUM(AZ215:BO215)-(45*7)</f>
        <v>38</v>
      </c>
      <c r="BQ215" s="49">
        <f>SUM(BA215:BP215)-(45*7)</f>
        <v>44</v>
      </c>
      <c r="BR215" s="49">
        <f>SUM(BB215:BQ215)-(45*8)</f>
        <v>31</v>
      </c>
      <c r="BS215" s="49">
        <f>SUM(BC215:BR215)-(45*9)</f>
        <v>15</v>
      </c>
      <c r="BT215" s="49">
        <f>SUM(BD215:BS215)-(45*9)</f>
        <v>14</v>
      </c>
      <c r="BU215" s="49">
        <f>SUM(BE215:BT215)-(45*9)</f>
        <v>8</v>
      </c>
      <c r="BV215" s="49">
        <f>SUM(BF215:BU215)-(45*9)</f>
        <v>8</v>
      </c>
      <c r="BX215" s="413"/>
      <c r="CE215" s="409"/>
    </row>
    <row r="216" spans="2:83" s="408" customFormat="1" ht="17.25">
      <c r="B216" s="417"/>
      <c r="C216" s="44">
        <v>685</v>
      </c>
      <c r="D216" s="108" t="s">
        <v>491</v>
      </c>
      <c r="E216" s="48">
        <v>16</v>
      </c>
      <c r="F216" s="63">
        <v>17</v>
      </c>
      <c r="G216" s="63">
        <v>3</v>
      </c>
      <c r="H216" s="48">
        <f>SUM(E216:F216)-(45*0)</f>
        <v>33</v>
      </c>
      <c r="I216" s="48">
        <v>19</v>
      </c>
      <c r="J216" s="49">
        <f>SUM(E216:I216)-(45*1)</f>
        <v>43</v>
      </c>
      <c r="K216" s="49">
        <f>SUM(E216:J216)-(45*2)</f>
        <v>41</v>
      </c>
      <c r="L216" s="49">
        <f>SUM(E216:K216)-(45*3)</f>
        <v>37</v>
      </c>
      <c r="M216" s="49">
        <f>SUM(E216:L216)-(45*4)</f>
        <v>29</v>
      </c>
      <c r="N216" s="49">
        <f>SUM(E216:M216)-(45*5)</f>
        <v>13</v>
      </c>
      <c r="O216" s="49">
        <f>SUM(E216:N216)-(45*5)</f>
        <v>26</v>
      </c>
      <c r="P216" s="49">
        <f>SUM(E216:O216)-(45*6)</f>
        <v>7</v>
      </c>
      <c r="Q216" s="49">
        <f>SUM(F216:P216)-(45*5)</f>
        <v>43</v>
      </c>
      <c r="R216" s="49">
        <f>SUM(G216:Q216)-(45*6)</f>
        <v>24</v>
      </c>
      <c r="S216" s="49">
        <f>SUM(H216:R216)-(45*6)</f>
        <v>45</v>
      </c>
      <c r="T216" s="49">
        <f>SUM(I216:S216)-(45*7)</f>
        <v>12</v>
      </c>
      <c r="U216" s="49">
        <f>SUM(J216:T216)-(45*7)</f>
        <v>5</v>
      </c>
      <c r="V216" s="49">
        <f>SUM(K216:U216)-(45*6)</f>
        <v>12</v>
      </c>
      <c r="W216" s="49">
        <f>SUM(L216:V216)-(45*5)</f>
        <v>28</v>
      </c>
      <c r="X216" s="49">
        <f t="shared" si="1932"/>
        <v>19</v>
      </c>
      <c r="Y216" s="49">
        <f t="shared" si="1932"/>
        <v>9</v>
      </c>
      <c r="Z216" s="49">
        <f>SUM(O216:Y216)-(45*5)</f>
        <v>5</v>
      </c>
      <c r="AA216" s="49">
        <f>SUM(P216:Z216)-(45*4)</f>
        <v>29</v>
      </c>
      <c r="AB216" s="49">
        <f>SUM(Q216:AA216)-(45*5)</f>
        <v>6</v>
      </c>
      <c r="AC216" s="49">
        <f>SUM(M216:AB216)-(45*6)</f>
        <v>42</v>
      </c>
      <c r="AD216" s="49">
        <f>SUM(N216:AC216)-(45*7)</f>
        <v>10</v>
      </c>
      <c r="AE216" s="49">
        <f>SUM(O216:AD216)-(45*7)</f>
        <v>7</v>
      </c>
      <c r="AF216" s="49">
        <f>SUM(P216:AE216)-(45*6)</f>
        <v>33</v>
      </c>
      <c r="AG216" s="49">
        <f>SUM(Q216:AF216)-(45*7)</f>
        <v>14</v>
      </c>
      <c r="AH216" s="49">
        <f>SUM(R216:AG216)-(45*6)</f>
        <v>30</v>
      </c>
      <c r="AI216" s="49">
        <f>SUM(S216:AH216)-(45*6)</f>
        <v>36</v>
      </c>
      <c r="AJ216" s="49">
        <f>SUM(T216:AI216)-(45*6)</f>
        <v>27</v>
      </c>
      <c r="AK216" s="49">
        <f>SUM(U216:AJ216)-(45*6)</f>
        <v>42</v>
      </c>
      <c r="AL216" s="49">
        <f>SUM(V216:AK216)-(45*7)</f>
        <v>34</v>
      </c>
      <c r="AM216" s="49">
        <f>SUM(W216:AL216)-(45*8)</f>
        <v>11</v>
      </c>
      <c r="AN216" s="49">
        <f>SUM(X216:AM216)-(45*7)</f>
        <v>39</v>
      </c>
      <c r="AO216" s="49">
        <f>SUM(Y216:AN216)-(45*8)</f>
        <v>14</v>
      </c>
      <c r="AP216" s="49">
        <f>SUM(Z216:AO216)-(45*8)</f>
        <v>19</v>
      </c>
      <c r="AQ216" s="49">
        <f>SUM(AA216:AP216)-(45*8)</f>
        <v>33</v>
      </c>
      <c r="AR216" s="49">
        <f>SUM(AB216:AQ216)-(45*8)</f>
        <v>37</v>
      </c>
      <c r="AS216" s="49">
        <f>SUM(AC216:AR216)-(45*9)</f>
        <v>23</v>
      </c>
      <c r="AT216" s="49">
        <f>SUM(AD216:AS216)-(45*9)</f>
        <v>4</v>
      </c>
      <c r="AU216" s="49">
        <f>SUM(AE216:AT216)-(45*8)</f>
        <v>43</v>
      </c>
      <c r="AV216" s="49">
        <f>SUM(AF216:AU216)-(45*9)</f>
        <v>34</v>
      </c>
      <c r="AW216" s="49">
        <f t="shared" ref="AW216" si="1935">SUM(AG216:AV216)-(45*9)</f>
        <v>35</v>
      </c>
      <c r="AX216" s="49">
        <f>SUM(AH216:AW216)-(45*10)</f>
        <v>11</v>
      </c>
      <c r="AY216" s="49">
        <f t="shared" ref="AY216" si="1936">SUM(AI216:AX216)-(45*9)</f>
        <v>37</v>
      </c>
      <c r="AZ216" s="49">
        <f t="shared" ref="AZ216" si="1937">SUM(AJ216:AY216)-(45*9)</f>
        <v>38</v>
      </c>
      <c r="BA216" s="49">
        <f>SUM(AK216:AZ216)-(45*10)</f>
        <v>4</v>
      </c>
      <c r="BB216" s="49">
        <f t="shared" ref="BB216" si="1938">SUM(AL216:BA216)-(45*9)</f>
        <v>11</v>
      </c>
      <c r="BC216" s="49">
        <f>SUM(AM216:BB216)-(45*8)</f>
        <v>33</v>
      </c>
      <c r="BD216" s="49">
        <f>SUM(AN216:BC216)-(45*9)</f>
        <v>10</v>
      </c>
      <c r="BE216" s="49">
        <f>SUM(AO216:BD216)-(45*8)</f>
        <v>26</v>
      </c>
      <c r="BF216" s="49">
        <f>SUM(AP216:BE216)-(45*8)</f>
        <v>38</v>
      </c>
      <c r="BG216" s="49">
        <f>SUM(AQ216:BF216)-(45*9)</f>
        <v>12</v>
      </c>
      <c r="BH216" s="49">
        <f>SUM(AR216:BG216)-(45*8)</f>
        <v>36</v>
      </c>
      <c r="BI216" s="49">
        <f>SUM(AS216:BH216)-(45*8)</f>
        <v>35</v>
      </c>
      <c r="BJ216" s="49">
        <f>SUM(AT216:BI216)-(45*9)</f>
        <v>2</v>
      </c>
      <c r="BK216" s="49">
        <f>SUM(AU216:BJ216)-(45*8)</f>
        <v>45</v>
      </c>
      <c r="BL216" s="49">
        <f>SUM(AV216:BK216)-(45*9)</f>
        <v>2</v>
      </c>
      <c r="BM216" s="49">
        <f>SUM(AW216:BL216)-(45*8)</f>
        <v>15</v>
      </c>
      <c r="BN216" s="49">
        <f>SUM(AX216:BM216)-(45*7)</f>
        <v>40</v>
      </c>
      <c r="BO216" s="49">
        <f>SUM(AY216:BN216)-(45*8)</f>
        <v>24</v>
      </c>
      <c r="BP216" s="49">
        <f>SUM(AZ216:BO216)-(45*8)</f>
        <v>11</v>
      </c>
      <c r="BQ216" s="49">
        <f>SUM(BA216:BP216)-(45*7)</f>
        <v>29</v>
      </c>
      <c r="BR216" s="49">
        <f>SUM(BB216:BQ216)-(45*8)</f>
        <v>9</v>
      </c>
      <c r="BS216" s="49">
        <f>SUM(BC216:BR216)-(45*8)</f>
        <v>7</v>
      </c>
      <c r="BT216" s="49">
        <f>SUM(BD216:BS216)-(45*7)</f>
        <v>26</v>
      </c>
      <c r="BU216" s="49">
        <f>SUM(BE216:BT216)-(45*7)</f>
        <v>42</v>
      </c>
      <c r="BV216" s="49">
        <f>SUM(BF216:BU216)-(45*8)</f>
        <v>13</v>
      </c>
      <c r="BX216" s="413"/>
      <c r="CE216" s="409"/>
    </row>
    <row r="217" spans="2:83" s="408" customFormat="1" ht="17.25">
      <c r="B217" s="419"/>
      <c r="C217" s="44">
        <v>686</v>
      </c>
      <c r="D217" s="108" t="s">
        <v>492</v>
      </c>
      <c r="E217" s="48">
        <v>23</v>
      </c>
      <c r="F217" s="63">
        <v>24</v>
      </c>
      <c r="G217" s="63">
        <v>4</v>
      </c>
      <c r="H217" s="48">
        <f>SUM(E217:F217)-(45*1)</f>
        <v>2</v>
      </c>
      <c r="I217" s="48">
        <v>20</v>
      </c>
      <c r="J217" s="49">
        <f>SUM(E217:I217)-(45*1)</f>
        <v>28</v>
      </c>
      <c r="K217" s="49">
        <f>SUM(E217:J217)-(45*2)</f>
        <v>11</v>
      </c>
      <c r="L217" s="49">
        <f>SUM(E217:K217)-(45*2)</f>
        <v>22</v>
      </c>
      <c r="M217" s="49">
        <f>SUM(E217:L217)-(45*2)</f>
        <v>44</v>
      </c>
      <c r="N217" s="49">
        <f>SUM(E217:M217)-(45*3)</f>
        <v>43</v>
      </c>
      <c r="O217" s="49">
        <f>SUM(E217:N217)-(45*4)</f>
        <v>41</v>
      </c>
      <c r="P217" s="49">
        <f>SUM(E217:O217)-(45*5)</f>
        <v>37</v>
      </c>
      <c r="Q217" s="49">
        <f>SUM(F217:P217)-(45*6)</f>
        <v>6</v>
      </c>
      <c r="R217" s="49">
        <f>SUM(G217:Q217)-(45*5)</f>
        <v>33</v>
      </c>
      <c r="S217" s="49">
        <f>SUM(H217:R217)-(45*6)</f>
        <v>17</v>
      </c>
      <c r="T217" s="49">
        <f>SUM(I217:S217)-(45*6)</f>
        <v>32</v>
      </c>
      <c r="U217" s="49">
        <f>SUM(J217:T217)-(45*6)</f>
        <v>44</v>
      </c>
      <c r="V217" s="49">
        <f>SUM(K217:U217)-(45*7)</f>
        <v>15</v>
      </c>
      <c r="W217" s="49">
        <f>SUM(L217:V217)-(45*7)</f>
        <v>19</v>
      </c>
      <c r="X217" s="49">
        <f>SUM(M217:W217)-(45*7)</f>
        <v>16</v>
      </c>
      <c r="Y217" s="49">
        <f>SUM(N217:X217)-(45*6)</f>
        <v>33</v>
      </c>
      <c r="Z217" s="49">
        <f>SUM(O217:Y217)-(45*6)</f>
        <v>23</v>
      </c>
      <c r="AA217" s="49">
        <f>SUM(P217:Z217)-(45*6)</f>
        <v>5</v>
      </c>
      <c r="AB217" s="49">
        <f>SUM(Q217:AA217)-(45*5)</f>
        <v>18</v>
      </c>
      <c r="AC217" s="49">
        <f>SUM(M217:AB217)-(45*9)</f>
        <v>21</v>
      </c>
      <c r="AD217" s="49">
        <f>SUM(N217:AC217)-(45*8)</f>
        <v>43</v>
      </c>
      <c r="AE217" s="49">
        <f>SUM(O217:AD217)-(45*8)</f>
        <v>43</v>
      </c>
      <c r="AF217" s="49">
        <f>SUM(P217:AE217)-(45*8)</f>
        <v>45</v>
      </c>
      <c r="AG217" s="49">
        <f>SUM(Q217:AF217)-(45*9)</f>
        <v>8</v>
      </c>
      <c r="AH217" s="49">
        <f>SUM(R217:AG217)-(45*9)</f>
        <v>10</v>
      </c>
      <c r="AI217" s="49">
        <f>SUM(S217:AH217)-(45*8)</f>
        <v>32</v>
      </c>
      <c r="AJ217" s="49">
        <f>SUM(T217:AI217)-(45*9)</f>
        <v>2</v>
      </c>
      <c r="AK217" s="49">
        <f>SUM(U217:AJ217)-(45*8)</f>
        <v>17</v>
      </c>
      <c r="AL217" s="49">
        <f>SUM(V217:AK217)-(45*7)</f>
        <v>35</v>
      </c>
      <c r="AM217" s="49">
        <f>SUM(W217:AL217)-(45*8)</f>
        <v>10</v>
      </c>
      <c r="AN217" s="49">
        <f>SUM(X217:AM217)-(45*8)</f>
        <v>1</v>
      </c>
      <c r="AO217" s="49">
        <f>SUM(Y217:AN217)-(45*7)</f>
        <v>31</v>
      </c>
      <c r="AP217" s="49">
        <f>SUM(Z217:AO217)-(45*7)</f>
        <v>29</v>
      </c>
      <c r="AQ217" s="49">
        <f>SUM(AA217:AP217)-(45*7)</f>
        <v>35</v>
      </c>
      <c r="AR217" s="49">
        <f>SUM(AB217:AQ217)-(45*8)</f>
        <v>20</v>
      </c>
      <c r="AS217" s="49">
        <f>SUM(AC217:AR217)-(45*8)</f>
        <v>22</v>
      </c>
      <c r="AT217" s="49">
        <f>SUM(AD217:AS217)-(45*8)</f>
        <v>23</v>
      </c>
      <c r="AU217" s="49">
        <f>SUM(AE217:AT217)-(45*8)</f>
        <v>3</v>
      </c>
      <c r="AV217" s="49">
        <f>SUM(AF217:AU217)-(45*7)</f>
        <v>8</v>
      </c>
      <c r="AW217" s="49">
        <f>SUM(AG217:AV217)-(45*6)</f>
        <v>16</v>
      </c>
      <c r="AX217" s="49">
        <f>SUM(AH217:AW217)-(45*6)</f>
        <v>24</v>
      </c>
      <c r="AY217" s="49">
        <f>SUM(AI217:AX217)-(45*6)</f>
        <v>38</v>
      </c>
      <c r="AZ217" s="49">
        <f>SUM(AJ217:AY217)-(45*6)</f>
        <v>44</v>
      </c>
      <c r="BA217" s="49">
        <f>SUM(AK217:AZ217)-(45*7)</f>
        <v>41</v>
      </c>
      <c r="BB217" s="49">
        <f>SUM(AL217:BA217)-(45*8)</f>
        <v>20</v>
      </c>
      <c r="BC217" s="49">
        <f>SUM(AM217:BB217)-(45*8)</f>
        <v>5</v>
      </c>
      <c r="BD217" s="49">
        <f>SUM(AN217:BC217)-(45*7)</f>
        <v>45</v>
      </c>
      <c r="BE217" s="49">
        <f>SUM(AO217:BD217)-(45*8)</f>
        <v>44</v>
      </c>
      <c r="BF217" s="49">
        <f>SUM(AP217:BE217)-(45*9)</f>
        <v>12</v>
      </c>
      <c r="BG217" s="49">
        <f>SUM(AQ217:BF217)-(45*8)</f>
        <v>40</v>
      </c>
      <c r="BH217" s="49">
        <f>SUM(AR217:BG217)-(45*8)</f>
        <v>45</v>
      </c>
      <c r="BI217" s="49">
        <f>SUM(AS217:BH217)-(45*9)</f>
        <v>25</v>
      </c>
      <c r="BJ217" s="49">
        <f>SUM(AT217:BI217)-(45*9)</f>
        <v>28</v>
      </c>
      <c r="BK217" s="49">
        <f>SUM(AU217:BJ217)-(45*9)</f>
        <v>33</v>
      </c>
      <c r="BL217" s="49">
        <f>SUM(AV217:BK217)-(45*10)</f>
        <v>18</v>
      </c>
      <c r="BM217" s="49">
        <f>SUM(AW217:BL217)-(45*10)</f>
        <v>28</v>
      </c>
      <c r="BN217" s="49">
        <f>SUM(AX217:BM217)-(45*10)</f>
        <v>40</v>
      </c>
      <c r="BO217" s="49">
        <f>SUM(AY217:BN217)-(45*11)</f>
        <v>11</v>
      </c>
      <c r="BP217" s="49">
        <f>SUM(AZ217:BO217)-(45*10)</f>
        <v>29</v>
      </c>
      <c r="BQ217" s="49">
        <f>SUM(BA217:BP217)-(45*10)</f>
        <v>14</v>
      </c>
      <c r="BR217" s="49">
        <f>SUM(BB217:BQ217)-(45*9)</f>
        <v>32</v>
      </c>
      <c r="BS217" s="49">
        <f>SUM(BC217:BR217)-(45*9)</f>
        <v>44</v>
      </c>
      <c r="BT217" s="49">
        <f>SUM(BD217:BS217)-(45*10)</f>
        <v>38</v>
      </c>
      <c r="BU217" s="49">
        <f>SUM(BE217:BT217)-(45*10)</f>
        <v>31</v>
      </c>
      <c r="BV217" s="49">
        <f>SUM(BF217:BU217)-(45*10)</f>
        <v>18</v>
      </c>
      <c r="BX217" s="413"/>
      <c r="CE217" s="409"/>
    </row>
    <row r="218" spans="2:83" s="408" customFormat="1" ht="17.25">
      <c r="B218" s="422"/>
      <c r="C218" s="44">
        <v>687</v>
      </c>
      <c r="D218" s="108" t="s">
        <v>493</v>
      </c>
      <c r="E218" s="48">
        <v>30</v>
      </c>
      <c r="F218" s="63">
        <v>31</v>
      </c>
      <c r="G218" s="63">
        <v>5</v>
      </c>
      <c r="H218" s="48">
        <f>SUM(E218:F218)-(45*1)</f>
        <v>16</v>
      </c>
      <c r="I218" s="48">
        <v>21</v>
      </c>
      <c r="J218" s="49">
        <f>SUM(E218:I218)-(45*2)</f>
        <v>13</v>
      </c>
      <c r="K218" s="49">
        <f>SUM(E218:J218)-(45*2)</f>
        <v>26</v>
      </c>
      <c r="L218" s="49">
        <f>SUM(E218:K218)-(45*3)</f>
        <v>7</v>
      </c>
      <c r="M218" s="49">
        <f>SUM(E218:L218)-(45*3)</f>
        <v>14</v>
      </c>
      <c r="N218" s="49">
        <f>SUM(E218:M218)-(45*3)</f>
        <v>28</v>
      </c>
      <c r="O218" s="49">
        <f>SUM(E218:N218)-(45*4)</f>
        <v>11</v>
      </c>
      <c r="P218" s="49">
        <f>SUM(E218:O218)-(45*4)</f>
        <v>22</v>
      </c>
      <c r="Q218" s="49">
        <f>SUM(F218:P218)-(45*4)</f>
        <v>14</v>
      </c>
      <c r="R218" s="49">
        <f>SUM(G218:Q218)-(45*3)</f>
        <v>42</v>
      </c>
      <c r="S218" s="49">
        <f>SUM(H218:R218)-(45*4)</f>
        <v>34</v>
      </c>
      <c r="T218" s="49">
        <f>SUM(I218:S218)-(45*5)</f>
        <v>7</v>
      </c>
      <c r="U218" s="49">
        <f>SUM(J218:T218)-(45*4)</f>
        <v>38</v>
      </c>
      <c r="V218" s="49">
        <f>SUM(K218:U218)-(45*5)</f>
        <v>18</v>
      </c>
      <c r="W218" s="49">
        <f>SUM(L218:V218)-(45*5)</f>
        <v>10</v>
      </c>
      <c r="X218" s="49">
        <f t="shared" ref="X218" si="1939">SUM(M218:W218)-(45*5)</f>
        <v>13</v>
      </c>
      <c r="Y218" s="49">
        <f t="shared" ref="Y218" si="1940">SUM(N218:X218)-(45*5)</f>
        <v>12</v>
      </c>
      <c r="Z218" s="49">
        <f>SUM(O218:Y218)-(45*4)</f>
        <v>41</v>
      </c>
      <c r="AA218" s="49">
        <f>SUM(P218:Z218)-(45*5)</f>
        <v>26</v>
      </c>
      <c r="AB218" s="49">
        <f>SUM(Q218:AA218)-(45*5)</f>
        <v>30</v>
      </c>
      <c r="AC218" s="49">
        <f>SUM(M218:AB218)-(45*7)</f>
        <v>45</v>
      </c>
      <c r="AD218" s="49">
        <f>SUM(N218:AC218)-(45*8)</f>
        <v>31</v>
      </c>
      <c r="AE218" s="49">
        <f>SUM(O218:AD218)-(45*8)</f>
        <v>34</v>
      </c>
      <c r="AF218" s="49">
        <f>SUM(P218:AE218)-(45*9)</f>
        <v>12</v>
      </c>
      <c r="AG218" s="49">
        <f>SUM(Q218:AF218)-(45*9)</f>
        <v>2</v>
      </c>
      <c r="AH218" s="49">
        <f>SUM(R218:AG218)-(45*8)</f>
        <v>35</v>
      </c>
      <c r="AI218" s="49">
        <f>SUM(S218:AH218)-(45*8)</f>
        <v>28</v>
      </c>
      <c r="AJ218" s="49">
        <f>SUM(T218:AI218)-(45*8)</f>
        <v>22</v>
      </c>
      <c r="AK218" s="49">
        <f>SUM(U218:AJ218)-(45*8)</f>
        <v>37</v>
      </c>
      <c r="AL218" s="49">
        <f>SUM(V218:AK218)-(45*8)</f>
        <v>36</v>
      </c>
      <c r="AM218" s="49">
        <f>SUM(W218:AL218)-(45*9)</f>
        <v>9</v>
      </c>
      <c r="AN218" s="49">
        <f>SUM(X218:AM218)-(45*9)</f>
        <v>8</v>
      </c>
      <c r="AO218" s="49">
        <f>SUM(Y218:AN218)-(45*9)</f>
        <v>3</v>
      </c>
      <c r="AP218" s="49">
        <f>SUM(Z218:AO218)-(45*8)</f>
        <v>39</v>
      </c>
      <c r="AQ218" s="49">
        <f>SUM(AA218:AP218)-(45*8)</f>
        <v>37</v>
      </c>
      <c r="AR218" s="49">
        <f>SUM(AB218:AQ218)-(45*9)</f>
        <v>3</v>
      </c>
      <c r="AS218" s="49">
        <f>SUM(AC218:AR218)-(45*8)</f>
        <v>21</v>
      </c>
      <c r="AT218" s="49">
        <f>SUM(AD218:AS218)-(45*7)</f>
        <v>42</v>
      </c>
      <c r="AU218" s="49">
        <f>SUM(AE218:AT218)-(45*8)</f>
        <v>8</v>
      </c>
      <c r="AV218" s="49">
        <f>SUM(AF218:AU218)-(45*7)</f>
        <v>27</v>
      </c>
      <c r="AW218" s="49">
        <f>SUM(AG218:AV218)-(45*7)</f>
        <v>42</v>
      </c>
      <c r="AX218" s="49">
        <f>SUM(AH218:AW218)-(45*8)</f>
        <v>37</v>
      </c>
      <c r="AY218" s="49">
        <f>SUM(AI218:AX218)-(45*8)</f>
        <v>39</v>
      </c>
      <c r="AZ218" s="49">
        <f t="shared" ref="AZ218" si="1941">SUM(AJ218:AY218)-(45*9)</f>
        <v>5</v>
      </c>
      <c r="BA218" s="49">
        <f>SUM(AK218:AZ218)-(45*8)</f>
        <v>33</v>
      </c>
      <c r="BB218" s="49">
        <f>SUM(AL218:BA218)-(45*8)</f>
        <v>29</v>
      </c>
      <c r="BC218" s="49">
        <f>SUM(AM218:BB218)-(45*8)</f>
        <v>22</v>
      </c>
      <c r="BD218" s="49">
        <f>SUM(AN218:BC218)-(45*8)</f>
        <v>35</v>
      </c>
      <c r="BE218" s="49">
        <f>SUM(AO218:BD218)-(45*9)</f>
        <v>17</v>
      </c>
      <c r="BF218" s="49">
        <f>SUM(AP218:BE218)-(45*9)</f>
        <v>31</v>
      </c>
      <c r="BG218" s="49">
        <f>SUM(AQ218:BF218)-(45*9)</f>
        <v>23</v>
      </c>
      <c r="BH218" s="49">
        <f>SUM(AR218:BG218)-(45*9)</f>
        <v>9</v>
      </c>
      <c r="BI218" s="49">
        <f>SUM(AS218:BH218)-(45*9)</f>
        <v>15</v>
      </c>
      <c r="BJ218" s="49">
        <f>SUM(AT218:BI218)-(45*9)</f>
        <v>9</v>
      </c>
      <c r="BK218" s="49">
        <f>SUM(AU218:BJ218)-(45*8)</f>
        <v>21</v>
      </c>
      <c r="BL218" s="49">
        <f>SUM(AV218:BK218)-(45*8)</f>
        <v>34</v>
      </c>
      <c r="BM218" s="49">
        <f>SUM(AW218:BL218)-(45*8)</f>
        <v>41</v>
      </c>
      <c r="BN218" s="49">
        <f>SUM(AX218:BM218)-(45*8)</f>
        <v>40</v>
      </c>
      <c r="BO218" s="49">
        <f>SUM(AY218:BN218)-(45*8)</f>
        <v>43</v>
      </c>
      <c r="BP218" s="49">
        <f>SUM(AZ218:BO218)-(45*9)</f>
        <v>2</v>
      </c>
      <c r="BQ218" s="49">
        <f>SUM(BA218:BP218)-(45*8)</f>
        <v>44</v>
      </c>
      <c r="BR218" s="49">
        <f>SUM(BB218:BQ218)-(45*9)</f>
        <v>10</v>
      </c>
      <c r="BS218" s="49">
        <f>SUM(BC218:BR218)-(45*8)</f>
        <v>36</v>
      </c>
      <c r="BT218" s="49">
        <f>SUM(BD218:BS218)-(45*9)</f>
        <v>5</v>
      </c>
      <c r="BU218" s="49">
        <f>SUM(BE218:BT218)-(45*8)</f>
        <v>20</v>
      </c>
      <c r="BV218" s="49">
        <f>SUM(BF218:BU218)-(45*8)</f>
        <v>23</v>
      </c>
      <c r="BX218" s="413"/>
      <c r="CE218" s="409"/>
    </row>
    <row r="219" spans="2:83" s="408" customFormat="1" ht="17.25">
      <c r="B219" s="424"/>
      <c r="C219" s="44">
        <v>688</v>
      </c>
      <c r="D219" s="108" t="s">
        <v>502</v>
      </c>
      <c r="E219" s="48">
        <v>6</v>
      </c>
      <c r="F219" s="63">
        <v>8</v>
      </c>
      <c r="G219" s="63">
        <v>1</v>
      </c>
      <c r="H219" s="48">
        <f>SUM(E219:F219)-(45*0)</f>
        <v>14</v>
      </c>
      <c r="I219" s="48">
        <v>22</v>
      </c>
      <c r="J219" s="49">
        <f>SUM(E219:I219)-(45*1)</f>
        <v>6</v>
      </c>
      <c r="K219" s="49">
        <f>SUM(E219:J219)-(45*1)</f>
        <v>12</v>
      </c>
      <c r="L219" s="49">
        <f>SUM(E219:K219)-(45*1)</f>
        <v>24</v>
      </c>
      <c r="M219" s="49">
        <f>SUM(E219:L219)-(45*2)</f>
        <v>3</v>
      </c>
      <c r="N219" s="49">
        <f>SUM(E219:M219)-(45*2)</f>
        <v>6</v>
      </c>
      <c r="O219" s="49">
        <f>SUM(E219:N219)-(45*2)</f>
        <v>12</v>
      </c>
      <c r="P219" s="49">
        <f>SUM(E219:O219)-(45*2)</f>
        <v>24</v>
      </c>
      <c r="Q219" s="49">
        <f>SUM(F219:P219)-(45*2)</f>
        <v>42</v>
      </c>
      <c r="R219" s="49">
        <f>SUM(G219:Q219)-(45*3)</f>
        <v>31</v>
      </c>
      <c r="S219" s="49">
        <f>SUM(H219:R219)-(45*4)</f>
        <v>16</v>
      </c>
      <c r="T219" s="49">
        <f>SUM(I219:S219)-(45*4)</f>
        <v>18</v>
      </c>
      <c r="U219" s="49">
        <f>SUM(J219:T219)-(45*4)</f>
        <v>14</v>
      </c>
      <c r="V219" s="49">
        <f>SUM(K219:U219)-(45*4)</f>
        <v>22</v>
      </c>
      <c r="W219" s="49">
        <f>SUM(L219:V219)-(45*4)</f>
        <v>32</v>
      </c>
      <c r="X219" s="49">
        <f>SUM(M219:W219)-(45*4)</f>
        <v>40</v>
      </c>
      <c r="Y219" s="49">
        <f>SUM(N219:X219)-(45*5)</f>
        <v>32</v>
      </c>
      <c r="Z219" s="49">
        <f>SUM(O219:Y219)-(45*6)</f>
        <v>13</v>
      </c>
      <c r="AA219" s="49">
        <f>SUM(P219:Z219)-(45*6)</f>
        <v>14</v>
      </c>
      <c r="AB219" s="49">
        <f>SUM(Q219:AA219)-(45*6)</f>
        <v>4</v>
      </c>
      <c r="AC219" s="49">
        <f>SUM(M219:AB219)-(45*7)</f>
        <v>8</v>
      </c>
      <c r="AD219" s="49">
        <f t="shared" ref="AD219:AK219" si="1942">SUM(N219:AC219)-(45*7)</f>
        <v>13</v>
      </c>
      <c r="AE219" s="49">
        <f t="shared" si="1942"/>
        <v>20</v>
      </c>
      <c r="AF219" s="49">
        <f t="shared" si="1942"/>
        <v>28</v>
      </c>
      <c r="AG219" s="49">
        <f t="shared" si="1942"/>
        <v>32</v>
      </c>
      <c r="AH219" s="49">
        <f t="shared" si="1942"/>
        <v>22</v>
      </c>
      <c r="AI219" s="49">
        <f t="shared" si="1942"/>
        <v>13</v>
      </c>
      <c r="AJ219" s="49">
        <f t="shared" si="1942"/>
        <v>10</v>
      </c>
      <c r="AK219" s="49">
        <f t="shared" si="1942"/>
        <v>2</v>
      </c>
      <c r="AL219" s="49">
        <f>SUM(V219:AK219)-(45*6)</f>
        <v>35</v>
      </c>
      <c r="AM219" s="49">
        <f>SUM(W219:AL219)-(45*7)</f>
        <v>3</v>
      </c>
      <c r="AN219" s="49">
        <f>SUM(X219:AM219)-(45*6)</f>
        <v>19</v>
      </c>
      <c r="AO219" s="49">
        <f>SUM(Y219:AN219)-(45*5)</f>
        <v>43</v>
      </c>
      <c r="AP219" s="49">
        <f>SUM(Z219:AO219)-(45*6)</f>
        <v>9</v>
      </c>
      <c r="AQ219" s="49">
        <f>SUM(AA219:AP219)-(45*6)</f>
        <v>5</v>
      </c>
      <c r="AR219" s="49">
        <f>SUM(AB219:AQ219)-(45*5)</f>
        <v>41</v>
      </c>
      <c r="AS219" s="49">
        <f>SUM(AC219:AR219)-(45*6)</f>
        <v>33</v>
      </c>
      <c r="AT219" s="49">
        <f>SUM(AD219:AS219)-(45*7)</f>
        <v>13</v>
      </c>
      <c r="AU219" s="49">
        <f>SUM(AE219:AT219)-(45*7)</f>
        <v>13</v>
      </c>
      <c r="AV219" s="49">
        <f>SUM(AF219:AU219)-(45*7)</f>
        <v>6</v>
      </c>
      <c r="AW219" s="49">
        <f>SUM(AG219:AV219)-(45*6)</f>
        <v>29</v>
      </c>
      <c r="AX219" s="49">
        <f>SUM(AH219:AW219)-(45*6)</f>
        <v>26</v>
      </c>
      <c r="AY219" s="49">
        <f>SUM(AI219:AX219)-(45*6)</f>
        <v>30</v>
      </c>
      <c r="AZ219" s="49">
        <f>SUM(AJ219:AY219)-(45*7)</f>
        <v>2</v>
      </c>
      <c r="BA219" s="49">
        <f>SUM(AK219:AZ219)-(45*6)</f>
        <v>39</v>
      </c>
      <c r="BB219" s="49">
        <f>SUM(AL219:BA219)-(45*7)</f>
        <v>31</v>
      </c>
      <c r="BC219" s="49">
        <f>SUM(AM219:BB219)-(45*7)</f>
        <v>27</v>
      </c>
      <c r="BD219" s="49">
        <f>SUM(AN219:BC219)-(45*8)</f>
        <v>6</v>
      </c>
      <c r="BE219" s="49">
        <f>SUM(AO219:BD219)-(45*7)</f>
        <v>38</v>
      </c>
      <c r="BF219" s="49">
        <f>SUM(AP219:BE219)-(45*7)</f>
        <v>33</v>
      </c>
      <c r="BG219" s="49">
        <f>SUM(AQ219:BF219)-(45*8)</f>
        <v>12</v>
      </c>
      <c r="BH219" s="49">
        <f>SUM(AR219:BG219)-(45*8)</f>
        <v>19</v>
      </c>
      <c r="BI219" s="49">
        <f>SUM(AS219:BH219)-(45*7)</f>
        <v>42</v>
      </c>
      <c r="BJ219" s="49">
        <f>SUM(AT219:BI219)-(45*8)</f>
        <v>6</v>
      </c>
      <c r="BK219" s="49">
        <f>SUM(AU219:BJ219)-(45*7)</f>
        <v>44</v>
      </c>
      <c r="BL219" s="49">
        <f>SUM(AV219:BK219)-(45*8)</f>
        <v>30</v>
      </c>
      <c r="BM219" s="49">
        <f>SUM(AW219:BL219)-(45*9)</f>
        <v>9</v>
      </c>
      <c r="BN219" s="49">
        <f>SUM(AX219:BM219)-(45*8)</f>
        <v>34</v>
      </c>
      <c r="BO219" s="49">
        <f>SUM(AY219:BN219)-(45*8)</f>
        <v>42</v>
      </c>
      <c r="BP219" s="49">
        <f>SUM(AZ219:BO219)-(45*9)</f>
        <v>9</v>
      </c>
      <c r="BQ219" s="49">
        <f>SUM(BA219:BP219)-(45*9)</f>
        <v>16</v>
      </c>
      <c r="BR219" s="49">
        <f>SUM(BB219:BQ219)-(45*8)</f>
        <v>38</v>
      </c>
      <c r="BS219" s="49">
        <f>SUM(BC219:BR219)-(45*8)</f>
        <v>45</v>
      </c>
      <c r="BT219" s="49">
        <f>SUM(BD219:BS219)-(45*9)</f>
        <v>18</v>
      </c>
      <c r="BU219" s="49">
        <f>SUM(BE219:BT219)-(45*9)</f>
        <v>30</v>
      </c>
      <c r="BV219" s="49">
        <f>SUM(BF219:BU219)-(45*9)</f>
        <v>22</v>
      </c>
      <c r="BX219" s="413"/>
      <c r="CE219" s="409"/>
    </row>
    <row r="220" spans="2:83" s="408" customFormat="1" ht="17.25">
      <c r="B220" s="425"/>
      <c r="C220" s="44">
        <v>689</v>
      </c>
      <c r="D220" s="108" t="s">
        <v>503</v>
      </c>
      <c r="E220" s="48">
        <v>13</v>
      </c>
      <c r="F220" s="63">
        <v>15</v>
      </c>
      <c r="G220" s="63">
        <v>2</v>
      </c>
      <c r="H220" s="48">
        <f>SUM(E220:F220)-(45*0)</f>
        <v>28</v>
      </c>
      <c r="I220" s="48">
        <v>23</v>
      </c>
      <c r="J220" s="49">
        <f>SUM(E220:I220)-(45*1)</f>
        <v>36</v>
      </c>
      <c r="K220" s="49">
        <f>SUM(E220:J220)-(45*2)</f>
        <v>27</v>
      </c>
      <c r="L220" s="49">
        <f>SUM(E220:K220)-(45*3)</f>
        <v>9</v>
      </c>
      <c r="M220" s="49">
        <f>SUM(E220:L220)-(45*3)</f>
        <v>18</v>
      </c>
      <c r="N220" s="49">
        <f>SUM(E220:M220)-(45*3)</f>
        <v>36</v>
      </c>
      <c r="O220" s="49">
        <f>SUM(E220:N220)-(45*4)</f>
        <v>27</v>
      </c>
      <c r="P220" s="49">
        <f>SUM(E220:O220)-(45*5)</f>
        <v>9</v>
      </c>
      <c r="Q220" s="49">
        <f>SUM(F220:P220)-(45*5)</f>
        <v>5</v>
      </c>
      <c r="R220" s="49">
        <f>SUM(G220:Q220)-(45*4)</f>
        <v>40</v>
      </c>
      <c r="S220" s="49">
        <f>SUM(H220:R220)-(45*5)</f>
        <v>33</v>
      </c>
      <c r="T220" s="49">
        <f>SUM(I220:S220)-(45*5)</f>
        <v>38</v>
      </c>
      <c r="U220" s="49">
        <f>SUM(J220:T220)-(45*6)</f>
        <v>8</v>
      </c>
      <c r="V220" s="49">
        <f>SUM(K220:U220)-(45*5)</f>
        <v>25</v>
      </c>
      <c r="W220" s="49">
        <f>SUM(L220:V220)-(45*5)</f>
        <v>23</v>
      </c>
      <c r="X220" s="49">
        <f t="shared" ref="X220" si="1943">SUM(M220:W220)-(45*5)</f>
        <v>37</v>
      </c>
      <c r="Y220" s="49">
        <f>SUM(N220:X220)-(45*6)</f>
        <v>11</v>
      </c>
      <c r="Z220" s="49">
        <f>SUM(O220:Y220)-(45*5)</f>
        <v>31</v>
      </c>
      <c r="AA220" s="49">
        <f>SUM(P220:Z220)-(45*5)</f>
        <v>35</v>
      </c>
      <c r="AB220" s="49">
        <f>SUM(Q220:AA220)-(45*6)</f>
        <v>16</v>
      </c>
      <c r="AC220" s="49">
        <f>SUM(M220:AB220)-(45*8)</f>
        <v>32</v>
      </c>
      <c r="AD220" s="49">
        <f>SUM(N220:AC220)-(45*9)</f>
        <v>1</v>
      </c>
      <c r="AE220" s="49">
        <f>SUM(O220:AD220)-(45*8)</f>
        <v>11</v>
      </c>
      <c r="AF220" s="49">
        <f>SUM(P220:AE220)-(45*7)</f>
        <v>40</v>
      </c>
      <c r="AG220" s="49">
        <f>SUM(Q220:AF220)-(45*8)</f>
        <v>26</v>
      </c>
      <c r="AH220" s="49">
        <f>SUM(R220:AG220)-(45*9)</f>
        <v>2</v>
      </c>
      <c r="AI220" s="49">
        <f>SUM(S220:AH220)-(45*8)</f>
        <v>9</v>
      </c>
      <c r="AJ220" s="49">
        <f>SUM(T220:AI220)-(45*7)</f>
        <v>30</v>
      </c>
      <c r="AK220" s="49">
        <f>SUM(U220:AJ220)-(45*7)</f>
        <v>22</v>
      </c>
      <c r="AL220" s="49">
        <f>SUM(V220:AK220)-(45*7)</f>
        <v>36</v>
      </c>
      <c r="AM220" s="49">
        <f>SUM(W220:AL220)-(45*8)</f>
        <v>2</v>
      </c>
      <c r="AN220" s="49">
        <f>SUM(X220:AM220)-(45*7)</f>
        <v>26</v>
      </c>
      <c r="AO220" s="49">
        <f>SUM(Y220:AN220)-(45*7)</f>
        <v>15</v>
      </c>
      <c r="AP220" s="49">
        <f>SUM(Z220:AO220)-(45*7)</f>
        <v>19</v>
      </c>
      <c r="AQ220" s="49">
        <f>SUM(AA220:AP220)-(45*7)</f>
        <v>7</v>
      </c>
      <c r="AR220" s="49">
        <f>SUM(AB220:AQ220)-(45*6)</f>
        <v>24</v>
      </c>
      <c r="AS220" s="49">
        <f>SUM(AC220:AR220)-(45*6)</f>
        <v>32</v>
      </c>
      <c r="AT220" s="49">
        <f>SUM(AD220:AS220)-(45*6)</f>
        <v>32</v>
      </c>
      <c r="AU220" s="49">
        <f>SUM(AE220:AT220)-(45*7)</f>
        <v>18</v>
      </c>
      <c r="AV220" s="49">
        <f>SUM(AF220:AU220)-(45*7)</f>
        <v>25</v>
      </c>
      <c r="AW220" s="49">
        <f>SUM(AG220:AV220)-(45*7)</f>
        <v>10</v>
      </c>
      <c r="AX220" s="49">
        <f>SUM(AH220:AW220)-(45*6)</f>
        <v>39</v>
      </c>
      <c r="AY220" s="49">
        <f>SUM(AI220:AX220)-(45*7)</f>
        <v>31</v>
      </c>
      <c r="AZ220" s="49">
        <f>SUM(AJ220:AY220)-(45*8)</f>
        <v>8</v>
      </c>
      <c r="BA220" s="49">
        <f>SUM(AK220:AZ220)-(45*7)</f>
        <v>31</v>
      </c>
      <c r="BB220" s="49">
        <f>SUM(AL220:BA220)-(45*7)</f>
        <v>40</v>
      </c>
      <c r="BC220" s="49">
        <f>SUM(AM220:BB220)-(45*7)</f>
        <v>44</v>
      </c>
      <c r="BD220" s="49">
        <f>SUM(AN220:BC220)-(45*8)</f>
        <v>41</v>
      </c>
      <c r="BE220" s="49">
        <f>SUM(AO220:BD220)-(45*9)</f>
        <v>11</v>
      </c>
      <c r="BF220" s="49">
        <f>SUM(AP220:BE220)-(45*9)</f>
        <v>7</v>
      </c>
      <c r="BG220" s="49">
        <f>SUM(AQ220:BF220)-(45*8)</f>
        <v>40</v>
      </c>
      <c r="BH220" s="49">
        <f>SUM(AR220:BG220)-(45*9)</f>
        <v>28</v>
      </c>
      <c r="BI220" s="49">
        <f>SUM(AS220:BH220)-(45*9)</f>
        <v>32</v>
      </c>
      <c r="BJ220" s="49">
        <f>SUM(AT220:BI220)-(45*9)</f>
        <v>32</v>
      </c>
      <c r="BK220" s="49">
        <f>SUM(AU220:BJ220)-(45*9)</f>
        <v>32</v>
      </c>
      <c r="BL220" s="49">
        <f>SUM(AV220:BK220)-(45*10)</f>
        <v>1</v>
      </c>
      <c r="BM220" s="49">
        <f>SUM(AW220:BL220)-(45*9)</f>
        <v>22</v>
      </c>
      <c r="BN220" s="49">
        <f>SUM(AX220:BM220)-(45*9)</f>
        <v>34</v>
      </c>
      <c r="BO220" s="49">
        <f>SUM(AY220:BN220)-(45*9)</f>
        <v>29</v>
      </c>
      <c r="BP220" s="49">
        <f>SUM(AZ220:BO220)-(45*9)</f>
        <v>27</v>
      </c>
      <c r="BQ220" s="49">
        <f>SUM(BA220:BP220)-(45*10)</f>
        <v>1</v>
      </c>
      <c r="BR220" s="49">
        <f>SUM(BB220:BQ220)-(45*9)</f>
        <v>16</v>
      </c>
      <c r="BS220" s="49">
        <f>SUM(BC220:BR220)-(45*8)</f>
        <v>37</v>
      </c>
      <c r="BT220" s="49">
        <f>SUM(BD220:BS220)-(45*8)</f>
        <v>30</v>
      </c>
      <c r="BU220" s="49">
        <f>SUM(BE220:BT220)-(45*8)</f>
        <v>19</v>
      </c>
      <c r="BV220" s="49">
        <f>SUM(BF220:BU220)-(45*8)</f>
        <v>27</v>
      </c>
      <c r="BX220" s="413"/>
      <c r="CE220" s="409"/>
    </row>
    <row r="221" spans="2:83" s="428" customFormat="1" ht="17.25">
      <c r="B221" s="427"/>
      <c r="C221" s="44">
        <v>690</v>
      </c>
      <c r="D221" s="108" t="s">
        <v>504</v>
      </c>
      <c r="E221" s="48">
        <v>20</v>
      </c>
      <c r="F221" s="63">
        <v>22</v>
      </c>
      <c r="G221" s="63">
        <v>3</v>
      </c>
      <c r="H221" s="48">
        <f>SUM(E221:F221)-(45*0)</f>
        <v>42</v>
      </c>
      <c r="I221" s="48">
        <v>15</v>
      </c>
      <c r="J221" s="49">
        <f>SUM(E221:I221)-(45*2)</f>
        <v>12</v>
      </c>
      <c r="K221" s="49">
        <f>SUM(E221:J221)-(45*2)</f>
        <v>24</v>
      </c>
      <c r="L221" s="49">
        <f>SUM(E221:K221)-(45*3)</f>
        <v>3</v>
      </c>
      <c r="M221" s="49">
        <f>SUM(E221:L221)-(45*3)</f>
        <v>6</v>
      </c>
      <c r="N221" s="49">
        <f>SUM(E221:M221)-(45*3)</f>
        <v>12</v>
      </c>
      <c r="O221" s="49">
        <f>SUM(E221:N221)-(45*3)</f>
        <v>24</v>
      </c>
      <c r="P221" s="49">
        <f>SUM(E221:O221)-(45*4)</f>
        <v>3</v>
      </c>
      <c r="Q221" s="49">
        <f>SUM(F221:P221)-(45*3)</f>
        <v>31</v>
      </c>
      <c r="R221" s="49">
        <f>SUM(G221:Q221)-(45*3)</f>
        <v>40</v>
      </c>
      <c r="S221" s="49">
        <f>SUM(H221:R221)-(45*4)</f>
        <v>32</v>
      </c>
      <c r="T221" s="49">
        <f>SUM(I221:S221)-(45*4)</f>
        <v>22</v>
      </c>
      <c r="U221" s="49">
        <f>SUM(J221:T221)-(45*4)</f>
        <v>29</v>
      </c>
      <c r="V221" s="49">
        <f>SUM(K221:U221)-(45*5)</f>
        <v>1</v>
      </c>
      <c r="W221" s="49">
        <f>SUM(L221:V221)-(45*4)</f>
        <v>23</v>
      </c>
      <c r="X221" s="49">
        <f>SUM(M221:W221)-(45*4)</f>
        <v>43</v>
      </c>
      <c r="Y221" s="49">
        <f>SUM(N221:X221)-(45*5)</f>
        <v>35</v>
      </c>
      <c r="Z221" s="49">
        <f>SUM(O221:Y221)-(45*6)</f>
        <v>13</v>
      </c>
      <c r="AA221" s="49">
        <f>SUM(P221:Z221)-(45*6)</f>
        <v>2</v>
      </c>
      <c r="AB221" s="49">
        <f>SUM(Q221:AA221)-(45*6)</f>
        <v>1</v>
      </c>
      <c r="AC221" s="49">
        <f>SUM(M221:AB221)-(45*7)</f>
        <v>2</v>
      </c>
      <c r="AD221" s="49">
        <f>SUM(N221:AC221)-(45*6)</f>
        <v>43</v>
      </c>
      <c r="AE221" s="49">
        <f t="shared" ref="AE221" si="1944">SUM(O221:AD221)-(45*7)</f>
        <v>29</v>
      </c>
      <c r="AF221" s="49">
        <f t="shared" ref="AF221" si="1945">SUM(P221:AE221)-(45*7)</f>
        <v>34</v>
      </c>
      <c r="AG221" s="49">
        <f>SUM(Q221:AF221)-(45*8)</f>
        <v>20</v>
      </c>
      <c r="AH221" s="49">
        <f>SUM(R221:AG221)-(45*8)</f>
        <v>9</v>
      </c>
      <c r="AI221" s="49">
        <f t="shared" ref="AI221" si="1946">SUM(S221:AH221)-(45*7)</f>
        <v>23</v>
      </c>
      <c r="AJ221" s="49">
        <f t="shared" ref="AJ221" si="1947">SUM(T221:AI221)-(45*7)</f>
        <v>14</v>
      </c>
      <c r="AK221" s="49">
        <f t="shared" ref="AK221" si="1948">SUM(U221:AJ221)-(45*7)</f>
        <v>6</v>
      </c>
      <c r="AL221" s="49">
        <f>SUM(V221:AK221)-(45*6)</f>
        <v>28</v>
      </c>
      <c r="AM221" s="49">
        <f>SUM(W221:AL221)-(45*7)</f>
        <v>10</v>
      </c>
      <c r="AN221" s="49">
        <f>SUM(X221:AM221)-(45*6)</f>
        <v>42</v>
      </c>
      <c r="AO221" s="49">
        <f>SUM(Y221:AN221)-(45*6)</f>
        <v>41</v>
      </c>
      <c r="AP221" s="49">
        <f>SUM(Z221:AO221)-(45*7)</f>
        <v>2</v>
      </c>
      <c r="AQ221" s="49">
        <f>SUM(AA221:AP221)-(45*6)</f>
        <v>36</v>
      </c>
      <c r="AR221" s="49">
        <f>SUM(AB221:AQ221)-(45*7)</f>
        <v>25</v>
      </c>
      <c r="AS221" s="49">
        <f>SUM(AC221:AR221)-(45*8)</f>
        <v>4</v>
      </c>
      <c r="AT221" s="49">
        <f>SUM(AD221:AS221)-(45*8)</f>
        <v>6</v>
      </c>
      <c r="AU221" s="49">
        <f>SUM(AE221:AT221)-(45*7)</f>
        <v>14</v>
      </c>
      <c r="AV221" s="49">
        <f>SUM(AF221:AU221)-(45*6)</f>
        <v>44</v>
      </c>
      <c r="AW221" s="49">
        <f>SUM(AG221:AV221)-(45*7)</f>
        <v>9</v>
      </c>
      <c r="AX221" s="49">
        <f>SUM(AH221:AW221)-(45*6)</f>
        <v>43</v>
      </c>
      <c r="AY221" s="49">
        <f>SUM(AI221:AX221)-(45*7)</f>
        <v>32</v>
      </c>
      <c r="AZ221" s="49">
        <f>SUM(AJ221:AY221)-(45*7)</f>
        <v>41</v>
      </c>
      <c r="BA221" s="49">
        <f>SUM(AK221:AZ221)-(45*8)</f>
        <v>23</v>
      </c>
      <c r="BB221" s="49">
        <f>SUM(AL221:BA221)-(45*8)</f>
        <v>40</v>
      </c>
      <c r="BC221" s="49">
        <f>SUM(AM221:BB221)-(45*9)</f>
        <v>7</v>
      </c>
      <c r="BD221" s="49">
        <f>SUM(AN221:BC221)-(45*9)</f>
        <v>4</v>
      </c>
      <c r="BE221" s="49">
        <f>SUM(AO221:BD221)-(45*8)</f>
        <v>11</v>
      </c>
      <c r="BF221" s="49">
        <f>SUM(AP221:BE221)-(45*7)</f>
        <v>26</v>
      </c>
      <c r="BG221" s="49">
        <f>SUM(AQ221:BF221)-(45*8)</f>
        <v>5</v>
      </c>
      <c r="BH221" s="49">
        <f>SUM(AR221:BG221)-(45*7)</f>
        <v>19</v>
      </c>
      <c r="BI221" s="49">
        <f>SUM(AS221:BH221)-(45*7)</f>
        <v>13</v>
      </c>
      <c r="BJ221" s="49">
        <f>SUM(AT221:BI221)-(45*7)</f>
        <v>22</v>
      </c>
      <c r="BK221" s="49">
        <f>SUM(AU221:BJ221)-(45*7)</f>
        <v>38</v>
      </c>
      <c r="BL221" s="49">
        <f>SUM(AV221:BK221)-(45*8)</f>
        <v>17</v>
      </c>
      <c r="BM221" s="49">
        <f>SUM(AW221:BL221)-(45*7)</f>
        <v>35</v>
      </c>
      <c r="BN221" s="49">
        <f>SUM(AX221:BM221)-(45*8)</f>
        <v>16</v>
      </c>
      <c r="BO221" s="49">
        <f t="shared" ref="BO221:BS222" si="1949">SUM(AY221:BN221)-(45*7)</f>
        <v>34</v>
      </c>
      <c r="BP221" s="49">
        <f t="shared" si="1949"/>
        <v>36</v>
      </c>
      <c r="BQ221" s="49">
        <f t="shared" si="1949"/>
        <v>31</v>
      </c>
      <c r="BR221" s="49">
        <f t="shared" si="1949"/>
        <v>39</v>
      </c>
      <c r="BS221" s="49">
        <f t="shared" si="1949"/>
        <v>38</v>
      </c>
      <c r="BT221" s="49">
        <f>SUM(BD221:BS221)-(45*8)</f>
        <v>24</v>
      </c>
      <c r="BU221" s="49">
        <f>SUM(BE221:BT221)-(45*8)</f>
        <v>44</v>
      </c>
      <c r="BV221" s="49">
        <f>SUM(BF221:BU221)-(45*9)</f>
        <v>32</v>
      </c>
      <c r="BX221" s="413"/>
      <c r="CE221" s="409"/>
    </row>
    <row r="222" spans="2:83" s="428" customFormat="1" ht="17.25">
      <c r="B222" s="431"/>
      <c r="C222" s="44">
        <v>691</v>
      </c>
      <c r="D222" s="108" t="s">
        <v>505</v>
      </c>
      <c r="E222" s="48">
        <v>27</v>
      </c>
      <c r="F222" s="63">
        <v>29</v>
      </c>
      <c r="G222" s="63">
        <v>4</v>
      </c>
      <c r="H222" s="48">
        <f>SUM(E222:F222)-(45*1)</f>
        <v>11</v>
      </c>
      <c r="I222" s="48">
        <v>16</v>
      </c>
      <c r="J222" s="49">
        <f>SUM(E222:I222)-(45*1)</f>
        <v>42</v>
      </c>
      <c r="K222" s="49">
        <f>SUM(E222:J222)-(45*2)</f>
        <v>39</v>
      </c>
      <c r="L222" s="49">
        <f>SUM(E222:K222)-(45*3)</f>
        <v>33</v>
      </c>
      <c r="M222" s="49">
        <f>SUM(E222:L222)-(45*4)</f>
        <v>21</v>
      </c>
      <c r="N222" s="49">
        <f>SUM(E222:M222)-(45*4)</f>
        <v>42</v>
      </c>
      <c r="O222" s="49">
        <f>SUM(E222:N222)-(45*5)</f>
        <v>39</v>
      </c>
      <c r="P222" s="49">
        <f>SUM(E222:O222)-(45*6)</f>
        <v>33</v>
      </c>
      <c r="Q222" s="49">
        <f>SUM(F222:P222)-(45*6)</f>
        <v>39</v>
      </c>
      <c r="R222" s="49">
        <f>SUM(G222:Q222)-(45*7)</f>
        <v>4</v>
      </c>
      <c r="S222" s="49">
        <f>SUM(H222:R222)-(45*7)</f>
        <v>4</v>
      </c>
      <c r="T222" s="49">
        <f>SUM(I222:S222)-(45*6)</f>
        <v>42</v>
      </c>
      <c r="U222" s="49">
        <f>SUM(J222:T222)-(45*7)</f>
        <v>23</v>
      </c>
      <c r="V222" s="49">
        <f>SUM(K222:U222)-(45*7)</f>
        <v>4</v>
      </c>
      <c r="W222" s="49">
        <f>SUM(L222:V222)-(45*6)</f>
        <v>14</v>
      </c>
      <c r="X222" s="49">
        <f t="shared" ref="X222" si="1950">SUM(M222:W222)-(45*5)</f>
        <v>40</v>
      </c>
      <c r="Y222" s="49">
        <f>SUM(N222:X222)-(45*6)</f>
        <v>14</v>
      </c>
      <c r="Z222" s="49">
        <f>SUM(O222:Y222)-(45*5)</f>
        <v>31</v>
      </c>
      <c r="AA222" s="49">
        <f>SUM(P222:Z222)-(45*5)</f>
        <v>23</v>
      </c>
      <c r="AB222" s="49">
        <f>SUM(Q222:AA222)-(45*5)</f>
        <v>13</v>
      </c>
      <c r="AC222" s="49">
        <f>SUM(M222:AB222)-(45*8)</f>
        <v>26</v>
      </c>
      <c r="AD222" s="49">
        <f>SUM(N222:AC222)-(45*8)</f>
        <v>31</v>
      </c>
      <c r="AE222" s="49">
        <f>SUM(O222:AD222)-(45*8)</f>
        <v>20</v>
      </c>
      <c r="AF222" s="49">
        <f>SUM(P222:AE222)-(45*8)</f>
        <v>1</v>
      </c>
      <c r="AG222" s="49">
        <f>SUM(Q222:AF222)-(45*7)</f>
        <v>14</v>
      </c>
      <c r="AH222" s="49">
        <f>SUM(R222:AG222)-(45*6)</f>
        <v>34</v>
      </c>
      <c r="AI222" s="49">
        <f>SUM(S222:AH222)-(45*7)</f>
        <v>19</v>
      </c>
      <c r="AJ222" s="49">
        <f>SUM(T222:AI222)-(45*7)</f>
        <v>34</v>
      </c>
      <c r="AK222" s="49">
        <f>SUM(U222:AJ222)-(45*7)</f>
        <v>26</v>
      </c>
      <c r="AL222" s="49">
        <f>SUM(V222:AK222)-(45*7)</f>
        <v>29</v>
      </c>
      <c r="AM222" s="49">
        <f>SUM(W222:AL222)-(45*8)</f>
        <v>9</v>
      </c>
      <c r="AN222" s="49">
        <f>SUM(X222:AM222)-(45*8)</f>
        <v>4</v>
      </c>
      <c r="AO222" s="49">
        <f>SUM(Y222:AN222)-(45*7)</f>
        <v>13</v>
      </c>
      <c r="AP222" s="49">
        <f>SUM(Z222:AO222)-(45*7)</f>
        <v>12</v>
      </c>
      <c r="AQ222" s="49">
        <f>SUM(AA222:AP222)-(45*6)</f>
        <v>38</v>
      </c>
      <c r="AR222" s="49">
        <f>SUM(AB222:AQ222)-(45*7)</f>
        <v>8</v>
      </c>
      <c r="AS222" s="49">
        <f>SUM(AC222:AR222)-(45*7)</f>
        <v>3</v>
      </c>
      <c r="AT222" s="49">
        <f>SUM(AD222:AS222)-(45*6)</f>
        <v>25</v>
      </c>
      <c r="AU222" s="49">
        <f>SUM(AE222:AT222)-(45*6)</f>
        <v>19</v>
      </c>
      <c r="AV222" s="49">
        <f>SUM(AF222:AU222)-(45*6)</f>
        <v>18</v>
      </c>
      <c r="AW222" s="49">
        <f>SUM(AG222:AV222)-(45*6)</f>
        <v>35</v>
      </c>
      <c r="AX222" s="49">
        <f>SUM(AH222:AW222)-(45*7)</f>
        <v>11</v>
      </c>
      <c r="AY222" s="49">
        <f>SUM(AI222:AX222)-(45*6)</f>
        <v>33</v>
      </c>
      <c r="AZ222" s="49">
        <f>SUM(AJ222:AY222)-(45*7)</f>
        <v>2</v>
      </c>
      <c r="BA222" s="49">
        <f>SUM(AK222:AZ222)-(45*6)</f>
        <v>15</v>
      </c>
      <c r="BB222" s="49">
        <f>SUM(AL222:BA222)-(45*6)</f>
        <v>4</v>
      </c>
      <c r="BC222" s="49">
        <f>SUM(AM222:BB222)-(45*5)</f>
        <v>24</v>
      </c>
      <c r="BD222" s="49">
        <f>SUM(AN222:BC222)-(45*5)</f>
        <v>39</v>
      </c>
      <c r="BE222" s="49">
        <f>SUM(AO222:BD222)-(45*6)</f>
        <v>29</v>
      </c>
      <c r="BF222" s="49">
        <f>SUM(AP222:BE222)-(45*6)</f>
        <v>45</v>
      </c>
      <c r="BG222" s="49">
        <f>SUM(AQ222:BF222)-(45*7)</f>
        <v>33</v>
      </c>
      <c r="BH222" s="49">
        <f>SUM(AR222:BG222)-(45*7)</f>
        <v>28</v>
      </c>
      <c r="BI222" s="49">
        <f>SUM(AS222:BH222)-(45*8)</f>
        <v>3</v>
      </c>
      <c r="BJ222" s="49">
        <f>SUM(AT222:BI222)-(45*8)</f>
        <v>3</v>
      </c>
      <c r="BK222" s="49">
        <f>SUM(AU222:BJ222)-(45*7)</f>
        <v>26</v>
      </c>
      <c r="BL222" s="49">
        <f>SUM(AV222:BK222)-(45*7)</f>
        <v>33</v>
      </c>
      <c r="BM222" s="49">
        <f>SUM(AW222:BL222)-(45*8)</f>
        <v>3</v>
      </c>
      <c r="BN222" s="49">
        <f>SUM(AX222:BM222)-(45*7)</f>
        <v>16</v>
      </c>
      <c r="BO222" s="49">
        <f t="shared" si="1949"/>
        <v>21</v>
      </c>
      <c r="BP222" s="49">
        <f t="shared" si="1949"/>
        <v>9</v>
      </c>
      <c r="BQ222" s="49">
        <f t="shared" si="1949"/>
        <v>16</v>
      </c>
      <c r="BR222" s="49">
        <f t="shared" si="1949"/>
        <v>17</v>
      </c>
      <c r="BS222" s="49">
        <f t="shared" si="1949"/>
        <v>30</v>
      </c>
      <c r="BT222" s="49">
        <f>SUM(BD222:BS222)-(45*7)</f>
        <v>36</v>
      </c>
      <c r="BU222" s="49">
        <f>SUM(BE222:BT222)-(45*7)</f>
        <v>33</v>
      </c>
      <c r="BV222" s="49">
        <f>SUM(BF222:BU222)-(45*7)</f>
        <v>37</v>
      </c>
      <c r="BX222" s="413"/>
      <c r="CE222" s="409"/>
    </row>
    <row r="223" spans="2:83" s="428" customFormat="1" ht="17.25">
      <c r="B223" s="433"/>
      <c r="C223" s="44">
        <v>692</v>
      </c>
      <c r="D223" s="108" t="s">
        <v>506</v>
      </c>
      <c r="E223" s="48">
        <v>5</v>
      </c>
      <c r="F223" s="63">
        <v>8</v>
      </c>
      <c r="G223" s="63">
        <v>1</v>
      </c>
      <c r="H223" s="48">
        <f>SUM(E223:F223)-(45*0)</f>
        <v>13</v>
      </c>
      <c r="I223" s="48">
        <v>17</v>
      </c>
      <c r="J223" s="49">
        <f>SUM(E223:I223)-(45*0)</f>
        <v>44</v>
      </c>
      <c r="K223" s="49">
        <f>SUM(E223:J223)-(45*1)</f>
        <v>43</v>
      </c>
      <c r="L223" s="49">
        <f>SUM(E223:K223)-(45*2)</f>
        <v>41</v>
      </c>
      <c r="M223" s="49">
        <f>SUM(E223:L223)-(45*3)</f>
        <v>37</v>
      </c>
      <c r="N223" s="49">
        <f>SUM(E223:M223)-(45*4)</f>
        <v>29</v>
      </c>
      <c r="O223" s="49">
        <f>SUM(E223:N223)-(45*5)</f>
        <v>13</v>
      </c>
      <c r="P223" s="49">
        <f>SUM(E223:O223)-(45*5)</f>
        <v>26</v>
      </c>
      <c r="Q223" s="49">
        <f>SUM(F223:P223)-(45*6)</f>
        <v>2</v>
      </c>
      <c r="R223" s="49">
        <f>SUM(G223:Q223)-(45*5)</f>
        <v>41</v>
      </c>
      <c r="S223" s="49">
        <f>SUM(H223:R223)-(45*6)</f>
        <v>36</v>
      </c>
      <c r="T223" s="49">
        <f>SUM(I223:S223)-(45*7)</f>
        <v>14</v>
      </c>
      <c r="U223" s="49">
        <f>SUM(J223:T223)-(45*7)</f>
        <v>11</v>
      </c>
      <c r="V223" s="49">
        <f>SUM(K223:U223)-(45*6)</f>
        <v>23</v>
      </c>
      <c r="W223" s="49">
        <f>SUM(L223:V223)-(45*6)</f>
        <v>3</v>
      </c>
      <c r="X223" s="49">
        <f t="shared" ref="X223" si="1951">SUM(M223:W223)-(45*5)</f>
        <v>10</v>
      </c>
      <c r="Y223" s="49">
        <f>SUM(N223:X223)-(45*4)</f>
        <v>28</v>
      </c>
      <c r="Z223" s="49">
        <f>SUM(O223:Y223)-(45*4)</f>
        <v>27</v>
      </c>
      <c r="AA223" s="49">
        <f>SUM(P223:Z223)-(45*4)</f>
        <v>41</v>
      </c>
      <c r="AB223" s="49">
        <f>SUM(Q223:AA223)-(45*5)</f>
        <v>11</v>
      </c>
      <c r="AC223" s="49">
        <f>SUM(M223:AB223)-(45*7)</f>
        <v>37</v>
      </c>
      <c r="AD223" s="49">
        <f>SUM(N223:AC223)-(45*7)</f>
        <v>37</v>
      </c>
      <c r="AE223" s="49">
        <f>SUM(O223:AD223)-(45*7)</f>
        <v>45</v>
      </c>
      <c r="AF223" s="49">
        <f>SUM(P223:AE223)-(45*8)</f>
        <v>32</v>
      </c>
      <c r="AG223" s="49">
        <f>SUM(Q223:AF223)-(45*8)</f>
        <v>38</v>
      </c>
      <c r="AH223" s="49">
        <f>SUM(R223:AG223)-(45*9)</f>
        <v>29</v>
      </c>
      <c r="AI223" s="49">
        <f>SUM(S223:AH223)-(45*9)</f>
        <v>17</v>
      </c>
      <c r="AJ223" s="49">
        <f>SUM(T223:AI223)-(45*8)</f>
        <v>43</v>
      </c>
      <c r="AK223" s="49">
        <f>SUM(U223:AJ223)-(45*9)</f>
        <v>27</v>
      </c>
      <c r="AL223" s="49">
        <f>SUM(V223:AK223)-(45*9)</f>
        <v>43</v>
      </c>
      <c r="AM223" s="49">
        <f>SUM(W223:AL223)-(45*10)</f>
        <v>18</v>
      </c>
      <c r="AN223" s="49">
        <f>SUM(X223:AM223)-(45*10)</f>
        <v>33</v>
      </c>
      <c r="AO223" s="49">
        <f>SUM(Y223:AN223)-(45*11)</f>
        <v>11</v>
      </c>
      <c r="AP223" s="49">
        <f>SUM(Z223:AO223)-(45*10)</f>
        <v>39</v>
      </c>
      <c r="AQ223" s="49">
        <f>SUM(AA223:AP223)-(45*11)</f>
        <v>6</v>
      </c>
      <c r="AR223" s="49">
        <f>SUM(AB223:AQ223)-(45*10)</f>
        <v>16</v>
      </c>
      <c r="AS223" s="49">
        <f>SUM(AC223:AR223)-(45*10)</f>
        <v>21</v>
      </c>
      <c r="AT223" s="49">
        <f>SUM(AD223:AS223)-(45*10)</f>
        <v>5</v>
      </c>
      <c r="AU223" s="49">
        <f>SUM(AE223:AT223)-(45*9)</f>
        <v>18</v>
      </c>
      <c r="AV223" s="49">
        <f>SUM(AF223:AU223)-(45*8)</f>
        <v>36</v>
      </c>
      <c r="AW223" s="49">
        <f>SUM(AG223:AV223)-(45*8)</f>
        <v>40</v>
      </c>
      <c r="AX223" s="49">
        <f>SUM(AH223:AW223)-(45*8)</f>
        <v>42</v>
      </c>
      <c r="AY223" s="49">
        <f>SUM(AI223:AX223)-(45*9)</f>
        <v>10</v>
      </c>
      <c r="AZ223" s="49">
        <f>SUM(AJ223:AY223)-(45*9)</f>
        <v>3</v>
      </c>
      <c r="BA223" s="49">
        <f>SUM(AK223:AZ223)-(45*8)</f>
        <v>8</v>
      </c>
      <c r="BB223" s="49">
        <f>SUM(AL223:BA223)-(45*7)</f>
        <v>34</v>
      </c>
      <c r="BC223" s="49">
        <f>SUM(AM223:BB223)-(45*7)</f>
        <v>25</v>
      </c>
      <c r="BD223" s="49">
        <f>SUM(AN223:BC223)-(45*7)</f>
        <v>32</v>
      </c>
      <c r="BE223" s="49">
        <f>SUM(AO223:BD223)-(45*7)</f>
        <v>31</v>
      </c>
      <c r="BF223" s="49">
        <f>SUM(AP223:BE223)-(45*8)</f>
        <v>6</v>
      </c>
      <c r="BG223" s="49">
        <f>SUM(AQ223:BF223)-(45*7)</f>
        <v>18</v>
      </c>
      <c r="BH223" s="49">
        <f>SUM(AR223:BG223)-(45*7)</f>
        <v>30</v>
      </c>
      <c r="BI223" s="49">
        <f>SUM(AS223:BH223)-(45*7)</f>
        <v>44</v>
      </c>
      <c r="BJ223" s="49">
        <f>SUM(AT223:BI223)-(45*8)</f>
        <v>22</v>
      </c>
      <c r="BK223" s="49">
        <f>SUM(AU223:BJ223)-(45*8)</f>
        <v>39</v>
      </c>
      <c r="BL223" s="49">
        <f>SUM(AV223:BK223)-(45*9)</f>
        <v>15</v>
      </c>
      <c r="BM223" s="49">
        <f>SUM(AW223:BL223)-(45*8)</f>
        <v>39</v>
      </c>
      <c r="BN223" s="49">
        <f>SUM(AX223:BM223)-(45*8)</f>
        <v>38</v>
      </c>
      <c r="BO223" s="49">
        <f>SUM(AY223:BN223)-(45*8)</f>
        <v>34</v>
      </c>
      <c r="BP223" s="49">
        <f>SUM(AZ223:BO223)-(45*9)</f>
        <v>13</v>
      </c>
      <c r="BQ223" s="49">
        <f>SUM(BA223:BP223)-(45*9)</f>
        <v>23</v>
      </c>
      <c r="BR223" s="49">
        <f>SUM(BB223:BQ223)-(45*9)</f>
        <v>38</v>
      </c>
      <c r="BS223" s="49">
        <f>SUM(BC223:BR223)-(45*9)</f>
        <v>42</v>
      </c>
      <c r="BT223" s="49">
        <f>SUM(BD223:BS223)-(45*10)</f>
        <v>14</v>
      </c>
      <c r="BU223" s="49">
        <f>SUM(BE223:BT223)-(45*9)</f>
        <v>41</v>
      </c>
      <c r="BV223" s="49">
        <f>SUM(BF223:BU223)-(45*10)</f>
        <v>6</v>
      </c>
      <c r="BX223" s="413"/>
      <c r="CE223" s="409"/>
    </row>
    <row r="224" spans="2:83" s="436" customFormat="1" ht="17.25">
      <c r="B224" s="435"/>
      <c r="C224" s="44">
        <v>693</v>
      </c>
      <c r="D224" s="108" t="s">
        <v>507</v>
      </c>
      <c r="E224" s="48">
        <v>12</v>
      </c>
      <c r="F224" s="63">
        <v>15</v>
      </c>
      <c r="G224" s="63">
        <v>2</v>
      </c>
      <c r="H224" s="48">
        <f>SUM(E224:F224)-(45*0)</f>
        <v>27</v>
      </c>
      <c r="I224" s="48">
        <v>18</v>
      </c>
      <c r="J224" s="49">
        <f>SUM(E224:I224)-(45*1)</f>
        <v>29</v>
      </c>
      <c r="K224" s="49">
        <f>SUM(E224:J224)-(45*2)</f>
        <v>13</v>
      </c>
      <c r="L224" s="49">
        <f>SUM(E224:K224)-(45*2)</f>
        <v>26</v>
      </c>
      <c r="M224" s="49">
        <f>SUM(E224:L224)-(45*3)</f>
        <v>7</v>
      </c>
      <c r="N224" s="49">
        <f>SUM(E224:M224)-(45*3)</f>
        <v>14</v>
      </c>
      <c r="O224" s="49">
        <f>SUM(E224:N224)-(45*3)</f>
        <v>28</v>
      </c>
      <c r="P224" s="49">
        <f>SUM(E224:O224)-(45*4)</f>
        <v>11</v>
      </c>
      <c r="Q224" s="49">
        <f>SUM(F224:P224)-(45*4)</f>
        <v>10</v>
      </c>
      <c r="R224" s="49">
        <f>SUM(G224:Q224)-(45*4)</f>
        <v>5</v>
      </c>
      <c r="S224" s="49">
        <f>SUM(H224:R224)-(45*4)</f>
        <v>8</v>
      </c>
      <c r="T224" s="49">
        <f>SUM(I224:S224)-(45*3)</f>
        <v>34</v>
      </c>
      <c r="U224" s="49">
        <f>SUM(J224:T224)-(45*4)</f>
        <v>5</v>
      </c>
      <c r="V224" s="49">
        <f>SUM(K224:U224)-(45*3)</f>
        <v>26</v>
      </c>
      <c r="W224" s="49">
        <f>SUM(L224:V224)-(45*3)</f>
        <v>39</v>
      </c>
      <c r="X224" s="49">
        <f>SUM(M224:W224)-(45*4)</f>
        <v>7</v>
      </c>
      <c r="Y224" s="49">
        <f>SUM(N224:X224)-(45*4)</f>
        <v>7</v>
      </c>
      <c r="Z224" s="49">
        <f>SUM(O224:Y224)-(45*3)</f>
        <v>45</v>
      </c>
      <c r="AA224" s="49">
        <f>SUM(P224:Z224)-(45*4)</f>
        <v>17</v>
      </c>
      <c r="AB224" s="49">
        <f>SUM(Q224:AA224)-(45*4)</f>
        <v>23</v>
      </c>
      <c r="AC224" s="49">
        <f>SUM(M224:AB224)-(45*6)</f>
        <v>16</v>
      </c>
      <c r="AD224" s="49">
        <f>SUM(N224:AC224)-(45*6)</f>
        <v>25</v>
      </c>
      <c r="AE224" s="49">
        <f>SUM(O224:AD224)-(45*6)</f>
        <v>36</v>
      </c>
      <c r="AF224" s="49">
        <f>SUM(P224:AE224)-(45*6)</f>
        <v>44</v>
      </c>
      <c r="AG224" s="49">
        <f>SUM(Q224:AF224)-(45*7)</f>
        <v>32</v>
      </c>
      <c r="AH224" s="49">
        <f>SUM(R224:AG224)-(45*8)</f>
        <v>9</v>
      </c>
      <c r="AI224" s="49">
        <f>SUM(S224:AH224)-(45*8)</f>
        <v>13</v>
      </c>
      <c r="AJ224" s="49">
        <f>SUM(T224:AI224)-(45*8)</f>
        <v>18</v>
      </c>
      <c r="AK224" s="49">
        <f>SUM(U224:AJ224)-(45*8)</f>
        <v>2</v>
      </c>
      <c r="AL224" s="49">
        <f>SUM(V224:AK224)-(45*7)</f>
        <v>44</v>
      </c>
      <c r="AM224" s="49">
        <f>SUM(W224:AL224)-(45*8)</f>
        <v>17</v>
      </c>
      <c r="AN224" s="49">
        <f>SUM(X224:AM224)-(45*7)</f>
        <v>40</v>
      </c>
      <c r="AO224" s="49">
        <f>SUM(Y224:AN224)-(45*8)</f>
        <v>28</v>
      </c>
      <c r="AP224" s="49">
        <f>SUM(Z224:AO224)-(45*9)</f>
        <v>4</v>
      </c>
      <c r="AQ224" s="49">
        <f>SUM(AA224:AP224)-(45*8)</f>
        <v>8</v>
      </c>
      <c r="AR224" s="49">
        <f>SUM(AB224:AQ224)-(45*7)</f>
        <v>44</v>
      </c>
      <c r="AS224" s="49">
        <f>SUM(AC224:AR224)-(45*8)</f>
        <v>20</v>
      </c>
      <c r="AT224" s="49">
        <f>SUM(AD224:AS224)-(45*8)</f>
        <v>24</v>
      </c>
      <c r="AU224" s="49">
        <f>SUM(AE224:AT224)-(45*8)</f>
        <v>23</v>
      </c>
      <c r="AV224" s="49">
        <f>SUM(AF224:AU224)-(45*8)</f>
        <v>10</v>
      </c>
      <c r="AW224" s="49">
        <f>SUM(AG224:AV224)-(45*7)</f>
        <v>21</v>
      </c>
      <c r="AX224" s="49">
        <f>SUM(AH224:AW224)-(45*7)</f>
        <v>10</v>
      </c>
      <c r="AY224" s="49">
        <f>SUM(AI224:AX224)-(45*7)</f>
        <v>11</v>
      </c>
      <c r="AZ224" s="49">
        <f>SUM(AJ224:AY224)-(45*7)</f>
        <v>9</v>
      </c>
      <c r="BA224" s="49">
        <f>SUM(AK224:AZ224)-(45*6)</f>
        <v>45</v>
      </c>
      <c r="BB224" s="49">
        <f>SUM(AL224:BA224)-(45*7)</f>
        <v>43</v>
      </c>
      <c r="BC224" s="49">
        <f>SUM(AM224:BB224)-(45*7)</f>
        <v>42</v>
      </c>
      <c r="BD224" s="49">
        <f>SUM(AN224:BC224)-(45*8)</f>
        <v>22</v>
      </c>
      <c r="BE224" s="49">
        <f>SUM(AO224:BD224)-(45*8)</f>
        <v>4</v>
      </c>
      <c r="BF224" s="49">
        <f>SUM(AP224:BE224)-(45*7)</f>
        <v>25</v>
      </c>
      <c r="BG224" s="49">
        <f>SUM(AQ224:BF224)-(45*8)</f>
        <v>1</v>
      </c>
      <c r="BH224" s="49">
        <f>SUM(AR224:BG224)-(45*7)</f>
        <v>39</v>
      </c>
      <c r="BI224" s="49">
        <f>SUM(AS224:BH224)-(45*7)</f>
        <v>34</v>
      </c>
      <c r="BJ224" s="49">
        <f>SUM(AT224:BI224)-(45*8)</f>
        <v>3</v>
      </c>
      <c r="BK224" s="49">
        <f>SUM(AU224:BJ224)-(45*7)</f>
        <v>27</v>
      </c>
      <c r="BL224" s="49">
        <f>SUM(AV224:BK224)-(45*7)</f>
        <v>31</v>
      </c>
      <c r="BM224" s="49">
        <f>SUM(AW224:BL224)-(45*8)</f>
        <v>7</v>
      </c>
      <c r="BN224" s="49">
        <f>SUM(AX224:BM224)-(45*7)</f>
        <v>38</v>
      </c>
      <c r="BO224" s="49">
        <f>SUM(AY224:BN224)-(45*8)</f>
        <v>21</v>
      </c>
      <c r="BP224" s="49">
        <f>SUM(AZ224:BO224)-(45*8)</f>
        <v>31</v>
      </c>
      <c r="BQ224" s="49">
        <f>SUM(BA224:BP224)-(45*9)</f>
        <v>8</v>
      </c>
      <c r="BR224" s="49">
        <f>SUM(BB224:BQ224)-(45*8)</f>
        <v>16</v>
      </c>
      <c r="BS224" s="49">
        <f t="shared" ref="BS224" si="1952">SUM(BC224:BR224)-(45*7)</f>
        <v>34</v>
      </c>
      <c r="BT224" s="49">
        <f>SUM(BD224:BS224)-(45*7)</f>
        <v>26</v>
      </c>
      <c r="BU224" s="49">
        <f>SUM(BE224:BT224)-(45*7)</f>
        <v>30</v>
      </c>
      <c r="BV224" s="49">
        <f>SUM(BF224:BU224)-(45*8)</f>
        <v>11</v>
      </c>
      <c r="BX224" s="413"/>
      <c r="CE224" s="409"/>
    </row>
    <row r="225" spans="2:83" s="436" customFormat="1" ht="17.25">
      <c r="B225" s="437"/>
      <c r="C225" s="53">
        <v>694</v>
      </c>
      <c r="D225" s="324" t="s">
        <v>508</v>
      </c>
      <c r="E225" s="48">
        <v>19</v>
      </c>
      <c r="F225" s="63">
        <v>22</v>
      </c>
      <c r="G225" s="63">
        <v>3</v>
      </c>
      <c r="H225" s="48">
        <f>SUM(E225:F225)-(45*0)</f>
        <v>41</v>
      </c>
      <c r="I225" s="48">
        <v>19</v>
      </c>
      <c r="J225" s="49">
        <f>SUM(E225:I225)-(45*2)</f>
        <v>14</v>
      </c>
      <c r="K225" s="49">
        <f>SUM(E225:J225)-(45*2)</f>
        <v>28</v>
      </c>
      <c r="L225" s="49">
        <f>SUM(E225:K225)-(45*3)</f>
        <v>11</v>
      </c>
      <c r="M225" s="49">
        <f>SUM(E225:L225)-(45*3)</f>
        <v>22</v>
      </c>
      <c r="N225" s="49">
        <f>SUM(E225:M225)-(45*3)</f>
        <v>44</v>
      </c>
      <c r="O225" s="49">
        <f>SUM(E225:N225)-(45*4)</f>
        <v>43</v>
      </c>
      <c r="P225" s="49">
        <f>SUM(E225:O225)-(45*5)</f>
        <v>41</v>
      </c>
      <c r="Q225" s="49">
        <f>SUM(F225:P225)-(45*6)</f>
        <v>18</v>
      </c>
      <c r="R225" s="49">
        <f>SUM(G225:Q225)-(45*6)</f>
        <v>14</v>
      </c>
      <c r="S225" s="49">
        <f>SUM(H225:R225)-(45*6)</f>
        <v>25</v>
      </c>
      <c r="T225" s="49">
        <f>SUM(I225:S225)-(45*6)</f>
        <v>9</v>
      </c>
      <c r="U225" s="49">
        <f>SUM(J225:T225)-(45*5)</f>
        <v>44</v>
      </c>
      <c r="V225" s="49">
        <f>SUM(K225:U225)-(45*6)</f>
        <v>29</v>
      </c>
      <c r="W225" s="49">
        <f>SUM(L225:V225)-(45*6)</f>
        <v>30</v>
      </c>
      <c r="X225" s="49">
        <f>SUM(M225:W225)-(45*7)</f>
        <v>4</v>
      </c>
      <c r="Y225" s="49">
        <f>SUM(N225:X225)-(45*6)</f>
        <v>31</v>
      </c>
      <c r="Z225" s="49">
        <f>SUM(O225:Y225)-(45*6)</f>
        <v>18</v>
      </c>
      <c r="AA225" s="49">
        <f>SUM(P225:Z225)-(45*5)</f>
        <v>38</v>
      </c>
      <c r="AB225" s="49">
        <f>SUM(Q225:AA225)-(45*5)</f>
        <v>35</v>
      </c>
      <c r="AC225" s="49">
        <f>SUM(M225:AB225)-(45*9)</f>
        <v>40</v>
      </c>
      <c r="AD225" s="49">
        <f>SUM(N225:AC225)-(45*10)</f>
        <v>13</v>
      </c>
      <c r="AE225" s="49">
        <f>SUM(O225:AD225)-(45*9)</f>
        <v>27</v>
      </c>
      <c r="AF225" s="49">
        <f>SUM(P225:AE225)-(45*9)</f>
        <v>11</v>
      </c>
      <c r="AG225" s="49">
        <f>SUM(Q225:AF225)-(45*8)</f>
        <v>26</v>
      </c>
      <c r="AH225" s="49">
        <f>SUM(R225:AG225)-(45*8)</f>
        <v>34</v>
      </c>
      <c r="AI225" s="49">
        <f>SUM(S225:AH225)-(45*9)</f>
        <v>9</v>
      </c>
      <c r="AJ225" s="49">
        <f>SUM(T225:AI225)-(45*8)</f>
        <v>38</v>
      </c>
      <c r="AK225" s="49">
        <f>SUM(U225:AJ225)-(45*9)</f>
        <v>22</v>
      </c>
      <c r="AL225" s="49">
        <f>SUM(V225:AK225)-(45*8)</f>
        <v>45</v>
      </c>
      <c r="AM225" s="49">
        <f>SUM(W225:AL225)-(45*9)</f>
        <v>16</v>
      </c>
      <c r="AN225" s="49">
        <f>SUM(X225:AM225)-(45*9)</f>
        <v>2</v>
      </c>
      <c r="AO225" s="49">
        <f>SUM(Y225:AN225)-(45*8)</f>
        <v>45</v>
      </c>
      <c r="AP225" s="49">
        <f>SUM(Z225:AO225)-(45*9)</f>
        <v>14</v>
      </c>
      <c r="AQ225" s="49">
        <f>SUM(AA225:AP225)-(45*9)</f>
        <v>10</v>
      </c>
      <c r="AR225" s="49">
        <f>SUM(AB225:AQ225)-(45*8)</f>
        <v>27</v>
      </c>
      <c r="AS225" s="49">
        <f>SUM(AC225:AR225)-(45*8)</f>
        <v>19</v>
      </c>
      <c r="AT225" s="49">
        <f>SUM(AD225:AS225)-(45*7)</f>
        <v>43</v>
      </c>
      <c r="AU225" s="49">
        <f>SUM(AE225:AT225)-(45*8)</f>
        <v>28</v>
      </c>
      <c r="AV225" s="49">
        <f>SUM(AF225:AU225)-(45*8)</f>
        <v>29</v>
      </c>
      <c r="AW225" s="49">
        <f>SUM(AG225:AV225)-(45*9)</f>
        <v>2</v>
      </c>
      <c r="AX225" s="49">
        <f>SUM(AH225:AW225)-(45*8)</f>
        <v>23</v>
      </c>
      <c r="AY225" s="49">
        <f>SUM(AI225:AX225)-(45*8)</f>
        <v>12</v>
      </c>
      <c r="AZ225" s="49">
        <f>SUM(AJ225:AY225)-(45*8)</f>
        <v>15</v>
      </c>
      <c r="BA225" s="49">
        <f>SUM(AK225:AZ225)-(45*7)</f>
        <v>37</v>
      </c>
      <c r="BB225" s="49">
        <f>SUM(AL225:BA225)-(45*8)</f>
        <v>7</v>
      </c>
      <c r="BC225" s="49">
        <f>SUM(AM225:BB225)-(45*7)</f>
        <v>14</v>
      </c>
      <c r="BD225" s="49">
        <f>SUM(AN225:BC225)-(45*7)</f>
        <v>12</v>
      </c>
      <c r="BE225" s="49">
        <f>SUM(AO225:BD225)-(45*7)</f>
        <v>22</v>
      </c>
      <c r="BF225" s="49">
        <f>SUM(AP225:BE225)-(45*6)</f>
        <v>44</v>
      </c>
      <c r="BG225" s="49">
        <f>SUM(AQ225:BF225)-(45*7)</f>
        <v>29</v>
      </c>
      <c r="BH225" s="49">
        <f>SUM(AR225:BG225)-(45*8)</f>
        <v>3</v>
      </c>
      <c r="BI225" s="49">
        <f>SUM(AS225:BH225)-(45*7)</f>
        <v>24</v>
      </c>
      <c r="BJ225" s="49">
        <f>SUM(AT225:BI225)-(45*7)</f>
        <v>29</v>
      </c>
      <c r="BK225" s="49">
        <f>SUM(AU225:BJ225)-(45*7)</f>
        <v>15</v>
      </c>
      <c r="BL225" s="49">
        <f>SUM(AV225:BK225)-(45*7)</f>
        <v>2</v>
      </c>
      <c r="BM225" s="49">
        <f t="shared" ref="BM225:BN227" si="1953">SUM(AW225:BL225)-(45*6)</f>
        <v>20</v>
      </c>
      <c r="BN225" s="49">
        <f t="shared" si="1953"/>
        <v>38</v>
      </c>
      <c r="BO225" s="49">
        <f>SUM(AY225:BN225)-(45*7)</f>
        <v>8</v>
      </c>
      <c r="BP225" s="49">
        <f>SUM(AZ225:BO225)-(45*7)</f>
        <v>4</v>
      </c>
      <c r="BQ225" s="49">
        <f>SUM(BA225:BP225)-(45*6)</f>
        <v>38</v>
      </c>
      <c r="BR225" s="49">
        <f>SUM(BB225:BQ225)-(45*6)</f>
        <v>39</v>
      </c>
      <c r="BS225" s="49">
        <f>SUM(BC225:BR225)-(45*7)</f>
        <v>26</v>
      </c>
      <c r="BT225" s="49">
        <f>SUM(BD225:BS225)-(45*7)</f>
        <v>38</v>
      </c>
      <c r="BU225" s="49">
        <f>SUM(BE225:BT225)-(45*8)</f>
        <v>19</v>
      </c>
      <c r="BV225" s="49">
        <f>SUM(BF225:BU225)-(45*8)</f>
        <v>16</v>
      </c>
      <c r="BX225" s="413"/>
      <c r="CE225" s="409"/>
    </row>
    <row r="226" spans="2:83" s="436" customFormat="1" ht="17.25">
      <c r="B226" s="445"/>
      <c r="C226" s="44">
        <v>695</v>
      </c>
      <c r="D226" s="108" t="s">
        <v>509</v>
      </c>
      <c r="E226" s="48">
        <v>26</v>
      </c>
      <c r="F226" s="63">
        <v>29</v>
      </c>
      <c r="G226" s="63">
        <v>4</v>
      </c>
      <c r="H226" s="48">
        <f>SUM(E226:F226)-(45*1)</f>
        <v>10</v>
      </c>
      <c r="I226" s="48">
        <v>20</v>
      </c>
      <c r="J226" s="49">
        <f>SUM(E226:I226)-(45*1)</f>
        <v>44</v>
      </c>
      <c r="K226" s="49">
        <f>SUM(E226:J226)-(45*2)</f>
        <v>43</v>
      </c>
      <c r="L226" s="49">
        <f>SUM(E226:K226)-(45*3)</f>
        <v>41</v>
      </c>
      <c r="M226" s="49">
        <f>SUM(E226:L226)-(45*4)</f>
        <v>37</v>
      </c>
      <c r="N226" s="49">
        <f>SUM(E226:M226)-(45*5)</f>
        <v>29</v>
      </c>
      <c r="O226" s="49">
        <f>SUM(E226:N226)-(45*6)</f>
        <v>13</v>
      </c>
      <c r="P226" s="49">
        <f>SUM(E226:O226)-(45*6)</f>
        <v>26</v>
      </c>
      <c r="Q226" s="49">
        <f>SUM(F226:P226)-(45*6)</f>
        <v>26</v>
      </c>
      <c r="R226" s="49">
        <f>SUM(G226:Q226)-(45*6)</f>
        <v>23</v>
      </c>
      <c r="S226" s="49">
        <f>SUM(H226:R226)-(45*6)</f>
        <v>42</v>
      </c>
      <c r="T226" s="49">
        <f>SUM(I226:S226)-(45*7)</f>
        <v>29</v>
      </c>
      <c r="U226" s="49">
        <f>SUM(J226:T226)-(45*7)</f>
        <v>38</v>
      </c>
      <c r="V226" s="49">
        <f>SUM(K226:U226)-(45*7)</f>
        <v>32</v>
      </c>
      <c r="W226" s="49">
        <f>SUM(L226:V226)-(45*7)</f>
        <v>21</v>
      </c>
      <c r="X226" s="49">
        <f>SUM(M226:W226)-(45*7)</f>
        <v>1</v>
      </c>
      <c r="Y226" s="49">
        <f>SUM(N226:X226)-(45*6)</f>
        <v>10</v>
      </c>
      <c r="Z226" s="49">
        <f>SUM(O226:Y226)-(45*5)</f>
        <v>36</v>
      </c>
      <c r="AA226" s="49">
        <f>SUM(P226:Z226)-(45*6)</f>
        <v>14</v>
      </c>
      <c r="AB226" s="49">
        <f>SUM(Q226:AA226)-(45*6)</f>
        <v>2</v>
      </c>
      <c r="AC226" s="49">
        <f>SUM(M226:AB226)-(45*8)</f>
        <v>19</v>
      </c>
      <c r="AD226" s="49">
        <f>SUM(N226:AC226)-(45*8)</f>
        <v>1</v>
      </c>
      <c r="AE226" s="49">
        <f>SUM(O226:AD226)-(45*7)</f>
        <v>18</v>
      </c>
      <c r="AF226" s="49">
        <f>SUM(P226:AE226)-(45*7)</f>
        <v>23</v>
      </c>
      <c r="AG226" s="49">
        <f>SUM(Q226:AF226)-(45*7)</f>
        <v>20</v>
      </c>
      <c r="AH226" s="49">
        <f>SUM(R226:AG226)-(45*7)</f>
        <v>14</v>
      </c>
      <c r="AI226" s="49">
        <f>SUM(S226:AH226)-(45*7)</f>
        <v>5</v>
      </c>
      <c r="AJ226" s="49">
        <f>SUM(T226:AI226)-(45*6)</f>
        <v>13</v>
      </c>
      <c r="AK226" s="49">
        <f>SUM(U226:AJ226)-(45*5)</f>
        <v>42</v>
      </c>
      <c r="AL226" s="49">
        <f>SUM(V226:AK226)-(45*6)</f>
        <v>1</v>
      </c>
      <c r="AM226" s="49">
        <f t="shared" ref="AM226:AU226" si="1954">SUM(W226:AL226)-(45*5)</f>
        <v>15</v>
      </c>
      <c r="AN226" s="49">
        <f t="shared" si="1954"/>
        <v>9</v>
      </c>
      <c r="AO226" s="49">
        <f t="shared" si="1954"/>
        <v>17</v>
      </c>
      <c r="AP226" s="49">
        <f t="shared" si="1954"/>
        <v>24</v>
      </c>
      <c r="AQ226" s="49">
        <f t="shared" si="1954"/>
        <v>12</v>
      </c>
      <c r="AR226" s="49">
        <f t="shared" si="1954"/>
        <v>10</v>
      </c>
      <c r="AS226" s="49">
        <f t="shared" si="1954"/>
        <v>18</v>
      </c>
      <c r="AT226" s="49">
        <f t="shared" si="1954"/>
        <v>17</v>
      </c>
      <c r="AU226" s="49">
        <f t="shared" si="1954"/>
        <v>33</v>
      </c>
      <c r="AV226" s="49">
        <f>SUM(AF226:AU226)-(45*6)</f>
        <v>3</v>
      </c>
      <c r="AW226" s="49">
        <f>SUM(AG226:AV226)-(45*5)</f>
        <v>28</v>
      </c>
      <c r="AX226" s="49">
        <f>SUM(AH226:AW226)-(45*5)</f>
        <v>36</v>
      </c>
      <c r="AY226" s="49">
        <f>SUM(AI226:AX226)-(45*6)</f>
        <v>13</v>
      </c>
      <c r="AZ226" s="49">
        <f>SUM(AJ226:AY226)-(45*6)</f>
        <v>21</v>
      </c>
      <c r="BA226" s="49">
        <f>SUM(AK226:AZ226)-(45*6)</f>
        <v>29</v>
      </c>
      <c r="BB226" s="49">
        <f>SUM(AL226:BA226)-(45*6)</f>
        <v>16</v>
      </c>
      <c r="BC226" s="49">
        <f>SUM(AM226:BB226)-(45*6)</f>
        <v>31</v>
      </c>
      <c r="BD226" s="49">
        <f>SUM(AN226:BC226)-(45*7)</f>
        <v>2</v>
      </c>
      <c r="BE226" s="49">
        <f>SUM(AO226:BD226)-(45*6)</f>
        <v>40</v>
      </c>
      <c r="BF226" s="49">
        <f>SUM(AP226:BE226)-(45*7)</f>
        <v>18</v>
      </c>
      <c r="BG226" s="49">
        <f>SUM(AQ226:BF226)-(45*7)</f>
        <v>12</v>
      </c>
      <c r="BH226" s="49">
        <f>SUM(AR226:BG226)-(45*7)</f>
        <v>12</v>
      </c>
      <c r="BI226" s="49">
        <f>SUM(AS226:BH226)-(45*7)</f>
        <v>14</v>
      </c>
      <c r="BJ226" s="49">
        <f>SUM(AT226:BI226)-(45*7)</f>
        <v>10</v>
      </c>
      <c r="BK226" s="49">
        <f>SUM(AU226:BJ226)-(45*7)</f>
        <v>3</v>
      </c>
      <c r="BL226" s="49">
        <f>SUM(AV226:BK226)-(45*6)</f>
        <v>18</v>
      </c>
      <c r="BM226" s="49">
        <f t="shared" si="1953"/>
        <v>33</v>
      </c>
      <c r="BN226" s="49">
        <f t="shared" si="1953"/>
        <v>38</v>
      </c>
      <c r="BO226" s="49">
        <f>SUM(AY226:BN226)-(45*6)</f>
        <v>40</v>
      </c>
      <c r="BP226" s="49">
        <f>SUM(AZ226:BO226)-(45*7)</f>
        <v>22</v>
      </c>
      <c r="BQ226" s="49">
        <f>SUM(BA226:BP226)-(45*7)</f>
        <v>23</v>
      </c>
      <c r="BR226" s="49">
        <f>SUM(BB226:BQ226)-(45*7)</f>
        <v>17</v>
      </c>
      <c r="BS226" s="49">
        <f t="shared" ref="BS226" si="1955">SUM(BC226:BR226)-(45*7)</f>
        <v>18</v>
      </c>
      <c r="BT226" s="49">
        <f>SUM(BD226:BS226)-(45*7)</f>
        <v>5</v>
      </c>
      <c r="BU226" s="49">
        <f>SUM(BE226:BT226)-(45*7)</f>
        <v>8</v>
      </c>
      <c r="BV226" s="49">
        <f>SUM(BF226:BU226)-(45*6)</f>
        <v>21</v>
      </c>
      <c r="BX226" s="413"/>
      <c r="CE226" s="409"/>
    </row>
    <row r="227" spans="2:83" s="446" customFormat="1" ht="17.25">
      <c r="B227" s="451"/>
      <c r="C227" s="53">
        <v>696</v>
      </c>
      <c r="D227" s="324" t="s">
        <v>510</v>
      </c>
      <c r="E227" s="48">
        <v>2</v>
      </c>
      <c r="F227" s="63">
        <v>6</v>
      </c>
      <c r="G227" s="63">
        <v>1</v>
      </c>
      <c r="H227" s="48">
        <f>SUM(E227:F227)-(45*0)</f>
        <v>8</v>
      </c>
      <c r="I227" s="48">
        <v>21</v>
      </c>
      <c r="J227" s="49">
        <f>SUM(E227:I227)-(45*0)</f>
        <v>38</v>
      </c>
      <c r="K227" s="49">
        <f>SUM(E227:J227)-(45*1)</f>
        <v>31</v>
      </c>
      <c r="L227" s="49">
        <f>SUM(E227:K227)-(45*2)</f>
        <v>17</v>
      </c>
      <c r="M227" s="49">
        <f>SUM(E227:L227)-(45*2)</f>
        <v>34</v>
      </c>
      <c r="N227" s="49">
        <f>SUM(E227:M227)-(45*3)</f>
        <v>23</v>
      </c>
      <c r="O227" s="49">
        <f>SUM(E227:N227)-(45*4)</f>
        <v>1</v>
      </c>
      <c r="P227" s="49">
        <f>SUM(E227:O227)-(45*4)</f>
        <v>2</v>
      </c>
      <c r="Q227" s="49">
        <f>SUM(F227:P227)-(45*4)</f>
        <v>2</v>
      </c>
      <c r="R227" s="49">
        <f>SUM(G227:Q227)-(45*3)</f>
        <v>43</v>
      </c>
      <c r="S227" s="49">
        <f>SUM(H227:R227)-(45*4)</f>
        <v>40</v>
      </c>
      <c r="T227" s="49">
        <f t="shared" ref="T227:Y227" si="1956">SUM(I227:S227)-(45*5)</f>
        <v>27</v>
      </c>
      <c r="U227" s="49">
        <f t="shared" si="1956"/>
        <v>33</v>
      </c>
      <c r="V227" s="49">
        <f t="shared" si="1956"/>
        <v>28</v>
      </c>
      <c r="W227" s="49">
        <f t="shared" si="1956"/>
        <v>25</v>
      </c>
      <c r="X227" s="49">
        <f t="shared" si="1956"/>
        <v>33</v>
      </c>
      <c r="Y227" s="49">
        <f t="shared" si="1956"/>
        <v>32</v>
      </c>
      <c r="Z227" s="49">
        <f>SUM(O227:Y227)-(45*5)</f>
        <v>41</v>
      </c>
      <c r="AA227" s="49">
        <f>SUM(P227:Z227)-(45*6)</f>
        <v>36</v>
      </c>
      <c r="AB227" s="49">
        <f>SUM(Q227:AA227)-(45*7)</f>
        <v>25</v>
      </c>
      <c r="AC227" s="49">
        <f>SUM(M227:AB227)-(45*9)</f>
        <v>20</v>
      </c>
      <c r="AD227" s="49">
        <f>SUM(N227:AC227)-(45*9)</f>
        <v>6</v>
      </c>
      <c r="AE227" s="49">
        <f>SUM(O227:AD227)-(45*8)</f>
        <v>34</v>
      </c>
      <c r="AF227" s="49">
        <f>SUM(P227:AE227)-(45*9)</f>
        <v>22</v>
      </c>
      <c r="AG227" s="49">
        <f>SUM(Q227:AF227)-(45*9)</f>
        <v>42</v>
      </c>
      <c r="AH227" s="49">
        <f>SUM(R227:AG227)-(45*10)</f>
        <v>37</v>
      </c>
      <c r="AI227" s="49">
        <f>SUM(S227:AH227)-(45*10)</f>
        <v>31</v>
      </c>
      <c r="AJ227" s="49">
        <f>SUM(T227:AI227)-(45*10)</f>
        <v>22</v>
      </c>
      <c r="AK227" s="49">
        <f>SUM(U227:AJ227)-(45*10)</f>
        <v>17</v>
      </c>
      <c r="AL227" s="49">
        <f>SUM(V227:AK227)-(45*10)</f>
        <v>1</v>
      </c>
      <c r="AM227" s="49">
        <f>SUM(W227:AL227)-(45*9)</f>
        <v>19</v>
      </c>
      <c r="AN227" s="49">
        <f>SUM(X227:AM227)-(45*9)</f>
        <v>13</v>
      </c>
      <c r="AO227" s="49">
        <f>SUM(Y227:AN227)-(45*8)</f>
        <v>38</v>
      </c>
      <c r="AP227" s="49">
        <f>SUM(Z227:AO227)-(45*8)</f>
        <v>44</v>
      </c>
      <c r="AQ227" s="49">
        <f>SUM(AA227:AP227)-(45*9)</f>
        <v>2</v>
      </c>
      <c r="AR227" s="49">
        <f>SUM(AB227:AQ227)-(45*8)</f>
        <v>13</v>
      </c>
      <c r="AS227" s="49">
        <f>SUM(AC227:AR227)-(45*8)</f>
        <v>1</v>
      </c>
      <c r="AT227" s="49">
        <f>SUM(AD227:AS227)-(45*7)</f>
        <v>27</v>
      </c>
      <c r="AU227" s="49">
        <f>SUM(AE227:AT227)-(45*8)</f>
        <v>3</v>
      </c>
      <c r="AV227" s="49">
        <f t="shared" ref="AV227:AW229" si="1957">SUM(AF227:AU227)-(45*7)</f>
        <v>17</v>
      </c>
      <c r="AW227" s="49">
        <f t="shared" si="1957"/>
        <v>12</v>
      </c>
      <c r="AX227" s="49">
        <f>SUM(AH227:AW227)-(45*6)</f>
        <v>27</v>
      </c>
      <c r="AY227" s="49">
        <f>SUM(AI227:AX227)-(45*6)</f>
        <v>17</v>
      </c>
      <c r="AZ227" s="49">
        <f>SUM(AJ227:AY227)-(45*6)</f>
        <v>3</v>
      </c>
      <c r="BA227" s="49">
        <f>SUM(AK227:AZ227)-(45*5)</f>
        <v>29</v>
      </c>
      <c r="BB227" s="49">
        <f>SUM(AL227:BA227)-(45*5)</f>
        <v>41</v>
      </c>
      <c r="BC227" s="49">
        <f>SUM(AM227:BB227)-(45*6)</f>
        <v>36</v>
      </c>
      <c r="BD227" s="49">
        <f>SUM(AN227:BC227)-(45*7)</f>
        <v>8</v>
      </c>
      <c r="BE227" s="49">
        <f>SUM(AO227:BD227)-(45*7)</f>
        <v>3</v>
      </c>
      <c r="BF227" s="49">
        <f>SUM(AP227:BE227)-(45*6)</f>
        <v>13</v>
      </c>
      <c r="BG227" s="49">
        <f>SUM(AQ227:BF227)-(45*5)</f>
        <v>27</v>
      </c>
      <c r="BH227" s="49">
        <f>SUM(AR227:BG227)-(45*6)</f>
        <v>7</v>
      </c>
      <c r="BI227" s="49">
        <f>SUM(AS227:BH227)-(45*6)</f>
        <v>1</v>
      </c>
      <c r="BJ227" s="49">
        <f>SUM(AT227:BI227)-(45*6)</f>
        <v>1</v>
      </c>
      <c r="BK227" s="49">
        <f>SUM(AU227:BJ227)-(45*5)</f>
        <v>20</v>
      </c>
      <c r="BL227" s="49">
        <f>SUM(AV227:BK227)-(45*5)</f>
        <v>37</v>
      </c>
      <c r="BM227" s="49">
        <f t="shared" si="1953"/>
        <v>12</v>
      </c>
      <c r="BN227" s="49">
        <f t="shared" si="1953"/>
        <v>12</v>
      </c>
      <c r="BO227" s="49">
        <f>SUM(AY227:BN227)-(45*5)</f>
        <v>42</v>
      </c>
      <c r="BP227" s="49">
        <f>SUM(AZ227:BO227)-(45*6)</f>
        <v>22</v>
      </c>
      <c r="BQ227" s="49">
        <f>SUM(BA227:BP227)-(45*6)</f>
        <v>41</v>
      </c>
      <c r="BR227" s="49">
        <f>SUM(BB227:BQ227)-(45*7)</f>
        <v>8</v>
      </c>
      <c r="BS227" s="49">
        <f>SUM(BC227:BR227)-(45*6)</f>
        <v>20</v>
      </c>
      <c r="BT227" s="49">
        <f>SUM(BD227:BS227)-(45*6)</f>
        <v>4</v>
      </c>
      <c r="BU227" s="49">
        <f>SUM(BE227:BT227)-(45*5)</f>
        <v>45</v>
      </c>
      <c r="BV227" s="49">
        <f>SUM(BF227:BU227)-(45*6)</f>
        <v>42</v>
      </c>
      <c r="BX227" s="413"/>
      <c r="CE227" s="409"/>
    </row>
    <row r="228" spans="2:83" s="446" customFormat="1" ht="17.25">
      <c r="B228" s="454"/>
      <c r="C228" s="44">
        <v>697</v>
      </c>
      <c r="D228" s="108" t="s">
        <v>511</v>
      </c>
      <c r="E228" s="48">
        <v>9</v>
      </c>
      <c r="F228" s="63">
        <v>13</v>
      </c>
      <c r="G228" s="63">
        <v>2</v>
      </c>
      <c r="H228" s="48">
        <f>SUM(E228:F228)-(45*0)</f>
        <v>22</v>
      </c>
      <c r="I228" s="48">
        <v>22</v>
      </c>
      <c r="J228" s="49">
        <f>SUM(E228:I228)-(45*1)</f>
        <v>23</v>
      </c>
      <c r="K228" s="49">
        <f>SUM(E228:J228)-(45*2)</f>
        <v>1</v>
      </c>
      <c r="L228" s="49">
        <f>SUM(E228:K228)-(45*2)</f>
        <v>2</v>
      </c>
      <c r="M228" s="49">
        <f>SUM(E228:L228)-(45*2)</f>
        <v>4</v>
      </c>
      <c r="N228" s="49">
        <f>SUM(E228:M228)-(45*2)</f>
        <v>8</v>
      </c>
      <c r="O228" s="49">
        <f>SUM(E228:N228)-(45*2)</f>
        <v>16</v>
      </c>
      <c r="P228" s="49">
        <f>SUM(E228:O228)-(45*2)</f>
        <v>32</v>
      </c>
      <c r="Q228" s="49">
        <f>SUM(F228:P228)-(45*3)</f>
        <v>10</v>
      </c>
      <c r="R228" s="49">
        <f>SUM(G228:Q228)-(45*3)</f>
        <v>7</v>
      </c>
      <c r="S228" s="49">
        <f>SUM(H228:R228)-(45*3)</f>
        <v>12</v>
      </c>
      <c r="T228" s="49">
        <f>SUM(I228:S228)-(45*3)</f>
        <v>2</v>
      </c>
      <c r="U228" s="49">
        <f>SUM(J228:T228)-(45*2)</f>
        <v>27</v>
      </c>
      <c r="V228" s="49">
        <f>SUM(K228:U228)-(45*2)</f>
        <v>31</v>
      </c>
      <c r="W228" s="49">
        <f>SUM(L228:V228)-(45*3)</f>
        <v>16</v>
      </c>
      <c r="X228" s="49">
        <f>SUM(M228:W228)-(45*3)</f>
        <v>30</v>
      </c>
      <c r="Y228" s="49">
        <f>SUM(N228:X228)-(45*4)</f>
        <v>11</v>
      </c>
      <c r="Z228" s="49">
        <f>SUM(O228:Y228)-(45*4)</f>
        <v>14</v>
      </c>
      <c r="AA228" s="49">
        <f>SUM(P228:Z228)-(45*4)</f>
        <v>12</v>
      </c>
      <c r="AB228" s="49">
        <f>SUM(Q228:AA228)-(45*3)</f>
        <v>37</v>
      </c>
      <c r="AC228" s="49">
        <f>SUM(M228:AB228)-(45*5)</f>
        <v>44</v>
      </c>
      <c r="AD228" s="49">
        <f>SUM(N228:AC228)-(45*6)</f>
        <v>39</v>
      </c>
      <c r="AE228" s="49">
        <f>SUM(O228:AD228)-(45*7)</f>
        <v>25</v>
      </c>
      <c r="AF228" s="49">
        <f>SUM(P228:AE228)-(45*7)</f>
        <v>34</v>
      </c>
      <c r="AG228" s="49">
        <f>SUM(Q228:AF228)-(45*7)</f>
        <v>36</v>
      </c>
      <c r="AH228" s="49">
        <f>SUM(R228:AG228)-(45*8)</f>
        <v>17</v>
      </c>
      <c r="AI228" s="49">
        <f>SUM(S228:AH228)-(45*8)</f>
        <v>27</v>
      </c>
      <c r="AJ228" s="49">
        <f>SUM(T228:AI228)-(45*8)</f>
        <v>42</v>
      </c>
      <c r="AK228" s="49">
        <f>SUM(U228:AJ228)-(45*9)</f>
        <v>37</v>
      </c>
      <c r="AL228" s="49">
        <f>SUM(V228:AK228)-(45*10)</f>
        <v>2</v>
      </c>
      <c r="AM228" s="49">
        <f>SUM(W228:AL228)-(45*9)</f>
        <v>18</v>
      </c>
      <c r="AN228" s="49">
        <f>SUM(X228:AM228)-(45*9)</f>
        <v>20</v>
      </c>
      <c r="AO228" s="49">
        <f>SUM(Y228:AN228)-(45*9)</f>
        <v>10</v>
      </c>
      <c r="AP228" s="49">
        <f>SUM(Z228:AO228)-(45*9)</f>
        <v>9</v>
      </c>
      <c r="AQ228" s="49">
        <f>SUM(AA228:AP228)-(45*9)</f>
        <v>4</v>
      </c>
      <c r="AR228" s="49">
        <f>SUM(AB228:AQ228)-(45*8)</f>
        <v>41</v>
      </c>
      <c r="AS228" s="49">
        <f>SUM(AC228:AR228)-(45*8)</f>
        <v>45</v>
      </c>
      <c r="AT228" s="49">
        <f>SUM(AD228:AS228)-(45*9)</f>
        <v>1</v>
      </c>
      <c r="AU228" s="49">
        <f>SUM(AE228:AT228)-(45*8)</f>
        <v>8</v>
      </c>
      <c r="AV228" s="49">
        <f t="shared" si="1957"/>
        <v>36</v>
      </c>
      <c r="AW228" s="49">
        <f t="shared" si="1957"/>
        <v>38</v>
      </c>
      <c r="AX228" s="49">
        <f>SUM(AH228:AW228)-(45*7)</f>
        <v>40</v>
      </c>
      <c r="AY228" s="49">
        <f>SUM(AI228:AX228)-(45*8)</f>
        <v>18</v>
      </c>
      <c r="AZ228" s="49">
        <f>SUM(AJ228:AY228)-(45*8)</f>
        <v>9</v>
      </c>
      <c r="BA228" s="49">
        <f>SUM(AK228:AZ228)-(45*7)</f>
        <v>21</v>
      </c>
      <c r="BB228" s="49">
        <f>SUM(AL228:BA228)-(45*7)</f>
        <v>5</v>
      </c>
      <c r="BC228" s="49">
        <f>SUM(AM228:BB228)-(45*7)</f>
        <v>8</v>
      </c>
      <c r="BD228" s="49">
        <f>SUM(AN228:BC228)-(45*6)</f>
        <v>43</v>
      </c>
      <c r="BE228" s="49">
        <f>SUM(AO228:BD228)-(45*7)</f>
        <v>21</v>
      </c>
      <c r="BF228" s="49">
        <f>SUM(AP228:BE228)-(45*7)</f>
        <v>32</v>
      </c>
      <c r="BG228" s="49">
        <f>SUM(AQ228:BF228)-(45*8)</f>
        <v>10</v>
      </c>
      <c r="BH228" s="49">
        <f>SUM(AR228:BG228)-(45*8)</f>
        <v>16</v>
      </c>
      <c r="BI228" s="49">
        <f>SUM(AS228:BH228)-(45*7)</f>
        <v>36</v>
      </c>
      <c r="BJ228" s="49">
        <f>SUM(AT228:BI228)-(45*7)</f>
        <v>27</v>
      </c>
      <c r="BK228" s="49">
        <f>SUM(AU228:BJ228)-(45*8)</f>
        <v>8</v>
      </c>
      <c r="BL228" s="49">
        <f>SUM(AV228:BK228)-(45*8)</f>
        <v>8</v>
      </c>
      <c r="BM228" s="49">
        <f>SUM(AW228:BL228)-(45*7)</f>
        <v>25</v>
      </c>
      <c r="BN228" s="49">
        <f>SUM(AX228:BM228)-(45*7)</f>
        <v>12</v>
      </c>
      <c r="BO228" s="49">
        <f>SUM(AY228:BN228)-(45*6)</f>
        <v>29</v>
      </c>
      <c r="BP228" s="49">
        <f>SUM(AZ228:BO228)-(45*6)</f>
        <v>40</v>
      </c>
      <c r="BQ228" s="49">
        <f>SUM(BA228:BP228)-(45*7)</f>
        <v>26</v>
      </c>
      <c r="BR228" s="49">
        <f>SUM(BB228:BQ228)-(45*7)</f>
        <v>31</v>
      </c>
      <c r="BS228" s="49">
        <f>SUM(BC228:BR228)-(45*8)</f>
        <v>12</v>
      </c>
      <c r="BT228" s="49">
        <f>SUM(BD228:BS228)-(45*8)</f>
        <v>16</v>
      </c>
      <c r="BU228" s="49">
        <f>SUM(BE228:BT228)-(45*7)</f>
        <v>34</v>
      </c>
      <c r="BV228" s="49">
        <f>SUM(BF228:BU228)-(45*8)</f>
        <v>2</v>
      </c>
      <c r="BX228" s="413"/>
      <c r="CE228" s="409"/>
    </row>
    <row r="229" spans="2:83" s="446" customFormat="1" ht="17.25">
      <c r="B229" s="460"/>
      <c r="C229" s="53">
        <v>698</v>
      </c>
      <c r="D229" s="324" t="s">
        <v>512</v>
      </c>
      <c r="E229" s="48">
        <v>16</v>
      </c>
      <c r="F229" s="63">
        <v>20</v>
      </c>
      <c r="G229" s="63">
        <v>3</v>
      </c>
      <c r="H229" s="48">
        <f>SUM(E229:F229)-(45*0)</f>
        <v>36</v>
      </c>
      <c r="I229" s="48">
        <v>23</v>
      </c>
      <c r="J229" s="49">
        <f>SUM(E229:I229)-(45*2)</f>
        <v>8</v>
      </c>
      <c r="K229" s="49">
        <f>SUM(E229:J229)-(45*2)</f>
        <v>16</v>
      </c>
      <c r="L229" s="49">
        <f>SUM(E229:K229)-(45*2)</f>
        <v>32</v>
      </c>
      <c r="M229" s="49">
        <f>SUM(E229:L229)-(45*3)</f>
        <v>19</v>
      </c>
      <c r="N229" s="49">
        <f>SUM(E229:M229)-(45*3)</f>
        <v>38</v>
      </c>
      <c r="O229" s="49">
        <f>SUM(E229:N229)-(45*4)</f>
        <v>31</v>
      </c>
      <c r="P229" s="49">
        <f>SUM(E229:O229)-(45*5)</f>
        <v>17</v>
      </c>
      <c r="Q229" s="49">
        <f>SUM(F229:P229)-(45*5)</f>
        <v>18</v>
      </c>
      <c r="R229" s="49">
        <f>SUM(G229:Q229)-(45*5)</f>
        <v>16</v>
      </c>
      <c r="S229" s="49">
        <f>SUM(H229:R229)-(45*5)</f>
        <v>29</v>
      </c>
      <c r="T229" s="49">
        <f t="shared" ref="T229" si="1958">SUM(I229:S229)-(45*5)</f>
        <v>22</v>
      </c>
      <c r="U229" s="49">
        <f t="shared" ref="U229" si="1959">SUM(J229:T229)-(45*5)</f>
        <v>21</v>
      </c>
      <c r="V229" s="49">
        <f t="shared" ref="V229" si="1960">SUM(K229:U229)-(45*5)</f>
        <v>34</v>
      </c>
      <c r="W229" s="49">
        <f>SUM(L229:V229)-(45*6)</f>
        <v>7</v>
      </c>
      <c r="X229" s="49">
        <f t="shared" ref="X229" si="1961">SUM(M229:W229)-(45*5)</f>
        <v>27</v>
      </c>
      <c r="Y229" s="49">
        <f t="shared" ref="Y229" si="1962">SUM(N229:X229)-(45*5)</f>
        <v>35</v>
      </c>
      <c r="Z229" s="49">
        <f>SUM(O229:Y229)-(45*5)</f>
        <v>32</v>
      </c>
      <c r="AA229" s="49">
        <f>SUM(P229:Z229)-(45*5)</f>
        <v>33</v>
      </c>
      <c r="AB229" s="49">
        <f>SUM(Q229:AA229)-(45*6)</f>
        <v>4</v>
      </c>
      <c r="AC229" s="49">
        <f>SUM(M229:AB229)-(45*8)</f>
        <v>23</v>
      </c>
      <c r="AD229" s="49">
        <f>SUM(N229:AC229)-(45*8)</f>
        <v>27</v>
      </c>
      <c r="AE229" s="49">
        <f>SUM(O229:AD229)-(45*8)</f>
        <v>16</v>
      </c>
      <c r="AF229" s="49">
        <f>SUM(P229:AE229)-(45*8)</f>
        <v>1</v>
      </c>
      <c r="AG229" s="49">
        <f>SUM(Q229:AF229)-(45*7)</f>
        <v>30</v>
      </c>
      <c r="AH229" s="49">
        <f>SUM(R229:AG229)-(45*7)</f>
        <v>42</v>
      </c>
      <c r="AI229" s="49">
        <f>SUM(S229:AH229)-(45*8)</f>
        <v>23</v>
      </c>
      <c r="AJ229" s="49">
        <f>SUM(T229:AI229)-(45*8)</f>
        <v>17</v>
      </c>
      <c r="AK229" s="49">
        <f>SUM(U229:AJ229)-(45*8)</f>
        <v>12</v>
      </c>
      <c r="AL229" s="49">
        <f>SUM(V229:AK229)-(45*8)</f>
        <v>3</v>
      </c>
      <c r="AM229" s="49">
        <f>SUM(W229:AL229)-(45*7)</f>
        <v>17</v>
      </c>
      <c r="AN229" s="49">
        <f>SUM(X229:AM229)-(45*7)</f>
        <v>27</v>
      </c>
      <c r="AO229" s="49">
        <f>SUM(Y229:AN229)-(45*7)</f>
        <v>27</v>
      </c>
      <c r="AP229" s="49">
        <f>SUM(Z229:AO229)-(45*7)</f>
        <v>19</v>
      </c>
      <c r="AQ229" s="49">
        <f>SUM(AA229:AP229)-(45*7)</f>
        <v>6</v>
      </c>
      <c r="AR229" s="49">
        <f>SUM(AB229:AQ229)-(45*6)</f>
        <v>24</v>
      </c>
      <c r="AS229" s="49">
        <f>SUM(AC229:AR229)-(45*6)</f>
        <v>44</v>
      </c>
      <c r="AT229" s="49">
        <f>SUM(AD229:AS229)-(45*7)</f>
        <v>20</v>
      </c>
      <c r="AU229" s="49">
        <f>SUM(AE229:AT229)-(45*7)</f>
        <v>13</v>
      </c>
      <c r="AV229" s="49">
        <f t="shared" si="1957"/>
        <v>10</v>
      </c>
      <c r="AW229" s="49">
        <f t="shared" si="1957"/>
        <v>19</v>
      </c>
      <c r="AX229" s="49">
        <f>SUM(AH229:AW229)-(45*7)</f>
        <v>8</v>
      </c>
      <c r="AY229" s="49">
        <f>SUM(AI229:AX229)-(45*6)</f>
        <v>19</v>
      </c>
      <c r="AZ229" s="49">
        <f>SUM(AJ229:AY229)-(45*6)</f>
        <v>15</v>
      </c>
      <c r="BA229" s="49">
        <f>SUM(AK229:AZ229)-(45*6)</f>
        <v>13</v>
      </c>
      <c r="BB229" s="49">
        <f>SUM(AL229:BA229)-(45*6)</f>
        <v>14</v>
      </c>
      <c r="BC229" s="49">
        <f>SUM(AM229:BB229)-(45*6)</f>
        <v>25</v>
      </c>
      <c r="BD229" s="49">
        <f>SUM(AN229:BC229)-(45*6)</f>
        <v>33</v>
      </c>
      <c r="BE229" s="49">
        <f>SUM(AO229:BD229)-(45*6)</f>
        <v>39</v>
      </c>
      <c r="BF229" s="49">
        <f>SUM(AP229:BE229)-(45*7)</f>
        <v>6</v>
      </c>
      <c r="BG229" s="49">
        <f>SUM(AQ229:BF229)-(45*6)</f>
        <v>38</v>
      </c>
      <c r="BH229" s="49">
        <f>SUM(AR229:BG229)-(45*7)</f>
        <v>25</v>
      </c>
      <c r="BI229" s="49">
        <f>SUM(AS229:BH229)-(45*7)</f>
        <v>26</v>
      </c>
      <c r="BJ229" s="49">
        <f>SUM(AT229:BI229)-(45*7)</f>
        <v>8</v>
      </c>
      <c r="BK229" s="49">
        <f>SUM(AU229:BJ229)-(45*6)</f>
        <v>41</v>
      </c>
      <c r="BL229" s="49">
        <f>SUM(AV229:BK229)-(45*7)</f>
        <v>24</v>
      </c>
      <c r="BM229" s="49">
        <f>SUM(AW229:BL229)-(45*7)</f>
        <v>38</v>
      </c>
      <c r="BN229" s="49">
        <f t="shared" ref="BN229:BS229" si="1963">SUM(AX229:BM229)-(45*8)</f>
        <v>12</v>
      </c>
      <c r="BO229" s="49">
        <f t="shared" si="1963"/>
        <v>16</v>
      </c>
      <c r="BP229" s="49">
        <f t="shared" si="1963"/>
        <v>13</v>
      </c>
      <c r="BQ229" s="49">
        <f t="shared" si="1963"/>
        <v>11</v>
      </c>
      <c r="BR229" s="49">
        <f t="shared" si="1963"/>
        <v>9</v>
      </c>
      <c r="BS229" s="49">
        <f t="shared" si="1963"/>
        <v>4</v>
      </c>
      <c r="BT229" s="49">
        <f>SUM(BD229:BS229)-(45*7)</f>
        <v>28</v>
      </c>
      <c r="BU229" s="49">
        <f>SUM(BE229:BT229)-(45*7)</f>
        <v>23</v>
      </c>
      <c r="BV229" s="49">
        <f>SUM(BF229:BU229)-(45*7)</f>
        <v>7</v>
      </c>
      <c r="BX229" s="413"/>
      <c r="CE229" s="409"/>
    </row>
    <row r="230" spans="2:83" s="446" customFormat="1" ht="17.25">
      <c r="B230" s="464"/>
      <c r="C230" s="44">
        <v>699</v>
      </c>
      <c r="D230" s="108" t="s">
        <v>513</v>
      </c>
      <c r="E230" s="48">
        <v>23</v>
      </c>
      <c r="F230" s="63">
        <v>27</v>
      </c>
      <c r="G230" s="63">
        <v>4</v>
      </c>
      <c r="H230" s="48">
        <f>SUM(E230:F230)-(45*1)</f>
        <v>5</v>
      </c>
      <c r="I230" s="48">
        <v>24</v>
      </c>
      <c r="J230" s="49">
        <f>SUM(E230:I230)-(45*1)</f>
        <v>38</v>
      </c>
      <c r="K230" s="49">
        <f>SUM(E230:J230)-(45*2)</f>
        <v>31</v>
      </c>
      <c r="L230" s="49">
        <f>SUM(E230:K230)-(45*3)</f>
        <v>17</v>
      </c>
      <c r="M230" s="49">
        <f>SUM(E230:L230)-(45*3)</f>
        <v>34</v>
      </c>
      <c r="N230" s="49">
        <f>SUM(E230:M230)-(45*4)</f>
        <v>23</v>
      </c>
      <c r="O230" s="49">
        <f>SUM(E230:N230)-(45*5)</f>
        <v>1</v>
      </c>
      <c r="P230" s="49">
        <f>SUM(E230:O230)-(45*5)</f>
        <v>2</v>
      </c>
      <c r="Q230" s="49">
        <f>SUM(F230:P230)-(45*4)</f>
        <v>26</v>
      </c>
      <c r="R230" s="49">
        <f>SUM(G230:Q230)-(45*4)</f>
        <v>25</v>
      </c>
      <c r="S230" s="49">
        <f>SUM(H230:R230)-(45*5)</f>
        <v>1</v>
      </c>
      <c r="T230" s="49">
        <f>SUM(I230:S230)-(45*4)</f>
        <v>42</v>
      </c>
      <c r="U230" s="49">
        <f>SUM(J230:T230)-(45*5)</f>
        <v>15</v>
      </c>
      <c r="V230" s="49">
        <f>SUM(K230:U230)-(45*4)</f>
        <v>37</v>
      </c>
      <c r="W230" s="49">
        <f>SUM(L230:V230)-(45*4)</f>
        <v>43</v>
      </c>
      <c r="X230" s="49">
        <f>SUM(M230:W230)-(45*5)</f>
        <v>24</v>
      </c>
      <c r="Y230" s="49">
        <f>SUM(N230:X230)-(45*5)</f>
        <v>14</v>
      </c>
      <c r="Z230" s="49">
        <f>SUM(O230:Y230)-(45*5)</f>
        <v>5</v>
      </c>
      <c r="AA230" s="49">
        <f>SUM(P230:Z230)-(45*5)</f>
        <v>9</v>
      </c>
      <c r="AB230" s="49">
        <f>SUM(Q230:AA230)-(45*5)</f>
        <v>16</v>
      </c>
      <c r="AC230" s="49">
        <f>SUM(M230:AB230)-(45*7)</f>
        <v>2</v>
      </c>
      <c r="AD230" s="49">
        <f t="shared" ref="AD230:AK230" si="1964">SUM(N230:AC230)-(45*6)</f>
        <v>15</v>
      </c>
      <c r="AE230" s="49">
        <f t="shared" si="1964"/>
        <v>7</v>
      </c>
      <c r="AF230" s="49">
        <f t="shared" si="1964"/>
        <v>13</v>
      </c>
      <c r="AG230" s="49">
        <f t="shared" si="1964"/>
        <v>24</v>
      </c>
      <c r="AH230" s="49">
        <f t="shared" si="1964"/>
        <v>22</v>
      </c>
      <c r="AI230" s="49">
        <f t="shared" si="1964"/>
        <v>19</v>
      </c>
      <c r="AJ230" s="49">
        <f t="shared" si="1964"/>
        <v>37</v>
      </c>
      <c r="AK230" s="49">
        <f t="shared" si="1964"/>
        <v>32</v>
      </c>
      <c r="AL230" s="49">
        <f>SUM(V230:AK230)-(45*7)</f>
        <v>4</v>
      </c>
      <c r="AM230" s="49">
        <f>SUM(W230:AL230)-(45*6)</f>
        <v>16</v>
      </c>
      <c r="AN230" s="49">
        <f>SUM(X230:AM230)-(45*5)</f>
        <v>34</v>
      </c>
      <c r="AO230" s="49">
        <f>SUM(Y230:AN230)-(45*5)</f>
        <v>44</v>
      </c>
      <c r="AP230" s="49">
        <f>SUM(Z230:AO230)-(45*6)</f>
        <v>29</v>
      </c>
      <c r="AQ230" s="49">
        <f>SUM(AA230:AP230)-(45*7)</f>
        <v>8</v>
      </c>
      <c r="AR230" s="49">
        <f>SUM(AB230:AQ230)-(45*7)</f>
        <v>7</v>
      </c>
      <c r="AS230" s="49">
        <f>SUM(AC230:AR230)-(45*6)</f>
        <v>43</v>
      </c>
      <c r="AT230" s="49">
        <f>SUM(AD230:AS230)-(45*7)</f>
        <v>39</v>
      </c>
      <c r="AU230" s="49">
        <f>SUM(AE230:AT230)-(45*8)</f>
        <v>18</v>
      </c>
      <c r="AV230" s="49">
        <f>SUM(AF230:AU230)-(45*8)</f>
        <v>29</v>
      </c>
      <c r="AW230" s="49">
        <f>SUM(AG230:AV230)-(45*8)</f>
        <v>45</v>
      </c>
      <c r="AX230" s="49">
        <f>SUM(AH230:AW230)-(45*9)</f>
        <v>21</v>
      </c>
      <c r="AY230" s="49">
        <f>SUM(AI230:AX230)-(45*9)</f>
        <v>20</v>
      </c>
      <c r="AZ230" s="49">
        <f>SUM(AJ230:AY230)-(45*9)</f>
        <v>21</v>
      </c>
      <c r="BA230" s="49">
        <f>SUM(AK230:AZ230)-(45*9)</f>
        <v>5</v>
      </c>
      <c r="BB230" s="49">
        <f>SUM(AL230:BA230)-(45*8)</f>
        <v>23</v>
      </c>
      <c r="BC230" s="49">
        <f>SUM(AM230:BB230)-(45*8)</f>
        <v>42</v>
      </c>
      <c r="BD230" s="49">
        <f>SUM(AN230:BC230)-(45*9)</f>
        <v>23</v>
      </c>
      <c r="BE230" s="49">
        <f>SUM(AO230:BD230)-(45*9)</f>
        <v>12</v>
      </c>
      <c r="BF230" s="49">
        <f>SUM(AP230:BE230)-(45*8)</f>
        <v>25</v>
      </c>
      <c r="BG230" s="49">
        <f>SUM(AQ230:BF230)-(45*8)</f>
        <v>21</v>
      </c>
      <c r="BH230" s="49">
        <f>SUM(AR230:BG230)-(45*8)</f>
        <v>34</v>
      </c>
      <c r="BI230" s="49">
        <f>SUM(AS230:BH230)-(45*9)</f>
        <v>16</v>
      </c>
      <c r="BJ230" s="49">
        <f>SUM(AT230:BI230)-(45*8)</f>
        <v>34</v>
      </c>
      <c r="BK230" s="49">
        <f>SUM(AU230:BJ230)-(45*8)</f>
        <v>29</v>
      </c>
      <c r="BL230" s="49">
        <f>SUM(AV230:BK230)-(45*8)</f>
        <v>40</v>
      </c>
      <c r="BM230" s="49">
        <f>SUM(AW230:BL230)-(45*9)</f>
        <v>6</v>
      </c>
      <c r="BN230" s="49">
        <f>SUM(AX230:BM230)-(45*8)</f>
        <v>12</v>
      </c>
      <c r="BO230" s="49">
        <f>SUM(AY230:BN230)-(45*8)</f>
        <v>3</v>
      </c>
      <c r="BP230" s="49">
        <f>SUM(AZ230:BO230)-(45*7)</f>
        <v>31</v>
      </c>
      <c r="BQ230" s="49">
        <f>SUM(BA230:BP230)-(45*7)</f>
        <v>41</v>
      </c>
      <c r="BR230" s="49">
        <f>SUM(BB230:BQ230)-(45*8)</f>
        <v>32</v>
      </c>
      <c r="BS230" s="49">
        <f>SUM(BC230:BR230)-(45*8)</f>
        <v>41</v>
      </c>
      <c r="BT230" s="49">
        <f>SUM(BD230:BS230)-(45*8)</f>
        <v>40</v>
      </c>
      <c r="BU230" s="49">
        <f>SUM(BE230:BT230)-(45*9)</f>
        <v>12</v>
      </c>
      <c r="BV230" s="49">
        <f>SUM(BF230:BU230)-(45*9)</f>
        <v>12</v>
      </c>
      <c r="BX230" s="413"/>
      <c r="CE230" s="409"/>
    </row>
    <row r="231" spans="2:83" s="446" customFormat="1" ht="17.25">
      <c r="B231" s="467"/>
      <c r="C231" s="53">
        <v>700</v>
      </c>
      <c r="D231" s="324" t="s">
        <v>514</v>
      </c>
      <c r="E231" s="48">
        <v>30</v>
      </c>
      <c r="F231" s="63">
        <v>34</v>
      </c>
      <c r="G231" s="63">
        <v>5</v>
      </c>
      <c r="H231" s="48">
        <f>SUM(E231:F231)-(45*1)</f>
        <v>19</v>
      </c>
      <c r="I231" s="48">
        <v>7</v>
      </c>
      <c r="J231" s="49">
        <f>SUM(E231:I231)-(45*2)</f>
        <v>5</v>
      </c>
      <c r="K231" s="49">
        <f>SUM(E231:J231)-(45*2)</f>
        <v>10</v>
      </c>
      <c r="L231" s="49">
        <f>SUM(E231:K231)-(45*2)</f>
        <v>20</v>
      </c>
      <c r="M231" s="49">
        <f>SUM(E231:L231)-(45*2)</f>
        <v>40</v>
      </c>
      <c r="N231" s="49">
        <f>SUM(E231:M231)-(45*3)</f>
        <v>35</v>
      </c>
      <c r="O231" s="49">
        <f>SUM(E231:N231)-(45*4)</f>
        <v>25</v>
      </c>
      <c r="P231" s="49">
        <f>SUM(E231:O231)-(45*5)</f>
        <v>5</v>
      </c>
      <c r="Q231" s="49">
        <f>SUM(F231:P231)-(45*4)</f>
        <v>25</v>
      </c>
      <c r="R231" s="49">
        <f>SUM(G231:Q231)-(45*4)</f>
        <v>16</v>
      </c>
      <c r="S231" s="49">
        <f>SUM(H231:R231)-(45*4)</f>
        <v>27</v>
      </c>
      <c r="T231" s="49">
        <f>SUM(I231:S231)-(45*4)</f>
        <v>35</v>
      </c>
      <c r="U231" s="49">
        <f t="shared" ref="U231" si="1965">SUM(J231:T231)-(45*5)</f>
        <v>18</v>
      </c>
      <c r="V231" s="49">
        <f t="shared" ref="V231" si="1966">SUM(K231:U231)-(45*5)</f>
        <v>31</v>
      </c>
      <c r="W231" s="49">
        <f>SUM(L231:V231)-(45*6)</f>
        <v>7</v>
      </c>
      <c r="X231" s="49">
        <f t="shared" ref="X231" si="1967">SUM(M231:W231)-(45*5)</f>
        <v>39</v>
      </c>
      <c r="Y231" s="49">
        <f t="shared" ref="Y231" si="1968">SUM(N231:X231)-(45*5)</f>
        <v>38</v>
      </c>
      <c r="Z231" s="49">
        <f>SUM(O231:Y231)-(45*5)</f>
        <v>41</v>
      </c>
      <c r="AA231" s="49">
        <f>SUM(P231:Z231)-(45*6)</f>
        <v>12</v>
      </c>
      <c r="AB231" s="49">
        <f>SUM(Q231:AA231)-(45*6)</f>
        <v>19</v>
      </c>
      <c r="AC231" s="49">
        <f>SUM(M231:AB231)-(45*9)</f>
        <v>8</v>
      </c>
      <c r="AD231" s="49">
        <f>SUM(N231:AC231)-(45*8)</f>
        <v>21</v>
      </c>
      <c r="AE231" s="49">
        <f>SUM(O231:AD231)-(45*8)</f>
        <v>7</v>
      </c>
      <c r="AF231" s="49">
        <f>SUM(P231:AE231)-(45*7)</f>
        <v>34</v>
      </c>
      <c r="AG231" s="49">
        <f>SUM(Q231:AF231)-(45*8)</f>
        <v>18</v>
      </c>
      <c r="AH231" s="49">
        <f>SUM(R231:AG231)-(45*8)</f>
        <v>11</v>
      </c>
      <c r="AI231" s="49">
        <f>SUM(S231:AH231)-(45*8)</f>
        <v>6</v>
      </c>
      <c r="AJ231" s="49">
        <f>SUM(T231:AI231)-(45*7)</f>
        <v>30</v>
      </c>
      <c r="AK231" s="49">
        <f>SUM(U231:AJ231)-(45*7)</f>
        <v>25</v>
      </c>
      <c r="AL231" s="49">
        <f>SUM(V231:AK231)-(45*7)</f>
        <v>32</v>
      </c>
      <c r="AM231" s="49">
        <f>SUM(W231:AL231)-(45*7)</f>
        <v>33</v>
      </c>
      <c r="AN231" s="49">
        <f>SUM(X231:AM231)-(45*8)</f>
        <v>14</v>
      </c>
      <c r="AO231" s="49">
        <f>SUM(Y231:AN231)-(45*7)</f>
        <v>34</v>
      </c>
      <c r="AP231" s="49">
        <f>SUM(Z231:AO231)-(45*7)</f>
        <v>30</v>
      </c>
      <c r="AQ231" s="49">
        <f>SUM(AA231:AP231)-(45*7)</f>
        <v>19</v>
      </c>
      <c r="AR231" s="49">
        <f>SUM(AB231:AQ231)-(45*7)</f>
        <v>26</v>
      </c>
      <c r="AS231" s="49">
        <f>SUM(AC231:AR231)-(45*7)</f>
        <v>33</v>
      </c>
      <c r="AT231" s="49">
        <f>SUM(AD231:AS231)-(45*8)</f>
        <v>13</v>
      </c>
      <c r="AU231" s="49">
        <f>SUM(AE231:AT231)-(45*8)</f>
        <v>5</v>
      </c>
      <c r="AV231" s="49">
        <f>SUM(AF231:AU231)-(45*8)</f>
        <v>3</v>
      </c>
      <c r="AW231" s="49">
        <f t="shared" ref="AW231" si="1969">SUM(AG231:AV231)-(45*7)</f>
        <v>17</v>
      </c>
      <c r="AX231" s="49">
        <f>SUM(AH231:AW231)-(45*7)</f>
        <v>16</v>
      </c>
      <c r="AY231" s="49">
        <f>SUM(AI231:AX231)-(45*7)</f>
        <v>21</v>
      </c>
      <c r="AZ231" s="49">
        <f>SUM(AJ231:AY231)-(45*7)</f>
        <v>36</v>
      </c>
      <c r="BA231" s="49">
        <f>SUM(AK231:AZ231)-(45*7)</f>
        <v>42</v>
      </c>
      <c r="BB231" s="49">
        <f>SUM(AL231:BA231)-(45*8)</f>
        <v>14</v>
      </c>
      <c r="BC231" s="49">
        <f>SUM(AM231:BB231)-(45*7)</f>
        <v>41</v>
      </c>
      <c r="BD231" s="49">
        <f>SUM(AN231:BC231)-(45*8)</f>
        <v>4</v>
      </c>
      <c r="BE231" s="49">
        <f>SUM(AO231:BD231)-(45*7)</f>
        <v>39</v>
      </c>
      <c r="BF231" s="49">
        <f>SUM(AP231:BE231)-(45*7)</f>
        <v>44</v>
      </c>
      <c r="BG231" s="49">
        <f>SUM(AQ231:BF231)-(45*8)</f>
        <v>13</v>
      </c>
      <c r="BH231" s="49">
        <f>SUM(AR231:BG231)-(45*8)</f>
        <v>7</v>
      </c>
      <c r="BI231" s="49">
        <f>SUM(AS231:BH231)-(45*7)</f>
        <v>33</v>
      </c>
      <c r="BJ231" s="49">
        <f>SUM(AT231:BI231)-(45*7)</f>
        <v>33</v>
      </c>
      <c r="BK231" s="49">
        <f>SUM(AU231:BJ231)-(45*8)</f>
        <v>8</v>
      </c>
      <c r="BL231" s="49">
        <f>SUM(AV231:BK231)-(45*8)</f>
        <v>11</v>
      </c>
      <c r="BM231" s="49">
        <f>SUM(AW231:BL231)-(45*8)</f>
        <v>19</v>
      </c>
      <c r="BN231" s="49">
        <f t="shared" ref="BN231" si="1970">SUM(AX231:BM231)-(45*8)</f>
        <v>21</v>
      </c>
      <c r="BO231" s="49">
        <f t="shared" ref="BO231" si="1971">SUM(AY231:BN231)-(45*8)</f>
        <v>26</v>
      </c>
      <c r="BP231" s="49">
        <f t="shared" ref="BP231" si="1972">SUM(AZ231:BO231)-(45*8)</f>
        <v>31</v>
      </c>
      <c r="BQ231" s="49">
        <f t="shared" ref="BQ231" si="1973">SUM(BA231:BP231)-(45*8)</f>
        <v>26</v>
      </c>
      <c r="BR231" s="49">
        <f t="shared" ref="BR231" si="1974">SUM(BB231:BQ231)-(45*8)</f>
        <v>10</v>
      </c>
      <c r="BS231" s="49">
        <f t="shared" ref="BS231" si="1975">SUM(BC231:BR231)-(45*8)</f>
        <v>6</v>
      </c>
      <c r="BT231" s="49">
        <f>SUM(BD231:BS231)-(45*7)</f>
        <v>16</v>
      </c>
      <c r="BU231" s="49">
        <f>SUM(BE231:BT231)-(45*7)</f>
        <v>28</v>
      </c>
      <c r="BV231" s="49">
        <f>SUM(BF231:BU231)-(45*7)</f>
        <v>17</v>
      </c>
      <c r="BX231" s="413"/>
      <c r="CE231" s="409"/>
    </row>
    <row r="232" spans="2:83" s="446" customFormat="1" ht="17.25">
      <c r="B232" s="486"/>
      <c r="C232" s="44">
        <v>701</v>
      </c>
      <c r="D232" s="108" t="s">
        <v>518</v>
      </c>
      <c r="E232" s="48">
        <v>7</v>
      </c>
      <c r="F232" s="63">
        <v>12</v>
      </c>
      <c r="G232" s="63">
        <v>1</v>
      </c>
      <c r="H232" s="48">
        <f>SUM(E232:F232)-(45*0)</f>
        <v>19</v>
      </c>
      <c r="I232" s="48">
        <v>8</v>
      </c>
      <c r="J232" s="49">
        <f>SUM(E232:I232)-(45*1)</f>
        <v>2</v>
      </c>
      <c r="K232" s="49">
        <f>SUM(E232:J232)-(45*1)</f>
        <v>4</v>
      </c>
      <c r="L232" s="49">
        <f>SUM(E232:K232)-(45*1)</f>
        <v>8</v>
      </c>
      <c r="M232" s="49">
        <f>SUM(E232:L232)-(45*1)</f>
        <v>16</v>
      </c>
      <c r="N232" s="49">
        <f>SUM(E232:M232)-(45*1)</f>
        <v>32</v>
      </c>
      <c r="O232" s="49">
        <f>SUM(E232:N232)-(45*2)</f>
        <v>19</v>
      </c>
      <c r="P232" s="49">
        <f>SUM(E232:O232)-(45*2)</f>
        <v>38</v>
      </c>
      <c r="Q232" s="49">
        <f>SUM(F232:P232)-(45*3)</f>
        <v>24</v>
      </c>
      <c r="R232" s="49">
        <f>SUM(G232:Q232)-(45*3)</f>
        <v>36</v>
      </c>
      <c r="S232" s="49">
        <f>SUM(H232:R232)-(45*4)</f>
        <v>26</v>
      </c>
      <c r="T232" s="49">
        <f>SUM(I232:S232)-(45*4)</f>
        <v>33</v>
      </c>
      <c r="U232" s="49">
        <f>SUM(J232:T232)-(45*5)</f>
        <v>13</v>
      </c>
      <c r="V232" s="49">
        <f>SUM(K232:U232)-(45*5)</f>
        <v>24</v>
      </c>
      <c r="W232" s="49">
        <f>SUM(L232:V232)-(45*5)</f>
        <v>44</v>
      </c>
      <c r="X232" s="49">
        <f>SUM(M232:W232)-(45*6)</f>
        <v>35</v>
      </c>
      <c r="Y232" s="49">
        <f>SUM(N232:X232)-(45*7)</f>
        <v>9</v>
      </c>
      <c r="Z232" s="49">
        <f>SUM(O232:Y232)-(45*6)</f>
        <v>31</v>
      </c>
      <c r="AA232" s="49">
        <f>SUM(P232:Z232)-(45*6)</f>
        <v>43</v>
      </c>
      <c r="AB232" s="49">
        <f>SUM(Q232:AA232)-(45*7)</f>
        <v>3</v>
      </c>
      <c r="AC232" s="49">
        <f>SUM(M232:AB232)-(45*9)</f>
        <v>21</v>
      </c>
      <c r="AD232" s="49">
        <f>SUM(N232:AC232)-(45*9)</f>
        <v>26</v>
      </c>
      <c r="AE232" s="49">
        <f>SUM(O232:AD232)-(45*9)</f>
        <v>20</v>
      </c>
      <c r="AF232" s="49">
        <f>SUM(P232:AE232)-(45*9)</f>
        <v>21</v>
      </c>
      <c r="AG232" s="49">
        <f>SUM(Q232:AF232)-(45*9)</f>
        <v>4</v>
      </c>
      <c r="AH232" s="49">
        <f>SUM(R232:AG232)-(45*8)</f>
        <v>29</v>
      </c>
      <c r="AI232" s="49">
        <f>SUM(S232:AH232)-(45*8)</f>
        <v>22</v>
      </c>
      <c r="AJ232" s="49">
        <f>SUM(T232:AI232)-(45*8)</f>
        <v>18</v>
      </c>
      <c r="AK232" s="49">
        <f>SUM(U232:AJ232)-(45*8)</f>
        <v>3</v>
      </c>
      <c r="AL232" s="49">
        <f>SUM(V232:AK232)-(45*7)</f>
        <v>38</v>
      </c>
      <c r="AM232" s="49">
        <f>SUM(W232:AL232)-(45*8)</f>
        <v>7</v>
      </c>
      <c r="AN232" s="49">
        <f>SUM(X232:AM232)-(45*7)</f>
        <v>15</v>
      </c>
      <c r="AO232" s="49">
        <f>SUM(Y232:AN232)-(45*6)</f>
        <v>40</v>
      </c>
      <c r="AP232" s="49">
        <f>SUM(Z232:AO232)-(45*7)</f>
        <v>26</v>
      </c>
      <c r="AQ232" s="49">
        <f>SUM(AA232:AP232)-(45*7)</f>
        <v>21</v>
      </c>
      <c r="AR232" s="49">
        <f>SUM(AB232:AQ232)-(45*6)</f>
        <v>44</v>
      </c>
      <c r="AS232" s="49">
        <f>SUM(AC232:AR232)-(45*7)</f>
        <v>40</v>
      </c>
      <c r="AT232" s="49">
        <f>SUM(AD232:AS232)-(45*8)</f>
        <v>14</v>
      </c>
      <c r="AU232" s="49">
        <f>SUM(AE232:AT232)-(45*8)</f>
        <v>2</v>
      </c>
      <c r="AV232" s="49">
        <f>SUM(AF232:AU232)-(45*7)</f>
        <v>29</v>
      </c>
      <c r="AW232" s="49">
        <f>SUM(AG232:AV232)-(45*7)</f>
        <v>37</v>
      </c>
      <c r="AX232" s="49">
        <f>SUM(AH232:AW232)-(45*8)</f>
        <v>25</v>
      </c>
      <c r="AY232" s="49">
        <f>SUM(AI232:AX232)-(45*8)</f>
        <v>21</v>
      </c>
      <c r="AZ232" s="49">
        <f>SUM(AJ232:AY232)-(45*8)</f>
        <v>20</v>
      </c>
      <c r="BA232" s="49">
        <f>SUM(AK232:AZ232)-(45*8)</f>
        <v>22</v>
      </c>
      <c r="BB232" s="49">
        <f>SUM(AL232:BA232)-(45*8)</f>
        <v>41</v>
      </c>
      <c r="BC232" s="49">
        <f>SUM(AM232:BB232)-(45*8)</f>
        <v>44</v>
      </c>
      <c r="BD232" s="49">
        <f>SUM(AN232:BC232)-(45*9)</f>
        <v>36</v>
      </c>
      <c r="BE232" s="49">
        <f>SUM(AO232:BD232)-(45*10)</f>
        <v>12</v>
      </c>
      <c r="BF232" s="49">
        <f>SUM(AP232:BE232)-(45*9)</f>
        <v>29</v>
      </c>
      <c r="BG232" s="49">
        <f>SUM(AQ232:BF232)-(45*9)</f>
        <v>32</v>
      </c>
      <c r="BH232" s="49">
        <f>SUM(AR232:BG232)-(45*9)</f>
        <v>43</v>
      </c>
      <c r="BI232" s="49">
        <f>SUM(AS232:BH232)-(45*9)</f>
        <v>42</v>
      </c>
      <c r="BJ232" s="49">
        <f>SUM(AT232:BI232)-(45*9)</f>
        <v>44</v>
      </c>
      <c r="BK232" s="49">
        <f>SUM(AU232:BJ232)-(45*10)</f>
        <v>29</v>
      </c>
      <c r="BL232" s="49">
        <f>SUM(AV232:BK232)-(45*11)</f>
        <v>11</v>
      </c>
      <c r="BM232" s="49">
        <f>SUM(AW232:BL232)-(45*10)</f>
        <v>38</v>
      </c>
      <c r="BN232" s="49">
        <f>SUM(AX232:BM232)-(45*10)</f>
        <v>39</v>
      </c>
      <c r="BO232" s="49">
        <f>SUM(AY232:BN232)-(45*11)</f>
        <v>8</v>
      </c>
      <c r="BP232" s="49">
        <f>SUM(AZ232:BO232)-(45*10)</f>
        <v>40</v>
      </c>
      <c r="BQ232" s="49">
        <f>SUM(BA232:BP232)-(45*11)</f>
        <v>15</v>
      </c>
      <c r="BR232" s="49">
        <f>SUM(BB232:BQ232)-(45*11)</f>
        <v>8</v>
      </c>
      <c r="BS232" s="49">
        <f>SUM(BC232:BR232)-(45*10)</f>
        <v>20</v>
      </c>
      <c r="BT232" s="49">
        <f>SUM(BD232:BS232)-(45*9)</f>
        <v>41</v>
      </c>
      <c r="BU232" s="49">
        <f>SUM(BE232:BT232)-(45*10)</f>
        <v>1</v>
      </c>
      <c r="BV232" s="49">
        <f>SUM(BF232:BU232)-(45*9)</f>
        <v>35</v>
      </c>
      <c r="BX232" s="413"/>
      <c r="CE232" s="409"/>
    </row>
    <row r="233" spans="2:83" s="446" customFormat="1" ht="17.25">
      <c r="B233" s="489"/>
      <c r="C233" s="53">
        <v>702</v>
      </c>
      <c r="D233" s="324" t="s">
        <v>520</v>
      </c>
      <c r="E233" s="48">
        <v>14</v>
      </c>
      <c r="F233" s="63">
        <v>19</v>
      </c>
      <c r="G233" s="63">
        <v>2</v>
      </c>
      <c r="H233" s="48">
        <f>SUM(E233:F233)-(45*0)</f>
        <v>33</v>
      </c>
      <c r="I233" s="48">
        <v>9</v>
      </c>
      <c r="J233" s="49">
        <f>SUM(E233:I233)-(45*1)</f>
        <v>32</v>
      </c>
      <c r="K233" s="49">
        <f>SUM(E233:J233)-(45*2)</f>
        <v>19</v>
      </c>
      <c r="L233" s="49">
        <f t="shared" ref="L233:L238" si="1976">SUM(E233:K233)-(45*2)</f>
        <v>38</v>
      </c>
      <c r="M233" s="49">
        <f>SUM(E233:L233)-(45*3)</f>
        <v>31</v>
      </c>
      <c r="N233" s="49">
        <f>SUM(E233:M233)-(45*4)</f>
        <v>17</v>
      </c>
      <c r="O233" s="49">
        <f>SUM(E233:N233)-(45*4)</f>
        <v>34</v>
      </c>
      <c r="P233" s="49">
        <f>SUM(E233:O233)-(45*5)</f>
        <v>23</v>
      </c>
      <c r="Q233" s="49">
        <f>SUM(F233:P233)-(45*5)</f>
        <v>32</v>
      </c>
      <c r="R233" s="49">
        <f>SUM(G233:Q233)-(45*5)</f>
        <v>45</v>
      </c>
      <c r="S233" s="49">
        <f>SUM(H233:R233)-(45*6)</f>
        <v>43</v>
      </c>
      <c r="T233" s="49">
        <f>SUM(I233:S233)-(45*7)</f>
        <v>8</v>
      </c>
      <c r="U233" s="49">
        <f>SUM(J233:T233)-(45*7)</f>
        <v>7</v>
      </c>
      <c r="V233" s="49">
        <f>SUM(K233:U233)-(45*6)</f>
        <v>27</v>
      </c>
      <c r="W233" s="49">
        <f>SUM(L233:V233)-(45*6)</f>
        <v>35</v>
      </c>
      <c r="X233" s="49">
        <f>SUM(M233:W233)-(45*6)</f>
        <v>32</v>
      </c>
      <c r="Y233" s="49">
        <f>SUM(N233:X233)-(45*6)</f>
        <v>33</v>
      </c>
      <c r="Z233" s="49">
        <f>SUM(O233:Y233)-(45*7)</f>
        <v>4</v>
      </c>
      <c r="AA233" s="49">
        <f>SUM(P233:Z233)-(45*6)</f>
        <v>19</v>
      </c>
      <c r="AB233" s="49">
        <f>SUM(Q233:AA233)-(45*6)</f>
        <v>15</v>
      </c>
      <c r="AC233" s="49">
        <f>SUM(M233:AB233)-(45*8)</f>
        <v>45</v>
      </c>
      <c r="AD233" s="49">
        <f>SUM(N233:AC233)-(45*9)</f>
        <v>14</v>
      </c>
      <c r="AE233" s="49">
        <f>SUM(O233:AD233)-(45*9)</f>
        <v>11</v>
      </c>
      <c r="AF233" s="49">
        <f>SUM(P233:AE233)-(45*8)</f>
        <v>33</v>
      </c>
      <c r="AG233" s="49">
        <f>SUM(Q233:AF233)-(45*8)</f>
        <v>43</v>
      </c>
      <c r="AH233" s="49">
        <f>SUM(R233:AG233)-(45*9)</f>
        <v>9</v>
      </c>
      <c r="AI233" s="49">
        <f>SUM(S233:AH233)-(45*8)</f>
        <v>18</v>
      </c>
      <c r="AJ233" s="49">
        <f>SUM(T233:AI233)-(45*7)</f>
        <v>38</v>
      </c>
      <c r="AK233" s="49">
        <f>SUM(U233:AJ233)-(45*8)</f>
        <v>23</v>
      </c>
      <c r="AL233" s="49">
        <f>SUM(V233:AK233)-(45*8)</f>
        <v>39</v>
      </c>
      <c r="AM233" s="49">
        <f>SUM(W233:AL233)-(45*9)</f>
        <v>6</v>
      </c>
      <c r="AN233" s="49">
        <f>SUM(X233:AM233)-(45*8)</f>
        <v>22</v>
      </c>
      <c r="AO233" s="49">
        <f>SUM(Y233:AN233)-(45*8)</f>
        <v>12</v>
      </c>
      <c r="AP233" s="49">
        <f>SUM(Z233:AO233)-(45*7)</f>
        <v>36</v>
      </c>
      <c r="AQ233" s="49">
        <f>SUM(AA233:AP233)-(45*8)</f>
        <v>23</v>
      </c>
      <c r="AR233" s="49">
        <f>SUM(AB233:AQ233)-(45*8)</f>
        <v>27</v>
      </c>
      <c r="AS233" s="49">
        <f>SUM(AC233:AR233)-(45*8)</f>
        <v>39</v>
      </c>
      <c r="AT233" s="49">
        <f>SUM(AD233:AS233)-(45*8)</f>
        <v>33</v>
      </c>
      <c r="AU233" s="49">
        <f>SUM(AE233:AT233)-(45*9)</f>
        <v>7</v>
      </c>
      <c r="AV233" s="49">
        <f>SUM(AF233:AU233)-(45*9)</f>
        <v>3</v>
      </c>
      <c r="AW233" s="49">
        <f>SUM(AG233:AV233)-(45*8)</f>
        <v>18</v>
      </c>
      <c r="AX233" s="49">
        <f>SUM(AH233:AW233)-(45*7)</f>
        <v>38</v>
      </c>
      <c r="AY233" s="49">
        <f>SUM(AI233:AX233)-(45*8)</f>
        <v>22</v>
      </c>
      <c r="AZ233" s="49">
        <f>SUM(AJ233:AY233)-(45*8)</f>
        <v>26</v>
      </c>
      <c r="BA233" s="49">
        <f>SUM(AK233:AZ233)-(45*8)</f>
        <v>14</v>
      </c>
      <c r="BB233" s="49">
        <f>SUM(AL233:BA233)-(45*8)</f>
        <v>5</v>
      </c>
      <c r="BC233" s="49">
        <f>SUM(AM233:BB233)-(45*7)</f>
        <v>16</v>
      </c>
      <c r="BD233" s="49">
        <f>SUM(AN233:BC233)-(45*7)</f>
        <v>26</v>
      </c>
      <c r="BE233" s="49">
        <f>SUM(AO233:BD233)-(45*7)</f>
        <v>30</v>
      </c>
      <c r="BF233" s="49">
        <f>SUM(AP233:BE233)-(45*8)</f>
        <v>3</v>
      </c>
      <c r="BG233" s="49">
        <f>SUM(AQ233:BF233)-(45*7)</f>
        <v>15</v>
      </c>
      <c r="BH233" s="49">
        <f>SUM(AR233:BG233)-(45*7)</f>
        <v>7</v>
      </c>
      <c r="BI233" s="49">
        <f>SUM(AS233:BH233)-(45*6)</f>
        <v>32</v>
      </c>
      <c r="BJ233" s="49">
        <f>SUM(AT233:BI233)-(45*6)</f>
        <v>25</v>
      </c>
      <c r="BK233" s="49">
        <f>SUM(AU233:BJ233)-(45*6)</f>
        <v>17</v>
      </c>
      <c r="BL233" s="49">
        <f>SUM(AV233:BK233)-(45*6)</f>
        <v>27</v>
      </c>
      <c r="BM233" s="49">
        <f>SUM(AW233:BL233)-(45*7)</f>
        <v>6</v>
      </c>
      <c r="BN233" s="49">
        <f>SUM(AX233:BM233)-(45*6)</f>
        <v>39</v>
      </c>
      <c r="BO233" s="49">
        <f>SUM(AY233:BN233)-(45*6)</f>
        <v>40</v>
      </c>
      <c r="BP233" s="49">
        <f>SUM(AZ233:BO233)-(45*7)</f>
        <v>13</v>
      </c>
      <c r="BQ233" s="49">
        <f>SUM(BA233:BP233)-(45*6)</f>
        <v>45</v>
      </c>
      <c r="BR233" s="49">
        <f>SUM(BB233:BQ233)-(45*7)</f>
        <v>31</v>
      </c>
      <c r="BS233" s="49">
        <f t="shared" ref="BS233" si="1977">SUM(BC233:BR233)-(45*8)</f>
        <v>12</v>
      </c>
      <c r="BT233" s="49">
        <f>SUM(BD233:BS233)-(45*8)</f>
        <v>8</v>
      </c>
      <c r="BU233" s="49">
        <f>SUM(BE233:BT233)-(45*7)</f>
        <v>35</v>
      </c>
      <c r="BV233" s="49">
        <f>SUM(BF233:BU233)-(45*7)</f>
        <v>40</v>
      </c>
      <c r="BX233" s="413"/>
      <c r="CE233" s="409"/>
    </row>
    <row r="234" spans="2:83" s="446" customFormat="1" ht="17.25">
      <c r="B234" s="493"/>
      <c r="C234" s="44">
        <v>703</v>
      </c>
      <c r="D234" s="108" t="s">
        <v>521</v>
      </c>
      <c r="E234" s="48">
        <v>21</v>
      </c>
      <c r="F234" s="63">
        <v>26</v>
      </c>
      <c r="G234" s="63">
        <v>3</v>
      </c>
      <c r="H234" s="48">
        <f>SUM(E234:F234)-(45*1)</f>
        <v>2</v>
      </c>
      <c r="I234" s="48">
        <v>10</v>
      </c>
      <c r="J234" s="49">
        <f>SUM(E234:I234)-(45*1)</f>
        <v>17</v>
      </c>
      <c r="K234" s="49">
        <f>SUM(E234:J234)-(45*1)</f>
        <v>34</v>
      </c>
      <c r="L234" s="49">
        <f t="shared" si="1976"/>
        <v>23</v>
      </c>
      <c r="M234" s="49">
        <f>SUM(E234:L234)-(45*3)</f>
        <v>1</v>
      </c>
      <c r="N234" s="49">
        <f>SUM(E234:M234)-(45*3)</f>
        <v>2</v>
      </c>
      <c r="O234" s="49">
        <f>SUM(E234:N234)-(45*3)</f>
        <v>4</v>
      </c>
      <c r="P234" s="49">
        <f>SUM(E234:O234)-(45*3)</f>
        <v>8</v>
      </c>
      <c r="Q234" s="49">
        <f>SUM(F234:P234)-(45*2)</f>
        <v>40</v>
      </c>
      <c r="R234" s="49">
        <f>SUM(G234:Q234)-(45*3)</f>
        <v>9</v>
      </c>
      <c r="S234" s="49">
        <f>SUM(H234:R234)-(45*3)</f>
        <v>15</v>
      </c>
      <c r="T234" s="49">
        <f>SUM(I234:S234)-(45*3)</f>
        <v>28</v>
      </c>
      <c r="U234" s="49">
        <f>SUM(J234:T234)-(45*4)</f>
        <v>1</v>
      </c>
      <c r="V234" s="49">
        <f>SUM(K234:U234)-(45*3)</f>
        <v>30</v>
      </c>
      <c r="W234" s="49">
        <f>SUM(L234:V234)-(45*3)</f>
        <v>26</v>
      </c>
      <c r="X234" s="49">
        <f>SUM(M234:W234)-(45*3)</f>
        <v>29</v>
      </c>
      <c r="Y234" s="49">
        <f>SUM(N234:X234)-(45*4)</f>
        <v>12</v>
      </c>
      <c r="Z234" s="49">
        <f>SUM(O234:Y234)-(45*4)</f>
        <v>22</v>
      </c>
      <c r="AA234" s="49">
        <f>SUM(P234:Z234)-(45*4)</f>
        <v>40</v>
      </c>
      <c r="AB234" s="49">
        <f>SUM(Q234:AA234)-(45*5)</f>
        <v>27</v>
      </c>
      <c r="AC234" s="49">
        <f>SUM(M234:AB234)-(45*6)</f>
        <v>24</v>
      </c>
      <c r="AD234" s="49">
        <f>SUM(N234:AC234)-(45*7)</f>
        <v>2</v>
      </c>
      <c r="AE234" s="49">
        <f>SUM(O234:AD234)-(45*7)</f>
        <v>2</v>
      </c>
      <c r="AF234" s="49">
        <f>SUM(P234:AE234)-(45*6)</f>
        <v>45</v>
      </c>
      <c r="AG234" s="49">
        <f>SUM(Q234:AF234)-(45*7)</f>
        <v>37</v>
      </c>
      <c r="AH234" s="49">
        <f>SUM(R234:AG234)-(45*7)</f>
        <v>34</v>
      </c>
      <c r="AI234" s="49">
        <f>SUM(S234:AH234)-(45*8)</f>
        <v>14</v>
      </c>
      <c r="AJ234" s="49">
        <f>SUM(T234:AI234)-(45*8)</f>
        <v>13</v>
      </c>
      <c r="AK234" s="49">
        <f>SUM(U234:AJ234)-(45*7)</f>
        <v>43</v>
      </c>
      <c r="AL234" s="49">
        <f>SUM(V234:AK234)-(45*8)</f>
        <v>40</v>
      </c>
      <c r="AM234" s="49">
        <f>SUM(W234:AL234)-(45*9)</f>
        <v>5</v>
      </c>
      <c r="AN234" s="49">
        <f>SUM(X234:AM234)-(45*8)</f>
        <v>29</v>
      </c>
      <c r="AO234" s="49">
        <f>SUM(Y234:AN234)-(45*8)</f>
        <v>29</v>
      </c>
      <c r="AP234" s="49">
        <f>SUM(Z234:AO234)-(45*9)</f>
        <v>1</v>
      </c>
      <c r="AQ234" s="49">
        <f>SUM(AA234:AP234)-(45*8)</f>
        <v>25</v>
      </c>
      <c r="AR234" s="49">
        <f>SUM(AB234:AQ234)-(45*8)</f>
        <v>10</v>
      </c>
      <c r="AS234" s="49">
        <f>SUM(AC234:AR234)-(45*7)</f>
        <v>38</v>
      </c>
      <c r="AT234" s="49">
        <f>SUM(AD234:AS234)-(45*8)</f>
        <v>7</v>
      </c>
      <c r="AU234" s="49">
        <f>SUM(AE234:AT234)-(45*8)</f>
        <v>12</v>
      </c>
      <c r="AV234" s="49">
        <f>SUM(AF234:AU234)-(45*8)</f>
        <v>22</v>
      </c>
      <c r="AW234" s="49">
        <f>SUM(AG234:AV234)-(45*7)</f>
        <v>44</v>
      </c>
      <c r="AX234" s="49">
        <f>SUM(AH234:AW234)-(45*8)</f>
        <v>6</v>
      </c>
      <c r="AY234" s="49">
        <f>SUM(AI234:AX234)-(45*7)</f>
        <v>23</v>
      </c>
      <c r="AZ234" s="49">
        <f>SUM(AJ234:AY234)-(45*7)</f>
        <v>32</v>
      </c>
      <c r="BA234" s="49">
        <f>SUM(AK234:AZ234)-(45*8)</f>
        <v>6</v>
      </c>
      <c r="BB234" s="49">
        <f>SUM(AL234:BA234)-(45*7)</f>
        <v>14</v>
      </c>
      <c r="BC234" s="49">
        <f>SUM(AM234:BB234)-(45*6)</f>
        <v>33</v>
      </c>
      <c r="BD234" s="49">
        <f>SUM(AN234:BC234)-(45*7)</f>
        <v>16</v>
      </c>
      <c r="BE234" s="49">
        <f>SUM(AO234:BD234)-(45*7)</f>
        <v>3</v>
      </c>
      <c r="BF234" s="49">
        <f>SUM(AP234:BE234)-(45*6)</f>
        <v>22</v>
      </c>
      <c r="BG234" s="49">
        <f>SUM(AQ234:BF234)-(45*6)</f>
        <v>43</v>
      </c>
      <c r="BH234" s="49">
        <f>SUM(AR234:BG234)-(45*7)</f>
        <v>16</v>
      </c>
      <c r="BI234" s="49">
        <f>SUM(AS234:BH234)-(45*7)</f>
        <v>22</v>
      </c>
      <c r="BJ234" s="49">
        <f>SUM(AT234:BI234)-(45*7)</f>
        <v>6</v>
      </c>
      <c r="BK234" s="49">
        <f>SUM(AU234:BJ234)-(45*7)</f>
        <v>5</v>
      </c>
      <c r="BL234" s="49">
        <f>SUM(AV234:BK234)-(45*6)</f>
        <v>43</v>
      </c>
      <c r="BM234" s="49">
        <f>SUM(AW234:BL234)-(45*7)</f>
        <v>19</v>
      </c>
      <c r="BN234" s="49">
        <f>SUM(AX234:BM234)-(45*6)</f>
        <v>39</v>
      </c>
      <c r="BO234" s="49">
        <f>SUM(AY234:BN234)-(45*7)</f>
        <v>27</v>
      </c>
      <c r="BP234" s="49">
        <f>SUM(AZ234:BO234)-(45*7)</f>
        <v>31</v>
      </c>
      <c r="BQ234" s="49">
        <f>SUM(BA234:BP234)-(45*7)</f>
        <v>30</v>
      </c>
      <c r="BR234" s="49">
        <f>SUM(BB234:BQ234)-(45*8)</f>
        <v>9</v>
      </c>
      <c r="BS234" s="49">
        <f>SUM(BC234:BR234)-(45*8)</f>
        <v>4</v>
      </c>
      <c r="BT234" s="49">
        <f>SUM(BD234:BS234)-(45*7)</f>
        <v>20</v>
      </c>
      <c r="BU234" s="49">
        <f>SUM(BE234:BT234)-(45*7)</f>
        <v>24</v>
      </c>
      <c r="BV234" s="49">
        <f>SUM(BF234:BU234)-(45*7)</f>
        <v>45</v>
      </c>
      <c r="BX234" s="413"/>
      <c r="CE234" s="409"/>
    </row>
    <row r="235" spans="2:83" s="494" customFormat="1" ht="17.25">
      <c r="B235" s="496"/>
      <c r="C235" s="53">
        <v>704</v>
      </c>
      <c r="D235" s="324" t="s">
        <v>522</v>
      </c>
      <c r="E235" s="48">
        <v>28</v>
      </c>
      <c r="F235" s="63">
        <v>33</v>
      </c>
      <c r="G235" s="63">
        <v>4</v>
      </c>
      <c r="H235" s="48">
        <f>SUM(E235:F235)-(45*1)</f>
        <v>16</v>
      </c>
      <c r="I235" s="48">
        <v>11</v>
      </c>
      <c r="J235" s="49">
        <f>SUM(E235:I235)-(45*2)</f>
        <v>2</v>
      </c>
      <c r="K235" s="49">
        <f>SUM(E235:J235)-(45*2)</f>
        <v>4</v>
      </c>
      <c r="L235" s="49">
        <f t="shared" si="1976"/>
        <v>8</v>
      </c>
      <c r="M235" s="49">
        <f>SUM(E235:L235)-(45*2)</f>
        <v>16</v>
      </c>
      <c r="N235" s="49">
        <f>SUM(E235:M235)-(45*2)</f>
        <v>32</v>
      </c>
      <c r="O235" s="49">
        <f>SUM(E235:N235)-(45*3)</f>
        <v>19</v>
      </c>
      <c r="P235" s="49">
        <f>SUM(E235:O235)-(45*3)</f>
        <v>38</v>
      </c>
      <c r="Q235" s="49">
        <f>SUM(F235:P235)-(45*4)</f>
        <v>3</v>
      </c>
      <c r="R235" s="49">
        <f>SUM(G235:Q235)-(45*3)</f>
        <v>18</v>
      </c>
      <c r="S235" s="49">
        <f>SUM(H235:R235)-(45*3)</f>
        <v>32</v>
      </c>
      <c r="T235" s="49">
        <f>SUM(I235:S235)-(45*4)</f>
        <v>3</v>
      </c>
      <c r="U235" s="49">
        <f>SUM(J235:T235)-(45*3)</f>
        <v>40</v>
      </c>
      <c r="V235" s="49">
        <f>SUM(K235:U235)-(45*4)</f>
        <v>33</v>
      </c>
      <c r="W235" s="49">
        <f>SUM(L235:V235)-(45*5)</f>
        <v>17</v>
      </c>
      <c r="X235" s="49">
        <f>SUM(M235:W235)-(45*5)</f>
        <v>26</v>
      </c>
      <c r="Y235" s="49">
        <f>SUM(N235:X235)-(45*5)</f>
        <v>36</v>
      </c>
      <c r="Z235" s="49">
        <f>SUM(O235:Y235)-(45*5)</f>
        <v>40</v>
      </c>
      <c r="AA235" s="49">
        <f>SUM(P235:Z235)-(45*6)</f>
        <v>16</v>
      </c>
      <c r="AB235" s="49">
        <f>SUM(Q235:AA235)-(45*5)</f>
        <v>39</v>
      </c>
      <c r="AC235" s="49">
        <f>SUM(M235:AB235)-(45*9)</f>
        <v>3</v>
      </c>
      <c r="AD235" s="49">
        <f>SUM(N235:AC235)-(45*8)</f>
        <v>35</v>
      </c>
      <c r="AE235" s="49">
        <f>SUM(O235:AD235)-(45*8)</f>
        <v>38</v>
      </c>
      <c r="AF235" s="49">
        <f>SUM(P235:AE235)-(45*9)</f>
        <v>12</v>
      </c>
      <c r="AG235" s="49">
        <f>SUM(Q235:AF235)-(45*8)</f>
        <v>31</v>
      </c>
      <c r="AH235" s="49">
        <f>SUM(R235:AG235)-(45*9)</f>
        <v>14</v>
      </c>
      <c r="AI235" s="49">
        <f>SUM(S235:AH235)-(45*9)</f>
        <v>10</v>
      </c>
      <c r="AJ235" s="49">
        <f>SUM(T235:AI235)-(45*8)</f>
        <v>33</v>
      </c>
      <c r="AK235" s="49">
        <f>SUM(U235:AJ235)-(45*9)</f>
        <v>18</v>
      </c>
      <c r="AL235" s="49">
        <f>SUM(V235:AK235)-(45*8)</f>
        <v>41</v>
      </c>
      <c r="AM235" s="49">
        <f>SUM(W235:AL235)-(45*9)</f>
        <v>4</v>
      </c>
      <c r="AN235" s="49">
        <f>SUM(X235:AM235)-(45*8)</f>
        <v>36</v>
      </c>
      <c r="AO235" s="49">
        <f>SUM(Y235:AN235)-(45*9)</f>
        <v>1</v>
      </c>
      <c r="AP235" s="49">
        <f>SUM(Z235:AO235)-(45*8)</f>
        <v>11</v>
      </c>
      <c r="AQ235" s="49">
        <f>SUM(AA235:AP235)-(45*7)</f>
        <v>27</v>
      </c>
      <c r="AR235" s="49">
        <f>SUM(AB235:AQ235)-(45*7)</f>
        <v>38</v>
      </c>
      <c r="AS235" s="49">
        <f>SUM(AC235:AR235)-(45*7)</f>
        <v>37</v>
      </c>
      <c r="AT235" s="49">
        <f>SUM(AD235:AS235)-(45*8)</f>
        <v>26</v>
      </c>
      <c r="AU235" s="49">
        <f>SUM(AE235:AT235)-(45*8)</f>
        <v>17</v>
      </c>
      <c r="AV235" s="49">
        <f>SUM(AF235:AU235)-(45*7)</f>
        <v>41</v>
      </c>
      <c r="AW235" s="49">
        <f>SUM(AG235:AV235)-(45*8)</f>
        <v>25</v>
      </c>
      <c r="AX235" s="49">
        <f>SUM(AH235:AW235)-(45*8)</f>
        <v>19</v>
      </c>
      <c r="AY235" s="49">
        <f>SUM(AI235:AX235)-(45*8)</f>
        <v>24</v>
      </c>
      <c r="AZ235" s="49">
        <f>SUM(AJ235:AY235)-(45*8)</f>
        <v>38</v>
      </c>
      <c r="BA235" s="49">
        <f>SUM(AK235:AZ235)-(45*8)</f>
        <v>43</v>
      </c>
      <c r="BB235" s="49">
        <f>SUM(AL235:BA235)-(45*9)</f>
        <v>23</v>
      </c>
      <c r="BC235" s="49">
        <f>SUM(AM235:BB235)-(45*9)</f>
        <v>5</v>
      </c>
      <c r="BD235" s="49">
        <f>SUM(AN235:BC235)-(45*9)</f>
        <v>6</v>
      </c>
      <c r="BE235" s="49">
        <f>SUM(AO235:BD235)-(45*8)</f>
        <v>21</v>
      </c>
      <c r="BF235" s="49">
        <f>SUM(AP235:BE235)-(45*8)</f>
        <v>41</v>
      </c>
      <c r="BG235" s="49">
        <f>SUM(AQ235:BF235)-(45*9)</f>
        <v>26</v>
      </c>
      <c r="BH235" s="49">
        <f>SUM(AR235:BG235)-(45*9)</f>
        <v>25</v>
      </c>
      <c r="BI235" s="49">
        <f>SUM(AS235:BH235)-(45*9)</f>
        <v>12</v>
      </c>
      <c r="BJ235" s="49">
        <f>SUM(AT235:BI235)-(45*8)</f>
        <v>32</v>
      </c>
      <c r="BK235" s="49">
        <f>SUM(AU235:BJ235)-(45*8)</f>
        <v>38</v>
      </c>
      <c r="BL235" s="49">
        <f>SUM(AV235:BK235)-(45*9)</f>
        <v>14</v>
      </c>
      <c r="BM235" s="49">
        <f>SUM(AW235:BL235)-(45*8)</f>
        <v>32</v>
      </c>
      <c r="BN235" s="49">
        <f>SUM(AX235:BM235)-(45*8)</f>
        <v>39</v>
      </c>
      <c r="BO235" s="49">
        <f>SUM(AY235:BN235)-(45*9)</f>
        <v>14</v>
      </c>
      <c r="BP235" s="49">
        <f>SUM(AZ235:BO235)-(45*9)</f>
        <v>4</v>
      </c>
      <c r="BQ235" s="49">
        <f>SUM(BA235:BP235)-(45*8)</f>
        <v>15</v>
      </c>
      <c r="BR235" s="49">
        <f>SUM(BB235:BQ235)-(45*7)</f>
        <v>32</v>
      </c>
      <c r="BS235" s="49">
        <f>SUM(BC235:BR235)-(45*7)</f>
        <v>41</v>
      </c>
      <c r="BT235" s="49">
        <f>SUM(BD235:BS235)-(45*8)</f>
        <v>32</v>
      </c>
      <c r="BU235" s="49">
        <f>SUM(BE235:BT235)-(45*9)</f>
        <v>13</v>
      </c>
      <c r="BV235" s="49">
        <f>SUM(BF235:BU235)-(45*9)</f>
        <v>5</v>
      </c>
      <c r="BX235" s="413"/>
      <c r="CE235" s="409"/>
    </row>
    <row r="236" spans="2:83" s="494" customFormat="1" ht="17.25">
      <c r="B236" s="497"/>
      <c r="C236" s="44">
        <v>705</v>
      </c>
      <c r="D236" s="108" t="s">
        <v>523</v>
      </c>
      <c r="E236" s="48">
        <v>4</v>
      </c>
      <c r="F236" s="63">
        <v>10</v>
      </c>
      <c r="G236" s="63">
        <v>1</v>
      </c>
      <c r="H236" s="48">
        <f>SUM(E236:F236)-(45*0)</f>
        <v>14</v>
      </c>
      <c r="I236" s="48">
        <v>12</v>
      </c>
      <c r="J236" s="49">
        <f>SUM(E236:I236)-(45*0)</f>
        <v>41</v>
      </c>
      <c r="K236" s="49">
        <f>SUM(E236:J236)-(45*1)</f>
        <v>37</v>
      </c>
      <c r="L236" s="49">
        <f t="shared" si="1976"/>
        <v>29</v>
      </c>
      <c r="M236" s="49">
        <f>SUM(E236:L236)-(45*3)</f>
        <v>13</v>
      </c>
      <c r="N236" s="49">
        <f>SUM(E236:M236)-(45*3)</f>
        <v>26</v>
      </c>
      <c r="O236" s="49">
        <f>SUM(E236:N236)-(45*4)</f>
        <v>7</v>
      </c>
      <c r="P236" s="49">
        <f>SUM(E236:O236)-(45*4)</f>
        <v>14</v>
      </c>
      <c r="Q236" s="49">
        <f>SUM(F236:P236)-(45*4)</f>
        <v>24</v>
      </c>
      <c r="R236" s="49">
        <f>SUM(G236:Q236)-(45*4)</f>
        <v>38</v>
      </c>
      <c r="S236" s="49">
        <f>SUM(H236:R236)-(45*5)</f>
        <v>30</v>
      </c>
      <c r="T236" s="49">
        <f>SUM(I236:S236)-(45*6)</f>
        <v>1</v>
      </c>
      <c r="U236" s="49">
        <f>SUM(J236:T236)-(45*5)</f>
        <v>35</v>
      </c>
      <c r="V236" s="49">
        <f>SUM(K236:U236)-(45*5)</f>
        <v>29</v>
      </c>
      <c r="W236" s="49">
        <f>SUM(L236:V236)-(45*5)</f>
        <v>21</v>
      </c>
      <c r="X236" s="49">
        <f>SUM(M236:W236)-(45*5)</f>
        <v>13</v>
      </c>
      <c r="Y236" s="49">
        <f>SUM(N236:X236)-(45*5)</f>
        <v>13</v>
      </c>
      <c r="Z236" s="49">
        <f>SUM(O236:Y236)-(45*4)</f>
        <v>45</v>
      </c>
      <c r="AA236" s="49">
        <f>SUM(P236:Z236)-(45*5)</f>
        <v>38</v>
      </c>
      <c r="AB236" s="49">
        <f>SUM(Q236:AA236)-(45*6)</f>
        <v>17</v>
      </c>
      <c r="AC236" s="49">
        <f>SUM(M236:AB236)-(45*8)</f>
        <v>4</v>
      </c>
      <c r="AD236" s="49">
        <f>SUM(N236:AC236)-(45*7)</f>
        <v>40</v>
      </c>
      <c r="AE236" s="49">
        <f>SUM(O236:AD236)-(45*8)</f>
        <v>9</v>
      </c>
      <c r="AF236" s="49">
        <f>SUM(P236:AE236)-(45*8)</f>
        <v>11</v>
      </c>
      <c r="AG236" s="49">
        <f>SUM(Q236:AF236)-(45*8)</f>
        <v>8</v>
      </c>
      <c r="AH236" s="49">
        <f>SUM(R236:AG236)-(45*7)</f>
        <v>37</v>
      </c>
      <c r="AI236" s="49">
        <f>SUM(S236:AH236)-(45*7)</f>
        <v>36</v>
      </c>
      <c r="AJ236" s="49">
        <f>SUM(T236:AI236)-(45*7)</f>
        <v>42</v>
      </c>
      <c r="AK236" s="49">
        <f>SUM(U236:AJ236)-(45*8)</f>
        <v>38</v>
      </c>
      <c r="AL236" s="49">
        <f>SUM(V236:AK236)-(45*8)</f>
        <v>41</v>
      </c>
      <c r="AM236" s="49">
        <f>SUM(W236:AL236)-(45*9)</f>
        <v>8</v>
      </c>
      <c r="AN236" s="49">
        <f>SUM(X236:AM236)-(45*8)</f>
        <v>40</v>
      </c>
      <c r="AO236" s="49">
        <f>SUM(Y236:AN236)-(45*9)</f>
        <v>22</v>
      </c>
      <c r="AP236" s="49">
        <f>SUM(Z236:AO236)-(45*9)</f>
        <v>31</v>
      </c>
      <c r="AQ236" s="49">
        <f>SUM(AA236:AP236)-(45*9)</f>
        <v>17</v>
      </c>
      <c r="AR236" s="49">
        <f>SUM(AB236:AQ236)-(45*8)</f>
        <v>41</v>
      </c>
      <c r="AS236" s="49">
        <f>SUM(AC236:AR236)-(45*9)</f>
        <v>20</v>
      </c>
      <c r="AT236" s="49">
        <f>SUM(AD236:AS236)-(45*9)</f>
        <v>36</v>
      </c>
      <c r="AU236" s="49">
        <f>SUM(AE236:AT236)-(45*9)</f>
        <v>32</v>
      </c>
      <c r="AV236" s="49">
        <f>SUM(AF236:AU236)-(45*10)</f>
        <v>10</v>
      </c>
      <c r="AW236" s="49">
        <f>SUM(AG236:AV236)-(45*10)</f>
        <v>9</v>
      </c>
      <c r="AX236" s="49">
        <f>SUM(AH236:AW236)-(45*10)</f>
        <v>10</v>
      </c>
      <c r="AY236" s="49">
        <f>SUM(AI236:AX236)-(45*9)</f>
        <v>28</v>
      </c>
      <c r="AZ236" s="49">
        <f>SUM(AJ236:AY236)-(45*9)</f>
        <v>20</v>
      </c>
      <c r="BA236" s="49">
        <f>SUM(AK236:AZ236)-(45*8)</f>
        <v>43</v>
      </c>
      <c r="BB236" s="49">
        <f>SUM(AL236:BA236)-(45*9)</f>
        <v>3</v>
      </c>
      <c r="BC236" s="49">
        <f>SUM(AM236:BB236)-(45*8)</f>
        <v>10</v>
      </c>
      <c r="BD236" s="49">
        <f>SUM(AN236:BC236)-(45*8)</f>
        <v>12</v>
      </c>
      <c r="BE236" s="49">
        <f>SUM(AO236:BD236)-(45*7)</f>
        <v>29</v>
      </c>
      <c r="BF236" s="49">
        <f>SUM(AP236:BE236)-(45*7)</f>
        <v>36</v>
      </c>
      <c r="BG236" s="49">
        <f>SUM(AQ236:BF236)-(45*7)</f>
        <v>41</v>
      </c>
      <c r="BH236" s="49">
        <f>SUM(AR236:BG236)-(45*8)</f>
        <v>20</v>
      </c>
      <c r="BI236" s="49">
        <f>SUM(AS236:BH236)-(45*7)</f>
        <v>44</v>
      </c>
      <c r="BJ236" s="49">
        <f>SUM(AT236:BI236)-(45*8)</f>
        <v>23</v>
      </c>
      <c r="BK236" s="49">
        <f>SUM(AU236:BJ236)-(45*8)</f>
        <v>10</v>
      </c>
      <c r="BL236" s="49">
        <f>SUM(AV236:BK236)-(45*7)</f>
        <v>33</v>
      </c>
      <c r="BM236" s="49">
        <f>SUM(AW236:BL236)-(45*8)</f>
        <v>11</v>
      </c>
      <c r="BN236" s="49">
        <f>SUM(AX236:BM236)-(45*8)</f>
        <v>13</v>
      </c>
      <c r="BO236" s="49">
        <f>SUM(AY236:BN236)-(45*8)</f>
        <v>16</v>
      </c>
      <c r="BP236" s="49">
        <f>SUM(AZ236:BO236)-(45*8)</f>
        <v>4</v>
      </c>
      <c r="BQ236" s="49">
        <f>SUM(BA236:BP236)-(45*7)</f>
        <v>33</v>
      </c>
      <c r="BR236" s="49">
        <f>SUM(BB236:BQ236)-(45*7)</f>
        <v>23</v>
      </c>
      <c r="BS236" s="49">
        <f>SUM(BC236:BR236)-(45*7)</f>
        <v>43</v>
      </c>
      <c r="BT236" s="49">
        <f>SUM(BD236:BS236)-(45*8)</f>
        <v>31</v>
      </c>
      <c r="BU236" s="49">
        <f>SUM(BE236:BT236)-(45*9)</f>
        <v>5</v>
      </c>
      <c r="BV236" s="49">
        <f>SUM(BF236:BU236)-(45*8)</f>
        <v>26</v>
      </c>
      <c r="BX236" s="413"/>
      <c r="CE236" s="409"/>
    </row>
    <row r="237" spans="2:83" s="509" customFormat="1" ht="17.25">
      <c r="B237" s="506"/>
      <c r="C237" s="53">
        <v>706</v>
      </c>
      <c r="D237" s="324" t="s">
        <v>524</v>
      </c>
      <c r="E237" s="48">
        <v>11</v>
      </c>
      <c r="F237" s="63">
        <v>17</v>
      </c>
      <c r="G237" s="63">
        <v>2</v>
      </c>
      <c r="H237" s="48">
        <f>SUM(E237:F237)-(45*0)</f>
        <v>28</v>
      </c>
      <c r="I237" s="48">
        <v>13</v>
      </c>
      <c r="J237" s="49">
        <f>SUM(E237:I237)-(45*1)</f>
        <v>26</v>
      </c>
      <c r="K237" s="49">
        <f>SUM(E237:J237)-(45*2)</f>
        <v>7</v>
      </c>
      <c r="L237" s="49">
        <f t="shared" si="1976"/>
        <v>14</v>
      </c>
      <c r="M237" s="49">
        <f>SUM(E237:L237)-(45*2)</f>
        <v>28</v>
      </c>
      <c r="N237" s="49">
        <f>SUM(E237:M237)-(45*3)</f>
        <v>11</v>
      </c>
      <c r="O237" s="49">
        <f>SUM(E237:N237)-(45*3)</f>
        <v>22</v>
      </c>
      <c r="P237" s="49">
        <f>SUM(E237:O237)-(45*3)</f>
        <v>44</v>
      </c>
      <c r="Q237" s="49">
        <f>SUM(F237:P237)-(45*4)</f>
        <v>32</v>
      </c>
      <c r="R237" s="49">
        <f>SUM(G237:Q237)-(45*5)</f>
        <v>2</v>
      </c>
      <c r="S237" s="49">
        <f>SUM(H237:R237)-(45*5)</f>
        <v>2</v>
      </c>
      <c r="T237" s="49">
        <f>SUM(I237:S237)-(45*4)</f>
        <v>21</v>
      </c>
      <c r="U237" s="49">
        <f>SUM(J237:T237)-(45*4)</f>
        <v>29</v>
      </c>
      <c r="V237" s="49">
        <f>SUM(K237:U237)-(45*4)</f>
        <v>32</v>
      </c>
      <c r="W237" s="49">
        <f>SUM(L237:V237)-(45*5)</f>
        <v>12</v>
      </c>
      <c r="X237" s="49">
        <f>SUM(M237:W237)-(45*5)</f>
        <v>10</v>
      </c>
      <c r="Y237" s="49">
        <f>SUM(N237:X237)-(45*4)</f>
        <v>37</v>
      </c>
      <c r="Z237" s="49">
        <f>SUM(O237:Y237)-(45*5)</f>
        <v>18</v>
      </c>
      <c r="AA237" s="49">
        <f>SUM(P237:Z237)-(45*5)</f>
        <v>14</v>
      </c>
      <c r="AB237" s="49">
        <f>SUM(Q237:AA237)-(45*4)</f>
        <v>29</v>
      </c>
      <c r="AC237" s="49">
        <f>SUM(M237:AB237)-(45*7)</f>
        <v>28</v>
      </c>
      <c r="AD237" s="49">
        <f>SUM(N237:AC237)-(45*7)</f>
        <v>28</v>
      </c>
      <c r="AE237" s="49">
        <f>SUM(O237:AD237)-(45*7)</f>
        <v>45</v>
      </c>
      <c r="AF237" s="49">
        <f>SUM(P237:AE237)-(45*8)</f>
        <v>23</v>
      </c>
      <c r="AG237" s="49">
        <f>SUM(Q237:AF237)-(45*8)</f>
        <v>2</v>
      </c>
      <c r="AH237" s="49">
        <f>SUM(R237:AG237)-(45*7)</f>
        <v>17</v>
      </c>
      <c r="AI237" s="49">
        <f>SUM(S237:AH237)-(45*7)</f>
        <v>32</v>
      </c>
      <c r="AJ237" s="49">
        <f>SUM(T237:AI237)-(45*8)</f>
        <v>17</v>
      </c>
      <c r="AK237" s="49">
        <f>SUM(U237:AJ237)-(45*8)</f>
        <v>13</v>
      </c>
      <c r="AL237" s="49">
        <f>SUM(V237:AK237)-(45*7)</f>
        <v>42</v>
      </c>
      <c r="AM237" s="49">
        <f>SUM(W237:AL237)-(45*8)</f>
        <v>7</v>
      </c>
      <c r="AN237" s="49">
        <f>SUM(X237:AM237)-(45*8)</f>
        <v>2</v>
      </c>
      <c r="AO237" s="49">
        <f>SUM(Y237:AN237)-(45*7)</f>
        <v>39</v>
      </c>
      <c r="AP237" s="49">
        <f>SUM(Z237:AO237)-(45*7)</f>
        <v>41</v>
      </c>
      <c r="AQ237" s="49">
        <f>SUM(AA237:AP237)-(45*8)</f>
        <v>19</v>
      </c>
      <c r="AR237" s="49">
        <f>SUM(AB237:AQ237)-(45*8)</f>
        <v>24</v>
      </c>
      <c r="AS237" s="49">
        <f>SUM(AC237:AR237)-(45*8)</f>
        <v>19</v>
      </c>
      <c r="AT237" s="49">
        <f>SUM(AD237:AS237)-(45*8)</f>
        <v>10</v>
      </c>
      <c r="AU237" s="49">
        <f>SUM(AE237:AT237)-(45*7)</f>
        <v>37</v>
      </c>
      <c r="AV237" s="49">
        <f>SUM(AF237:AU237)-(45*7)</f>
        <v>29</v>
      </c>
      <c r="AW237" s="49">
        <f>SUM(AG237:AV237)-(45*7)</f>
        <v>35</v>
      </c>
      <c r="AX237" s="49">
        <f>SUM(AH237:AW237)-(45*8)</f>
        <v>23</v>
      </c>
      <c r="AY237" s="49">
        <f>SUM(AI237:AX237)-(45*8)</f>
        <v>29</v>
      </c>
      <c r="AZ237" s="49">
        <f>SUM(AJ237:AY237)-(45*8)</f>
        <v>26</v>
      </c>
      <c r="BA237" s="49">
        <f>SUM(AK237:AZ237)-(45*8)</f>
        <v>35</v>
      </c>
      <c r="BB237" s="49">
        <f>SUM(AL237:BA237)-(45*9)</f>
        <v>12</v>
      </c>
      <c r="BC237" s="49">
        <f>SUM(AM237:BB237)-(45*8)</f>
        <v>27</v>
      </c>
      <c r="BD237" s="49">
        <f>SUM(AN237:BC237)-(45*9)</f>
        <v>2</v>
      </c>
      <c r="BE237" s="49">
        <f>SUM(AO237:BD237)-(45*9)</f>
        <v>2</v>
      </c>
      <c r="BF237" s="49">
        <f>SUM(AP237:BE237)-(45*8)</f>
        <v>10</v>
      </c>
      <c r="BG237" s="49">
        <f>SUM(AQ237:BF237)-(45*7)</f>
        <v>24</v>
      </c>
      <c r="BH237" s="49">
        <f>SUM(AR237:BG237)-(45*7)</f>
        <v>29</v>
      </c>
      <c r="BI237" s="49">
        <f>SUM(AS237:BH237)-(45*7)</f>
        <v>34</v>
      </c>
      <c r="BJ237" s="49">
        <f>SUM(AT237:BI237)-(45*8)</f>
        <v>4</v>
      </c>
      <c r="BK237" s="49">
        <f>SUM(AU237:BJ237)-(45*7)</f>
        <v>43</v>
      </c>
      <c r="BL237" s="49">
        <f>SUM(AV237:BK237)-(45*8)</f>
        <v>4</v>
      </c>
      <c r="BM237" s="49">
        <f>SUM(AW237:BL237)-(45*7)</f>
        <v>24</v>
      </c>
      <c r="BN237" s="49">
        <f>SUM(AX237:BM237)-(45*7)</f>
        <v>13</v>
      </c>
      <c r="BO237" s="49">
        <f>SUM(AY237:BN237)-(45*7)</f>
        <v>3</v>
      </c>
      <c r="BP237" s="49">
        <f>SUM(AZ237:BO237)-(45*6)</f>
        <v>22</v>
      </c>
      <c r="BQ237" s="49">
        <f>SUM(BA237:BP237)-(45*6)</f>
        <v>18</v>
      </c>
      <c r="BR237" s="49">
        <f>SUM(BB237:BQ237)-(45*6)</f>
        <v>1</v>
      </c>
      <c r="BS237" s="49">
        <f>SUM(BC237:BR237)-(45*5)</f>
        <v>35</v>
      </c>
      <c r="BT237" s="49">
        <f>SUM(BD237:BS237)-(45*5)</f>
        <v>43</v>
      </c>
      <c r="BU237" s="49">
        <f>SUM(BE237:BT237)-(45*6)</f>
        <v>39</v>
      </c>
      <c r="BV237" s="49">
        <f>SUM(BF237:BU237)-(45*7)</f>
        <v>31</v>
      </c>
      <c r="BX237" s="413"/>
      <c r="CE237" s="409"/>
    </row>
    <row r="238" spans="2:83" s="509" customFormat="1" ht="17.25">
      <c r="B238" s="510"/>
      <c r="C238" s="44">
        <v>707</v>
      </c>
      <c r="D238" s="108" t="s">
        <v>525</v>
      </c>
      <c r="E238" s="48">
        <v>18</v>
      </c>
      <c r="F238" s="63">
        <v>24</v>
      </c>
      <c r="G238" s="63">
        <v>3</v>
      </c>
      <c r="H238" s="48">
        <f>SUM(E238:F238)-(45*0)</f>
        <v>42</v>
      </c>
      <c r="I238" s="48">
        <v>14</v>
      </c>
      <c r="J238" s="49">
        <f>SUM(E238:I238)-(45*2)</f>
        <v>11</v>
      </c>
      <c r="K238" s="49">
        <f>SUM(E238:J238)-(45*2)</f>
        <v>22</v>
      </c>
      <c r="L238" s="49">
        <f t="shared" si="1976"/>
        <v>44</v>
      </c>
      <c r="M238" s="49">
        <f>SUM(E238:L238)-(45*3)</f>
        <v>43</v>
      </c>
      <c r="N238" s="49">
        <f>SUM(E238:M238)-(45*4)</f>
        <v>41</v>
      </c>
      <c r="O238" s="49">
        <f>SUM(E238:N238)-(45*5)</f>
        <v>37</v>
      </c>
      <c r="P238" s="49">
        <f>SUM(E238:O238)-(45*6)</f>
        <v>29</v>
      </c>
      <c r="Q238" s="49">
        <f>SUM(F238:P238)-(45*6)</f>
        <v>40</v>
      </c>
      <c r="R238" s="49">
        <f>SUM(G238:Q238)-(45*7)</f>
        <v>11</v>
      </c>
      <c r="S238" s="49">
        <f>SUM(H238:R238)-(45*7)</f>
        <v>19</v>
      </c>
      <c r="T238" s="49">
        <f>SUM(I238:S238)-(45*6)</f>
        <v>41</v>
      </c>
      <c r="U238" s="49">
        <f>SUM(J238:T238)-(45*7)</f>
        <v>23</v>
      </c>
      <c r="V238" s="49">
        <f>SUM(K238:U238)-(45*7)</f>
        <v>35</v>
      </c>
      <c r="W238" s="49">
        <f>SUM(L238:V238)-(45*8)</f>
        <v>3</v>
      </c>
      <c r="X238" s="49">
        <f>SUM(M238:W238)-(45*7)</f>
        <v>7</v>
      </c>
      <c r="Y238" s="49">
        <f>SUM(N238:X238)-(45*6)</f>
        <v>16</v>
      </c>
      <c r="Z238" s="49">
        <f>SUM(O238:Y238)-(45*5)</f>
        <v>36</v>
      </c>
      <c r="AA238" s="49">
        <f>SUM(P238:Z238)-(45*5)</f>
        <v>35</v>
      </c>
      <c r="AB238" s="49">
        <f>SUM(Q238:AA238)-(45*5)</f>
        <v>41</v>
      </c>
      <c r="AC238" s="49">
        <f>SUM(M238:AB238)-(45*10)</f>
        <v>7</v>
      </c>
      <c r="AD238" s="49">
        <f>SUM(N238:AC238)-(45*9)</f>
        <v>16</v>
      </c>
      <c r="AE238" s="49">
        <f>SUM(O238:AD238)-(45*8)</f>
        <v>36</v>
      </c>
      <c r="AF238" s="49">
        <f>SUM(P238:AE238)-(45*8)</f>
        <v>35</v>
      </c>
      <c r="AG238" s="49">
        <f>SUM(Q238:AF238)-(45*8)</f>
        <v>41</v>
      </c>
      <c r="AH238" s="49">
        <f>SUM(R238:AG238)-(45*8)</f>
        <v>42</v>
      </c>
      <c r="AI238" s="49">
        <f>SUM(S238:AH238)-(45*9)</f>
        <v>28</v>
      </c>
      <c r="AJ238" s="49">
        <f>SUM(T238:AI238)-(45*9)</f>
        <v>37</v>
      </c>
      <c r="AK238" s="49">
        <f>SUM(U238:AJ238)-(45*9)</f>
        <v>33</v>
      </c>
      <c r="AL238" s="49">
        <f>SUM(V238:AK238)-(45*9)</f>
        <v>43</v>
      </c>
      <c r="AM238" s="49">
        <f>SUM(W238:AL238)-(45*10)</f>
        <v>6</v>
      </c>
      <c r="AN238" s="49">
        <f>SUM(X238:AM238)-(45*10)</f>
        <v>9</v>
      </c>
      <c r="AO238" s="49">
        <f>SUM(Y238:AN238)-(45*10)</f>
        <v>11</v>
      </c>
      <c r="AP238" s="49">
        <f>SUM(Z238:AO238)-(45*10)</f>
        <v>6</v>
      </c>
      <c r="AQ238" s="49">
        <f>SUM(AA238:AP238)-(45*9)</f>
        <v>21</v>
      </c>
      <c r="AR238" s="49">
        <f>SUM(AB238:AQ238)-(45*9)</f>
        <v>7</v>
      </c>
      <c r="AS238" s="49">
        <f>SUM(AC238:AR238)-(45*8)</f>
        <v>18</v>
      </c>
      <c r="AT238" s="49">
        <f>SUM(AD238:AS238)-(45*8)</f>
        <v>29</v>
      </c>
      <c r="AU238" s="49">
        <f>SUM(AE238:AT238)-(45*8)</f>
        <v>42</v>
      </c>
      <c r="AV238" s="49">
        <f>SUM(AF238:AU238)-(45*9)</f>
        <v>3</v>
      </c>
      <c r="AW238" s="49">
        <f>SUM(AG238:AV238)-(45*8)</f>
        <v>16</v>
      </c>
      <c r="AX238" s="49">
        <f>SUM(AH238:AW238)-(45*7)</f>
        <v>36</v>
      </c>
      <c r="AY238" s="49">
        <f>SUM(AI238:AX238)-(45*7)</f>
        <v>30</v>
      </c>
      <c r="AZ238" s="49">
        <f>SUM(AJ238:AY238)-(45*7)</f>
        <v>32</v>
      </c>
      <c r="BA238" s="49">
        <f>SUM(AK238:AZ238)-(45*7)</f>
        <v>27</v>
      </c>
      <c r="BB238" s="49">
        <f>SUM(AL238:BA238)-(45*7)</f>
        <v>21</v>
      </c>
      <c r="BC238" s="49">
        <f>SUM(AM238:BB238)-(45*6)</f>
        <v>44</v>
      </c>
      <c r="BD238" s="49">
        <f>SUM(AN238:BC238)-(45*7)</f>
        <v>37</v>
      </c>
      <c r="BE238" s="49">
        <f>SUM(AO238:BD238)-(45*8)</f>
        <v>20</v>
      </c>
      <c r="BF238" s="49">
        <f>SUM(AP238:BE238)-(45*8)</f>
        <v>29</v>
      </c>
      <c r="BG238" s="49">
        <f>SUM(AQ238:BF238)-(45*9)</f>
        <v>7</v>
      </c>
      <c r="BH238" s="49">
        <f>SUM(AR238:BG238)-(45*8)</f>
        <v>38</v>
      </c>
      <c r="BI238" s="49">
        <f>SUM(AS238:BH238)-(45*9)</f>
        <v>24</v>
      </c>
      <c r="BJ238" s="49">
        <f>SUM(AT238:BI238)-(45*9)</f>
        <v>30</v>
      </c>
      <c r="BK238" s="49">
        <f>SUM(AU238:BJ238)-(45*9)</f>
        <v>31</v>
      </c>
      <c r="BL238" s="49">
        <f>SUM(AV238:BK238)-(45*9)</f>
        <v>20</v>
      </c>
      <c r="BM238" s="49">
        <f>SUM(AW238:BL238)-(45*9)</f>
        <v>37</v>
      </c>
      <c r="BN238" s="49">
        <f>SUM(AX238:BM238)-(45*10)</f>
        <v>13</v>
      </c>
      <c r="BO238" s="49">
        <f>SUM(AY238:BN238)-(45*9)</f>
        <v>35</v>
      </c>
      <c r="BP238" s="49">
        <f>SUM(AZ238:BO238)-(45*9)</f>
        <v>40</v>
      </c>
      <c r="BQ238" s="49">
        <f>SUM(BA238:BP238)-(45*10)</f>
        <v>3</v>
      </c>
      <c r="BR238" s="49">
        <f>SUM(BB238:BQ238)-(45*9)</f>
        <v>24</v>
      </c>
      <c r="BS238" s="49">
        <f>SUM(BC238:BR238)-(45*9)</f>
        <v>27</v>
      </c>
      <c r="BT238" s="49">
        <f>SUM(BD238:BS238)-(45*9)</f>
        <v>10</v>
      </c>
      <c r="BU238" s="49">
        <f>SUM(BE238:BT238)-(45*8)</f>
        <v>28</v>
      </c>
      <c r="BV238" s="49">
        <f>SUM(BF238:BU238)-(45*8)</f>
        <v>36</v>
      </c>
      <c r="BX238" s="413"/>
      <c r="CE238" s="409"/>
    </row>
    <row r="239" spans="2:83" s="509" customFormat="1" ht="17.25">
      <c r="B239" s="511"/>
      <c r="C239" s="53">
        <v>708</v>
      </c>
      <c r="D239" s="324" t="s">
        <v>526</v>
      </c>
      <c r="E239" s="48">
        <v>25</v>
      </c>
      <c r="F239" s="63">
        <v>31</v>
      </c>
      <c r="G239" s="63">
        <v>4</v>
      </c>
      <c r="H239" s="48">
        <f>SUM(E239:F239)-(45*1)</f>
        <v>11</v>
      </c>
      <c r="I239" s="48">
        <v>15</v>
      </c>
      <c r="J239" s="49">
        <f>SUM(E239:I239)-(45*1)</f>
        <v>41</v>
      </c>
      <c r="K239" s="49">
        <f>SUM(E239:J239)-(45*2)</f>
        <v>37</v>
      </c>
      <c r="L239" s="49">
        <f>SUM(E239:K239)-(45*3)</f>
        <v>29</v>
      </c>
      <c r="M239" s="49">
        <f>SUM(E239:L239)-(45*4)</f>
        <v>13</v>
      </c>
      <c r="N239" s="49">
        <f>SUM(E239:M239)-(45*4)</f>
        <v>26</v>
      </c>
      <c r="O239" s="49">
        <f>SUM(E239:N239)-(45*5)</f>
        <v>7</v>
      </c>
      <c r="P239" s="49">
        <f>SUM(E239:O239)-(45*5)</f>
        <v>14</v>
      </c>
      <c r="Q239" s="49">
        <f>SUM(F239:P239)-(45*5)</f>
        <v>3</v>
      </c>
      <c r="R239" s="49">
        <f>SUM(G239:Q239)-(45*4)</f>
        <v>20</v>
      </c>
      <c r="S239" s="49">
        <f>SUM(H239:R239)-(45*4)</f>
        <v>36</v>
      </c>
      <c r="T239" s="49">
        <f>SUM(I239:S239)-(45*5)</f>
        <v>16</v>
      </c>
      <c r="U239" s="49">
        <f>SUM(J239:T239)-(45*5)</f>
        <v>17</v>
      </c>
      <c r="V239" s="49">
        <f>SUM(K239:U239)-(45*4)</f>
        <v>38</v>
      </c>
      <c r="W239" s="49">
        <f>SUM(L239:V239)-(45*4)</f>
        <v>39</v>
      </c>
      <c r="X239" s="49">
        <f>SUM(M239:W239)-(45*5)</f>
        <v>4</v>
      </c>
      <c r="Y239" s="49">
        <f>SUM(N239:X239)-(45*4)</f>
        <v>40</v>
      </c>
      <c r="Z239" s="49">
        <f>SUM(O239:Y239)-(45*5)</f>
        <v>9</v>
      </c>
      <c r="AA239" s="49">
        <f>SUM(P239:Z239)-(45*5)</f>
        <v>11</v>
      </c>
      <c r="AB239" s="49">
        <f>SUM(Q239:AA239)-(45*5)</f>
        <v>8</v>
      </c>
      <c r="AC239" s="49">
        <f>SUM(M239:AB239)-(45*6)</f>
        <v>31</v>
      </c>
      <c r="AD239" s="49">
        <f>SUM(N239:AC239)-(45*7)</f>
        <v>4</v>
      </c>
      <c r="AE239" s="49">
        <f>SUM(O239:AD239)-(45*6)</f>
        <v>27</v>
      </c>
      <c r="AF239" s="49">
        <f>SUM(P239:AE239)-(45*7)</f>
        <v>2</v>
      </c>
      <c r="AG239" s="49">
        <f>SUM(Q239:AF239)-(45*6)</f>
        <v>35</v>
      </c>
      <c r="AH239" s="49">
        <f>SUM(R239:AG239)-(45*7)</f>
        <v>22</v>
      </c>
      <c r="AI239" s="49">
        <f>SUM(S239:AH239)-(45*7)</f>
        <v>24</v>
      </c>
      <c r="AJ239" s="49">
        <f>SUM(T239:AI239)-(45*7)</f>
        <v>12</v>
      </c>
      <c r="AK239" s="49">
        <f>SUM(U239:AJ239)-(45*7)</f>
        <v>8</v>
      </c>
      <c r="AL239" s="49">
        <f>SUM(V239:AK239)-(45*6)</f>
        <v>44</v>
      </c>
      <c r="AM239" s="49">
        <f>SUM(W239:AL239)-(45*7)</f>
        <v>5</v>
      </c>
      <c r="AN239" s="49">
        <f>SUM(X239:AM239)-(45*6)</f>
        <v>16</v>
      </c>
      <c r="AO239" s="49">
        <f>SUM(Y239:AN239)-(45*6)</f>
        <v>28</v>
      </c>
      <c r="AP239" s="49">
        <f>SUM(Z239:AO239)-(45*6)</f>
        <v>16</v>
      </c>
      <c r="AQ239" s="49">
        <f>SUM(AA239:AP239)-(45*6)</f>
        <v>23</v>
      </c>
      <c r="AR239" s="49">
        <f>SUM(AB239:AQ239)-(45*6)</f>
        <v>35</v>
      </c>
      <c r="AS239" s="49">
        <f>SUM(AC239:AR239)-(45*7)</f>
        <v>17</v>
      </c>
      <c r="AT239" s="49">
        <f>SUM(AD239:AS239)-(45*7)</f>
        <v>3</v>
      </c>
      <c r="AU239" s="49">
        <f>SUM(AE239:AT239)-(45*7)</f>
        <v>2</v>
      </c>
      <c r="AV239" s="49">
        <f>SUM(AF239:AU239)-(45*6)</f>
        <v>22</v>
      </c>
      <c r="AW239" s="49">
        <f>SUM(AG239:AV239)-(45*6)</f>
        <v>42</v>
      </c>
      <c r="AX239" s="49">
        <f>SUM(AH239:AW239)-(45*7)</f>
        <v>4</v>
      </c>
      <c r="AY239" s="49">
        <f>SUM(AI239:AX239)-(45*6)</f>
        <v>31</v>
      </c>
      <c r="AZ239" s="49">
        <f>SUM(AJ239:AY239)-(45*6)</f>
        <v>38</v>
      </c>
      <c r="BA239" s="49">
        <f>SUM(AK239:AZ239)-(45*7)</f>
        <v>19</v>
      </c>
      <c r="BB239" s="49">
        <f>SUM(AL239:BA239)-(45*7)</f>
        <v>30</v>
      </c>
      <c r="BC239" s="49">
        <f>SUM(AM239:BB239)-(45*7)</f>
        <v>16</v>
      </c>
      <c r="BD239" s="49">
        <f>SUM(AN239:BC239)-(45*7)</f>
        <v>27</v>
      </c>
      <c r="BE239" s="49">
        <f>SUM(AO239:BD239)-(45*7)</f>
        <v>38</v>
      </c>
      <c r="BF239" s="49">
        <f>SUM(AP239:BE239)-(45*8)</f>
        <v>3</v>
      </c>
      <c r="BG239" s="49">
        <f>SUM(AQ239:BF239)-(45*7)</f>
        <v>35</v>
      </c>
      <c r="BH239" s="49">
        <f>SUM(AR239:BG239)-(45*8)</f>
        <v>2</v>
      </c>
      <c r="BI239" s="49">
        <f>SUM(AS239:BH239)-(45*7)</f>
        <v>14</v>
      </c>
      <c r="BJ239" s="49">
        <f>SUM(AT239:BI239)-(45*7)</f>
        <v>11</v>
      </c>
      <c r="BK239" s="49">
        <f>SUM(AU239:BJ239)-(45*7)</f>
        <v>19</v>
      </c>
      <c r="BL239" s="49">
        <f>SUM(AV239:BK239)-(45*7)</f>
        <v>36</v>
      </c>
      <c r="BM239" s="49">
        <f>SUM(AW239:BL239)-(45*8)</f>
        <v>5</v>
      </c>
      <c r="BN239" s="49">
        <f>SUM(AX239:BM239)-(45*7)</f>
        <v>13</v>
      </c>
      <c r="BO239" s="49">
        <f>SUM(AY239:BN239)-(45*7)</f>
        <v>22</v>
      </c>
      <c r="BP239" s="49">
        <f>SUM(AZ239:BO239)-(45*7)</f>
        <v>13</v>
      </c>
      <c r="BQ239" s="49">
        <f>SUM(BA239:BP239)-(45*6)</f>
        <v>33</v>
      </c>
      <c r="BR239" s="49">
        <f>SUM(BB239:BQ239)-(45*7)</f>
        <v>2</v>
      </c>
      <c r="BS239" s="49">
        <f>SUM(BC239:BR239)-(45*6)</f>
        <v>19</v>
      </c>
      <c r="BT239" s="49">
        <f>SUM(BD239:BS239)-(45*6)</f>
        <v>22</v>
      </c>
      <c r="BU239" s="49">
        <f>SUM(BE239:BT239)-(45*6)</f>
        <v>17</v>
      </c>
      <c r="BV239" s="49">
        <f>SUM(BF239:BU239)-(45*5)</f>
        <v>41</v>
      </c>
      <c r="BX239" s="413"/>
      <c r="CE239" s="409"/>
    </row>
    <row r="240" spans="2:83" s="509" customFormat="1" ht="17.25">
      <c r="B240" s="512"/>
      <c r="C240" s="44">
        <v>709</v>
      </c>
      <c r="D240" s="108" t="s">
        <v>527</v>
      </c>
      <c r="E240" s="48">
        <v>2</v>
      </c>
      <c r="F240" s="63">
        <v>9</v>
      </c>
      <c r="G240" s="63">
        <v>1</v>
      </c>
      <c r="H240" s="48">
        <f>SUM(E240:F240)-(45*0)</f>
        <v>11</v>
      </c>
      <c r="I240" s="48">
        <v>16</v>
      </c>
      <c r="J240" s="49">
        <f>SUM(E240:I240)-(45*0)</f>
        <v>39</v>
      </c>
      <c r="K240" s="49">
        <f>SUM(E240:J240)-(45*1)</f>
        <v>33</v>
      </c>
      <c r="L240" s="49">
        <f t="shared" ref="L240" si="1978">SUM(E240:K240)-(45*2)</f>
        <v>21</v>
      </c>
      <c r="M240" s="49">
        <f>SUM(E240:L240)-(45*2)</f>
        <v>42</v>
      </c>
      <c r="N240" s="49">
        <f>SUM(E240:M240)-(45*3)</f>
        <v>39</v>
      </c>
      <c r="O240" s="49">
        <f>SUM(E240:N240)-(45*4)</f>
        <v>33</v>
      </c>
      <c r="P240" s="49">
        <f>SUM(E240:O240)-(45*5)</f>
        <v>21</v>
      </c>
      <c r="Q240" s="49">
        <f>SUM(F240:P240)-(45*5)</f>
        <v>40</v>
      </c>
      <c r="R240" s="49">
        <f>SUM(G240:Q240)-(45*6)</f>
        <v>26</v>
      </c>
      <c r="S240" s="49">
        <f>SUM(H240:R240)-(45*7)</f>
        <v>6</v>
      </c>
      <c r="T240" s="49">
        <f>SUM(I240:S240)-(45*7)</f>
        <v>1</v>
      </c>
      <c r="U240" s="49">
        <f>SUM(J240:T240)-(45*6)</f>
        <v>31</v>
      </c>
      <c r="V240" s="49">
        <f>SUM(K240:U240)-(45*6)</f>
        <v>23</v>
      </c>
      <c r="W240" s="49">
        <f>SUM(L240:V240)-(45*6)</f>
        <v>13</v>
      </c>
      <c r="X240" s="49">
        <f>SUM(M240:W240)-(45*6)</f>
        <v>5</v>
      </c>
      <c r="Y240" s="49">
        <f>SUM(N240:X240)-(45*5)</f>
        <v>13</v>
      </c>
      <c r="Z240" s="49">
        <f>SUM(O240:Y240)-(45*4)</f>
        <v>32</v>
      </c>
      <c r="AA240" s="49">
        <f>SUM(P240:Z240)-(45*4)</f>
        <v>31</v>
      </c>
      <c r="AB240" s="49">
        <f>SUM(Q240:AA240)-(45*4)</f>
        <v>41</v>
      </c>
      <c r="AC240" s="49">
        <f>SUM(M240:AB240)-(45*8)</f>
        <v>37</v>
      </c>
      <c r="AD240" s="49">
        <f>SUM(N240:AC240)-(45*8)</f>
        <v>32</v>
      </c>
      <c r="AE240" s="49">
        <f>SUM(O240:AD240)-(45*8)</f>
        <v>25</v>
      </c>
      <c r="AF240" s="49">
        <f>SUM(P240:AE240)-(45*8)</f>
        <v>17</v>
      </c>
      <c r="AG240" s="49">
        <f>SUM(Q240:AF240)-(45*8)</f>
        <v>13</v>
      </c>
      <c r="AH240" s="49">
        <f>SUM(R240:AG240)-(45*7)</f>
        <v>31</v>
      </c>
      <c r="AI240" s="49">
        <f>SUM(S240:AH240)-(45*7)</f>
        <v>36</v>
      </c>
      <c r="AJ240" s="49">
        <f>SUM(T240:AI240)-(45*8)</f>
        <v>21</v>
      </c>
      <c r="AK240" s="49">
        <f>SUM(U240:AJ240)-(45*8)</f>
        <v>41</v>
      </c>
      <c r="AL240" s="49">
        <f>SUM(V240:AK240)-(45*9)</f>
        <v>6</v>
      </c>
      <c r="AM240" s="49">
        <f>SUM(W240:AL240)-(45*8)</f>
        <v>34</v>
      </c>
      <c r="AN240" s="49">
        <f>SUM(X240:AM240)-(45*9)</f>
        <v>10</v>
      </c>
      <c r="AO240" s="49">
        <f>SUM(Y240:AN240)-(45*9)</f>
        <v>15</v>
      </c>
      <c r="AP240" s="49">
        <f>SUM(Z240:AO240)-(45*9)</f>
        <v>17</v>
      </c>
      <c r="AQ240" s="49">
        <f>SUM(AA240:AP240)-(45*9)</f>
        <v>2</v>
      </c>
      <c r="AR240" s="49">
        <f>SUM(AB240:AQ240)-(45*8)</f>
        <v>18</v>
      </c>
      <c r="AS240" s="49">
        <f>SUM(AC240:AR240)-(45*7)</f>
        <v>40</v>
      </c>
      <c r="AT240" s="49">
        <f>SUM(AD240:AS240)-(45*7)</f>
        <v>43</v>
      </c>
      <c r="AU240" s="49">
        <f>SUM(AE240:AT240)-(45*8)</f>
        <v>9</v>
      </c>
      <c r="AV240" s="49">
        <f>SUM(AF240:AU240)-(45*7)</f>
        <v>38</v>
      </c>
      <c r="AW240" s="49">
        <f>SUM(AG240:AV240)-(45*8)</f>
        <v>14</v>
      </c>
      <c r="AX240" s="49">
        <f>SUM(AH240:AW240)-(45*8)</f>
        <v>15</v>
      </c>
      <c r="AY240" s="49">
        <f>SUM(AI240:AX240)-(45*7)</f>
        <v>44</v>
      </c>
      <c r="AZ240" s="49">
        <f>SUM(AJ240:AY240)-(45*8)</f>
        <v>7</v>
      </c>
      <c r="BA240" s="49">
        <f>SUM(AK240:AZ240)-(45*7)</f>
        <v>38</v>
      </c>
      <c r="BB240" s="49">
        <f>SUM(AL240:BA240)-(45*7)</f>
        <v>35</v>
      </c>
      <c r="BC240" s="49">
        <f>SUM(AM240:BB240)-(45*8)</f>
        <v>19</v>
      </c>
      <c r="BD240" s="49">
        <f>SUM(AN240:BC240)-(45*8)</f>
        <v>4</v>
      </c>
      <c r="BE240" s="49">
        <f>SUM(AO240:BD240)-(45*7)</f>
        <v>43</v>
      </c>
      <c r="BF240" s="49">
        <f>SUM(AP240:BE240)-(45*8)</f>
        <v>26</v>
      </c>
      <c r="BG240" s="49">
        <f>SUM(AQ240:BF240)-(45*8)</f>
        <v>35</v>
      </c>
      <c r="BH240" s="49">
        <f t="shared" ref="BH240:BJ241" si="1979">SUM(AR240:BG240)-(45*9)</f>
        <v>23</v>
      </c>
      <c r="BI240" s="49">
        <f t="shared" si="1979"/>
        <v>28</v>
      </c>
      <c r="BJ240" s="49">
        <f t="shared" si="1979"/>
        <v>16</v>
      </c>
      <c r="BK240" s="49">
        <f>SUM(AU240:BJ240)-(45*8)</f>
        <v>34</v>
      </c>
      <c r="BL240" s="49">
        <f>SUM(AV240:BK240)-(45*9)</f>
        <v>14</v>
      </c>
      <c r="BM240" s="49">
        <f>SUM(AW240:BL240)-(45*8)</f>
        <v>35</v>
      </c>
      <c r="BN240" s="49">
        <f>SUM(AX240:BM240)-(45*9)</f>
        <v>11</v>
      </c>
      <c r="BO240" s="49">
        <f>SUM(AY240:BN240)-(45*9)</f>
        <v>7</v>
      </c>
      <c r="BP240" s="49">
        <f>SUM(AZ240:BO240)-(45*8)</f>
        <v>15</v>
      </c>
      <c r="BQ240" s="49">
        <f>SUM(BA240:BP240)-(45*8)</f>
        <v>23</v>
      </c>
      <c r="BR240" s="49">
        <f>SUM(BB240:BQ240)-(45*8)</f>
        <v>8</v>
      </c>
      <c r="BS240" s="49">
        <f>SUM(BC240:BR240)-(45*7)</f>
        <v>26</v>
      </c>
      <c r="BT240" s="49">
        <f>SUM(BD240:BS240)-(45*7)</f>
        <v>33</v>
      </c>
      <c r="BU240" s="49">
        <f>SUM(BE240:BT240)-(45*8)</f>
        <v>17</v>
      </c>
      <c r="BV240" s="49">
        <f>SUM(BF240:BU240)-(45*7)</f>
        <v>36</v>
      </c>
      <c r="BX240" s="413"/>
      <c r="CE240" s="409"/>
    </row>
    <row r="241" spans="2:112" s="509" customFormat="1" ht="17.25">
      <c r="B241" s="518"/>
      <c r="C241" s="53">
        <v>710</v>
      </c>
      <c r="D241" s="324" t="s">
        <v>528</v>
      </c>
      <c r="E241" s="48">
        <v>9</v>
      </c>
      <c r="F241" s="63">
        <v>16</v>
      </c>
      <c r="G241" s="63">
        <v>2</v>
      </c>
      <c r="H241" s="48">
        <f>SUM(E241:F241)-(45*0)</f>
        <v>25</v>
      </c>
      <c r="I241" s="48">
        <v>8</v>
      </c>
      <c r="J241" s="49">
        <f>SUM(E241:I241)-(45*1)</f>
        <v>15</v>
      </c>
      <c r="K241" s="49">
        <f>SUM(E241:J241)-(45*1)</f>
        <v>30</v>
      </c>
      <c r="L241" s="49">
        <f>SUM(E241:K241)-(45*2)</f>
        <v>15</v>
      </c>
      <c r="M241" s="49">
        <f>SUM(E241:L241)-(45*2)</f>
        <v>30</v>
      </c>
      <c r="N241" s="49">
        <f>SUM(E241:M241)-(45*3)</f>
        <v>15</v>
      </c>
      <c r="O241" s="49">
        <f>SUM(E241:N241)-(45*3)</f>
        <v>30</v>
      </c>
      <c r="P241" s="49">
        <f>SUM(E241:O241)-(45*4)</f>
        <v>15</v>
      </c>
      <c r="Q241" s="49">
        <f>SUM(F241:P241)-(45*4)</f>
        <v>21</v>
      </c>
      <c r="R241" s="49">
        <f>SUM(G241:Q241)-(45*4)</f>
        <v>26</v>
      </c>
      <c r="S241" s="49">
        <f>SUM(H241:R241)-(45*5)</f>
        <v>5</v>
      </c>
      <c r="T241" s="49">
        <f>SUM(I241:S241)-(45*4)</f>
        <v>30</v>
      </c>
      <c r="U241" s="49">
        <f>SUM(J241:T241)-(45*5)</f>
        <v>7</v>
      </c>
      <c r="V241" s="49">
        <f>SUM(K241:U241)-(45*4)</f>
        <v>44</v>
      </c>
      <c r="W241" s="49">
        <f>SUM(L241:V241)-(45*5)</f>
        <v>13</v>
      </c>
      <c r="X241" s="49">
        <f>SUM(M241:W241)-(45*5)</f>
        <v>11</v>
      </c>
      <c r="Y241" s="49">
        <f>SUM(N241:X241)-(45*4)</f>
        <v>37</v>
      </c>
      <c r="Z241" s="49">
        <f>SUM(O241:Y241)-(45*5)</f>
        <v>14</v>
      </c>
      <c r="AA241" s="49">
        <f>SUM(P241:Z241)-(45*4)</f>
        <v>43</v>
      </c>
      <c r="AB241" s="49">
        <f>SUM(Q241:AA241)-(45*5)</f>
        <v>26</v>
      </c>
      <c r="AC241" s="49">
        <f>SUM(M241:AB241)-(45*8)</f>
        <v>7</v>
      </c>
      <c r="AD241" s="49">
        <f>SUM(N241:AC241)-(45*7)</f>
        <v>29</v>
      </c>
      <c r="AE241" s="49">
        <f>SUM(O241:AD241)-(45*7)</f>
        <v>43</v>
      </c>
      <c r="AF241" s="49">
        <f>SUM(P241:AE241)-(45*8)</f>
        <v>11</v>
      </c>
      <c r="AG241" s="49">
        <f>SUM(Q241:AF241)-(45*8)</f>
        <v>7</v>
      </c>
      <c r="AH241" s="49">
        <f>SUM(R241:AG241)-(45*7)</f>
        <v>38</v>
      </c>
      <c r="AI241" s="49">
        <f>SUM(S241:AH241)-(45*8)</f>
        <v>5</v>
      </c>
      <c r="AJ241" s="49">
        <f>SUM(T241:AI241)-(45*8)</f>
        <v>5</v>
      </c>
      <c r="AK241" s="49">
        <f>SUM(U241:AJ241)-(45*7)</f>
        <v>25</v>
      </c>
      <c r="AL241" s="49">
        <f>SUM(V241:AK241)-(45*7)</f>
        <v>43</v>
      </c>
      <c r="AM241" s="49">
        <f>SUM(W241:AL241)-(45*7)</f>
        <v>42</v>
      </c>
      <c r="AN241" s="49">
        <f>SUM(X241:AM241)-(45*8)</f>
        <v>26</v>
      </c>
      <c r="AO241" s="49">
        <f>SUM(Y241:AN241)-(45*8)</f>
        <v>41</v>
      </c>
      <c r="AP241" s="49">
        <f>SUM(Z241:AO241)-(45*8)</f>
        <v>45</v>
      </c>
      <c r="AQ241" s="49">
        <f>SUM(AA241:AP241)-(45*9)</f>
        <v>31</v>
      </c>
      <c r="AR241" s="49">
        <f>SUM(AB241:AQ241)-(45*9)</f>
        <v>19</v>
      </c>
      <c r="AS241" s="49">
        <f>SUM(AC241:AR241)-(45*9)</f>
        <v>12</v>
      </c>
      <c r="AT241" s="49">
        <f>SUM(AD241:AS241)-(45*9)</f>
        <v>17</v>
      </c>
      <c r="AU241" s="49">
        <f>SUM(AE241:AT241)-(45*9)</f>
        <v>5</v>
      </c>
      <c r="AV241" s="49">
        <f>SUM(AF241:AU241)-(45*8)</f>
        <v>12</v>
      </c>
      <c r="AW241" s="49">
        <f>SUM(AG241:AV241)-(45*8)</f>
        <v>13</v>
      </c>
      <c r="AX241" s="49">
        <f>SUM(AH241:AW241)-(45*8)</f>
        <v>19</v>
      </c>
      <c r="AY241" s="49">
        <f>SUM(AI241:AX241)-(45*7)</f>
        <v>45</v>
      </c>
      <c r="AZ241" s="49">
        <f>SUM(AJ241:AY241)-(45*8)</f>
        <v>40</v>
      </c>
      <c r="BA241" s="49">
        <f>SUM(AK241:AZ241)-(45*9)</f>
        <v>30</v>
      </c>
      <c r="BB241" s="49">
        <f>SUM(AL241:BA241)-(45*9)</f>
        <v>35</v>
      </c>
      <c r="BC241" s="49">
        <f>SUM(AM241:BB241)-(45*9)</f>
        <v>27</v>
      </c>
      <c r="BD241" s="49">
        <f>SUM(AN241:BC241)-(45*9)</f>
        <v>12</v>
      </c>
      <c r="BE241" s="49">
        <f>SUM(AO241:BD241)-(45*8)</f>
        <v>43</v>
      </c>
      <c r="BF241" s="49">
        <f>SUM(AP241:BE241)-(45*8)</f>
        <v>45</v>
      </c>
      <c r="BG241" s="49">
        <f>SUM(AQ241:BF241)-(45*8)</f>
        <v>45</v>
      </c>
      <c r="BH241" s="49">
        <f t="shared" si="1979"/>
        <v>14</v>
      </c>
      <c r="BI241" s="49">
        <f t="shared" si="1979"/>
        <v>9</v>
      </c>
      <c r="BJ241" s="49">
        <f t="shared" si="1979"/>
        <v>6</v>
      </c>
      <c r="BK241" s="49">
        <f>SUM(AU241:BJ241)-(45*8)</f>
        <v>40</v>
      </c>
      <c r="BL241" s="49">
        <f>SUM(AV241:BK241)-(45*9)</f>
        <v>30</v>
      </c>
      <c r="BM241" s="49">
        <f>SUM(AW241:BL241)-(45*10)</f>
        <v>3</v>
      </c>
      <c r="BN241" s="49">
        <f>SUM(AX241:BM241)-(45*9)</f>
        <v>38</v>
      </c>
      <c r="BO241" s="49">
        <f>SUM(AY241:BN241)-(45*10)</f>
        <v>12</v>
      </c>
      <c r="BP241" s="49">
        <f>SUM(AZ241:BO241)-(45*9)</f>
        <v>24</v>
      </c>
      <c r="BQ241" s="49">
        <f>SUM(BA241:BP241)-(45*9)</f>
        <v>8</v>
      </c>
      <c r="BR241" s="49">
        <f>SUM(BB241:BQ241)-(45*8)</f>
        <v>31</v>
      </c>
      <c r="BS241" s="49">
        <f>SUM(BC241:BR241)-(45*8)</f>
        <v>27</v>
      </c>
      <c r="BT241" s="49">
        <f>SUM(BD241:BS241)-(45*8)</f>
        <v>27</v>
      </c>
      <c r="BU241" s="49">
        <f>SUM(BE241:BT241)-(45*8)</f>
        <v>42</v>
      </c>
      <c r="BV241" s="49">
        <f>SUM(BF241:BU241)-(45*8)</f>
        <v>41</v>
      </c>
      <c r="BX241" s="413"/>
      <c r="CE241" s="409"/>
    </row>
    <row r="242" spans="2:112" s="520" customFormat="1" ht="17.25">
      <c r="B242" s="519"/>
      <c r="C242" s="44">
        <v>711</v>
      </c>
      <c r="D242" s="108" t="s">
        <v>530</v>
      </c>
      <c r="E242" s="48">
        <v>16</v>
      </c>
      <c r="F242" s="63">
        <v>23</v>
      </c>
      <c r="G242" s="63">
        <v>3</v>
      </c>
      <c r="H242" s="48">
        <f>SUM(E242:F242)-(45*0)</f>
        <v>39</v>
      </c>
      <c r="I242" s="48">
        <v>9</v>
      </c>
      <c r="J242" s="49">
        <f>SUM(E242:I242)-(45*1)</f>
        <v>45</v>
      </c>
      <c r="K242" s="49">
        <f>SUM(E242:J242)-(45*2)</f>
        <v>45</v>
      </c>
      <c r="L242" s="49">
        <f>SUM(E242:K242)-(45*3)</f>
        <v>45</v>
      </c>
      <c r="M242" s="49">
        <f>SUM(E242:L242)-(45*4)</f>
        <v>45</v>
      </c>
      <c r="N242" s="49">
        <f>SUM(E242:M242)-(45*5)</f>
        <v>45</v>
      </c>
      <c r="O242" s="49">
        <f>SUM(E242:N242)-(45*6)</f>
        <v>45</v>
      </c>
      <c r="P242" s="49">
        <f>SUM(E242:O242)-(45*7)</f>
        <v>45</v>
      </c>
      <c r="Q242" s="49">
        <f>SUM(F242:P242)-(45*8)</f>
        <v>29</v>
      </c>
      <c r="R242" s="49">
        <f>SUM(G242:Q242)-(45*8)</f>
        <v>35</v>
      </c>
      <c r="S242" s="49">
        <f>SUM(H242:R242)-(45*9)</f>
        <v>22</v>
      </c>
      <c r="T242" s="49">
        <f>SUM(I242:S242)-(45*9)</f>
        <v>5</v>
      </c>
      <c r="U242" s="49">
        <f>SUM(J242:T242)-(45*9)</f>
        <v>1</v>
      </c>
      <c r="V242" s="49">
        <f>SUM(K242:U242)-(45*8)</f>
        <v>2</v>
      </c>
      <c r="W242" s="49">
        <f>SUM(L242:V242)-(45*7)</f>
        <v>4</v>
      </c>
      <c r="X242" s="49">
        <f>SUM(M242:W242)-(45*6)</f>
        <v>8</v>
      </c>
      <c r="Y242" s="49">
        <f>SUM(N242:X242)-(45*5)</f>
        <v>16</v>
      </c>
      <c r="Z242" s="49">
        <f>SUM(O242:Y242)-(45*4)</f>
        <v>32</v>
      </c>
      <c r="AA242" s="49">
        <f>SUM(P242:Z242)-(45*4)</f>
        <v>19</v>
      </c>
      <c r="AB242" s="49">
        <f>SUM(Q242:AA242)-(45*3)</f>
        <v>38</v>
      </c>
      <c r="AC242" s="49">
        <f>SUM(M242:AB242)-(45*8)</f>
        <v>31</v>
      </c>
      <c r="AD242" s="49">
        <f>SUM(N242:AC242)-(45*8)</f>
        <v>17</v>
      </c>
      <c r="AE242" s="49">
        <f>SUM(O242:AD242)-(45*7)</f>
        <v>34</v>
      </c>
      <c r="AF242" s="49">
        <f>SUM(P242:AE242)-(45*7)</f>
        <v>23</v>
      </c>
      <c r="AG242" s="49">
        <f>SUM(Q242:AF242)-(45*7)</f>
        <v>1</v>
      </c>
      <c r="AH242" s="49">
        <f>SUM(R242:AG242)-(45*6)</f>
        <v>18</v>
      </c>
      <c r="AI242" s="49">
        <f>SUM(S242:AH242)-(45*6)</f>
        <v>1</v>
      </c>
      <c r="AJ242" s="49">
        <f>SUM(T242:AI242)-(45*5)</f>
        <v>25</v>
      </c>
      <c r="AK242" s="49">
        <f>SUM(U242:AJ242)-(45*5)</f>
        <v>45</v>
      </c>
      <c r="AL242" s="49">
        <f>SUM(V242:AK242)-(45*6)</f>
        <v>44</v>
      </c>
      <c r="AM242" s="49">
        <f>SUM(W242:AL242)-(45*7)</f>
        <v>41</v>
      </c>
      <c r="AN242" s="49">
        <f>SUM(X242:AM242)-(45*8)</f>
        <v>33</v>
      </c>
      <c r="AO242" s="49">
        <f>SUM(Y242:AN242)-(45*9)</f>
        <v>13</v>
      </c>
      <c r="AP242" s="49">
        <f>SUM(Z242:AO242)-(45*9)</f>
        <v>10</v>
      </c>
      <c r="AQ242" s="49">
        <f>SUM(AA242:AP242)-(45*8)</f>
        <v>33</v>
      </c>
      <c r="AR242" s="49">
        <f>SUM(AB242:AQ242)-(45*9)</f>
        <v>2</v>
      </c>
      <c r="AS242" s="49">
        <f>SUM(AC242:AR242)-(45*8)</f>
        <v>11</v>
      </c>
      <c r="AT242" s="49">
        <f>SUM(AD242:AS242)-(45*7)</f>
        <v>36</v>
      </c>
      <c r="AU242" s="49">
        <f>SUM(AE242:AT242)-(45*8)</f>
        <v>10</v>
      </c>
      <c r="AV242" s="49">
        <f>SUM(AF242:AU242)-(45*7)</f>
        <v>31</v>
      </c>
      <c r="AW242" s="49">
        <f>SUM(AG242:AV242)-(45*7)</f>
        <v>39</v>
      </c>
      <c r="AX242" s="49">
        <f>SUM(AH242:AW242)-(45*8)</f>
        <v>32</v>
      </c>
      <c r="AY242" s="49">
        <f>SUM(AI242:AX242)-(45*9)</f>
        <v>1</v>
      </c>
      <c r="AZ242" s="49">
        <f>SUM(AJ242:AY242)-(45*9)</f>
        <v>1</v>
      </c>
      <c r="BA242" s="49">
        <f>SUM(AK242:AZ242)-(45*8)</f>
        <v>22</v>
      </c>
      <c r="BB242" s="49">
        <f>SUM(AL242:BA242)-(45*7)</f>
        <v>44</v>
      </c>
      <c r="BC242" s="49">
        <f>SUM(AM242:BB242)-(45*7)</f>
        <v>44</v>
      </c>
      <c r="BD242" s="49">
        <f>SUM(AN242:BC242)-(45*8)</f>
        <v>2</v>
      </c>
      <c r="BE242" s="49">
        <f>SUM(AO242:BD242)-(45*7)</f>
        <v>16</v>
      </c>
      <c r="BF242" s="49">
        <f>SUM(AP242:BE242)-(45*7)</f>
        <v>19</v>
      </c>
      <c r="BG242" s="49">
        <f>SUM(AQ242:BF242)-(45*7)</f>
        <v>28</v>
      </c>
      <c r="BH242" s="49">
        <f>SUM(AR242:BG242)-(45*7)</f>
        <v>23</v>
      </c>
      <c r="BI242" s="49">
        <f>SUM(AS242:BH242)-(45*7)</f>
        <v>44</v>
      </c>
      <c r="BJ242" s="49">
        <f>SUM(AT242:BI242)-(45*8)</f>
        <v>32</v>
      </c>
      <c r="BK242" s="49">
        <f>SUM(AU242:BJ242)-(45*8)</f>
        <v>28</v>
      </c>
      <c r="BL242" s="49">
        <f>SUM(AV242:BK242)-(45*9)</f>
        <v>1</v>
      </c>
      <c r="BM242" s="49">
        <f>SUM(AW242:BL242)-(45*8)</f>
        <v>16</v>
      </c>
      <c r="BN242" s="49">
        <f>SUM(AX242:BM242)-(45*7)</f>
        <v>38</v>
      </c>
      <c r="BO242" s="49">
        <f>SUM(AY242:BN242)-(45*7)</f>
        <v>44</v>
      </c>
      <c r="BP242" s="49">
        <f>SUM(AZ242:BO242)-(45*8)</f>
        <v>42</v>
      </c>
      <c r="BQ242" s="49">
        <f>SUM(BA242:BP242)-(45*9)</f>
        <v>38</v>
      </c>
      <c r="BR242" s="49">
        <f>SUM(BB242:BQ242)-(45*10)</f>
        <v>9</v>
      </c>
      <c r="BS242" s="49">
        <f>SUM(BC242:BR242)-(45*9)</f>
        <v>19</v>
      </c>
      <c r="BT242" s="49">
        <f>SUM(BD242:BS242)-(45*8)</f>
        <v>39</v>
      </c>
      <c r="BU242" s="49">
        <f>SUM(BE242:BT242)-(45*9)</f>
        <v>31</v>
      </c>
      <c r="BV242" s="49">
        <f>SUM(BF242:BU242)-(45*10)</f>
        <v>1</v>
      </c>
      <c r="BX242" s="413"/>
      <c r="CE242" s="409"/>
    </row>
    <row r="243" spans="2:112" s="520" customFormat="1" ht="17.25">
      <c r="B243" s="521"/>
      <c r="C243" s="53">
        <v>712</v>
      </c>
      <c r="D243" s="324" t="s">
        <v>531</v>
      </c>
      <c r="E243" s="48">
        <v>23</v>
      </c>
      <c r="F243" s="63">
        <v>30</v>
      </c>
      <c r="G243" s="63">
        <v>4</v>
      </c>
      <c r="H243" s="48">
        <f>SUM(E243:F243)-(45*1)</f>
        <v>8</v>
      </c>
      <c r="I243" s="48">
        <v>10</v>
      </c>
      <c r="J243" s="49">
        <f>SUM(E243:I243)-(45*1)</f>
        <v>30</v>
      </c>
      <c r="K243" s="49">
        <f>SUM(E243:J243)-(45*2)</f>
        <v>15</v>
      </c>
      <c r="L243" s="49">
        <f>SUM(E243:K243)-(45*2)</f>
        <v>30</v>
      </c>
      <c r="M243" s="49">
        <f>SUM(E243:L243)-(45*3)</f>
        <v>15</v>
      </c>
      <c r="N243" s="49">
        <f>SUM(E243:M243)-(45*3)</f>
        <v>30</v>
      </c>
      <c r="O243" s="49">
        <f>SUM(E243:N243)-(45*4)</f>
        <v>15</v>
      </c>
      <c r="P243" s="49">
        <f>SUM(E243:O243)-(45*4)</f>
        <v>30</v>
      </c>
      <c r="Q243" s="49">
        <f>SUM(F243:P243)-(45*4)</f>
        <v>37</v>
      </c>
      <c r="R243" s="49">
        <f>SUM(G243:Q243)-(45*4)</f>
        <v>44</v>
      </c>
      <c r="S243" s="49">
        <f>SUM(H243:R243)-(45*5)</f>
        <v>39</v>
      </c>
      <c r="T243" s="49">
        <f>SUM(I243:S243)-(45*6)</f>
        <v>25</v>
      </c>
      <c r="U243" s="49">
        <f>SUM(J243:T243)-(45*6)</f>
        <v>40</v>
      </c>
      <c r="V243" s="49">
        <f>SUM(K243:U243)-(45*7)</f>
        <v>5</v>
      </c>
      <c r="W243" s="49">
        <f>SUM(L243:V243)-(45*6)</f>
        <v>40</v>
      </c>
      <c r="X243" s="49">
        <f>SUM(M243:W243)-(45*7)</f>
        <v>5</v>
      </c>
      <c r="Y243" s="49">
        <f>SUM(N243:X243)-(45*6)</f>
        <v>40</v>
      </c>
      <c r="Z243" s="49">
        <f>SUM(O243:Y243)-(45*7)</f>
        <v>5</v>
      </c>
      <c r="AA243" s="49">
        <f>SUM(P243:Z243)-(45*6)</f>
        <v>40</v>
      </c>
      <c r="AB243" s="49">
        <f>SUM(Q243:AA243)-(45*7)</f>
        <v>5</v>
      </c>
      <c r="AC243" s="49">
        <f>SUM(M243:AB243)-(45*9)</f>
        <v>10</v>
      </c>
      <c r="AD243" s="49">
        <f>SUM(N243:AC243)-(45*9)</f>
        <v>5</v>
      </c>
      <c r="AE243" s="49">
        <f t="shared" ref="AE243:AJ243" si="1980">SUM(O243:AD243)-(45*8)</f>
        <v>25</v>
      </c>
      <c r="AF243" s="49">
        <f t="shared" si="1980"/>
        <v>35</v>
      </c>
      <c r="AG243" s="49">
        <f t="shared" si="1980"/>
        <v>40</v>
      </c>
      <c r="AH243" s="49">
        <f t="shared" si="1980"/>
        <v>43</v>
      </c>
      <c r="AI243" s="49">
        <f t="shared" si="1980"/>
        <v>42</v>
      </c>
      <c r="AJ243" s="49">
        <f t="shared" si="1980"/>
        <v>45</v>
      </c>
      <c r="AK243" s="49">
        <f>SUM(U243:AJ243)-(45*9)</f>
        <v>20</v>
      </c>
      <c r="AL243" s="49">
        <f>SUM(V243:AK243)-(45*8)</f>
        <v>45</v>
      </c>
      <c r="AM243" s="49">
        <f>SUM(W243:AL243)-(45*9)</f>
        <v>40</v>
      </c>
      <c r="AN243" s="49">
        <f>SUM(X243:AM243)-(45*9)</f>
        <v>40</v>
      </c>
      <c r="AO243" s="49">
        <f>SUM(Y243:AN243)-(45*10)</f>
        <v>30</v>
      </c>
      <c r="AP243" s="49">
        <f>SUM(Z243:AO243)-(45*10)</f>
        <v>20</v>
      </c>
      <c r="AQ243" s="49">
        <f>SUM(AA243:AP243)-(45*10)</f>
        <v>35</v>
      </c>
      <c r="AR243" s="49">
        <f>SUM(AB243:AQ243)-(45*10)</f>
        <v>30</v>
      </c>
      <c r="AS243" s="49">
        <f>SUM(AC243:AR243)-(45*11)</f>
        <v>10</v>
      </c>
      <c r="AT243" s="49">
        <f>SUM(AD243:AS243)-(45*11)</f>
        <v>10</v>
      </c>
      <c r="AU243" s="49">
        <f>SUM(AE243:AT243)-(45*11)</f>
        <v>15</v>
      </c>
      <c r="AV243" s="49">
        <f>SUM(AF243:AU243)-(45*11)</f>
        <v>5</v>
      </c>
      <c r="AW243" s="49">
        <f>SUM(AG243:AV243)-(45*10)</f>
        <v>20</v>
      </c>
      <c r="AX243" s="49">
        <f>SUM(AH243:AW243)-(45*9)</f>
        <v>45</v>
      </c>
      <c r="AY243" s="49">
        <f>SUM(AI243:AX243)-(45*10)</f>
        <v>2</v>
      </c>
      <c r="AZ243" s="49">
        <f>SUM(AJ243:AY243)-(45*9)</f>
        <v>7</v>
      </c>
      <c r="BA243" s="49">
        <f>SUM(AK243:AZ243)-(45*8)</f>
        <v>14</v>
      </c>
      <c r="BB243" s="49">
        <f>SUM(AL243:BA243)-(45*8)</f>
        <v>8</v>
      </c>
      <c r="BC243" s="49">
        <f>SUM(AM243:BB243)-(45*7)</f>
        <v>16</v>
      </c>
      <c r="BD243" s="49">
        <f>SUM(AN243:BC243)-(45*6)</f>
        <v>37</v>
      </c>
      <c r="BE243" s="49">
        <f>SUM(AO243:BD243)-(45*6)</f>
        <v>34</v>
      </c>
      <c r="BF243" s="49">
        <f>SUM(AP243:BE243)-(45*6)</f>
        <v>38</v>
      </c>
      <c r="BG243" s="49">
        <f>SUM(AQ243:BF243)-(45*7)</f>
        <v>11</v>
      </c>
      <c r="BH243" s="49">
        <f>SUM(AR243:BG243)-(45*6)</f>
        <v>32</v>
      </c>
      <c r="BI243" s="49">
        <f>SUM(AS243:BH243)-(45*6)</f>
        <v>34</v>
      </c>
      <c r="BJ243" s="49">
        <f>SUM(AT243:BI243)-(45*7)</f>
        <v>13</v>
      </c>
      <c r="BK243" s="49">
        <f>SUM(AU243:BJ243)-(45*7)</f>
        <v>16</v>
      </c>
      <c r="BL243" s="49">
        <f>SUM(AV243:BK243)-(45*7)</f>
        <v>17</v>
      </c>
      <c r="BM243" s="49">
        <f>SUM(AW243:BL243)-(45*7)</f>
        <v>29</v>
      </c>
      <c r="BN243" s="49">
        <f>SUM(AX243:BM243)-(45*7)</f>
        <v>38</v>
      </c>
      <c r="BO243" s="49">
        <f>SUM(AY243:BN243)-(45*7)</f>
        <v>31</v>
      </c>
      <c r="BP243" s="49">
        <f>SUM(AZ243:BO243)-(45*8)</f>
        <v>15</v>
      </c>
      <c r="BQ243" s="49">
        <f>SUM(BA243:BP243)-(45*8)</f>
        <v>23</v>
      </c>
      <c r="BR243" s="49">
        <f>SUM(BB243:BQ243)-(45*8)</f>
        <v>32</v>
      </c>
      <c r="BS243" s="49">
        <f>SUM(BC243:BR243)-(45*9)</f>
        <v>11</v>
      </c>
      <c r="BT243" s="49">
        <f>SUM(BD243:BS243)-(45*9)</f>
        <v>6</v>
      </c>
      <c r="BU243" s="49">
        <f t="shared" ref="BU243:BV245" si="1981">SUM(BE243:BT243)-(45*8)</f>
        <v>20</v>
      </c>
      <c r="BV243" s="49">
        <f t="shared" si="1981"/>
        <v>6</v>
      </c>
      <c r="BX243" s="413"/>
      <c r="CE243" s="409"/>
    </row>
    <row r="244" spans="2:112" s="526" customFormat="1" ht="17.25">
      <c r="B244" s="527"/>
      <c r="C244" s="44">
        <v>713</v>
      </c>
      <c r="D244" s="108" t="s">
        <v>532</v>
      </c>
      <c r="E244" s="48">
        <v>30</v>
      </c>
      <c r="F244" s="63">
        <v>37</v>
      </c>
      <c r="G244" s="63">
        <v>5</v>
      </c>
      <c r="H244" s="48">
        <f>SUM(E244:F244)-(45*1)</f>
        <v>22</v>
      </c>
      <c r="I244" s="48">
        <v>11</v>
      </c>
      <c r="J244" s="49">
        <f>SUM(E244:I244)-(45*2)</f>
        <v>15</v>
      </c>
      <c r="K244" s="49">
        <f>SUM(E244:J244)-(45*2)</f>
        <v>30</v>
      </c>
      <c r="L244" s="49">
        <f>SUM(E244:K244)-(45*3)</f>
        <v>15</v>
      </c>
      <c r="M244" s="49">
        <f>SUM(E244:L244)-(45*3)</f>
        <v>30</v>
      </c>
      <c r="N244" s="49">
        <f>SUM(E244:M244)-(45*4)</f>
        <v>15</v>
      </c>
      <c r="O244" s="49">
        <f>SUM(E244:N244)-(45*4)</f>
        <v>30</v>
      </c>
      <c r="P244" s="49">
        <f>SUM(E244:O244)-(45*5)</f>
        <v>15</v>
      </c>
      <c r="Q244" s="49">
        <f>SUM(F244:P244)-(45*4)</f>
        <v>45</v>
      </c>
      <c r="R244" s="49">
        <f>SUM(G244:Q244)-(45*5)</f>
        <v>8</v>
      </c>
      <c r="S244" s="49">
        <f>SUM(H244:R244)-(45*5)</f>
        <v>11</v>
      </c>
      <c r="T244" s="49">
        <f>SUM(I244:S244)-(45*4)</f>
        <v>45</v>
      </c>
      <c r="U244" s="49">
        <f>SUM(J244:T244)-(45*5)</f>
        <v>34</v>
      </c>
      <c r="V244" s="49">
        <f>SUM(K244:U244)-(45*6)</f>
        <v>8</v>
      </c>
      <c r="W244" s="49">
        <f>SUM(L244:V244)-(45*5)</f>
        <v>31</v>
      </c>
      <c r="X244" s="49">
        <f>SUM(M244:W244)-(45*6)</f>
        <v>2</v>
      </c>
      <c r="Y244" s="49">
        <f>SUM(N244:X244)-(45*5)</f>
        <v>19</v>
      </c>
      <c r="Z244" s="49">
        <f>SUM(O244:Y244)-(45*5)</f>
        <v>23</v>
      </c>
      <c r="AA244" s="49">
        <f>SUM(P244:Z244)-(45*5)</f>
        <v>16</v>
      </c>
      <c r="AB244" s="49">
        <f>SUM(Q244:AA244)-(45*5)</f>
        <v>17</v>
      </c>
      <c r="AC244" s="49">
        <f>SUM(M244:AB244)-(45*7)</f>
        <v>34</v>
      </c>
      <c r="AD244" s="49">
        <f>SUM(N244:AC244)-(45*7)</f>
        <v>38</v>
      </c>
      <c r="AE244" s="49">
        <f>SUM(O244:AD244)-(45*8)</f>
        <v>16</v>
      </c>
      <c r="AF244" s="49">
        <f>SUM(P244:AE244)-(45*8)</f>
        <v>2</v>
      </c>
      <c r="AG244" s="49">
        <f>SUM(Q244:AF244)-(45*7)</f>
        <v>34</v>
      </c>
      <c r="AH244" s="49">
        <f>SUM(R244:AG244)-(45*7)</f>
        <v>23</v>
      </c>
      <c r="AI244" s="49">
        <f>SUM(S244:AH244)-(45*7)</f>
        <v>38</v>
      </c>
      <c r="AJ244" s="49">
        <f>SUM(T244:AI244)-(45*8)</f>
        <v>20</v>
      </c>
      <c r="AK244" s="49">
        <f>SUM(U244:AJ244)-(45*7)</f>
        <v>40</v>
      </c>
      <c r="AL244" s="49">
        <f>SUM(V244:AK244)-(45*8)</f>
        <v>1</v>
      </c>
      <c r="AM244" s="49">
        <f>SUM(W244:AL244)-(45*7)</f>
        <v>39</v>
      </c>
      <c r="AN244" s="49">
        <f>SUM(X244:AM244)-(45*8)</f>
        <v>2</v>
      </c>
      <c r="AO244" s="49">
        <f>SUM(Y244:AN244)-(45*8)</f>
        <v>2</v>
      </c>
      <c r="AP244" s="49">
        <f>SUM(Z244:AO244)-(45*7)</f>
        <v>30</v>
      </c>
      <c r="AQ244" s="49">
        <f>SUM(AA244:AP244)-(45*7)</f>
        <v>37</v>
      </c>
      <c r="AR244" s="49">
        <f>SUM(AB244:AQ244)-(45*8)</f>
        <v>13</v>
      </c>
      <c r="AS244" s="49">
        <f>SUM(AC244:AR244)-(45*8)</f>
        <v>9</v>
      </c>
      <c r="AT244" s="49">
        <f>SUM(AD244:AS244)-(45*7)</f>
        <v>29</v>
      </c>
      <c r="AU244" s="49">
        <f>SUM(AE244:AT244)-(45*7)</f>
        <v>20</v>
      </c>
      <c r="AV244" s="49">
        <f>SUM(AF244:AU244)-(45*7)</f>
        <v>24</v>
      </c>
      <c r="AW244" s="49">
        <f>SUM(AG244:AV244)-(45*8)</f>
        <v>1</v>
      </c>
      <c r="AX244" s="49">
        <f>SUM(AH244:AW244)-(45*7)</f>
        <v>13</v>
      </c>
      <c r="AY244" s="49">
        <f>SUM(AI244:AX244)-(45*7)</f>
        <v>3</v>
      </c>
      <c r="AZ244" s="49">
        <f>SUM(AJ244:AY244)-(45*6)</f>
        <v>13</v>
      </c>
      <c r="BA244" s="49">
        <f>SUM(AK244:AZ244)-(45*6)</f>
        <v>6</v>
      </c>
      <c r="BB244" s="49">
        <f>SUM(AL244:BA244)-(45*5)</f>
        <v>17</v>
      </c>
      <c r="BC244" s="49">
        <f>SUM(AM244:BB244)-(45*5)</f>
        <v>33</v>
      </c>
      <c r="BD244" s="49">
        <f>SUM(AN244:BC244)-(45*5)</f>
        <v>27</v>
      </c>
      <c r="BE244" s="49">
        <f>SUM(AO244:BD244)-(45*6)</f>
        <v>7</v>
      </c>
      <c r="BF244" s="49">
        <f>SUM(AP244:BE244)-(45*6)</f>
        <v>12</v>
      </c>
      <c r="BG244" s="49">
        <f>SUM(AQ244:BF244)-(45*5)</f>
        <v>39</v>
      </c>
      <c r="BH244" s="49">
        <f>SUM(AR244:BG244)-(45*5)</f>
        <v>41</v>
      </c>
      <c r="BI244" s="49">
        <f>SUM(AS244:BH244)-(45*6)</f>
        <v>24</v>
      </c>
      <c r="BJ244" s="49">
        <f>SUM(AT244:BI244)-(45*6)</f>
        <v>39</v>
      </c>
      <c r="BK244" s="49">
        <f>SUM(AU244:BJ244)-(45*7)</f>
        <v>4</v>
      </c>
      <c r="BL244" s="49">
        <f>SUM(AV244:BK244)-(45*6)</f>
        <v>33</v>
      </c>
      <c r="BM244" s="49">
        <f>SUM(AW244:BL244)-(45*6)</f>
        <v>42</v>
      </c>
      <c r="BN244" s="49">
        <f>SUM(AX244:BM244)-(45*7)</f>
        <v>38</v>
      </c>
      <c r="BO244" s="49">
        <f>SUM(AY244:BN244)-(45*8)</f>
        <v>18</v>
      </c>
      <c r="BP244" s="49">
        <f>SUM(AZ244:BO244)-(45*8)</f>
        <v>33</v>
      </c>
      <c r="BQ244" s="49">
        <f>SUM(BA244:BP244)-(45*9)</f>
        <v>8</v>
      </c>
      <c r="BR244" s="49">
        <f>SUM(BB244:BQ244)-(45*9)</f>
        <v>10</v>
      </c>
      <c r="BS244" s="49">
        <f>SUM(BC244:BR244)-(45*9)</f>
        <v>3</v>
      </c>
      <c r="BT244" s="49">
        <f>SUM(BD244:BS244)-(45*8)</f>
        <v>18</v>
      </c>
      <c r="BU244" s="49">
        <f t="shared" si="1981"/>
        <v>9</v>
      </c>
      <c r="BV244" s="49">
        <f t="shared" si="1981"/>
        <v>11</v>
      </c>
      <c r="BX244" s="413"/>
      <c r="CE244" s="409"/>
    </row>
    <row r="245" spans="2:112" s="534" customFormat="1" ht="17.25">
      <c r="B245" s="530"/>
      <c r="C245" s="53">
        <v>714</v>
      </c>
      <c r="D245" s="324" t="s">
        <v>533</v>
      </c>
      <c r="E245" s="48">
        <v>6</v>
      </c>
      <c r="F245" s="63">
        <v>14</v>
      </c>
      <c r="G245" s="63">
        <v>1</v>
      </c>
      <c r="H245" s="48">
        <f>SUM(E245:F245)-(45*0)</f>
        <v>20</v>
      </c>
      <c r="I245" s="48">
        <v>12</v>
      </c>
      <c r="J245" s="49">
        <f>SUM(E245:I245)-(45*1)</f>
        <v>8</v>
      </c>
      <c r="K245" s="49">
        <f>SUM(E245:J245)-(45*1)</f>
        <v>16</v>
      </c>
      <c r="L245" s="49">
        <f>SUM(E245:K245)-(45*1)</f>
        <v>32</v>
      </c>
      <c r="M245" s="49">
        <f>SUM(E245:L245)-(45*2)</f>
        <v>19</v>
      </c>
      <c r="N245" s="49">
        <f>SUM(E245:M245)-(45*2)</f>
        <v>38</v>
      </c>
      <c r="O245" s="49">
        <f>SUM(E245:N245)-(45*3)</f>
        <v>31</v>
      </c>
      <c r="P245" s="49">
        <f>SUM(E245:O245)-(45*4)</f>
        <v>17</v>
      </c>
      <c r="Q245" s="49">
        <f>SUM(F245:P245)-(45*4)</f>
        <v>28</v>
      </c>
      <c r="R245" s="49">
        <f>SUM(G245:Q245)-(45*4)</f>
        <v>42</v>
      </c>
      <c r="S245" s="49">
        <f>SUM(H245:R245)-(45*5)</f>
        <v>38</v>
      </c>
      <c r="T245" s="49">
        <f>SUM(I245:S245)-(45*6)</f>
        <v>11</v>
      </c>
      <c r="U245" s="49">
        <f>SUM(J245:T245)-(45*6)</f>
        <v>10</v>
      </c>
      <c r="V245" s="49">
        <f>SUM(K245:U245)-(45*6)</f>
        <v>12</v>
      </c>
      <c r="W245" s="49">
        <f>SUM(L245:V245)-(45*6)</f>
        <v>8</v>
      </c>
      <c r="X245" s="49">
        <f>SUM(M245:W245)-(45*5)</f>
        <v>29</v>
      </c>
      <c r="Y245" s="49">
        <f>SUM(N245:X245)-(45*5)</f>
        <v>39</v>
      </c>
      <c r="Z245" s="49">
        <f>SUM(O245:Y245)-(45*5)</f>
        <v>40</v>
      </c>
      <c r="AA245" s="49">
        <f>SUM(P245:Z245)-(45*6)</f>
        <v>4</v>
      </c>
      <c r="AB245" s="49">
        <f>SUM(Q245:AA245)-(45*5)</f>
        <v>36</v>
      </c>
      <c r="AC245" s="49">
        <f>SUM(M245:AB245)-(45*8)</f>
        <v>42</v>
      </c>
      <c r="AD245" s="49">
        <f>SUM(N245:AC245)-(45*9)</f>
        <v>20</v>
      </c>
      <c r="AE245" s="49">
        <f>SUM(O245:AD245)-(45*9)</f>
        <v>2</v>
      </c>
      <c r="AF245" s="49">
        <f t="shared" ref="AF245" si="1982">SUM(P245:AE245)-(45*8)</f>
        <v>18</v>
      </c>
      <c r="AG245" s="49">
        <f t="shared" ref="AG245" si="1983">SUM(Q245:AF245)-(45*8)</f>
        <v>19</v>
      </c>
      <c r="AH245" s="49">
        <f t="shared" ref="AH245" si="1984">SUM(R245:AG245)-(45*8)</f>
        <v>10</v>
      </c>
      <c r="AI245" s="49">
        <f>SUM(S245:AH245)-(45*7)</f>
        <v>23</v>
      </c>
      <c r="AJ245" s="49">
        <f>SUM(T245:AI245)-(45*7)</f>
        <v>8</v>
      </c>
      <c r="AK245" s="49">
        <f>SUM(U245:AJ245)-(45*7)</f>
        <v>5</v>
      </c>
      <c r="AL245" s="49">
        <f>SUM(V245:AK245)-(45*6)</f>
        <v>45</v>
      </c>
      <c r="AM245" s="49">
        <f>SUM(W245:AL245)-(45*7)</f>
        <v>33</v>
      </c>
      <c r="AN245" s="49">
        <f>SUM(X245:AM245)-(45*8)</f>
        <v>13</v>
      </c>
      <c r="AO245" s="49">
        <f>SUM(Y245:AN245)-(45*7)</f>
        <v>42</v>
      </c>
      <c r="AP245" s="49">
        <f>SUM(Z245:AO245)-(45*7)</f>
        <v>45</v>
      </c>
      <c r="AQ245" s="49">
        <f>SUM(AA245:AP245)-(45*8)</f>
        <v>5</v>
      </c>
      <c r="AR245" s="49">
        <f>SUM(AB245:AQ245)-(45*8)</f>
        <v>6</v>
      </c>
      <c r="AS245" s="49">
        <f>SUM(AC245:AR245)-(45*7)</f>
        <v>21</v>
      </c>
      <c r="AT245" s="49">
        <f>SUM(AD245:AS245)-(45*6)</f>
        <v>45</v>
      </c>
      <c r="AU245" s="49">
        <f>SUM(AE245:AT245)-(45*7)</f>
        <v>25</v>
      </c>
      <c r="AV245" s="49">
        <f>SUM(AF245:AU245)-(45*8)</f>
        <v>3</v>
      </c>
      <c r="AW245" s="49">
        <f>SUM(AG245:AV245)-(45*7)</f>
        <v>33</v>
      </c>
      <c r="AX245" s="49">
        <f>SUM(AH245:AW245)-(45*8)</f>
        <v>2</v>
      </c>
      <c r="AY245" s="49">
        <f>SUM(AI245:AX245)-(45*7)</f>
        <v>39</v>
      </c>
      <c r="AZ245" s="49">
        <f>SUM(AJ245:AY245)-(45*8)</f>
        <v>10</v>
      </c>
      <c r="BA245" s="49">
        <f>SUM(AK245:AZ245)-(45*8)</f>
        <v>12</v>
      </c>
      <c r="BB245" s="49">
        <f>SUM(AL245:BA245)-(45*8)</f>
        <v>19</v>
      </c>
      <c r="BC245" s="49">
        <f>SUM(AM245:BB245)-(45*7)</f>
        <v>38</v>
      </c>
      <c r="BD245" s="49">
        <f>SUM(AN245:BC245)-(45*7)</f>
        <v>43</v>
      </c>
      <c r="BE245" s="49">
        <f>SUM(AO245:BD245)-(45*8)</f>
        <v>28</v>
      </c>
      <c r="BF245" s="49">
        <f>SUM(AP245:BE245)-(45*8)</f>
        <v>14</v>
      </c>
      <c r="BG245" s="49">
        <f>SUM(AQ245:BF245)-(45*7)</f>
        <v>28</v>
      </c>
      <c r="BH245" s="49">
        <f>SUM(AR245:BG245)-(45*8)</f>
        <v>6</v>
      </c>
      <c r="BI245" s="49">
        <f>SUM(AS245:BH245)-(45*8)</f>
        <v>6</v>
      </c>
      <c r="BJ245" s="49">
        <f>SUM(AT245:BI245)-(45*7)</f>
        <v>36</v>
      </c>
      <c r="BK245" s="49">
        <f>SUM(AU245:BJ245)-(45*7)</f>
        <v>27</v>
      </c>
      <c r="BL245" s="49">
        <f>SUM(AV245:BK245)-(45*7)</f>
        <v>29</v>
      </c>
      <c r="BM245" s="49">
        <f>SUM(AW245:BL245)-(45*8)</f>
        <v>10</v>
      </c>
      <c r="BN245" s="49">
        <f>SUM(AX245:BM245)-(45*7)</f>
        <v>32</v>
      </c>
      <c r="BO245" s="49">
        <f>SUM(AY245:BN245)-(45*8)</f>
        <v>17</v>
      </c>
      <c r="BP245" s="49">
        <f>SUM(AZ245:BO245)-(45*7)</f>
        <v>40</v>
      </c>
      <c r="BQ245" s="49">
        <f>SUM(BA245:BP245)-(45*8)</f>
        <v>25</v>
      </c>
      <c r="BR245" s="49">
        <f>SUM(BB245:BQ245)-(45*8)</f>
        <v>38</v>
      </c>
      <c r="BS245" s="49">
        <f>SUM(BC245:BR245)-(45*9)</f>
        <v>12</v>
      </c>
      <c r="BT245" s="49">
        <f>SUM(BD245:BS245)-(45*8)</f>
        <v>31</v>
      </c>
      <c r="BU245" s="49">
        <f t="shared" si="1981"/>
        <v>19</v>
      </c>
      <c r="BV245" s="49">
        <f t="shared" si="1981"/>
        <v>10</v>
      </c>
      <c r="BX245" s="413"/>
      <c r="CE245" s="409"/>
    </row>
    <row r="246" spans="2:112" s="534" customFormat="1" ht="17.25">
      <c r="B246" s="538"/>
      <c r="C246" s="44">
        <v>715</v>
      </c>
      <c r="D246" s="108" t="s">
        <v>534</v>
      </c>
      <c r="E246" s="48">
        <v>13</v>
      </c>
      <c r="F246" s="63">
        <v>21</v>
      </c>
      <c r="G246" s="63">
        <v>2</v>
      </c>
      <c r="H246" s="48">
        <f>SUM(E246:F246)-(45*0)</f>
        <v>34</v>
      </c>
      <c r="I246" s="48">
        <v>13</v>
      </c>
      <c r="J246" s="49">
        <f>SUM(E246:I246)-(45*1)</f>
        <v>38</v>
      </c>
      <c r="K246" s="49">
        <f>SUM(E246:J246)-(45*2)</f>
        <v>31</v>
      </c>
      <c r="L246" s="49">
        <f>SUM(E246:K246)-(45*3)</f>
        <v>17</v>
      </c>
      <c r="M246" s="49">
        <f>SUM(E246:L246)-(45*3)</f>
        <v>34</v>
      </c>
      <c r="N246" s="49">
        <f>SUM(E246:M246)-(45*4)</f>
        <v>23</v>
      </c>
      <c r="O246" s="49">
        <f>SUM(E246:N246)-(45*5)</f>
        <v>1</v>
      </c>
      <c r="P246" s="49">
        <f>SUM(E246:O246)-(45*5)</f>
        <v>2</v>
      </c>
      <c r="Q246" s="49">
        <f>SUM(F246:P246)-(45*4)</f>
        <v>36</v>
      </c>
      <c r="R246" s="49">
        <f>SUM(G246:Q246)-(45*5)</f>
        <v>6</v>
      </c>
      <c r="S246" s="49">
        <f>SUM(H246:R246)-(45*5)</f>
        <v>10</v>
      </c>
      <c r="T246" s="49">
        <f>SUM(I246:S246)-(45*4)</f>
        <v>31</v>
      </c>
      <c r="U246" s="49">
        <f>SUM(J246:T246)-(45*5)</f>
        <v>4</v>
      </c>
      <c r="V246" s="49">
        <f>SUM(K246:U246)-(45*4)</f>
        <v>15</v>
      </c>
      <c r="W246" s="49">
        <f>SUM(L246:V246)-(45*3)</f>
        <v>44</v>
      </c>
      <c r="X246" s="49">
        <f>SUM(M246:W246)-(45*4)</f>
        <v>26</v>
      </c>
      <c r="Y246" s="49">
        <f>SUM(N246:X246)-(45*4)</f>
        <v>18</v>
      </c>
      <c r="Z246" s="49">
        <f>SUM(O246:Y246)-(45*4)</f>
        <v>13</v>
      </c>
      <c r="AA246" s="49">
        <f>SUM(P246:Z246)-(45*4)</f>
        <v>25</v>
      </c>
      <c r="AB246" s="49">
        <f>SUM(Q246:AA246)-(45*5)</f>
        <v>3</v>
      </c>
      <c r="AC246" s="49">
        <f>SUM(M246:AB246)-(45*6)</f>
        <v>21</v>
      </c>
      <c r="AD246" s="49">
        <f>SUM(N246:AC246)-(45*6)</f>
        <v>8</v>
      </c>
      <c r="AE246" s="49">
        <f>SUM(O246:AD246)-(45*5)</f>
        <v>38</v>
      </c>
      <c r="AF246" s="49">
        <f>SUM(P246:AE246)-(45*6)</f>
        <v>30</v>
      </c>
      <c r="AG246" s="49">
        <f>SUM(Q246:AF246)-(45*7)</f>
        <v>13</v>
      </c>
      <c r="AH246" s="49">
        <f>SUM(R246:AG246)-(45*6)</f>
        <v>35</v>
      </c>
      <c r="AI246" s="49">
        <f>SUM(S246:AH246)-(45*7)</f>
        <v>19</v>
      </c>
      <c r="AJ246" s="49">
        <f>SUM(T246:AI246)-(45*7)</f>
        <v>28</v>
      </c>
      <c r="AK246" s="49">
        <f>SUM(U246:AJ246)-(45*7)</f>
        <v>25</v>
      </c>
      <c r="AL246" s="49">
        <f>SUM(V246:AK246)-(45*8)</f>
        <v>1</v>
      </c>
      <c r="AM246" s="49">
        <f>SUM(W246:AL246)-(45*7)</f>
        <v>32</v>
      </c>
      <c r="AN246" s="49">
        <f>SUM(X246:AM246)-(45*7)</f>
        <v>20</v>
      </c>
      <c r="AO246" s="49">
        <f>SUM(Y246:AN246)-(45*7)</f>
        <v>14</v>
      </c>
      <c r="AP246" s="49">
        <f>SUM(Z246:AO246)-(45*7)</f>
        <v>10</v>
      </c>
      <c r="AQ246" s="49">
        <f>SUM(AA246:AP246)-(45*7)</f>
        <v>7</v>
      </c>
      <c r="AR246" s="49">
        <f>SUM(AB246:AQ246)-(45*6)</f>
        <v>34</v>
      </c>
      <c r="AS246" s="49">
        <f>SUM(AC246:AR246)-(45*7)</f>
        <v>20</v>
      </c>
      <c r="AT246" s="49">
        <f>SUM(AD246:AS246)-(45*7)</f>
        <v>19</v>
      </c>
      <c r="AU246" s="49">
        <f>SUM(AE246:AT246)-(45*7)</f>
        <v>30</v>
      </c>
      <c r="AV246" s="49">
        <f>SUM(AF246:AU246)-(45*7)</f>
        <v>22</v>
      </c>
      <c r="AW246" s="49">
        <f>SUM(AG246:AV246)-(45*7)</f>
        <v>14</v>
      </c>
      <c r="AX246" s="49">
        <f>SUM(AH246:AW246)-(45*7)</f>
        <v>15</v>
      </c>
      <c r="AY246" s="49">
        <f>SUM(AI246:AX246)-(45*6)</f>
        <v>40</v>
      </c>
      <c r="AZ246" s="49">
        <f>SUM(AJ246:AY246)-(45*7)</f>
        <v>16</v>
      </c>
      <c r="BA246" s="49">
        <f>SUM(AK246:AZ246)-(45*7)</f>
        <v>4</v>
      </c>
      <c r="BB246" s="49">
        <f>SUM(AL246:BA246)-(45*6)</f>
        <v>28</v>
      </c>
      <c r="BC246" s="49">
        <f>SUM(AM246:BB246)-(45*7)</f>
        <v>10</v>
      </c>
      <c r="BD246" s="49">
        <f>SUM(AN246:BC246)-(45*6)</f>
        <v>33</v>
      </c>
      <c r="BE246" s="49">
        <f>SUM(AO246:BD246)-(45*7)</f>
        <v>1</v>
      </c>
      <c r="BF246" s="49">
        <f>SUM(AP246:BE246)-(45*6)</f>
        <v>33</v>
      </c>
      <c r="BG246" s="49">
        <f>SUM(AQ246:BF246)-(45*7)</f>
        <v>11</v>
      </c>
      <c r="BH246" s="49">
        <f>SUM(AR246:BG246)-(45*7)</f>
        <v>15</v>
      </c>
      <c r="BI246" s="49">
        <f>SUM(AS246:BH246)-(45*6)</f>
        <v>41</v>
      </c>
      <c r="BJ246" s="49">
        <f>SUM(AT246:BI246)-(45*7)</f>
        <v>17</v>
      </c>
      <c r="BK246" s="49">
        <f>SUM(AU246:BJ246)-(45*7)</f>
        <v>15</v>
      </c>
      <c r="BL246" s="49">
        <f>SUM(AV246:BK246)-(45*6)</f>
        <v>45</v>
      </c>
      <c r="BM246" s="49">
        <f>SUM(AW246:BL246)-(45*7)</f>
        <v>23</v>
      </c>
      <c r="BN246" s="49">
        <f>SUM(AX246:BM246)-(45*7)</f>
        <v>32</v>
      </c>
      <c r="BO246" s="49">
        <f>SUM(AY246:BN246)-(45*8)</f>
        <v>4</v>
      </c>
      <c r="BP246" s="49">
        <f>SUM(AZ246:BO246)-(45*7)</f>
        <v>13</v>
      </c>
      <c r="BQ246" s="49">
        <f>SUM(BA246:BP246)-(45*7)</f>
        <v>10</v>
      </c>
      <c r="BR246" s="49">
        <f>SUM(BB246:BQ246)-(45*7)</f>
        <v>16</v>
      </c>
      <c r="BS246" s="49">
        <f>SUM(BC246:BR246)-(45*7)</f>
        <v>4</v>
      </c>
      <c r="BT246" s="49">
        <f>SUM(BD246:BS246)-(45*6)</f>
        <v>43</v>
      </c>
      <c r="BU246" s="49">
        <f>SUM(BE246:BT246)-(45*7)</f>
        <v>8</v>
      </c>
      <c r="BV246" s="49">
        <f>SUM(BF246:BU246)-(45*7)</f>
        <v>15</v>
      </c>
      <c r="BX246" s="413"/>
      <c r="CE246" s="409"/>
    </row>
    <row r="247" spans="2:112" s="534" customFormat="1" ht="17.25">
      <c r="B247" s="543"/>
      <c r="C247" s="53">
        <v>716</v>
      </c>
      <c r="D247" s="324" t="s">
        <v>535</v>
      </c>
      <c r="E247" s="48">
        <v>20</v>
      </c>
      <c r="F247" s="63">
        <v>28</v>
      </c>
      <c r="G247" s="63">
        <v>3</v>
      </c>
      <c r="H247" s="48">
        <f>SUM(E247:F247)-(45*1)</f>
        <v>3</v>
      </c>
      <c r="I247" s="48">
        <v>14</v>
      </c>
      <c r="J247" s="49">
        <f>SUM(E247:I247)-(45*1)</f>
        <v>23</v>
      </c>
      <c r="K247" s="49">
        <f>SUM(E247:J247)-(45*2)</f>
        <v>1</v>
      </c>
      <c r="L247" s="49">
        <f>SUM(E247:K247)-(45*2)</f>
        <v>2</v>
      </c>
      <c r="M247" s="49">
        <f>SUM(E247:L247)-(45*2)</f>
        <v>4</v>
      </c>
      <c r="N247" s="49">
        <f>SUM(E247:M247)-(45*2)</f>
        <v>8</v>
      </c>
      <c r="O247" s="49">
        <f>SUM(E247:N247)-(45*2)</f>
        <v>16</v>
      </c>
      <c r="P247" s="49">
        <f>SUM(E247:O247)-(45*2)</f>
        <v>32</v>
      </c>
      <c r="Q247" s="49">
        <f>SUM(F247:P247)-(45*2)</f>
        <v>44</v>
      </c>
      <c r="R247" s="49">
        <f>SUM(G247:Q247)-(45*3)</f>
        <v>15</v>
      </c>
      <c r="S247" s="49">
        <f>SUM(H247:R247)-(45*3)</f>
        <v>27</v>
      </c>
      <c r="T247" s="49">
        <f>SUM(I247:S247)-(45*4)</f>
        <v>6</v>
      </c>
      <c r="U247" s="49">
        <f>SUM(J247:T247)-(45*3)</f>
        <v>43</v>
      </c>
      <c r="V247" s="49">
        <f>SUM(K247:U247)-(45*4)</f>
        <v>18</v>
      </c>
      <c r="W247" s="49">
        <f>SUM(L247:V247)-(45*4)</f>
        <v>35</v>
      </c>
      <c r="X247" s="49">
        <f>SUM(M247:W247)-(45*5)</f>
        <v>23</v>
      </c>
      <c r="Y247" s="49">
        <f>SUM(N247:X247)-(45*5)</f>
        <v>42</v>
      </c>
      <c r="Z247" s="49">
        <f>SUM(O247:Y247)-(45*6)</f>
        <v>31</v>
      </c>
      <c r="AA247" s="49">
        <f>SUM(P247:Z247)-(45*7)</f>
        <v>1</v>
      </c>
      <c r="AB247" s="49">
        <f>SUM(Q247:AA247)-(45*6)</f>
        <v>15</v>
      </c>
      <c r="AC247" s="49">
        <f>SUM(M247:AB247)-(45*7)</f>
        <v>45</v>
      </c>
      <c r="AD247" s="49">
        <f>SUM(N247:AC247)-(45*8)</f>
        <v>41</v>
      </c>
      <c r="AE247" s="49">
        <f>SUM(O247:AD247)-(45*9)</f>
        <v>29</v>
      </c>
      <c r="AF247" s="49">
        <f>SUM(P247:AE247)-(45*9)</f>
        <v>42</v>
      </c>
      <c r="AG247" s="49">
        <f>SUM(Q247:AF247)-(45*10)</f>
        <v>7</v>
      </c>
      <c r="AH247" s="49">
        <f>SUM(R247:AG247)-(45*9)</f>
        <v>15</v>
      </c>
      <c r="AI247" s="49">
        <f>SUM(S247:AH247)-(45*9)</f>
        <v>15</v>
      </c>
      <c r="AJ247" s="49">
        <f>SUM(T247:AI247)-(45*9)</f>
        <v>3</v>
      </c>
      <c r="AK247" s="49">
        <f>SUM(U247:AJ247)-(45*8)</f>
        <v>45</v>
      </c>
      <c r="AL247" s="49">
        <f>SUM(V247:AK247)-(45*9)</f>
        <v>2</v>
      </c>
      <c r="AM247" s="49">
        <f t="shared" ref="AM247:AS247" si="1985">SUM(W247:AL247)-(45*8)</f>
        <v>31</v>
      </c>
      <c r="AN247" s="49">
        <f t="shared" si="1985"/>
        <v>27</v>
      </c>
      <c r="AO247" s="49">
        <f t="shared" si="1985"/>
        <v>31</v>
      </c>
      <c r="AP247" s="49">
        <f t="shared" si="1985"/>
        <v>20</v>
      </c>
      <c r="AQ247" s="49">
        <f t="shared" si="1985"/>
        <v>9</v>
      </c>
      <c r="AR247" s="49">
        <f t="shared" si="1985"/>
        <v>17</v>
      </c>
      <c r="AS247" s="49">
        <f t="shared" si="1985"/>
        <v>19</v>
      </c>
      <c r="AT247" s="49">
        <f>SUM(AD247:AS247)-(45*7)</f>
        <v>38</v>
      </c>
      <c r="AU247" s="49">
        <f>SUM(AE247:AT247)-(45*7)</f>
        <v>35</v>
      </c>
      <c r="AV247" s="49">
        <f>SUM(AF247:AU247)-(45*7)</f>
        <v>41</v>
      </c>
      <c r="AW247" s="49">
        <f>SUM(AG247:AV247)-(45*7)</f>
        <v>40</v>
      </c>
      <c r="AX247" s="49">
        <f>SUM(AH247:AW247)-(45*8)</f>
        <v>28</v>
      </c>
      <c r="AY247" s="49">
        <f>SUM(AI247:AX247)-(45*8)</f>
        <v>41</v>
      </c>
      <c r="AZ247" s="49">
        <f>SUM(AJ247:AY247)-(45*9)</f>
        <v>22</v>
      </c>
      <c r="BA247" s="49">
        <f>SUM(AK247:AZ247)-(45*9)</f>
        <v>41</v>
      </c>
      <c r="BB247" s="49">
        <f>SUM(AL247:BA247)-(45*9)</f>
        <v>37</v>
      </c>
      <c r="BC247" s="49">
        <f>SUM(AM247:BB247)-(45*10)</f>
        <v>27</v>
      </c>
      <c r="BD247" s="49">
        <f>SUM(AN247:BC247)-(45*10)</f>
        <v>23</v>
      </c>
      <c r="BE247" s="49">
        <f>SUM(AO247:BD247)-(45*10)</f>
        <v>19</v>
      </c>
      <c r="BF247" s="49">
        <f>SUM(AP247:BE247)-(45*10)</f>
        <v>7</v>
      </c>
      <c r="BG247" s="49">
        <f>SUM(AQ247:BF247)-(45*9)</f>
        <v>39</v>
      </c>
      <c r="BH247" s="49">
        <f>SUM(AR247:BG247)-(45*10)</f>
        <v>24</v>
      </c>
      <c r="BI247" s="49">
        <f>SUM(AS247:BH247)-(45*10)</f>
        <v>31</v>
      </c>
      <c r="BJ247" s="49">
        <f>SUM(AT247:BI247)-(45*10)</f>
        <v>43</v>
      </c>
      <c r="BK247" s="49">
        <f>SUM(AU247:BJ247)-(45*11)</f>
        <v>3</v>
      </c>
      <c r="BL247" s="49">
        <f>SUM(AV247:BK247)-(45*10)</f>
        <v>16</v>
      </c>
      <c r="BM247" s="49">
        <f t="shared" ref="BM247:BS247" si="1986">SUM(AW247:BL247)-(45*9)</f>
        <v>36</v>
      </c>
      <c r="BN247" s="49">
        <f t="shared" si="1986"/>
        <v>32</v>
      </c>
      <c r="BO247" s="49">
        <f t="shared" si="1986"/>
        <v>36</v>
      </c>
      <c r="BP247" s="49">
        <f t="shared" si="1986"/>
        <v>31</v>
      </c>
      <c r="BQ247" s="49">
        <f t="shared" si="1986"/>
        <v>40</v>
      </c>
      <c r="BR247" s="49">
        <f t="shared" si="1986"/>
        <v>39</v>
      </c>
      <c r="BS247" s="49">
        <f t="shared" si="1986"/>
        <v>41</v>
      </c>
      <c r="BT247" s="49">
        <f>SUM(BD247:BS247)-(45*10)</f>
        <v>10</v>
      </c>
      <c r="BU247" s="49">
        <f>SUM(BE247:BT247)-(45*9)</f>
        <v>42</v>
      </c>
      <c r="BV247" s="49">
        <f>SUM(BF247:BU247)-(45*10)</f>
        <v>20</v>
      </c>
      <c r="BX247" s="413"/>
      <c r="CE247" s="409"/>
    </row>
    <row r="248" spans="2:112" s="546" customFormat="1" ht="17.25">
      <c r="B248" s="544"/>
      <c r="C248" s="44">
        <v>717</v>
      </c>
      <c r="D248" s="108" t="s">
        <v>536</v>
      </c>
      <c r="E248" s="48">
        <v>27</v>
      </c>
      <c r="F248" s="63">
        <v>35</v>
      </c>
      <c r="G248" s="63">
        <v>4</v>
      </c>
      <c r="H248" s="48">
        <f>SUM(E248:F248)-(45*1)</f>
        <v>17</v>
      </c>
      <c r="I248" s="48">
        <v>15</v>
      </c>
      <c r="J248" s="49">
        <f>SUM(E248:I248)-(45*2)</f>
        <v>8</v>
      </c>
      <c r="K248" s="49">
        <f>SUM(E248:J248)-(45*2)</f>
        <v>16</v>
      </c>
      <c r="L248" s="49">
        <f>SUM(E248:K248)-(45*2)</f>
        <v>32</v>
      </c>
      <c r="M248" s="49">
        <f>SUM(E248:L248)-(45*3)</f>
        <v>19</v>
      </c>
      <c r="N248" s="49">
        <f>SUM(E248:M248)-(45*3)</f>
        <v>38</v>
      </c>
      <c r="O248" s="49">
        <f>SUM(E248:N248)-(45*4)</f>
        <v>31</v>
      </c>
      <c r="P248" s="49">
        <f>SUM(E248:O248)-(45*5)</f>
        <v>17</v>
      </c>
      <c r="Q248" s="49">
        <f>SUM(F248:P248)-(45*5)</f>
        <v>7</v>
      </c>
      <c r="R248" s="49">
        <f>SUM(G248:Q248)-(45*4)</f>
        <v>24</v>
      </c>
      <c r="S248" s="49">
        <f>SUM(H248:R248)-(45*4)</f>
        <v>44</v>
      </c>
      <c r="T248" s="49">
        <f>SUM(I248:S248)-(45*5)</f>
        <v>26</v>
      </c>
      <c r="U248" s="49">
        <f>SUM(J248:T248)-(45*5)</f>
        <v>37</v>
      </c>
      <c r="V248" s="49">
        <f>SUM(K248:U248)-(45*6)</f>
        <v>21</v>
      </c>
      <c r="W248" s="49">
        <f>SUM(L248:V248)-(45*6)</f>
        <v>26</v>
      </c>
      <c r="X248" s="49">
        <f>SUM(M248:W248)-(45*6)</f>
        <v>20</v>
      </c>
      <c r="Y248" s="49">
        <f>SUM(N248:X248)-(45*6)</f>
        <v>21</v>
      </c>
      <c r="Z248" s="49">
        <f>SUM(O248:Y248)-(45*6)</f>
        <v>4</v>
      </c>
      <c r="AA248" s="49">
        <f>SUM(P248:Z248)-(45*5)</f>
        <v>22</v>
      </c>
      <c r="AB248" s="49">
        <f>SUM(Q248:AA248)-(45*5)</f>
        <v>27</v>
      </c>
      <c r="AC248" s="49">
        <f>SUM(M248:AB248)-(45*8)</f>
        <v>24</v>
      </c>
      <c r="AD248" s="49">
        <f>SUM(N248:AC248)-(45*8)</f>
        <v>29</v>
      </c>
      <c r="AE248" s="49">
        <f>SUM(O248:AD248)-(45*8)</f>
        <v>20</v>
      </c>
      <c r="AF248" s="49">
        <f>SUM(P248:AE248)-(45*8)</f>
        <v>9</v>
      </c>
      <c r="AG248" s="49">
        <f>SUM(Q248:AF248)-(45*8)</f>
        <v>1</v>
      </c>
      <c r="AH248" s="49">
        <f>SUM(R248:AG248)-(45*7)</f>
        <v>40</v>
      </c>
      <c r="AI248" s="49">
        <f>SUM(S248:AH248)-(45*8)</f>
        <v>11</v>
      </c>
      <c r="AJ248" s="49">
        <f>SUM(T248:AI248)-(45*7)</f>
        <v>23</v>
      </c>
      <c r="AK248" s="49">
        <f>SUM(U248:AJ248)-(45*7)</f>
        <v>20</v>
      </c>
      <c r="AL248" s="49">
        <f>SUM(V248:AK248)-(45*7)</f>
        <v>3</v>
      </c>
      <c r="AM248" s="49">
        <f>SUM(W248:AL248)-(45*6)</f>
        <v>30</v>
      </c>
      <c r="AN248" s="49">
        <f>SUM(X248:AM248)-(45*6)</f>
        <v>34</v>
      </c>
      <c r="AO248" s="49">
        <f>SUM(Y248:AN248)-(45*7)</f>
        <v>3</v>
      </c>
      <c r="AP248" s="49">
        <f>SUM(Z248:AO248)-(45*6)</f>
        <v>30</v>
      </c>
      <c r="AQ248" s="49">
        <f>SUM(AA248:AP248)-(45*7)</f>
        <v>11</v>
      </c>
      <c r="AR248" s="49">
        <f>SUM(AB248:AQ248)-(45*6)</f>
        <v>45</v>
      </c>
      <c r="AS248" s="49">
        <f>SUM(AC248:AR248)-(45*7)</f>
        <v>18</v>
      </c>
      <c r="AT248" s="49">
        <f>SUM(AD248:AS248)-(45*7)</f>
        <v>12</v>
      </c>
      <c r="AU248" s="49">
        <f>SUM(AE248:AT248)-(45*6)</f>
        <v>40</v>
      </c>
      <c r="AV248" s="49">
        <f>SUM(AF248:AU248)-(45*7)</f>
        <v>15</v>
      </c>
      <c r="AW248" s="49">
        <f>SUM(AG248:AV248)-(45*7)</f>
        <v>21</v>
      </c>
      <c r="AX248" s="49">
        <f>SUM(AH248:AW248)-(45*7)</f>
        <v>41</v>
      </c>
      <c r="AY248" s="49">
        <f>SUM(AI248:AX248)-(45*7)</f>
        <v>42</v>
      </c>
      <c r="AZ248" s="49">
        <f>SUM(AJ248:AY248)-(45*8)</f>
        <v>28</v>
      </c>
      <c r="BA248" s="49">
        <f>SUM(AK248:AZ248)-(45*8)</f>
        <v>33</v>
      </c>
      <c r="BB248" s="49">
        <f>SUM(AL248:BA248)-(45*9)</f>
        <v>1</v>
      </c>
      <c r="BC248" s="49">
        <f>SUM(AM248:BB248)-(45*8)</f>
        <v>44</v>
      </c>
      <c r="BD248" s="49">
        <f>SUM(AN248:BC248)-(45*9)</f>
        <v>13</v>
      </c>
      <c r="BE248" s="49">
        <f>SUM(AO248:BD248)-(45*8)</f>
        <v>37</v>
      </c>
      <c r="BF248" s="49">
        <f>SUM(AP248:BE248)-(45*9)</f>
        <v>26</v>
      </c>
      <c r="BG248" s="49">
        <f>SUM(AQ248:BF248)-(45*9)</f>
        <v>22</v>
      </c>
      <c r="BH248" s="49">
        <f>SUM(AR248:BG248)-(45*9)</f>
        <v>33</v>
      </c>
      <c r="BI248" s="49">
        <f>SUM(AS248:BH248)-(45*9)</f>
        <v>21</v>
      </c>
      <c r="BJ248" s="49">
        <f>SUM(AT248:BI248)-(45*9)</f>
        <v>24</v>
      </c>
      <c r="BK248" s="49">
        <f>SUM(AU248:BJ248)-(45*9)</f>
        <v>36</v>
      </c>
      <c r="BL248" s="49">
        <f>SUM(AV248:BK248)-(45*9)</f>
        <v>32</v>
      </c>
      <c r="BM248" s="49">
        <f>SUM(AW248:BL248)-(45*10)</f>
        <v>4</v>
      </c>
      <c r="BN248" s="49">
        <f>SUM(AX248:BM248)-(45*9)</f>
        <v>32</v>
      </c>
      <c r="BO248" s="49">
        <f>SUM(AY248:BN248)-(45*9)</f>
        <v>23</v>
      </c>
      <c r="BP248" s="49">
        <f>SUM(AZ248:BO248)-(45*9)</f>
        <v>4</v>
      </c>
      <c r="BQ248" s="49">
        <f t="shared" ref="BQ248:BV248" si="1987">SUM(BA248:BP248)-(45*8)</f>
        <v>25</v>
      </c>
      <c r="BR248" s="49">
        <f t="shared" si="1987"/>
        <v>17</v>
      </c>
      <c r="BS248" s="49">
        <f t="shared" si="1987"/>
        <v>33</v>
      </c>
      <c r="BT248" s="49">
        <f t="shared" si="1987"/>
        <v>22</v>
      </c>
      <c r="BU248" s="49">
        <f t="shared" si="1987"/>
        <v>31</v>
      </c>
      <c r="BV248" s="49">
        <f t="shared" si="1987"/>
        <v>25</v>
      </c>
      <c r="BX248" s="413"/>
      <c r="CE248" s="409"/>
    </row>
    <row r="249" spans="2:112" s="546" customFormat="1" ht="17.25">
      <c r="B249" s="551"/>
      <c r="C249" s="53">
        <v>718</v>
      </c>
      <c r="D249" s="324" t="s">
        <v>537</v>
      </c>
      <c r="E249" s="48">
        <v>3</v>
      </c>
      <c r="F249" s="63">
        <v>12</v>
      </c>
      <c r="G249" s="63">
        <v>1</v>
      </c>
      <c r="H249" s="48">
        <f>SUM(E249:F249)-(45*0)</f>
        <v>15</v>
      </c>
      <c r="I249" s="48">
        <v>16</v>
      </c>
      <c r="J249" s="49">
        <f>SUM(E249:I249)-(45*1)</f>
        <v>2</v>
      </c>
      <c r="K249" s="49">
        <f>SUM(E249:J249)-(45*1)</f>
        <v>4</v>
      </c>
      <c r="L249" s="49">
        <f>SUM(E249:K249)-(45*1)</f>
        <v>8</v>
      </c>
      <c r="M249" s="49">
        <f>SUM(E249:L249)-(45*1)</f>
        <v>16</v>
      </c>
      <c r="N249" s="49">
        <f>SUM(E249:M249)-(45*1)</f>
        <v>32</v>
      </c>
      <c r="O249" s="49">
        <f>SUM(E249:N249)-(45*2)</f>
        <v>19</v>
      </c>
      <c r="P249" s="49">
        <f>SUM(E249:O249)-(45*2)</f>
        <v>38</v>
      </c>
      <c r="Q249" s="49">
        <f>SUM(F249:P249)-(45*3)</f>
        <v>28</v>
      </c>
      <c r="R249" s="49">
        <f>SUM(G249:Q249)-(45*3)</f>
        <v>44</v>
      </c>
      <c r="S249" s="49">
        <f>SUM(H249:R249)-(45*4)</f>
        <v>42</v>
      </c>
      <c r="T249" s="49">
        <f>SUM(I249:S249)-(45*5)</f>
        <v>24</v>
      </c>
      <c r="U249" s="49">
        <f>SUM(J249:T249)-(45*5)</f>
        <v>32</v>
      </c>
      <c r="V249" s="49">
        <f>SUM(K249:U249)-(45*6)</f>
        <v>17</v>
      </c>
      <c r="W249" s="49">
        <f>SUM(L249:V249)-(45*6)</f>
        <v>30</v>
      </c>
      <c r="X249" s="49">
        <f>SUM(M249:W249)-(45*7)</f>
        <v>7</v>
      </c>
      <c r="Y249" s="49">
        <f>SUM(N249:X249)-(45*6)</f>
        <v>43</v>
      </c>
      <c r="Z249" s="49">
        <f>SUM(O249:Y249)-(45*7)</f>
        <v>9</v>
      </c>
      <c r="AA249" s="49">
        <f>SUM(P249:Z249)-(45*6)</f>
        <v>44</v>
      </c>
      <c r="AB249" s="49">
        <f>SUM(Q249:AA249)-(45*7)</f>
        <v>5</v>
      </c>
      <c r="AC249" s="49">
        <f>SUM(M249:AB249)-(45*9)</f>
        <v>25</v>
      </c>
      <c r="AD249" s="49">
        <f>SUM(N249:AC249)-(45*9)</f>
        <v>34</v>
      </c>
      <c r="AE249" s="49">
        <f>SUM(O249:AD249)-(45*9)</f>
        <v>36</v>
      </c>
      <c r="AF249" s="49">
        <f>SUM(P249:AE249)-(45*10)</f>
        <v>8</v>
      </c>
      <c r="AG249" s="49">
        <f>SUM(Q249:AF249)-(45*9)</f>
        <v>23</v>
      </c>
      <c r="AH249" s="49">
        <f>SUM(R249:AG249)-(45*9)</f>
        <v>18</v>
      </c>
      <c r="AI249" s="49">
        <f>SUM(S249:AH249)-(45*8)</f>
        <v>37</v>
      </c>
      <c r="AJ249" s="49">
        <f>SUM(T249:AI249)-(45*8)</f>
        <v>32</v>
      </c>
      <c r="AK249" s="49">
        <f>SUM(U249:AJ249)-(45*8)</f>
        <v>40</v>
      </c>
      <c r="AL249" s="49">
        <f>SUM(V249:AK249)-(45*9)</f>
        <v>3</v>
      </c>
      <c r="AM249" s="49">
        <f t="shared" ref="AM249" si="1988">SUM(W249:AL249)-(45*8)</f>
        <v>34</v>
      </c>
      <c r="AN249" s="49">
        <f t="shared" ref="AN249" si="1989">SUM(X249:AM249)-(45*8)</f>
        <v>38</v>
      </c>
      <c r="AO249" s="49">
        <f>SUM(Y249:AN249)-(45*9)</f>
        <v>24</v>
      </c>
      <c r="AP249" s="49">
        <f>SUM(Z249:AO249)-(45*9)</f>
        <v>5</v>
      </c>
      <c r="AQ249" s="49">
        <f>SUM(AA249:AP249)-(45*9)</f>
        <v>1</v>
      </c>
      <c r="AR249" s="49">
        <f t="shared" ref="AR249" si="1990">SUM(AB249:AQ249)-(45*8)</f>
        <v>3</v>
      </c>
      <c r="AS249" s="49">
        <f t="shared" ref="AS249" si="1991">SUM(AC249:AR249)-(45*8)</f>
        <v>1</v>
      </c>
      <c r="AT249" s="49">
        <f>SUM(AD249:AS249)-(45*7)</f>
        <v>22</v>
      </c>
      <c r="AU249" s="49">
        <f>SUM(AE249:AT249)-(45*7)</f>
        <v>10</v>
      </c>
      <c r="AV249" s="49">
        <f>SUM(AF249:AU249)-(45*6)</f>
        <v>29</v>
      </c>
      <c r="AW249" s="49">
        <f>SUM(AG249:AV249)-(45*7)</f>
        <v>5</v>
      </c>
      <c r="AX249" s="49">
        <f>SUM(AH249:AW249)-(45*6)</f>
        <v>32</v>
      </c>
      <c r="AY249" s="49">
        <f>SUM(AI249:AX249)-(45*7)</f>
        <v>1</v>
      </c>
      <c r="AZ249" s="49">
        <f>SUM(AJ249:AY249)-(45*6)</f>
        <v>10</v>
      </c>
      <c r="BA249" s="49">
        <f>SUM(AK249:AZ249)-(45*5)</f>
        <v>33</v>
      </c>
      <c r="BB249" s="49">
        <f>SUM(AL249:BA249)-(45*5)</f>
        <v>26</v>
      </c>
      <c r="BC249" s="49">
        <f>SUM(AM249:BB249)-(45*6)</f>
        <v>4</v>
      </c>
      <c r="BD249" s="49">
        <f>SUM(AN249:BC249)-(45*5)</f>
        <v>19</v>
      </c>
      <c r="BE249" s="49">
        <f>SUM(AO249:BD249)-(45*4)</f>
        <v>45</v>
      </c>
      <c r="BF249" s="49">
        <f>SUM(AP249:BE249)-(45*5)</f>
        <v>21</v>
      </c>
      <c r="BG249" s="49">
        <f>SUM(AQ249:BF249)-(45*5)</f>
        <v>37</v>
      </c>
      <c r="BH249" s="49">
        <f>SUM(AR249:BG249)-(45*6)</f>
        <v>28</v>
      </c>
      <c r="BI249" s="49">
        <f>SUM(AS249:BH249)-(45*7)</f>
        <v>8</v>
      </c>
      <c r="BJ249" s="49">
        <f>SUM(AT249:BI249)-(45*7)</f>
        <v>15</v>
      </c>
      <c r="BK249" s="49">
        <f>SUM(AU249:BJ249)-(45*7)</f>
        <v>8</v>
      </c>
      <c r="BL249" s="49">
        <f>SUM(AV249:BK249)-(45*7)</f>
        <v>6</v>
      </c>
      <c r="BM249" s="49">
        <f>SUM(AW249:BL249)-(45*6)</f>
        <v>28</v>
      </c>
      <c r="BN249" s="49">
        <f>SUM(AX249:BM249)-(45*7)</f>
        <v>6</v>
      </c>
      <c r="BO249" s="49">
        <f>SUM(AY249:BN249)-(45*6)</f>
        <v>25</v>
      </c>
      <c r="BP249" s="49">
        <f>SUM(AZ249:BO249)-(45*7)</f>
        <v>4</v>
      </c>
      <c r="BQ249" s="49">
        <f>SUM(BA249:BP249)-(45*6)</f>
        <v>43</v>
      </c>
      <c r="BR249" s="49">
        <f>SUM(BB249:BQ249)-(45*7)</f>
        <v>8</v>
      </c>
      <c r="BS249" s="49">
        <f>SUM(BC249:BR249)-(45*6)</f>
        <v>35</v>
      </c>
      <c r="BT249" s="49">
        <f>SUM(BD249:BS249)-(45*7)</f>
        <v>21</v>
      </c>
      <c r="BU249" s="49">
        <f>SUM(BE249:BT249)-(45*7)</f>
        <v>23</v>
      </c>
      <c r="BV249" s="49">
        <f>SUM(BF249:BU249)-(45*7)</f>
        <v>1</v>
      </c>
      <c r="BX249" s="413"/>
      <c r="CE249" s="409"/>
    </row>
    <row r="250" spans="2:112" s="546" customFormat="1" ht="17.25">
      <c r="B250" s="558"/>
      <c r="C250" s="44">
        <v>719</v>
      </c>
      <c r="D250" s="108" t="s">
        <v>538</v>
      </c>
      <c r="E250" s="48">
        <v>10</v>
      </c>
      <c r="F250" s="63">
        <v>19</v>
      </c>
      <c r="G250" s="63">
        <v>2</v>
      </c>
      <c r="H250" s="48">
        <f>SUM(E250:F250)-(45*0)</f>
        <v>29</v>
      </c>
      <c r="I250" s="48">
        <v>17</v>
      </c>
      <c r="J250" s="49">
        <f>SUM(E250:I250)-(45*1)</f>
        <v>32</v>
      </c>
      <c r="K250" s="49">
        <f>SUM(E250:J250)-(45*2)</f>
        <v>19</v>
      </c>
      <c r="L250" s="49">
        <f>SUM(E250:K250)-(45*2)</f>
        <v>38</v>
      </c>
      <c r="M250" s="49">
        <f>SUM(E250:L250)-(45*3)</f>
        <v>31</v>
      </c>
      <c r="N250" s="49">
        <f>SUM(E250:M250)-(45*4)</f>
        <v>17</v>
      </c>
      <c r="O250" s="49">
        <f>SUM(E250:N250)-(45*4)</f>
        <v>34</v>
      </c>
      <c r="P250" s="49">
        <f>SUM(E250:O250)-(45*5)</f>
        <v>23</v>
      </c>
      <c r="Q250" s="49">
        <f>SUM(F250:P250)-(45*5)</f>
        <v>36</v>
      </c>
      <c r="R250" s="49">
        <f>SUM(G250:Q250)-(45*6)</f>
        <v>8</v>
      </c>
      <c r="S250" s="49">
        <f>SUM(H250:R250)-(45*6)</f>
        <v>14</v>
      </c>
      <c r="T250" s="49">
        <f>SUM(I250:S250)-(45*5)</f>
        <v>44</v>
      </c>
      <c r="U250" s="49">
        <f>SUM(J250:T250)-(45*6)</f>
        <v>26</v>
      </c>
      <c r="V250" s="49">
        <f>SUM(K250:U250)-(45*6)</f>
        <v>20</v>
      </c>
      <c r="W250" s="49">
        <f>SUM(L250:V250)-(45*6)</f>
        <v>21</v>
      </c>
      <c r="X250" s="49">
        <f>SUM(M250:W250)-(45*6)</f>
        <v>4</v>
      </c>
      <c r="Y250" s="49">
        <f>SUM(N250:X250)-(45*5)</f>
        <v>22</v>
      </c>
      <c r="Z250" s="49">
        <f>SUM(O250:Y250)-(45*5)</f>
        <v>27</v>
      </c>
      <c r="AA250" s="49">
        <f>SUM(P250:Z250)-(45*5)</f>
        <v>20</v>
      </c>
      <c r="AB250" s="49">
        <f>SUM(Q250:AA250)-(45*5)</f>
        <v>17</v>
      </c>
      <c r="AC250" s="49">
        <f>SUM(M250:AB250)-(45*8)</f>
        <v>4</v>
      </c>
      <c r="AD250" s="49">
        <f>SUM(N250:AC250)-(45*7)</f>
        <v>22</v>
      </c>
      <c r="AE250" s="49">
        <f>SUM(O250:AD250)-(45*7)</f>
        <v>27</v>
      </c>
      <c r="AF250" s="49">
        <f>SUM(P250:AE250)-(45*7)</f>
        <v>20</v>
      </c>
      <c r="AG250" s="49">
        <f>SUM(Q250:AF250)-(45*7)</f>
        <v>17</v>
      </c>
      <c r="AH250" s="49">
        <f>SUM(R250:AG250)-(45*6)</f>
        <v>43</v>
      </c>
      <c r="AI250" s="49">
        <f>SUM(S250:AH250)-(45*7)</f>
        <v>33</v>
      </c>
      <c r="AJ250" s="49">
        <f>SUM(T250:AI250)-(45*8)</f>
        <v>7</v>
      </c>
      <c r="AK250" s="49">
        <f>SUM(U250:AJ250)-(45*7)</f>
        <v>15</v>
      </c>
      <c r="AL250" s="49">
        <f>SUM(V250:AK250)-(45*7)</f>
        <v>4</v>
      </c>
      <c r="AM250" s="49">
        <f>SUM(W250:AL250)-(45*6)</f>
        <v>33</v>
      </c>
      <c r="AN250" s="49">
        <f>SUM(X250:AM250)-(45*6)</f>
        <v>45</v>
      </c>
      <c r="AO250" s="49">
        <f>SUM(Y250:AN250)-(45*7)</f>
        <v>41</v>
      </c>
      <c r="AP250" s="49">
        <f>SUM(Z250:AO250)-(45*8)</f>
        <v>15</v>
      </c>
      <c r="AQ250" s="49">
        <f>SUM(AA250:AP250)-(45*8)</f>
        <v>3</v>
      </c>
      <c r="AR250" s="49">
        <f>SUM(AB250:AQ250)-(45*7)</f>
        <v>31</v>
      </c>
      <c r="AS250" s="49">
        <f>SUM(AC250:AR250)-(45*7)</f>
        <v>45</v>
      </c>
      <c r="AT250" s="49">
        <f>SUM(AD250:AS250)-(45*8)</f>
        <v>41</v>
      </c>
      <c r="AU250" s="49">
        <f>SUM(AE250:AT250)-(45*9)</f>
        <v>15</v>
      </c>
      <c r="AV250" s="49">
        <f>SUM(AF250:AU250)-(45*9)</f>
        <v>3</v>
      </c>
      <c r="AW250" s="49">
        <f>SUM(AG250:AV250)-(45*8)</f>
        <v>31</v>
      </c>
      <c r="AX250" s="49">
        <f>SUM(AH250:AW250)-(45*8)</f>
        <v>45</v>
      </c>
      <c r="AY250" s="49">
        <f>SUM(AI250:AX250)-(45*9)</f>
        <v>2</v>
      </c>
      <c r="AZ250" s="49">
        <f>SUM(AJ250:AY250)-(45*8)</f>
        <v>16</v>
      </c>
      <c r="BA250" s="49">
        <f>SUM(AK250:AZ250)-(45*8)</f>
        <v>25</v>
      </c>
      <c r="BB250" s="49">
        <f>SUM(AL250:BA250)-(45*8)</f>
        <v>35</v>
      </c>
      <c r="BC250" s="49">
        <f>SUM(AM250:BB250)-(45*9)</f>
        <v>21</v>
      </c>
      <c r="BD250" s="49">
        <f>SUM(AN250:BC250)-(45*9)</f>
        <v>9</v>
      </c>
      <c r="BE250" s="49">
        <f>SUM(AO250:BD250)-(45*8)</f>
        <v>18</v>
      </c>
      <c r="BF250" s="49">
        <f>SUM(AP250:BE250)-(45*7)</f>
        <v>40</v>
      </c>
      <c r="BG250" s="49">
        <f>SUM(AQ250:BF250)-(45*8)</f>
        <v>20</v>
      </c>
      <c r="BH250" s="49">
        <f>SUM(AR250:BG250)-(45*8)</f>
        <v>37</v>
      </c>
      <c r="BI250" s="49">
        <f>SUM(AS250:BH250)-(45*8)</f>
        <v>43</v>
      </c>
      <c r="BJ250" s="49">
        <f>SUM(AT250:BI250)-(45*8)</f>
        <v>41</v>
      </c>
      <c r="BK250" s="49">
        <f>SUM(AU250:BJ250)-(45*8)</f>
        <v>41</v>
      </c>
      <c r="BL250" s="49">
        <f>SUM(AV250:BK250)-(45*9)</f>
        <v>22</v>
      </c>
      <c r="BM250" s="49">
        <f>SUM(AW250:BL250)-(45*9)</f>
        <v>41</v>
      </c>
      <c r="BN250" s="49">
        <f>SUM(AX250:BM250)-(45*10)</f>
        <v>6</v>
      </c>
      <c r="BO250" s="49">
        <f t="shared" ref="BO250:BT250" si="1992">SUM(AY250:BN250)-(45*9)</f>
        <v>12</v>
      </c>
      <c r="BP250" s="49">
        <f t="shared" si="1992"/>
        <v>22</v>
      </c>
      <c r="BQ250" s="49">
        <f t="shared" si="1992"/>
        <v>28</v>
      </c>
      <c r="BR250" s="49">
        <f t="shared" si="1992"/>
        <v>31</v>
      </c>
      <c r="BS250" s="49">
        <f t="shared" si="1992"/>
        <v>27</v>
      </c>
      <c r="BT250" s="49">
        <f t="shared" si="1992"/>
        <v>33</v>
      </c>
      <c r="BU250" s="49">
        <f>SUM(BE250:BT250)-(45*10)</f>
        <v>12</v>
      </c>
      <c r="BV250" s="49">
        <f>SUM(BF250:BU250)-(45*10)</f>
        <v>6</v>
      </c>
      <c r="BX250" s="413"/>
      <c r="CE250" s="409"/>
    </row>
    <row r="251" spans="2:112" s="546" customFormat="1" ht="17.25">
      <c r="B251" s="559"/>
      <c r="C251" s="53">
        <v>720</v>
      </c>
      <c r="D251" s="324" t="s">
        <v>539</v>
      </c>
      <c r="E251" s="48">
        <v>17</v>
      </c>
      <c r="F251" s="63">
        <v>26</v>
      </c>
      <c r="G251" s="63">
        <v>3</v>
      </c>
      <c r="H251" s="48">
        <f>SUM(E251:F251)-(45*0)</f>
        <v>43</v>
      </c>
      <c r="I251" s="48">
        <v>9</v>
      </c>
      <c r="J251" s="49">
        <f>SUM(E251:I251)-(45*2)</f>
        <v>8</v>
      </c>
      <c r="K251" s="49">
        <f>SUM(E251:J251)-(45*2)</f>
        <v>16</v>
      </c>
      <c r="L251" s="49">
        <f>SUM(E251:K251)-(45*2)</f>
        <v>32</v>
      </c>
      <c r="M251" s="49">
        <f>SUM(E251:L251)-(45*3)</f>
        <v>19</v>
      </c>
      <c r="N251" s="49">
        <f>SUM(E251:M251)-(45*3)</f>
        <v>38</v>
      </c>
      <c r="O251" s="49">
        <f>SUM(E251:N251)-(45*4)</f>
        <v>31</v>
      </c>
      <c r="P251" s="49">
        <f>SUM(E251:O251)-(45*5)</f>
        <v>17</v>
      </c>
      <c r="Q251" s="49">
        <f>SUM(F251:P251)-(45*5)</f>
        <v>17</v>
      </c>
      <c r="R251" s="49">
        <f>SUM(G251:Q251)-(45*5)</f>
        <v>8</v>
      </c>
      <c r="S251" s="49">
        <f>SUM(H251:R251)-(45*5)</f>
        <v>13</v>
      </c>
      <c r="T251" s="49">
        <f>SUM(I251:S251)-(45*4)</f>
        <v>28</v>
      </c>
      <c r="U251" s="49">
        <f>SUM(J251:T251)-(45*5)</f>
        <v>2</v>
      </c>
      <c r="V251" s="49">
        <f>SUM(K251:U251)-(45*4)</f>
        <v>41</v>
      </c>
      <c r="W251" s="49">
        <f>SUM(L251:V251)-(45*5)</f>
        <v>21</v>
      </c>
      <c r="X251" s="49">
        <f>SUM(M251:W251)-(45*5)</f>
        <v>10</v>
      </c>
      <c r="Y251" s="49">
        <f>SUM(N251:X251)-(45*5)</f>
        <v>1</v>
      </c>
      <c r="Z251" s="49">
        <f>SUM(O251:Y251)-(45*4)</f>
        <v>9</v>
      </c>
      <c r="AA251" s="49">
        <f>SUM(P251:Z251)-(45*3)</f>
        <v>32</v>
      </c>
      <c r="AB251" s="49">
        <f>SUM(Q251:AA251)-(45*4)</f>
        <v>2</v>
      </c>
      <c r="AC251" s="49">
        <f>SUM(M251:AB251)-(45*6)</f>
        <v>19</v>
      </c>
      <c r="AD251" s="49">
        <f>SUM(N251:AC251)-(45*6)</f>
        <v>19</v>
      </c>
      <c r="AE251" s="49">
        <f>SUM(O251:AD251)-(45*5)</f>
        <v>45</v>
      </c>
      <c r="AF251" s="49">
        <f>SUM(P251:AE251)-(45*6)</f>
        <v>14</v>
      </c>
      <c r="AG251" s="49">
        <f>SUM(Q251:AF251)-(45*6)</f>
        <v>11</v>
      </c>
      <c r="AH251" s="49">
        <f>SUM(R251:AG251)-(45*6)</f>
        <v>5</v>
      </c>
      <c r="AI251" s="49">
        <f>SUM(S251:AH251)-(45*6)</f>
        <v>2</v>
      </c>
      <c r="AJ251" s="49">
        <f>SUM(T251:AI251)-(45*5)</f>
        <v>36</v>
      </c>
      <c r="AK251" s="49">
        <f>SUM(U251:AJ251)-(45*5)</f>
        <v>44</v>
      </c>
      <c r="AL251" s="49">
        <f>SUM(V251:AK251)-(45*6)</f>
        <v>41</v>
      </c>
      <c r="AM251" s="49">
        <f>SUM(W251:AL251)-(45*6)</f>
        <v>41</v>
      </c>
      <c r="AN251" s="49">
        <f>SUM(X251:AM251)-(45*7)</f>
        <v>16</v>
      </c>
      <c r="AO251" s="49">
        <f>SUM(Y251:AN251)-(45*7)</f>
        <v>22</v>
      </c>
      <c r="AP251" s="49">
        <f>SUM(Z251:AO251)-(45*7)</f>
        <v>43</v>
      </c>
      <c r="AQ251" s="49">
        <f>SUM(AA251:AP251)-(45*8)</f>
        <v>32</v>
      </c>
      <c r="AR251" s="49">
        <f t="shared" ref="AR251" si="1993">SUM(AB251:AQ251)-(45*8)</f>
        <v>32</v>
      </c>
      <c r="AS251" s="49">
        <f>SUM(AC251:AR251)-(45*9)</f>
        <v>17</v>
      </c>
      <c r="AT251" s="49">
        <f>SUM(AD251:AS251)-(45*9)</f>
        <v>15</v>
      </c>
      <c r="AU251" s="49">
        <f>SUM(AE251:AT251)-(45*9)</f>
        <v>11</v>
      </c>
      <c r="AV251" s="49">
        <f>SUM(AF251:AU251)-(45*8)</f>
        <v>22</v>
      </c>
      <c r="AW251" s="49">
        <f>SUM(AG251:AV251)-(45*8)</f>
        <v>30</v>
      </c>
      <c r="AX251" s="49">
        <f>SUM(AH251:AW251)-(45*9)</f>
        <v>4</v>
      </c>
      <c r="AY251" s="49">
        <f>SUM(AI251:AX251)-(45*9)</f>
        <v>3</v>
      </c>
      <c r="AZ251" s="49">
        <f>SUM(AJ251:AY251)-(45*9)</f>
        <v>4</v>
      </c>
      <c r="BA251" s="49">
        <f>SUM(AK251:AZ251)-(45*8)</f>
        <v>17</v>
      </c>
      <c r="BB251" s="49">
        <f>SUM(AL251:BA251)-(45*7)</f>
        <v>35</v>
      </c>
      <c r="BC251" s="49">
        <f>SUM(AM251:BB251)-(45*7)</f>
        <v>29</v>
      </c>
      <c r="BD251" s="49">
        <f>SUM(AN251:BC251)-(45*7)</f>
        <v>17</v>
      </c>
      <c r="BE251" s="49">
        <f>SUM(AO251:BD251)-(45*7)</f>
        <v>18</v>
      </c>
      <c r="BF251" s="49">
        <f>SUM(AP251:BE251)-(45*7)</f>
        <v>14</v>
      </c>
      <c r="BG251" s="49">
        <f>SUM(AQ251:BF251)-(45*6)</f>
        <v>30</v>
      </c>
      <c r="BH251" s="49">
        <f>SUM(AR251:BG251)-(45*6)</f>
        <v>28</v>
      </c>
      <c r="BI251" s="49">
        <f>SUM(AS251:BH251)-(45*6)</f>
        <v>24</v>
      </c>
      <c r="BJ251" s="49">
        <f>SUM(AT251:BI251)-(45*6)</f>
        <v>31</v>
      </c>
      <c r="BK251" s="49">
        <f>SUM(AU251:BJ251)-(45*7)</f>
        <v>2</v>
      </c>
      <c r="BL251" s="49">
        <f>SUM(AV251:BK251)-(45*6)</f>
        <v>38</v>
      </c>
      <c r="BM251" s="49">
        <f>SUM(AW251:BL251)-(45*7)</f>
        <v>9</v>
      </c>
      <c r="BN251" s="49">
        <f>SUM(AX251:BM251)-(45*6)</f>
        <v>33</v>
      </c>
      <c r="BO251" s="49">
        <f>SUM(AY251:BN251)-(45*7)</f>
        <v>17</v>
      </c>
      <c r="BP251" s="49">
        <f>SUM(AZ251:BO251)-(45*7)</f>
        <v>31</v>
      </c>
      <c r="BQ251" s="49">
        <f>SUM(BA251:BP251)-(45*8)</f>
        <v>13</v>
      </c>
      <c r="BR251" s="49">
        <f>SUM(BB251:BQ251)-(45*8)</f>
        <v>9</v>
      </c>
      <c r="BS251" s="49">
        <f>SUM(BC251:BR251)-(45*7)</f>
        <v>28</v>
      </c>
      <c r="BT251" s="49">
        <f>SUM(BD251:BS251)-(45*7)</f>
        <v>27</v>
      </c>
      <c r="BU251" s="49">
        <f>SUM(BE251:BT251)-(45*7)</f>
        <v>37</v>
      </c>
      <c r="BV251" s="49">
        <f>SUM(BF251:BU251)-(45*8)</f>
        <v>11</v>
      </c>
      <c r="BX251" s="413"/>
      <c r="CE251" s="409"/>
    </row>
    <row r="252" spans="2:112" s="570" customFormat="1" ht="17.25">
      <c r="B252" s="568"/>
      <c r="C252" s="44">
        <v>721</v>
      </c>
      <c r="D252" s="108" t="s">
        <v>540</v>
      </c>
      <c r="E252" s="48">
        <v>24</v>
      </c>
      <c r="F252" s="63">
        <v>33</v>
      </c>
      <c r="G252" s="63">
        <v>4</v>
      </c>
      <c r="H252" s="48">
        <f>SUM(E252:F252)-(45*1)</f>
        <v>12</v>
      </c>
      <c r="I252" s="48">
        <v>10</v>
      </c>
      <c r="J252" s="49">
        <f>SUM(E252:I252)-(45*1)</f>
        <v>38</v>
      </c>
      <c r="K252" s="49">
        <f>SUM(E252:J252)-(45*2)</f>
        <v>31</v>
      </c>
      <c r="L252" s="49">
        <f>SUM(E252:K252)-(45*3)</f>
        <v>17</v>
      </c>
      <c r="M252" s="49">
        <f>SUM(E252:L252)-(45*3)</f>
        <v>34</v>
      </c>
      <c r="N252" s="49">
        <f>SUM(E252:M252)-(45*4)</f>
        <v>23</v>
      </c>
      <c r="O252" s="49">
        <f>SUM(E252:N252)-(45*5)</f>
        <v>1</v>
      </c>
      <c r="P252" s="49">
        <f>SUM(E252:O252)-(45*5)</f>
        <v>2</v>
      </c>
      <c r="Q252" s="49">
        <f t="shared" ref="Q252:S253" si="1994">SUM(F252:P252)-(45*4)</f>
        <v>25</v>
      </c>
      <c r="R252" s="49">
        <f t="shared" si="1994"/>
        <v>17</v>
      </c>
      <c r="S252" s="49">
        <f t="shared" si="1994"/>
        <v>30</v>
      </c>
      <c r="T252" s="49">
        <f>SUM(I252:S252)-(45*5)</f>
        <v>3</v>
      </c>
      <c r="U252" s="49">
        <f>SUM(J252:T252)-(45*4)</f>
        <v>41</v>
      </c>
      <c r="V252" s="49">
        <f>SUM(K252:U252)-(45*4)</f>
        <v>44</v>
      </c>
      <c r="W252" s="49">
        <f>SUM(L252:V252)-(45*5)</f>
        <v>12</v>
      </c>
      <c r="X252" s="49">
        <f>SUM(M252:W252)-(45*5)</f>
        <v>7</v>
      </c>
      <c r="Y252" s="49">
        <f>SUM(N252:X252)-(45*4)</f>
        <v>25</v>
      </c>
      <c r="Z252" s="49">
        <f>SUM(O252:Y252)-(45*4)</f>
        <v>27</v>
      </c>
      <c r="AA252" s="49">
        <f>SUM(P252:Z252)-(45*5)</f>
        <v>8</v>
      </c>
      <c r="AB252" s="49">
        <f>SUM(Q252:AA252)-(45*5)</f>
        <v>14</v>
      </c>
      <c r="AC252" s="49">
        <f>SUM(M252:AB252)-(45*6)</f>
        <v>43</v>
      </c>
      <c r="AD252" s="49">
        <f>SUM(N252:AC252)-(45*7)</f>
        <v>7</v>
      </c>
      <c r="AE252" s="49">
        <f>SUM(O252:AD252)-(45*6)</f>
        <v>36</v>
      </c>
      <c r="AF252" s="49">
        <f>SUM(P252:AE252)-(45*7)</f>
        <v>26</v>
      </c>
      <c r="AG252" s="49">
        <f>SUM(Q252:AF252)-(45*8)</f>
        <v>5</v>
      </c>
      <c r="AH252" s="49">
        <f>SUM(R252:AG252)-(45*7)</f>
        <v>30</v>
      </c>
      <c r="AI252" s="49">
        <f>SUM(S252:AH252)-(45*7)</f>
        <v>43</v>
      </c>
      <c r="AJ252" s="49">
        <f>SUM(T252:AI252)-(45*8)</f>
        <v>11</v>
      </c>
      <c r="AK252" s="49">
        <f>SUM(U252:AJ252)-(45*8)</f>
        <v>19</v>
      </c>
      <c r="AL252" s="49">
        <f>SUM(V252:AK252)-(45*7)</f>
        <v>42</v>
      </c>
      <c r="AM252" s="49">
        <f>SUM(W252:AL252)-(45*7)</f>
        <v>40</v>
      </c>
      <c r="AN252" s="49">
        <f>SUM(X252:AM252)-(45*8)</f>
        <v>23</v>
      </c>
      <c r="AO252" s="49">
        <f>SUM(Y252:AN252)-(45*8)</f>
        <v>39</v>
      </c>
      <c r="AP252" s="49">
        <f>SUM(Z252:AO252)-(45*9)</f>
        <v>8</v>
      </c>
      <c r="AQ252" s="49">
        <f>SUM(AA252:AP252)-(45*8)</f>
        <v>34</v>
      </c>
      <c r="AR252" s="49">
        <f>SUM(AB252:AQ252)-(45*9)</f>
        <v>15</v>
      </c>
      <c r="AS252" s="49">
        <f>SUM(AC252:AR252)-(45*9)</f>
        <v>16</v>
      </c>
      <c r="AT252" s="49">
        <f>SUM(AD252:AS252)-(45*8)</f>
        <v>34</v>
      </c>
      <c r="AU252" s="49">
        <f>SUM(AE252:AT252)-(45*9)</f>
        <v>16</v>
      </c>
      <c r="AV252" s="49">
        <f>SUM(AF252:AU252)-(45*8)</f>
        <v>41</v>
      </c>
      <c r="AW252" s="49">
        <f>SUM(AG252:AV252)-(45*9)</f>
        <v>11</v>
      </c>
      <c r="AX252" s="49">
        <f>SUM(AH252:AW252)-(45*9)</f>
        <v>17</v>
      </c>
      <c r="AY252" s="49">
        <f>SUM(AI252:AX252)-(45*9)</f>
        <v>4</v>
      </c>
      <c r="AZ252" s="49">
        <f>SUM(AJ252:AY252)-(45*8)</f>
        <v>10</v>
      </c>
      <c r="BA252" s="49">
        <f>SUM(AK252:AZ252)-(45*8)</f>
        <v>9</v>
      </c>
      <c r="BB252" s="49">
        <f>SUM(AL252:BA252)-(45*7)</f>
        <v>44</v>
      </c>
      <c r="BC252" s="49">
        <f>SUM(AM252:BB252)-(45*8)</f>
        <v>1</v>
      </c>
      <c r="BD252" s="49">
        <f>SUM(AN252:BC252)-(45*7)</f>
        <v>7</v>
      </c>
      <c r="BE252" s="49">
        <f>SUM(AO252:BD252)-(45*6)</f>
        <v>36</v>
      </c>
      <c r="BF252" s="49">
        <f>SUM(AP252:BE252)-(45*6)</f>
        <v>33</v>
      </c>
      <c r="BG252" s="49">
        <f>SUM(AQ252:BF252)-(45*7)</f>
        <v>13</v>
      </c>
      <c r="BH252" s="49">
        <f>SUM(AR252:BG252)-(45*6)</f>
        <v>37</v>
      </c>
      <c r="BI252" s="49">
        <f>SUM(AS252:BH252)-(45*7)</f>
        <v>14</v>
      </c>
      <c r="BJ252" s="49">
        <f>SUM(AT252:BI252)-(45*7)</f>
        <v>12</v>
      </c>
      <c r="BK252" s="49">
        <f>SUM(AU252:BJ252)-(45*6)</f>
        <v>35</v>
      </c>
      <c r="BL252" s="49">
        <f>SUM(AV252:BK252)-(45*7)</f>
        <v>9</v>
      </c>
      <c r="BM252" s="49">
        <f>SUM(AW252:BL252)-(45*6)</f>
        <v>22</v>
      </c>
      <c r="BN252" s="49">
        <f>SUM(AX252:BM252)-(45*6)</f>
        <v>33</v>
      </c>
      <c r="BO252" s="49">
        <f>SUM(AY252:BN252)-(45*7)</f>
        <v>4</v>
      </c>
      <c r="BP252" s="49">
        <f>SUM(AZ252:BO252)-(45*7)</f>
        <v>4</v>
      </c>
      <c r="BQ252" s="49">
        <f>SUM(BA252:BP252)-(45*6)</f>
        <v>43</v>
      </c>
      <c r="BR252" s="49">
        <f>SUM(BB252:BQ252)-(45*7)</f>
        <v>32</v>
      </c>
      <c r="BS252" s="49">
        <f>SUM(BC252:BR252)-(45*7)</f>
        <v>20</v>
      </c>
      <c r="BT252" s="49">
        <f>SUM(BD252:BS252)-(45*7)</f>
        <v>39</v>
      </c>
      <c r="BU252" s="49">
        <f>SUM(BE252:BT252)-(45*8)</f>
        <v>26</v>
      </c>
      <c r="BV252" s="49">
        <f>SUM(BF252:BU252)-(45*8)</f>
        <v>16</v>
      </c>
      <c r="BX252" s="413"/>
      <c r="CE252" s="409"/>
    </row>
    <row r="253" spans="2:112" s="570" customFormat="1" ht="17.25">
      <c r="B253" s="573"/>
      <c r="C253" s="53">
        <v>722</v>
      </c>
      <c r="D253" s="324" t="s">
        <v>541</v>
      </c>
      <c r="E253" s="48">
        <v>1</v>
      </c>
      <c r="F253" s="63">
        <v>11</v>
      </c>
      <c r="G253" s="63">
        <v>1</v>
      </c>
      <c r="H253" s="48">
        <f>SUM(E253:F253)-(45*0)</f>
        <v>12</v>
      </c>
      <c r="I253" s="48">
        <v>11</v>
      </c>
      <c r="J253" s="49">
        <f>SUM(E253:I253)-(45*0)</f>
        <v>36</v>
      </c>
      <c r="K253" s="49">
        <f>SUM(E253:J253)-(45*1)</f>
        <v>27</v>
      </c>
      <c r="L253" s="49">
        <f>SUM(E253:K253)-(45*2)</f>
        <v>9</v>
      </c>
      <c r="M253" s="49">
        <f>SUM(E253:L253)-(45*2)</f>
        <v>18</v>
      </c>
      <c r="N253" s="49">
        <f>SUM(E253:M253)-(45*2)</f>
        <v>36</v>
      </c>
      <c r="O253" s="49">
        <f>SUM(E253:N253)-(45*3)</f>
        <v>27</v>
      </c>
      <c r="P253" s="49">
        <f>SUM(E253:O253)-(45*4)</f>
        <v>9</v>
      </c>
      <c r="Q253" s="49">
        <f t="shared" si="1994"/>
        <v>17</v>
      </c>
      <c r="R253" s="49">
        <f t="shared" si="1994"/>
        <v>23</v>
      </c>
      <c r="S253" s="49">
        <f t="shared" si="1994"/>
        <v>45</v>
      </c>
      <c r="T253" s="49">
        <f>SUM(I253:S253)-(45*5)</f>
        <v>33</v>
      </c>
      <c r="U253" s="49">
        <f>SUM(J253:T253)-(45*6)</f>
        <v>10</v>
      </c>
      <c r="V253" s="49">
        <f>SUM(K253:U253)-(45*5)</f>
        <v>29</v>
      </c>
      <c r="W253" s="49">
        <f>SUM(L253:V253)-(45*5)</f>
        <v>31</v>
      </c>
      <c r="X253" s="49">
        <f>SUM(M253:W253)-(45*6)</f>
        <v>8</v>
      </c>
      <c r="Y253" s="49">
        <f>SUM(N253:X253)-(45*5)</f>
        <v>43</v>
      </c>
      <c r="Z253" s="49">
        <f>SUM(O253:Y253)-(45*6)</f>
        <v>5</v>
      </c>
      <c r="AA253" s="49">
        <f>SUM(P253:Z253)-(45*5)</f>
        <v>28</v>
      </c>
      <c r="AB253" s="49">
        <f>SUM(Q253:AA253)-(45*6)</f>
        <v>2</v>
      </c>
      <c r="AC253" s="49">
        <f>SUM(M253:AB253)-(45*8)</f>
        <v>4</v>
      </c>
      <c r="AD253" s="49">
        <f>SUM(N253:AC253)-(45*7)</f>
        <v>35</v>
      </c>
      <c r="AE253" s="49">
        <f>SUM(O253:AD253)-(45*7)</f>
        <v>34</v>
      </c>
      <c r="AF253" s="49">
        <f>SUM(P253:AE253)-(45*7)</f>
        <v>41</v>
      </c>
      <c r="AG253" s="49">
        <f>SUM(Q253:AF253)-(45*8)</f>
        <v>28</v>
      </c>
      <c r="AH253" s="49">
        <f>SUM(R253:AG253)-(45*8)</f>
        <v>39</v>
      </c>
      <c r="AI253" s="49">
        <f>SUM(S253:AH253)-(45*9)</f>
        <v>10</v>
      </c>
      <c r="AJ253" s="49">
        <f>SUM(T253:AI253)-(45*8)</f>
        <v>20</v>
      </c>
      <c r="AK253" s="49">
        <f>SUM(U253:AJ253)-(45*8)</f>
        <v>7</v>
      </c>
      <c r="AL253" s="49">
        <f>SUM(V253:AK253)-(45*8)</f>
        <v>4</v>
      </c>
      <c r="AM253" s="49">
        <f>SUM(W253:AL253)-(45*7)</f>
        <v>24</v>
      </c>
      <c r="AN253" s="49">
        <f>SUM(X253:AM253)-(45*7)</f>
        <v>17</v>
      </c>
      <c r="AO253" s="49">
        <f>SUM(Y253:AN253)-(45*7)</f>
        <v>26</v>
      </c>
      <c r="AP253" s="49">
        <f>SUM(Z253:AO253)-(45*7)</f>
        <v>9</v>
      </c>
      <c r="AQ253" s="49">
        <f>SUM(AA253:AP253)-(45*7)</f>
        <v>13</v>
      </c>
      <c r="AR253" s="49">
        <f>SUM(AB253:AQ253)-(45*6)</f>
        <v>43</v>
      </c>
      <c r="AS253" s="49">
        <f>SUM(AC253:AR253)-(45*7)</f>
        <v>39</v>
      </c>
      <c r="AT253" s="49">
        <f>SUM(AD253:AS253)-(45*8)</f>
        <v>29</v>
      </c>
      <c r="AU253" s="49">
        <f>SUM(AE253:AT253)-(45*8)</f>
        <v>23</v>
      </c>
      <c r="AV253" s="49">
        <f>SUM(AF253:AU253)-(45*8)</f>
        <v>12</v>
      </c>
      <c r="AW253" s="49">
        <f>SUM(AG253:AV253)-(45*7)</f>
        <v>28</v>
      </c>
      <c r="AX253" s="49">
        <f>SUM(AH253:AW253)-(45*7)</f>
        <v>28</v>
      </c>
      <c r="AY253" s="49">
        <f>SUM(AI253:AX253)-(45*7)</f>
        <v>17</v>
      </c>
      <c r="AZ253" s="49">
        <f>SUM(AJ253:AY253)-(45*7)</f>
        <v>24</v>
      </c>
      <c r="BA253" s="49">
        <f>SUM(AK253:AZ253)-(45*7)</f>
        <v>28</v>
      </c>
      <c r="BB253" s="49">
        <f>SUM(AL253:BA253)-(45*8)</f>
        <v>4</v>
      </c>
      <c r="BC253" s="49">
        <f>SUM(AM253:BB253)-(45*8)</f>
        <v>4</v>
      </c>
      <c r="BD253" s="49">
        <f>SUM(AN253:BC253)-(45*7)</f>
        <v>29</v>
      </c>
      <c r="BE253" s="49">
        <f>SUM(AO253:BD253)-(45*7)</f>
        <v>41</v>
      </c>
      <c r="BF253" s="49">
        <f>SUM(AP253:BE253)-(45*8)</f>
        <v>11</v>
      </c>
      <c r="BG253" s="49">
        <f>SUM(AQ253:BF253)-(45*8)</f>
        <v>13</v>
      </c>
      <c r="BH253" s="49">
        <f>SUM(AR253:BG253)-(45*8)</f>
        <v>13</v>
      </c>
      <c r="BI253" s="49">
        <f>SUM(AS253:BH253)-(45*7)</f>
        <v>28</v>
      </c>
      <c r="BJ253" s="49">
        <f>SUM(AT253:BI253)-(45*7)</f>
        <v>17</v>
      </c>
      <c r="BK253" s="49">
        <f>SUM(AU253:BJ253)-(45*7)</f>
        <v>5</v>
      </c>
      <c r="BL253" s="49">
        <f>SUM(AV253:BK253)-(45*6)</f>
        <v>32</v>
      </c>
      <c r="BM253" s="49">
        <f>SUM(AW253:BL253)-(45*7)</f>
        <v>7</v>
      </c>
      <c r="BN253" s="49">
        <f>SUM(AX253:BM253)-(45*6)</f>
        <v>31</v>
      </c>
      <c r="BO253" s="49">
        <f>SUM(AY253:BN253)-(45*6)</f>
        <v>34</v>
      </c>
      <c r="BP253" s="49">
        <f>SUM(AZ253:BO253)-(45*7)</f>
        <v>6</v>
      </c>
      <c r="BQ253" s="49">
        <f>SUM(BA253:BP253)-(45*6)</f>
        <v>33</v>
      </c>
      <c r="BR253" s="49">
        <f>SUM(BB253:BQ253)-(45*6)</f>
        <v>38</v>
      </c>
      <c r="BS253" s="49">
        <f>SUM(BC253:BR253)-(45*7)</f>
        <v>27</v>
      </c>
      <c r="BT253" s="49">
        <f>SUM(BD253:BS253)-(45*8)</f>
        <v>5</v>
      </c>
      <c r="BU253" s="49">
        <f>SUM(BE253:BT253)-(45*7)</f>
        <v>26</v>
      </c>
      <c r="BV253" s="49">
        <f>SUM(BF253:BU253)-(45*7)</f>
        <v>11</v>
      </c>
      <c r="BX253" s="413"/>
      <c r="CE253" s="409"/>
    </row>
    <row r="254" spans="2:112" s="570" customFormat="1" ht="17.25">
      <c r="B254" s="578"/>
      <c r="C254" s="44">
        <v>723</v>
      </c>
      <c r="D254" s="108" t="s">
        <v>542</v>
      </c>
      <c r="E254" s="48">
        <v>8</v>
      </c>
      <c r="F254" s="63">
        <v>18</v>
      </c>
      <c r="G254" s="63">
        <v>2</v>
      </c>
      <c r="H254" s="48">
        <f>SUM(E254:F254)-(45*0)</f>
        <v>26</v>
      </c>
      <c r="I254" s="48">
        <v>12</v>
      </c>
      <c r="J254" s="49">
        <f>SUM(E254:I254)-(45*1)</f>
        <v>21</v>
      </c>
      <c r="K254" s="49">
        <f>SUM(E254:J254)-(45*1)</f>
        <v>42</v>
      </c>
      <c r="L254" s="49">
        <f>SUM(E254:K254)-(45*2)</f>
        <v>39</v>
      </c>
      <c r="M254" s="49">
        <f>SUM(E254:L254)-(45*3)</f>
        <v>33</v>
      </c>
      <c r="N254" s="49">
        <f>SUM(E254:M254)-(45*4)</f>
        <v>21</v>
      </c>
      <c r="O254" s="49">
        <f>SUM(E254:N254)-(45*4)</f>
        <v>42</v>
      </c>
      <c r="P254" s="49">
        <f>SUM(E254:O254)-(45*5)</f>
        <v>39</v>
      </c>
      <c r="Q254" s="49">
        <f>SUM(F254:P254)-(45*6)</f>
        <v>25</v>
      </c>
      <c r="R254" s="49">
        <f>SUM(G254:Q254)-(45*6)</f>
        <v>32</v>
      </c>
      <c r="S254" s="49">
        <f>SUM(H254:R254)-(45*7)</f>
        <v>17</v>
      </c>
      <c r="T254" s="49">
        <f>SUM(I254:S254)-(45*7)</f>
        <v>8</v>
      </c>
      <c r="U254" s="49">
        <f>SUM(J254:T254)-(45*7)</f>
        <v>4</v>
      </c>
      <c r="V254" s="49">
        <f>SUM(K254:U254)-(45*6)</f>
        <v>32</v>
      </c>
      <c r="W254" s="49">
        <f>SUM(L254:V254)-(45*6)</f>
        <v>22</v>
      </c>
      <c r="X254" s="49">
        <f>SUM(M254:W254)-(45*6)</f>
        <v>5</v>
      </c>
      <c r="Y254" s="49">
        <f>SUM(N254:X254)-(45*5)</f>
        <v>22</v>
      </c>
      <c r="Z254" s="49">
        <f>SUM(O254:Y254)-(45*5)</f>
        <v>23</v>
      </c>
      <c r="AA254" s="49">
        <f>SUM(P254:Z254)-(45*5)</f>
        <v>4</v>
      </c>
      <c r="AB254" s="49">
        <f>SUM(Q254:AA254)-(45*4)</f>
        <v>14</v>
      </c>
      <c r="AC254" s="49">
        <f>SUM(M254:AB254)-(45*7)</f>
        <v>28</v>
      </c>
      <c r="AD254" s="49">
        <f>SUM(N254:AC254)-(45*7)</f>
        <v>23</v>
      </c>
      <c r="AE254" s="49">
        <f>SUM(O254:AD254)-(45*7)</f>
        <v>25</v>
      </c>
      <c r="AF254" s="49">
        <f>SUM(P254:AE254)-(45*7)</f>
        <v>8</v>
      </c>
      <c r="AG254" s="49">
        <f>SUM(Q254:AF254)-(45*6)</f>
        <v>22</v>
      </c>
      <c r="AH254" s="49">
        <f>SUM(R254:AG254)-(45*6)</f>
        <v>19</v>
      </c>
      <c r="AI254" s="49">
        <f>SUM(S254:AH254)-(45*6)</f>
        <v>6</v>
      </c>
      <c r="AJ254" s="49">
        <f>SUM(T254:AI254)-(45*5)</f>
        <v>40</v>
      </c>
      <c r="AK254" s="49">
        <f>SUM(U254:AJ254)-(45*6)</f>
        <v>27</v>
      </c>
      <c r="AL254" s="49">
        <f>SUM(V254:AK254)-(45*7)</f>
        <v>5</v>
      </c>
      <c r="AM254" s="49">
        <f>SUM(W254:AL254)-(45*6)</f>
        <v>23</v>
      </c>
      <c r="AN254" s="49">
        <f>SUM(X254:AM254)-(45*6)</f>
        <v>24</v>
      </c>
      <c r="AO254" s="49">
        <f>SUM(Y254:AN254)-(45*6)</f>
        <v>43</v>
      </c>
      <c r="AP254" s="49">
        <f>SUM(Z254:AO254)-(45*7)</f>
        <v>19</v>
      </c>
      <c r="AQ254" s="49">
        <f>SUM(AA254:AP254)-(45*7)</f>
        <v>15</v>
      </c>
      <c r="AR254" s="49">
        <f>SUM(AB254:AQ254)-(45*7)</f>
        <v>26</v>
      </c>
      <c r="AS254" s="49">
        <f>SUM(AC254:AR254)-(45*7)</f>
        <v>38</v>
      </c>
      <c r="AT254" s="49">
        <f>SUM(AD254:AS254)-(45*8)</f>
        <v>3</v>
      </c>
      <c r="AU254" s="49">
        <f>SUM(AE254:AT254)-(45*7)</f>
        <v>28</v>
      </c>
      <c r="AV254" s="49">
        <f>SUM(AF254:AU254)-(45*7)</f>
        <v>31</v>
      </c>
      <c r="AW254" s="49">
        <f>SUM(AG254:AV254)-(45*8)</f>
        <v>9</v>
      </c>
      <c r="AX254" s="49">
        <f>SUM(AH254:AW254)-(45*7)</f>
        <v>41</v>
      </c>
      <c r="AY254" s="49">
        <f>SUM(AI254:AX254)-(45*8)</f>
        <v>18</v>
      </c>
      <c r="AZ254" s="49">
        <f>SUM(AJ254:AY254)-(45*8)</f>
        <v>30</v>
      </c>
      <c r="BA254" s="49">
        <f>SUM(AK254:AZ254)-(45*8)</f>
        <v>20</v>
      </c>
      <c r="BB254" s="49">
        <f>SUM(AL254:BA254)-(45*8)</f>
        <v>13</v>
      </c>
      <c r="BC254" s="49">
        <f>SUM(AM254:BB254)-(45*8)</f>
        <v>21</v>
      </c>
      <c r="BD254" s="49">
        <f>SUM(AN254:BC254)-(45*8)</f>
        <v>19</v>
      </c>
      <c r="BE254" s="49">
        <f>SUM(AO254:BD254)-(45*8)</f>
        <v>14</v>
      </c>
      <c r="BF254" s="49">
        <f>SUM(AP254:BE254)-(45*7)</f>
        <v>30</v>
      </c>
      <c r="BG254" s="49">
        <f>SUM(AQ254:BF254)-(45*7)</f>
        <v>41</v>
      </c>
      <c r="BH254" s="49">
        <f>SUM(AR254:BG254)-(45*8)</f>
        <v>22</v>
      </c>
      <c r="BI254" s="49">
        <f>SUM(AS254:BH254)-(45*8)</f>
        <v>18</v>
      </c>
      <c r="BJ254" s="49">
        <f>SUM(AT254:BI254)-(45*7)</f>
        <v>43</v>
      </c>
      <c r="BK254" s="49">
        <f>SUM(AU254:BJ254)-(45*8)</f>
        <v>38</v>
      </c>
      <c r="BL254" s="49">
        <f>SUM(AV254:BK254)-(45*9)</f>
        <v>3</v>
      </c>
      <c r="BM254" s="49">
        <f>SUM(AW254:BL254)-(45*8)</f>
        <v>20</v>
      </c>
      <c r="BN254" s="49">
        <f>SUM(AX254:BM254)-(45*8)</f>
        <v>31</v>
      </c>
      <c r="BO254" s="49">
        <f>SUM(AY254:BN254)-(45*8)</f>
        <v>21</v>
      </c>
      <c r="BP254" s="49">
        <f>SUM(AZ254:BO254)-(45*8)</f>
        <v>24</v>
      </c>
      <c r="BQ254" s="49">
        <f>SUM(BA254:BP254)-(45*8)</f>
        <v>18</v>
      </c>
      <c r="BR254" s="49">
        <f>SUM(BB254:BQ254)-(45*8)</f>
        <v>16</v>
      </c>
      <c r="BS254" s="49">
        <f>SUM(BC254:BR254)-(45*8)</f>
        <v>19</v>
      </c>
      <c r="BT254" s="49">
        <f>SUM(BD254:BS254)-(45*8)</f>
        <v>17</v>
      </c>
      <c r="BU254" s="49">
        <f>SUM(BE254:BT254)-(45*8)</f>
        <v>15</v>
      </c>
      <c r="BV254" s="49">
        <f>SUM(BF254:BU254)-(45*8)</f>
        <v>16</v>
      </c>
      <c r="BX254" s="413"/>
      <c r="CE254" s="409"/>
    </row>
    <row r="255" spans="2:112" ht="17.25">
      <c r="BY255" s="39"/>
      <c r="BZ255" s="39"/>
      <c r="CA255" s="39"/>
      <c r="CB255" s="36"/>
      <c r="CC255" s="36"/>
      <c r="CD255" s="204"/>
      <c r="CE255" s="204"/>
      <c r="CF255" s="205"/>
      <c r="CG255" s="205"/>
      <c r="CH255" s="205"/>
      <c r="CI255" s="205"/>
      <c r="CJ255" s="205"/>
      <c r="CK255" s="205"/>
      <c r="CL255" s="205"/>
      <c r="CM255" s="205"/>
      <c r="CN255" s="205"/>
      <c r="CO255" s="205"/>
      <c r="CP255" s="205"/>
      <c r="CQ255" s="205"/>
      <c r="CR255" s="205"/>
      <c r="CS255" s="205"/>
      <c r="CT255" s="205"/>
      <c r="CU255" s="205"/>
      <c r="CV255" s="205"/>
      <c r="CW255" s="205"/>
      <c r="CX255" s="205"/>
      <c r="CY255" s="205"/>
      <c r="CZ255" s="205"/>
      <c r="DA255" s="205"/>
      <c r="DB255" s="204"/>
      <c r="DC255" s="206"/>
      <c r="DD255" s="204"/>
      <c r="DE255" s="204"/>
      <c r="DF255" s="204"/>
      <c r="DG255" s="204"/>
      <c r="DH255" s="204"/>
    </row>
    <row r="256" spans="2:112" ht="17.25">
      <c r="CB256" s="36"/>
      <c r="CC256" s="36"/>
      <c r="CD256" s="204"/>
      <c r="CE256" s="205"/>
      <c r="CF256" s="204"/>
      <c r="CG256" s="204"/>
      <c r="CH256" s="204"/>
      <c r="CI256" s="204"/>
      <c r="CJ256" s="204"/>
      <c r="CK256" s="204"/>
      <c r="CL256" s="204"/>
      <c r="CM256" s="204"/>
      <c r="CN256" s="204"/>
      <c r="CO256" s="204"/>
      <c r="CP256" s="204"/>
      <c r="CQ256" s="204"/>
      <c r="CR256" s="204"/>
      <c r="CS256" s="204"/>
      <c r="CT256" s="204"/>
      <c r="CU256" s="204"/>
      <c r="CV256" s="204"/>
      <c r="CW256" s="204"/>
      <c r="CX256" s="204"/>
      <c r="CY256" s="204"/>
      <c r="CZ256" s="204"/>
      <c r="DA256" s="204"/>
      <c r="DB256" s="204"/>
      <c r="DC256" s="204"/>
      <c r="DD256" s="204"/>
      <c r="DE256" s="204"/>
      <c r="DF256" s="204"/>
      <c r="DG256" s="204"/>
      <c r="DH256" s="204"/>
    </row>
    <row r="257" spans="4:287" ht="17.25">
      <c r="G257" s="187">
        <v>723</v>
      </c>
      <c r="H257" s="187">
        <v>722</v>
      </c>
      <c r="I257" s="187">
        <v>721</v>
      </c>
      <c r="J257" s="187">
        <v>720</v>
      </c>
      <c r="K257" s="187">
        <v>719</v>
      </c>
      <c r="L257" s="187">
        <v>718</v>
      </c>
      <c r="M257" s="187">
        <v>717</v>
      </c>
      <c r="N257" s="187">
        <v>716</v>
      </c>
      <c r="O257" s="187">
        <v>715</v>
      </c>
      <c r="P257" s="187">
        <v>714</v>
      </c>
      <c r="Q257" s="187">
        <v>713</v>
      </c>
      <c r="R257" s="187">
        <v>712</v>
      </c>
      <c r="S257" s="187">
        <v>711</v>
      </c>
      <c r="T257" s="187">
        <v>710</v>
      </c>
      <c r="U257" s="187">
        <v>709</v>
      </c>
      <c r="V257" s="187">
        <v>708</v>
      </c>
      <c r="W257" s="187">
        <v>707</v>
      </c>
      <c r="X257" s="187">
        <v>706</v>
      </c>
      <c r="Y257" s="187">
        <v>705</v>
      </c>
      <c r="Z257" s="187">
        <v>704</v>
      </c>
      <c r="AA257" s="187">
        <v>703</v>
      </c>
      <c r="AB257" s="187">
        <v>702</v>
      </c>
      <c r="AC257" s="187">
        <v>701</v>
      </c>
      <c r="AD257" s="187">
        <v>700</v>
      </c>
      <c r="AE257" s="187">
        <v>699</v>
      </c>
      <c r="AF257" s="187">
        <v>698</v>
      </c>
      <c r="AG257" s="187">
        <v>697</v>
      </c>
      <c r="AH257" s="187">
        <v>696</v>
      </c>
      <c r="AI257" s="187">
        <v>695</v>
      </c>
      <c r="AJ257" s="187">
        <v>694</v>
      </c>
      <c r="AK257" s="187">
        <v>693</v>
      </c>
      <c r="AL257" s="187">
        <v>692</v>
      </c>
      <c r="AM257" s="187">
        <v>691</v>
      </c>
      <c r="AN257" s="187">
        <v>690</v>
      </c>
      <c r="AO257" s="187">
        <v>689</v>
      </c>
      <c r="AP257" s="187">
        <v>688</v>
      </c>
      <c r="AQ257" s="187">
        <v>687</v>
      </c>
      <c r="AR257" s="187">
        <v>686</v>
      </c>
      <c r="AS257" s="187">
        <v>685</v>
      </c>
      <c r="AT257" s="187">
        <v>684</v>
      </c>
      <c r="AU257" s="187">
        <v>683</v>
      </c>
      <c r="AV257" s="187">
        <v>682</v>
      </c>
      <c r="AW257" s="187">
        <v>681</v>
      </c>
      <c r="AX257" s="187">
        <v>680</v>
      </c>
      <c r="AY257" s="187">
        <v>679</v>
      </c>
      <c r="AZ257" s="187">
        <v>678</v>
      </c>
      <c r="BA257" s="187">
        <v>677</v>
      </c>
      <c r="BB257" s="187">
        <v>676</v>
      </c>
      <c r="BC257" s="187">
        <v>675</v>
      </c>
      <c r="BD257" s="187">
        <v>674</v>
      </c>
      <c r="BE257" s="187">
        <v>673</v>
      </c>
      <c r="BF257" s="187">
        <v>672</v>
      </c>
      <c r="BG257" s="187">
        <v>671</v>
      </c>
      <c r="BH257" s="187">
        <v>670</v>
      </c>
      <c r="BI257" s="187">
        <v>669</v>
      </c>
      <c r="BJ257" s="187">
        <v>668</v>
      </c>
      <c r="BK257" s="187">
        <v>667</v>
      </c>
      <c r="BL257" s="187">
        <v>666</v>
      </c>
      <c r="BM257" s="187">
        <v>665</v>
      </c>
      <c r="BN257" s="187">
        <v>664</v>
      </c>
      <c r="BO257" s="187">
        <v>663</v>
      </c>
      <c r="BP257" s="187">
        <v>662</v>
      </c>
      <c r="BQ257" s="187">
        <v>661</v>
      </c>
      <c r="BR257" s="187">
        <v>660</v>
      </c>
      <c r="BS257" s="187">
        <v>659</v>
      </c>
      <c r="BT257" s="187">
        <v>658</v>
      </c>
      <c r="BU257" s="187">
        <v>657</v>
      </c>
      <c r="BV257" s="187">
        <v>656</v>
      </c>
      <c r="BW257" s="187">
        <v>655</v>
      </c>
      <c r="BX257" s="187">
        <v>654</v>
      </c>
      <c r="BY257" s="187">
        <v>653</v>
      </c>
      <c r="BZ257" s="187">
        <v>652</v>
      </c>
      <c r="CA257" s="187">
        <v>651</v>
      </c>
      <c r="CB257" s="187">
        <v>650</v>
      </c>
      <c r="CC257" s="187">
        <v>649</v>
      </c>
      <c r="CD257" s="187">
        <v>648</v>
      </c>
      <c r="CE257" s="187">
        <v>647</v>
      </c>
      <c r="CF257" s="187">
        <v>646</v>
      </c>
      <c r="CG257" s="187">
        <v>645</v>
      </c>
      <c r="CH257" s="187">
        <v>644</v>
      </c>
      <c r="CI257" s="187">
        <v>643</v>
      </c>
      <c r="CJ257" s="187">
        <v>642</v>
      </c>
      <c r="CK257" s="187">
        <v>641</v>
      </c>
      <c r="CL257" s="187">
        <v>640</v>
      </c>
      <c r="CM257" s="187">
        <v>639</v>
      </c>
      <c r="CN257" s="187">
        <v>638</v>
      </c>
      <c r="CO257" s="187">
        <v>637</v>
      </c>
      <c r="CP257" s="187">
        <v>636</v>
      </c>
      <c r="CQ257" s="187">
        <v>635</v>
      </c>
      <c r="CR257" s="187">
        <v>634</v>
      </c>
      <c r="CS257" s="187">
        <v>633</v>
      </c>
      <c r="CT257" s="187">
        <v>632</v>
      </c>
      <c r="CU257" s="187">
        <v>631</v>
      </c>
      <c r="CV257" s="187">
        <v>630</v>
      </c>
      <c r="CW257" s="187">
        <v>629</v>
      </c>
      <c r="CX257" s="187">
        <v>628</v>
      </c>
      <c r="CY257" s="187">
        <v>627</v>
      </c>
      <c r="CZ257" s="187">
        <v>626</v>
      </c>
      <c r="DA257" s="187">
        <v>625</v>
      </c>
      <c r="DB257" s="187">
        <v>624</v>
      </c>
      <c r="DC257" s="187">
        <v>623</v>
      </c>
      <c r="DD257" s="187">
        <v>622</v>
      </c>
      <c r="DE257" s="187">
        <v>621</v>
      </c>
      <c r="DF257" s="187">
        <v>620</v>
      </c>
      <c r="DG257" s="187">
        <v>619</v>
      </c>
      <c r="DH257" s="187">
        <v>618</v>
      </c>
      <c r="DI257" s="187">
        <v>617</v>
      </c>
      <c r="DJ257" s="187">
        <v>616</v>
      </c>
      <c r="DK257" s="187">
        <v>615</v>
      </c>
      <c r="DL257" s="187">
        <v>614</v>
      </c>
      <c r="DM257" s="187">
        <v>613</v>
      </c>
      <c r="DN257" s="187">
        <v>612</v>
      </c>
      <c r="DO257" s="187">
        <v>611</v>
      </c>
      <c r="DP257" s="187">
        <v>610</v>
      </c>
      <c r="DQ257" s="187">
        <v>609</v>
      </c>
      <c r="DR257" s="187">
        <v>608</v>
      </c>
      <c r="DS257" s="187">
        <v>607</v>
      </c>
      <c r="DT257" s="187">
        <v>606</v>
      </c>
      <c r="DU257" s="185"/>
      <c r="DV257" s="184"/>
      <c r="DW257" s="185"/>
      <c r="DX257" s="184"/>
      <c r="DY257" s="185"/>
      <c r="DZ257" s="184"/>
      <c r="EA257" s="185"/>
      <c r="EB257" s="184"/>
      <c r="EC257" s="185"/>
      <c r="ED257" s="184"/>
      <c r="EE257" s="185"/>
      <c r="EF257" s="184"/>
      <c r="EG257" s="185"/>
      <c r="EH257" s="184"/>
      <c r="EI257" s="185"/>
      <c r="FA257" s="39"/>
      <c r="FK257" s="36"/>
      <c r="FL257" s="36"/>
      <c r="FM257" s="36"/>
      <c r="FN257" s="36"/>
      <c r="FO257" s="36"/>
      <c r="FP257" s="36"/>
      <c r="FQ257" s="36"/>
      <c r="FR257" s="36"/>
      <c r="FS257" s="36"/>
      <c r="FT257" s="36"/>
      <c r="FU257" s="36"/>
      <c r="FV257" s="36"/>
      <c r="FW257" s="36"/>
      <c r="FX257" s="36"/>
      <c r="FY257" s="36"/>
      <c r="FZ257" s="36"/>
      <c r="GA257" s="36"/>
      <c r="GB257" s="36"/>
      <c r="GC257" s="36"/>
      <c r="GD257" s="36"/>
      <c r="GE257" s="36"/>
      <c r="GF257" s="36"/>
      <c r="GG257" s="36"/>
      <c r="GH257" s="36"/>
      <c r="GI257" s="36"/>
      <c r="GJ257" s="36"/>
      <c r="GK257" s="36"/>
      <c r="GM257" s="36"/>
      <c r="GN257" s="36"/>
    </row>
    <row r="258" spans="4:287" ht="17.25">
      <c r="D258" s="128"/>
      <c r="E258" s="526">
        <v>1</v>
      </c>
      <c r="F258" s="145">
        <v>1</v>
      </c>
      <c r="G258" s="453">
        <f>COUNTIF(E254:BV254,F258)</f>
        <v>0</v>
      </c>
      <c r="H258" s="453">
        <f>COUNTIF(E253:BV253,F258)</f>
        <v>2</v>
      </c>
      <c r="I258" s="453">
        <f>COUNTIF(E252:BV252,F258)</f>
        <v>2</v>
      </c>
      <c r="J258" s="453">
        <f>COUNTIF(E251:BV251,F258)</f>
        <v>1</v>
      </c>
      <c r="K258" s="453">
        <f>COUNTIF(E250:BV250,F258)</f>
        <v>0</v>
      </c>
      <c r="L258" s="453">
        <f>COUNTIF(E249:BV249,F258)</f>
        <v>5</v>
      </c>
      <c r="M258" s="453">
        <f>COUNTIF(E248:BV248,F258)</f>
        <v>2</v>
      </c>
      <c r="N258" s="453">
        <f>COUNTIF(E247:BV247,F258)</f>
        <v>2</v>
      </c>
      <c r="O258" s="453">
        <f>COUNTIF(E246:BV246,F258)</f>
        <v>3</v>
      </c>
      <c r="P258" s="453">
        <f>COUNTIF(E245:BV245,F258)</f>
        <v>1</v>
      </c>
      <c r="Q258" s="453">
        <f>COUNTIF(E244:BV244,F258)</f>
        <v>2</v>
      </c>
      <c r="R258" s="453">
        <f>COUNTIF(E243:BV243,F258)</f>
        <v>0</v>
      </c>
      <c r="S258" s="453">
        <f>COUNTIF(E242:BV242,F258)</f>
        <v>7</v>
      </c>
      <c r="T258" s="453">
        <f>COUNTIF(E241:BV241,F258)</f>
        <v>0</v>
      </c>
      <c r="U258" s="453">
        <f>COUNTIF(E240:BV240,F258)</f>
        <v>2</v>
      </c>
      <c r="V258" s="453">
        <f>COUNTIF(E239:BV239,F258)</f>
        <v>0</v>
      </c>
      <c r="W258" s="453">
        <f>COUNTIF(E238:BV238,F258)</f>
        <v>0</v>
      </c>
      <c r="X258" s="453">
        <f>COUNTIF(E237:BV237,F258)</f>
        <v>1</v>
      </c>
      <c r="Y258" s="453">
        <f>COUNTIF(E236:BV236,F258)</f>
        <v>2</v>
      </c>
      <c r="Z258" s="453">
        <f>COUNTIF(E235:BV235,F258)</f>
        <v>1</v>
      </c>
      <c r="AA258" s="453">
        <f>COUNTIF(E234:BV234,F258)</f>
        <v>3</v>
      </c>
      <c r="AB258" s="453">
        <f>COUNTIF(E233:BV233,F258)</f>
        <v>0</v>
      </c>
      <c r="AC258" s="453">
        <f>COUNTIF(E232:BV232,F258)</f>
        <v>2</v>
      </c>
      <c r="AD258" s="453">
        <f>COUNTIF(E231:BV231,F258)</f>
        <v>0</v>
      </c>
      <c r="AE258" s="453">
        <f>COUNTIF(E230:BV230,F258)</f>
        <v>2</v>
      </c>
      <c r="AF258" s="453">
        <f>COUNTIF(E229:BV229,F258)</f>
        <v>1</v>
      </c>
      <c r="AG258" s="453">
        <f>COUNTIF(E228:BV228,F258)</f>
        <v>2</v>
      </c>
      <c r="AH258" s="453">
        <f>COUNTIF(E227:BV227,F258)</f>
        <v>6</v>
      </c>
      <c r="AI258" s="146">
        <f>COUNTIF(E226:BV226,F258)</f>
        <v>3</v>
      </c>
      <c r="AJ258" s="146">
        <f>COUNTIF(E225:BV225,F258)</f>
        <v>0</v>
      </c>
      <c r="AK258" s="146">
        <f>COUNTIF(E224:BV224,F258)</f>
        <v>1</v>
      </c>
      <c r="AL258" s="146">
        <f>COUNTIF(E223:BV223,F258)</f>
        <v>1</v>
      </c>
      <c r="AM258" s="146">
        <f>COUNTIF(E222:BV222,F258)</f>
        <v>1</v>
      </c>
      <c r="AN258" s="146">
        <f>COUNTIF(E221:BV221,F258)</f>
        <v>2</v>
      </c>
      <c r="AO258" s="146">
        <f>COUNTIF(E220:BV220,F258)</f>
        <v>3</v>
      </c>
      <c r="AP258" s="146">
        <f>COUNTIF(E219:BV219,F258)</f>
        <v>1</v>
      </c>
      <c r="AQ258" s="146">
        <f>COUNTIF(E218:BV218,F258)</f>
        <v>0</v>
      </c>
      <c r="AR258" s="146">
        <f>COUNTIF(E217:BV217,F258)</f>
        <v>1</v>
      </c>
      <c r="AS258" s="146">
        <f>COUNTIF(E216:BV216,F258)</f>
        <v>0</v>
      </c>
      <c r="AT258" s="146">
        <f>COUNTIF(E215:BV215,F258)</f>
        <v>0</v>
      </c>
      <c r="AU258" s="146">
        <f>COUNTIF(E214:BV214,F258)</f>
        <v>3</v>
      </c>
      <c r="AV258" s="146">
        <f>COUNTIF(E213:BV213,F258)</f>
        <v>0</v>
      </c>
      <c r="AW258" s="146">
        <f>COUNTIF(E212:BV212,F258)</f>
        <v>1</v>
      </c>
      <c r="AX258" s="146">
        <f>COUNTIF(E211:BV211,F258)</f>
        <v>1</v>
      </c>
      <c r="AY258" s="146">
        <f>COUNTIF(E210:BV210,F258)</f>
        <v>2</v>
      </c>
      <c r="AZ258" s="146">
        <f>COUNTIF(E209:BV209,F258)</f>
        <v>3</v>
      </c>
      <c r="BA258" s="146">
        <f>COUNTIF(E208:BV208,F258)</f>
        <v>2</v>
      </c>
      <c r="BB258" s="146">
        <f>COUNTIF(E207:BV207,F258)</f>
        <v>4</v>
      </c>
      <c r="BC258" s="146">
        <f>COUNTIF(E206:BV206,F258)</f>
        <v>1</v>
      </c>
      <c r="BD258" s="146">
        <f>COUNTIF(E205:BV205,F258)</f>
        <v>4</v>
      </c>
      <c r="BE258" s="146">
        <f>COUNTIF(E204:BV204,F258)</f>
        <v>4</v>
      </c>
      <c r="BF258" s="146">
        <f>COUNTIF(E203:BV203,F258)</f>
        <v>1</v>
      </c>
      <c r="BG258" s="146">
        <f>COUNTIF(E202:BV202,F258)</f>
        <v>3</v>
      </c>
      <c r="BH258" s="146">
        <f>COUNTIF(E201:BV201,F258)</f>
        <v>3</v>
      </c>
      <c r="BI258" s="146">
        <f>COUNTIF(E200:BV200,F258)</f>
        <v>1</v>
      </c>
      <c r="BJ258" s="146">
        <f>COUNTIF(E199:BV199,F258)</f>
        <v>0</v>
      </c>
      <c r="BK258" s="146">
        <f>COUNTIF(E198:BV198,F258)</f>
        <v>1</v>
      </c>
      <c r="BL258" s="146">
        <f>COUNTIF(E197:BV197,F258)</f>
        <v>3</v>
      </c>
      <c r="BM258" s="146">
        <f>COUNTIF(E196:BV196,F258)</f>
        <v>2</v>
      </c>
      <c r="BN258" s="146">
        <f>COUNTIF(E195:BV195,F258)</f>
        <v>3</v>
      </c>
      <c r="BO258" s="146">
        <f>COUNTIF(E194:BV194,F258)</f>
        <v>1</v>
      </c>
      <c r="BP258" s="146">
        <f>COUNTIF(E193:BV193,F258)</f>
        <v>1</v>
      </c>
      <c r="BQ258" s="146">
        <f>COUNTIF(E192:BV192,F258)</f>
        <v>3</v>
      </c>
      <c r="BR258" s="146">
        <f>COUNTIF(E191:BV191,F258)</f>
        <v>1</v>
      </c>
      <c r="BS258" s="146">
        <f>COUNTIF(E190:BV190,F258)</f>
        <v>1</v>
      </c>
      <c r="BT258" s="146">
        <f>COUNTIF(E189:BV189,F258)</f>
        <v>4</v>
      </c>
      <c r="BU258" s="146">
        <f>COUNTIF(E188:BV188,F258)</f>
        <v>4</v>
      </c>
      <c r="BV258" s="146">
        <f>COUNTIF(E187:BV187,F258)</f>
        <v>1</v>
      </c>
      <c r="BW258" s="146">
        <f>COUNTIF(E186:BV186,F258)</f>
        <v>1</v>
      </c>
      <c r="BX258" s="146">
        <f>COUNTIF(E185:BV185,F258)</f>
        <v>1</v>
      </c>
      <c r="BY258" s="146">
        <f>COUNTIF(E184:BV184,F258)</f>
        <v>3</v>
      </c>
      <c r="BZ258" s="146">
        <f>COUNTIF(E183:BV183,F258)</f>
        <v>0</v>
      </c>
      <c r="CA258" s="146">
        <f>COUNTIF(E182:BV182,F258)</f>
        <v>3</v>
      </c>
      <c r="CB258" s="146">
        <f>COUNTIF(E181:BV181,F258)</f>
        <v>2</v>
      </c>
      <c r="CC258" s="146">
        <f>COUNTIF(E180:BV180,F258)</f>
        <v>2</v>
      </c>
      <c r="CD258" s="146">
        <f>COUNTIF(E179:BV179,F258)</f>
        <v>3</v>
      </c>
      <c r="CE258" s="146">
        <f>COUNTIF(E178:BV178,F258)</f>
        <v>3</v>
      </c>
      <c r="CF258" s="146">
        <f>COUNTIF(E177:BV177,F258)</f>
        <v>1</v>
      </c>
      <c r="CG258" s="146">
        <f>COUNTIF(E176:BV176,F258)</f>
        <v>3</v>
      </c>
      <c r="CH258" s="146">
        <f>COUNTIF(E175:BV175,F258)</f>
        <v>1</v>
      </c>
      <c r="CI258" s="146">
        <f>COUNTIF(E174:BV174,F258)</f>
        <v>1</v>
      </c>
      <c r="CJ258" s="146">
        <f>COUNTIF(E173:BV173,F258)</f>
        <v>0</v>
      </c>
      <c r="CK258" s="146">
        <f>COUNTIF(E172:BV172,F258)</f>
        <v>3</v>
      </c>
      <c r="CL258" s="146">
        <f>COUNTIF(E171:BV171,F258)</f>
        <v>2</v>
      </c>
      <c r="CM258" s="146">
        <f>COUNTIF(E170:BV170,F258)</f>
        <v>0</v>
      </c>
      <c r="CN258" s="146">
        <f>COUNTIF(E169:BV169,F258)</f>
        <v>0</v>
      </c>
      <c r="CO258" s="146">
        <f>COUNTIF(E168:BV168,F258)</f>
        <v>2</v>
      </c>
      <c r="CP258" s="146">
        <f>COUNTIF(E167:BV167,F258)</f>
        <v>1</v>
      </c>
      <c r="CQ258" s="146">
        <f>COUNTIF(E166:BV166,F258)</f>
        <v>0</v>
      </c>
      <c r="CR258" s="146">
        <f>COUNTIF(E165:BV165,F258)</f>
        <v>1</v>
      </c>
      <c r="CS258" s="146">
        <f>COUNTIF(E164:BV164,F258)</f>
        <v>1</v>
      </c>
      <c r="CT258" s="146">
        <f>COUNTIF(E163:BV163,F258)</f>
        <v>2</v>
      </c>
      <c r="CU258" s="146">
        <f>COUNTIF(E162:BV162,F258)</f>
        <v>1</v>
      </c>
      <c r="CV258" s="146">
        <f>COUNTIF(E161:BV161,F258)</f>
        <v>1</v>
      </c>
      <c r="CW258" s="146">
        <f>COUNTIF(E160:BV160,F258)</f>
        <v>2</v>
      </c>
      <c r="CX258" s="146">
        <f>COUNTIF(E159:BV159,F258)</f>
        <v>3</v>
      </c>
      <c r="CY258" s="146">
        <f>COUNTIF(E158:BV158,F258)</f>
        <v>2</v>
      </c>
      <c r="CZ258" s="146">
        <f>COUNTIF(E157:BV157,F258)</f>
        <v>0</v>
      </c>
      <c r="DA258" s="146">
        <f>COUNTIF(E156:BV156,F258)</f>
        <v>1</v>
      </c>
      <c r="DB258" s="146">
        <f>COUNTIF(E155:BV155,F258)</f>
        <v>0</v>
      </c>
      <c r="DC258" s="146">
        <f>COUNTIF(E154:BV154,F258)</f>
        <v>1</v>
      </c>
      <c r="DD258" s="146">
        <v>2</v>
      </c>
      <c r="DE258" s="146"/>
      <c r="DF258" s="146"/>
      <c r="DG258" s="146"/>
      <c r="DH258" s="146"/>
      <c r="DI258" s="146"/>
      <c r="DJ258" s="146"/>
      <c r="DK258" s="146"/>
      <c r="DL258" s="146"/>
      <c r="DM258" s="146"/>
      <c r="DN258" s="146"/>
      <c r="DO258" s="146"/>
      <c r="DP258" s="146"/>
      <c r="DQ258" s="146"/>
      <c r="DR258" s="146"/>
      <c r="DS258" s="146"/>
      <c r="DT258" s="146"/>
      <c r="FE258" s="39"/>
      <c r="FL258" s="122"/>
      <c r="FN258" s="36"/>
      <c r="FO258" s="36"/>
      <c r="FP258" s="36"/>
      <c r="FQ258" s="36"/>
      <c r="FR258" s="36"/>
      <c r="FS258" s="36"/>
      <c r="FT258" s="36"/>
      <c r="FU258" s="36"/>
      <c r="FV258" s="36"/>
      <c r="FW258" s="36"/>
      <c r="FX258" s="36"/>
      <c r="FY258" s="36"/>
      <c r="FZ258" s="36"/>
      <c r="GA258" s="36"/>
      <c r="GB258" s="36"/>
      <c r="GC258" s="36"/>
      <c r="GD258" s="36"/>
      <c r="GE258" s="36"/>
      <c r="GF258" s="36"/>
      <c r="GG258" s="36"/>
      <c r="GH258" s="36"/>
      <c r="GI258" s="36"/>
      <c r="GJ258" s="36"/>
      <c r="GK258" s="36"/>
      <c r="GL258" s="36"/>
      <c r="GN258" s="36"/>
      <c r="GO258" s="36"/>
      <c r="GP258" s="36"/>
      <c r="GQ258" s="36"/>
    </row>
    <row r="259" spans="4:287" ht="17.25">
      <c r="D259" s="128"/>
      <c r="E259" s="546">
        <v>2</v>
      </c>
      <c r="F259" s="145">
        <v>2</v>
      </c>
      <c r="G259" s="639"/>
      <c r="H259" s="453">
        <f>COUNTIF(E253:BV253,F259)</f>
        <v>1</v>
      </c>
      <c r="I259" s="453">
        <f>COUNTIF(E252:BV252,F259)</f>
        <v>1</v>
      </c>
      <c r="J259" s="453">
        <f>COUNTIF(E251:BV251,F259)</f>
        <v>4</v>
      </c>
      <c r="K259" s="453">
        <f>COUNTIF(E250:BV250,F259)</f>
        <v>2</v>
      </c>
      <c r="L259" s="453">
        <f>COUNTIF(E249:BV249,F259)</f>
        <v>1</v>
      </c>
      <c r="M259" s="453">
        <f>COUNTIF(E248:BV248,F259)</f>
        <v>0</v>
      </c>
      <c r="N259" s="453">
        <f>COUNTIF(E247:BV247,F259)</f>
        <v>2</v>
      </c>
      <c r="O259" s="453">
        <f>COUNTIF(E246:BV246,F259)</f>
        <v>2</v>
      </c>
      <c r="P259" s="453">
        <f>COUNTIF(E245:BV245,F259)</f>
        <v>2</v>
      </c>
      <c r="Q259" s="453">
        <f>COUNTIF(E244:BV244,F259)</f>
        <v>4</v>
      </c>
      <c r="R259" s="453">
        <f>COUNTIF(E243:BV243,F259)</f>
        <v>1</v>
      </c>
      <c r="S259" s="453">
        <f>COUNTIF(E242:BV242,F259)</f>
        <v>3</v>
      </c>
      <c r="T259" s="453">
        <f>COUNTIF(E241:BV241,F259)</f>
        <v>1</v>
      </c>
      <c r="U259" s="453">
        <f>COUNTIF(E240:BV240,F259)</f>
        <v>2</v>
      </c>
      <c r="V259" s="453">
        <f>COUNTIF(E239:BV239,F259)</f>
        <v>4</v>
      </c>
      <c r="W259" s="453">
        <f>COUNTIF(E238:BV238,F259)</f>
        <v>0</v>
      </c>
      <c r="X259" s="453">
        <f>COUNTIF(E237:BV237,F259)</f>
        <v>7</v>
      </c>
      <c r="Y259" s="453">
        <f>COUNTIF(E236:BV236,F259)</f>
        <v>0</v>
      </c>
      <c r="Z259" s="453">
        <f>COUNTIF(E235:BV235,F259)</f>
        <v>1</v>
      </c>
      <c r="AA259" s="453">
        <f>COUNTIF(E234:BV234,F259)</f>
        <v>4</v>
      </c>
      <c r="AB259" s="453">
        <f>COUNTIF(E233:BV233,F259)</f>
        <v>1</v>
      </c>
      <c r="AC259" s="453">
        <f>COUNTIF(E232:BV232,F259)</f>
        <v>2</v>
      </c>
      <c r="AD259" s="453">
        <f>COUNTIF(E231:BV231,F259)</f>
        <v>0</v>
      </c>
      <c r="AE259" s="453">
        <f>COUNTIF(E230:BV230,F259)</f>
        <v>2</v>
      </c>
      <c r="AF259" s="453">
        <f>COUNTIF(E229:BV229,F259)</f>
        <v>0</v>
      </c>
      <c r="AG259" s="453">
        <f>COUNTIF(E228:BV228,F259)</f>
        <v>5</v>
      </c>
      <c r="AH259" s="453">
        <f>COUNTIF(E227:BV227,F259)</f>
        <v>4</v>
      </c>
      <c r="AI259" s="146">
        <f>COUNTIF(E226:BV226,F259)</f>
        <v>2</v>
      </c>
      <c r="AJ259" s="146">
        <f>COUNTIF(E225:BV225,F259)</f>
        <v>3</v>
      </c>
      <c r="AK259" s="146">
        <f>COUNTIF(E224:BV224,F259)</f>
        <v>2</v>
      </c>
      <c r="AL259" s="146">
        <f>COUNTIF(E223:BV223,F259)</f>
        <v>1</v>
      </c>
      <c r="AM259" s="146">
        <f>COUNTIF(E222:BV222,F259)</f>
        <v>1</v>
      </c>
      <c r="AN259" s="146">
        <f>COUNTIF(E221:BV221,F259)</f>
        <v>3</v>
      </c>
      <c r="AO259" s="146">
        <f>COUNTIF(E220:BV220,F259)</f>
        <v>3</v>
      </c>
      <c r="AP259" s="146">
        <f>COUNTIF(E219:BV219,F259)</f>
        <v>2</v>
      </c>
      <c r="AQ259" s="146">
        <f>COUNTIF(E218:BV218,F259)</f>
        <v>2</v>
      </c>
      <c r="AR259" s="146">
        <f>COUNTIF(E217:BV217,F259)</f>
        <v>2</v>
      </c>
      <c r="AS259" s="146">
        <f>COUNTIF(E216:BV216,F259)</f>
        <v>2</v>
      </c>
      <c r="AT259" s="146">
        <f>COUNTIF(E215:BV215,F259)</f>
        <v>3</v>
      </c>
      <c r="AU259" s="146">
        <f>COUNTIF(E214:BV214,F259)</f>
        <v>3</v>
      </c>
      <c r="AV259" s="146">
        <f>COUNTIF(E213:BV213,F259)</f>
        <v>0</v>
      </c>
      <c r="AW259" s="146">
        <f>COUNTIF(E212:BV212,F259)</f>
        <v>1</v>
      </c>
      <c r="AX259" s="146">
        <f>COUNTIF(E211:BV211,F259)</f>
        <v>2</v>
      </c>
      <c r="AY259" s="146">
        <f>COUNTIF(E210:BV210,F259)</f>
        <v>0</v>
      </c>
      <c r="AZ259" s="146">
        <f>COUNTIF(E209:BV209,F259)</f>
        <v>4</v>
      </c>
      <c r="BA259" s="146">
        <f>COUNTIF(E208:BV208,F259)</f>
        <v>2</v>
      </c>
      <c r="BB259" s="146">
        <f>COUNTIF(E207:BV207,F259)</f>
        <v>3</v>
      </c>
      <c r="BC259" s="146">
        <f>COUNTIF(E206:BV206,F259)</f>
        <v>2</v>
      </c>
      <c r="BD259" s="146">
        <f>COUNTIF(E205:BV205,F259)</f>
        <v>1</v>
      </c>
      <c r="BE259" s="146">
        <f>COUNTIF(E204:BV204,F259)</f>
        <v>3</v>
      </c>
      <c r="BF259" s="146">
        <f>COUNTIF(E203:BV203,F259)</f>
        <v>1</v>
      </c>
      <c r="BG259" s="146">
        <f>COUNTIF(E202:BV202,F259)</f>
        <v>5</v>
      </c>
      <c r="BH259" s="146">
        <f>COUNTIF(E201:BV201,F259)</f>
        <v>2</v>
      </c>
      <c r="BI259" s="146">
        <f>COUNTIF(E200:BV200,F259)</f>
        <v>1</v>
      </c>
      <c r="BJ259" s="146">
        <f>COUNTIF(E199:BV199,F259)</f>
        <v>3</v>
      </c>
      <c r="BK259" s="146">
        <f>COUNTIF(E198:BV198,F259)</f>
        <v>1</v>
      </c>
      <c r="BL259" s="146">
        <f>COUNTIF(E197:BV197,F259)</f>
        <v>0</v>
      </c>
      <c r="BM259" s="146">
        <f>COUNTIF(E196:BV196,F259)</f>
        <v>0</v>
      </c>
      <c r="BN259" s="146">
        <f>COUNTIF(E195:BV195,F259)</f>
        <v>2</v>
      </c>
      <c r="BO259" s="146">
        <f>COUNTIF(E194:BV194,F259)</f>
        <v>2</v>
      </c>
      <c r="BP259" s="146">
        <f>COUNTIF(E193:BV193,F259)</f>
        <v>2</v>
      </c>
      <c r="BQ259" s="146">
        <f>COUNTIF(E192:BV192,F259)</f>
        <v>1</v>
      </c>
      <c r="BR259" s="146">
        <f>COUNTIF(E191:BV191,F259)</f>
        <v>0</v>
      </c>
      <c r="BS259" s="146">
        <f>COUNTIF(E190:BV190,F259)</f>
        <v>3</v>
      </c>
      <c r="BT259" s="146">
        <f>COUNTIF(E189:BV189,F259)</f>
        <v>2</v>
      </c>
      <c r="BU259" s="146">
        <f>COUNTIF(E188:BV188,F259)</f>
        <v>2</v>
      </c>
      <c r="BV259" s="146">
        <f>COUNTIF(E187:BV187,F259)</f>
        <v>1</v>
      </c>
      <c r="BW259" s="146">
        <f>COUNTIF(E186:BV186,F259)</f>
        <v>0</v>
      </c>
      <c r="BX259" s="146">
        <f>COUNTIF(E185:BV185,F259)</f>
        <v>2</v>
      </c>
      <c r="BY259" s="146">
        <f>COUNTIF(E184:BV184,F259)</f>
        <v>2</v>
      </c>
      <c r="BZ259" s="146">
        <f>COUNTIF(E183:BV183,F259)</f>
        <v>0</v>
      </c>
      <c r="CA259" s="146">
        <f>COUNTIF(E182:BV182,F259)</f>
        <v>2</v>
      </c>
      <c r="CB259" s="146">
        <f>COUNTIF(E181:BV181,F259)</f>
        <v>3</v>
      </c>
      <c r="CC259" s="146">
        <f>COUNTIF(E180:BV180,F259)</f>
        <v>1</v>
      </c>
      <c r="CD259" s="146">
        <f>COUNTIF(E179:BV179,F259)</f>
        <v>2</v>
      </c>
      <c r="CE259" s="146">
        <f>COUNTIF(E178:BV178,F259)</f>
        <v>1</v>
      </c>
      <c r="CF259" s="146">
        <f>COUNTIF(E177:BV177,F259)</f>
        <v>0</v>
      </c>
      <c r="CG259" s="146">
        <f>COUNTIF(E176:BV176,F259)</f>
        <v>3</v>
      </c>
      <c r="CH259" s="146">
        <f>COUNTIF(E175:BV175,F259)</f>
        <v>0</v>
      </c>
      <c r="CI259" s="146">
        <f>COUNTIF(E174:BV174,F259)</f>
        <v>2</v>
      </c>
      <c r="CJ259" s="146">
        <f>COUNTIF(E173:BV173,F259)</f>
        <v>0</v>
      </c>
      <c r="CK259" s="146">
        <f>COUNTIF(E172:BV172,F259)</f>
        <v>2</v>
      </c>
      <c r="CL259" s="146">
        <f>COUNTIF(E171:BV171,F259)</f>
        <v>0</v>
      </c>
      <c r="CM259" s="146">
        <f>COUNTIF(E170:BV170,F259)</f>
        <v>0</v>
      </c>
      <c r="CN259" s="146">
        <f>COUNTIF(E169:BV169,F259)</f>
        <v>3</v>
      </c>
      <c r="CO259" s="146">
        <f>COUNTIF(E168:BV168,F259)</f>
        <v>3</v>
      </c>
      <c r="CP259" s="146">
        <f>COUNTIF(E167:BV167,F259)</f>
        <v>0</v>
      </c>
      <c r="CQ259" s="146">
        <f>COUNTIF(E166:BV166,F259)</f>
        <v>1</v>
      </c>
      <c r="CR259" s="146">
        <f>COUNTIF(E165:BV165,F259)</f>
        <v>2</v>
      </c>
      <c r="CS259" s="146">
        <f>COUNTIF(E164:BV164,F259)</f>
        <v>1</v>
      </c>
      <c r="CT259" s="146">
        <f>COUNTIF(E163:BV163,F259)</f>
        <v>5</v>
      </c>
      <c r="CU259" s="146">
        <f>COUNTIF(E162:BV162,F259)</f>
        <v>2</v>
      </c>
      <c r="CV259" s="146">
        <f>COUNTIF(E161:BV161,F259)</f>
        <v>2</v>
      </c>
      <c r="CW259" s="146">
        <f>COUNTIF(E160:BV160,F259)</f>
        <v>2</v>
      </c>
      <c r="CX259" s="146">
        <f>COUNTIF(E159:BV159,F259)</f>
        <v>2</v>
      </c>
      <c r="CY259" s="146">
        <f>COUNTIF(E158:BV158,F259)</f>
        <v>3</v>
      </c>
      <c r="CZ259" s="146">
        <f>COUNTIF(E157:BV157,F259)</f>
        <v>2</v>
      </c>
      <c r="DA259" s="146">
        <f>COUNTIF(E156:BV156,F259)</f>
        <v>1</v>
      </c>
      <c r="DB259" s="146">
        <f>COUNTIF(E155:BV155,F259)</f>
        <v>2</v>
      </c>
      <c r="DC259" s="146">
        <f>COUNTIF(E154:BV154,F259)</f>
        <v>1</v>
      </c>
      <c r="DD259" s="146">
        <v>0</v>
      </c>
      <c r="DE259" s="146"/>
      <c r="DF259" s="146"/>
      <c r="DG259" s="146"/>
      <c r="DH259" s="146"/>
      <c r="DI259" s="146"/>
      <c r="DJ259" s="146"/>
      <c r="DK259" s="146"/>
      <c r="DL259" s="146"/>
      <c r="DM259" s="146"/>
      <c r="DN259" s="146"/>
      <c r="DO259" s="146"/>
      <c r="DP259" s="146"/>
      <c r="DQ259" s="146"/>
      <c r="DR259" s="146"/>
      <c r="DS259" s="146"/>
      <c r="DT259" s="146"/>
      <c r="FE259" s="39"/>
      <c r="FL259" s="122"/>
      <c r="FN259" s="36"/>
      <c r="FO259" s="36"/>
      <c r="FP259" s="36"/>
      <c r="FQ259" s="36"/>
      <c r="FR259" s="36"/>
      <c r="FS259" s="36"/>
      <c r="FT259" s="36"/>
      <c r="FU259" s="36"/>
      <c r="FV259" s="36"/>
      <c r="FW259" s="36"/>
      <c r="FX259" s="36"/>
      <c r="FY259" s="36"/>
      <c r="FZ259" s="36"/>
      <c r="GA259" s="36"/>
      <c r="GB259" s="36"/>
      <c r="GC259" s="36"/>
      <c r="GD259" s="36"/>
      <c r="GE259" s="36"/>
      <c r="GF259" s="36"/>
      <c r="GG259" s="36"/>
      <c r="GH259" s="36"/>
      <c r="GI259" s="36"/>
      <c r="GJ259" s="36"/>
      <c r="GK259" s="36"/>
      <c r="GL259" s="36"/>
      <c r="GN259" s="36"/>
      <c r="GO259" s="36"/>
      <c r="GP259" s="36"/>
      <c r="GQ259" s="36"/>
    </row>
    <row r="260" spans="4:287" ht="17.25">
      <c r="D260" s="128"/>
      <c r="E260" s="526"/>
      <c r="F260" s="145">
        <v>3</v>
      </c>
      <c r="G260" s="639"/>
      <c r="H260" s="453">
        <f>COUNTIF(E253:BV253,F260)</f>
        <v>0</v>
      </c>
      <c r="I260" s="453">
        <f>COUNTIF(E252:BV252,F260)</f>
        <v>1</v>
      </c>
      <c r="J260" s="453">
        <f>COUNTIF(E251:BV251,F260)</f>
        <v>2</v>
      </c>
      <c r="K260" s="453">
        <f>COUNTIF(E250:BV250,F260)</f>
        <v>2</v>
      </c>
      <c r="L260" s="453">
        <f>COUNTIF(E249:BV249,F260)</f>
        <v>3</v>
      </c>
      <c r="M260" s="453">
        <f>COUNTIF(E248:BV248,F260)</f>
        <v>2</v>
      </c>
      <c r="N260" s="453">
        <f>COUNTIF(E247:BV247,F260)</f>
        <v>4</v>
      </c>
      <c r="O260" s="453">
        <f>COUNTIF(E246:BV246,F260)</f>
        <v>1</v>
      </c>
      <c r="P260" s="453">
        <f>COUNTIF(E245:BV245,F260)</f>
        <v>1</v>
      </c>
      <c r="Q260" s="453">
        <f>COUNTIF(E244:BV244,F260)</f>
        <v>2</v>
      </c>
      <c r="R260" s="453">
        <f>COUNTIF(E243:BV243,F260)</f>
        <v>0</v>
      </c>
      <c r="S260" s="453">
        <f>COUNTIF(E242:BV242,F260)</f>
        <v>1</v>
      </c>
      <c r="T260" s="453">
        <f>COUNTIF(E241:BV241,F260)</f>
        <v>1</v>
      </c>
      <c r="U260" s="453">
        <f>COUNTIF(E240:BV240,F260)</f>
        <v>0</v>
      </c>
      <c r="V260" s="453">
        <f>COUNTIF(E239:BV239,F260)</f>
        <v>3</v>
      </c>
      <c r="W260" s="453">
        <f>COUNTIF(E238:BV238,F260)</f>
        <v>4</v>
      </c>
      <c r="X260" s="453">
        <f>COUNTIF(E237:BV237,F260)</f>
        <v>1</v>
      </c>
      <c r="Y260" s="453">
        <f>COUNTIF(E236:BV236,F260)</f>
        <v>1</v>
      </c>
      <c r="Z260" s="453">
        <f>COUNTIF(E235:BV235,F260)</f>
        <v>3</v>
      </c>
      <c r="AA260" s="453">
        <f>COUNTIF(E234:BV234,F260)</f>
        <v>2</v>
      </c>
      <c r="AB260" s="453">
        <f>COUNTIF(E233:BV233,F260)</f>
        <v>2</v>
      </c>
      <c r="AC260" s="453">
        <f>COUNTIF(E232:BV232,F260)</f>
        <v>2</v>
      </c>
      <c r="AD260" s="453">
        <f>COUNTIF(E231:BV231,F260)</f>
        <v>1</v>
      </c>
      <c r="AE260" s="453">
        <f>COUNTIF(E230:BV230,F260)</f>
        <v>1</v>
      </c>
      <c r="AF260" s="453">
        <f>COUNTIF(E229:BV229,F260)</f>
        <v>2</v>
      </c>
      <c r="AG260" s="453">
        <f>COUNTIF(E228:BV228,F260)</f>
        <v>0</v>
      </c>
      <c r="AH260" s="453">
        <f>COUNTIF(E227:BV227,F260)</f>
        <v>3</v>
      </c>
      <c r="AI260" s="146">
        <f>COUNTIF(E226:BV226,F260)</f>
        <v>2</v>
      </c>
      <c r="AJ260" s="146">
        <f>COUNTIF(E225:BV225,F260)</f>
        <v>2</v>
      </c>
      <c r="AK260" s="146">
        <f>COUNTIF(E224:BV224,F260)</f>
        <v>1</v>
      </c>
      <c r="AL260" s="146">
        <f>COUNTIF(E223:BV223,F260)</f>
        <v>2</v>
      </c>
      <c r="AM260" s="146">
        <f>COUNTIF(E222:BV222,F260)</f>
        <v>4</v>
      </c>
      <c r="AN260" s="146">
        <f>COUNTIF(E221:BV221,F260)</f>
        <v>3</v>
      </c>
      <c r="AO260" s="146">
        <f>COUNTIF(E220:BV220,F260)</f>
        <v>0</v>
      </c>
      <c r="AP260" s="146">
        <f>COUNTIF(E219:BV219,F260)</f>
        <v>2</v>
      </c>
      <c r="AQ260" s="146">
        <f>COUNTIF(E218:BV218,F260)</f>
        <v>2</v>
      </c>
      <c r="AR260" s="146">
        <f>COUNTIF(E217:BV217,F260)</f>
        <v>1</v>
      </c>
      <c r="AS260" s="146">
        <f>COUNTIF(E216:BV216,F260)</f>
        <v>1</v>
      </c>
      <c r="AT260" s="146">
        <f>COUNTIF(E215:BV215,F260)</f>
        <v>0</v>
      </c>
      <c r="AU260" s="146">
        <f>COUNTIF(E214:BV214,F260)</f>
        <v>2</v>
      </c>
      <c r="AV260" s="146">
        <f>COUNTIF(E213:BV213,F260)</f>
        <v>1</v>
      </c>
      <c r="AW260" s="146">
        <f>COUNTIF(E212:BV212,F260)</f>
        <v>1</v>
      </c>
      <c r="AX260" s="146">
        <f>COUNTIF(E211:BV211,F260)</f>
        <v>3</v>
      </c>
      <c r="AY260" s="146">
        <f>COUNTIF(E210:BV210,F260)</f>
        <v>3</v>
      </c>
      <c r="AZ260" s="146">
        <f>COUNTIF(E209:BV209,F260)</f>
        <v>3</v>
      </c>
      <c r="BA260" s="146">
        <f>COUNTIF(E208:BV208,F260)</f>
        <v>2</v>
      </c>
      <c r="BB260" s="146">
        <f>COUNTIF(E207:BV207,F260)</f>
        <v>0</v>
      </c>
      <c r="BC260" s="146">
        <f>COUNTIF(E206:BV206,F260)</f>
        <v>2</v>
      </c>
      <c r="BD260" s="146">
        <f>COUNTIF(E205:BV205,F260)</f>
        <v>1</v>
      </c>
      <c r="BE260" s="146">
        <f>COUNTIF(E204:BV204,F260)</f>
        <v>0</v>
      </c>
      <c r="BF260" s="146">
        <f>COUNTIF(E203:BV203,F260)</f>
        <v>2</v>
      </c>
      <c r="BG260" s="146">
        <f>COUNTIF(E202:BV202,F260)</f>
        <v>2</v>
      </c>
      <c r="BH260" s="146">
        <f>COUNTIF(E201:BV201,F260)</f>
        <v>4</v>
      </c>
      <c r="BI260" s="146">
        <f>COUNTIF(E200:BV200,F260)</f>
        <v>4</v>
      </c>
      <c r="BJ260" s="146">
        <f>COUNTIF(E199:BV199,F260)</f>
        <v>3</v>
      </c>
      <c r="BK260" s="146">
        <f>COUNTIF(E198:BV198,F260)</f>
        <v>2</v>
      </c>
      <c r="BL260" s="146">
        <f>COUNTIF(E197:BV197,F260)</f>
        <v>6</v>
      </c>
      <c r="BM260" s="146">
        <f>COUNTIF(E196:BV196,F260)</f>
        <v>2</v>
      </c>
      <c r="BN260" s="146">
        <f>COUNTIF(E195:BV195,F260)</f>
        <v>0</v>
      </c>
      <c r="BO260" s="146">
        <f>COUNTIF(E194:BV194,F260)</f>
        <v>2</v>
      </c>
      <c r="BP260" s="146">
        <f>COUNTIF(E193:BV193,F260)</f>
        <v>1</v>
      </c>
      <c r="BQ260" s="146">
        <f>COUNTIF(E192:BV192,F260)</f>
        <v>1</v>
      </c>
      <c r="BR260" s="146">
        <f>COUNTIF(E191:BV191,F260)</f>
        <v>0</v>
      </c>
      <c r="BS260" s="146">
        <f>COUNTIF(E190:BV190,F260)</f>
        <v>4</v>
      </c>
      <c r="BT260" s="146">
        <f>COUNTIF(E189:BV189,F260)</f>
        <v>1</v>
      </c>
      <c r="BU260" s="146">
        <f>COUNTIF(E188:BV188,F260)</f>
        <v>1</v>
      </c>
      <c r="BV260" s="146">
        <f>COUNTIF(E187:BV187,F260)</f>
        <v>2</v>
      </c>
      <c r="BW260" s="146">
        <f>COUNTIF(E186:BV186,F260)</f>
        <v>3</v>
      </c>
      <c r="BX260" s="146">
        <f>COUNTIF(E185:BV185,F260)</f>
        <v>3</v>
      </c>
      <c r="BY260" s="146">
        <f>COUNTIF(E184:BV184,F260)</f>
        <v>4</v>
      </c>
      <c r="BZ260" s="146">
        <f>COUNTIF(E183:BV183,F260)</f>
        <v>3</v>
      </c>
      <c r="CA260" s="146">
        <f>COUNTIF(E182:BV182,F260)</f>
        <v>0</v>
      </c>
      <c r="CB260" s="146">
        <f>COUNTIF(E181:BV181,F260)</f>
        <v>1</v>
      </c>
      <c r="CC260" s="146">
        <f>COUNTIF(E180:BV180,F260)</f>
        <v>1</v>
      </c>
      <c r="CD260" s="146">
        <f>COUNTIF(E179:BV179,F260)</f>
        <v>1</v>
      </c>
      <c r="CE260" s="146">
        <f>COUNTIF(E178:BV178,F260)</f>
        <v>2</v>
      </c>
      <c r="CF260" s="146">
        <f>COUNTIF(E177:BV177,F260)</f>
        <v>3</v>
      </c>
      <c r="CG260" s="146">
        <f>COUNTIF(E176:BV176,F260)</f>
        <v>2</v>
      </c>
      <c r="CH260" s="146">
        <f>COUNTIF(E175:BV175,F260)</f>
        <v>1</v>
      </c>
      <c r="CI260" s="146">
        <f>COUNTIF(E174:BV174,F260)</f>
        <v>4</v>
      </c>
      <c r="CJ260" s="146">
        <f>COUNTIF(E173:BV173,F260)</f>
        <v>2</v>
      </c>
      <c r="CK260" s="146">
        <f>COUNTIF(E172:BV172,F260)</f>
        <v>2</v>
      </c>
      <c r="CL260" s="146">
        <f>COUNTIF(E171:BV171,F260)</f>
        <v>1</v>
      </c>
      <c r="CM260" s="146">
        <f>COUNTIF(E170:BV170,F260)</f>
        <v>3</v>
      </c>
      <c r="CN260" s="146">
        <f>COUNTIF(E169:BV169,F260)</f>
        <v>2</v>
      </c>
      <c r="CO260" s="146">
        <f>COUNTIF(E168:BV168,F260)</f>
        <v>0</v>
      </c>
      <c r="CP260" s="146">
        <f>COUNTIF(E167:BV167,F260)</f>
        <v>2</v>
      </c>
      <c r="CQ260" s="146">
        <f>COUNTIF(E166:BV166,F260)</f>
        <v>2</v>
      </c>
      <c r="CR260" s="146">
        <f>COUNTIF(E165:BV165,F260)</f>
        <v>0</v>
      </c>
      <c r="CS260" s="146">
        <f>COUNTIF(E164:BV164,F260)</f>
        <v>1</v>
      </c>
      <c r="CT260" s="146">
        <f>COUNTIF(E163:BV163,F260)</f>
        <v>0</v>
      </c>
      <c r="CU260" s="146">
        <f>COUNTIF(E162:BV162,F260)</f>
        <v>2</v>
      </c>
      <c r="CV260" s="146">
        <f>COUNTIF(E161:BV161,F260)</f>
        <v>1</v>
      </c>
      <c r="CW260" s="146">
        <f>COUNTIF(E160:BV160,F260)</f>
        <v>2</v>
      </c>
      <c r="CX260" s="146">
        <f>COUNTIF(E159:BV159,F260)</f>
        <v>1</v>
      </c>
      <c r="CY260" s="146">
        <f>COUNTIF(E158:BV158,F260)</f>
        <v>3</v>
      </c>
      <c r="CZ260" s="146">
        <f>COUNTIF(E157:BV157,F260)</f>
        <v>0</v>
      </c>
      <c r="DA260" s="146">
        <f>COUNTIF(E156:BV156,F260)</f>
        <v>0</v>
      </c>
      <c r="DB260" s="146">
        <f>COUNTIF(E155:BV155,F260)</f>
        <v>3</v>
      </c>
      <c r="DC260" s="146">
        <f>COUNTIF(E154:BV154,F260)</f>
        <v>2</v>
      </c>
      <c r="DD260" s="146">
        <v>2</v>
      </c>
      <c r="DE260" s="146"/>
      <c r="DF260" s="146"/>
      <c r="DG260" s="146"/>
      <c r="DH260" s="146"/>
      <c r="DI260" s="146"/>
      <c r="DJ260" s="146"/>
      <c r="DK260" s="146"/>
      <c r="DL260" s="146"/>
      <c r="DM260" s="146"/>
      <c r="DN260" s="146"/>
      <c r="DO260" s="146"/>
      <c r="DP260" s="146"/>
      <c r="DQ260" s="146"/>
      <c r="DR260" s="146"/>
      <c r="DS260" s="146"/>
      <c r="DT260" s="146"/>
      <c r="FE260" s="39"/>
      <c r="FL260" s="122"/>
      <c r="FN260" s="36"/>
      <c r="FO260" s="36"/>
      <c r="FP260" s="36"/>
      <c r="FQ260" s="36"/>
      <c r="FR260" s="36"/>
      <c r="FS260" s="36"/>
      <c r="FT260" s="36"/>
      <c r="FU260" s="36"/>
      <c r="FV260" s="36"/>
      <c r="FW260" s="36"/>
      <c r="FX260" s="36"/>
      <c r="FY260" s="36"/>
      <c r="FZ260" s="36"/>
      <c r="GA260" s="36"/>
      <c r="GB260" s="36"/>
      <c r="GC260" s="36"/>
      <c r="GD260" s="36"/>
      <c r="GE260" s="36"/>
      <c r="GF260" s="36"/>
      <c r="GG260" s="36"/>
      <c r="GH260" s="36"/>
      <c r="GI260" s="36"/>
      <c r="GJ260" s="36"/>
      <c r="GK260" s="36"/>
      <c r="GL260" s="36"/>
      <c r="GN260" s="36"/>
      <c r="GO260" s="36"/>
      <c r="GP260" s="36"/>
      <c r="GQ260" s="36"/>
    </row>
    <row r="261" spans="4:287" ht="17.25">
      <c r="D261" s="128"/>
      <c r="E261" s="546">
        <v>4</v>
      </c>
      <c r="F261" s="145">
        <v>4</v>
      </c>
      <c r="G261" s="639"/>
      <c r="H261" s="453">
        <f>COUNTIF(E253:BV253,F261)</f>
        <v>4</v>
      </c>
      <c r="I261" s="453">
        <f>COUNTIF(E252:BV252,F261)</f>
        <v>4</v>
      </c>
      <c r="J261" s="453">
        <f>COUNTIF(E251:BV251,F261)</f>
        <v>2</v>
      </c>
      <c r="K261" s="453">
        <f>COUNTIF(E250:BV250,F261)</f>
        <v>3</v>
      </c>
      <c r="L261" s="453">
        <f>COUNTIF(E249:BV249,F261)</f>
        <v>3</v>
      </c>
      <c r="M261" s="453">
        <f>COUNTIF(E248:BV248,F261)</f>
        <v>4</v>
      </c>
      <c r="N261" s="453">
        <f>COUNTIF(E247:BV247,F261)</f>
        <v>1</v>
      </c>
      <c r="O261" s="453">
        <f>COUNTIF(E246:BV246,F261)</f>
        <v>4</v>
      </c>
      <c r="P261" s="453">
        <f>COUNTIF(E245:BV245,F261)</f>
        <v>1</v>
      </c>
      <c r="Q261" s="453">
        <f>COUNTIF(E244:BV244,F261)</f>
        <v>1</v>
      </c>
      <c r="R261" s="453">
        <f>COUNTIF(E243:BV243,F261)</f>
        <v>1</v>
      </c>
      <c r="S261" s="453">
        <f>COUNTIF(E242:BV242,F261)</f>
        <v>1</v>
      </c>
      <c r="T261" s="453">
        <f>COUNTIF(E241:BV241,F261)</f>
        <v>0</v>
      </c>
      <c r="U261" s="453">
        <f>COUNTIF(E240:BV240,F261)</f>
        <v>1</v>
      </c>
      <c r="V261" s="453">
        <f>COUNTIF(E239:BV239,F261)</f>
        <v>4</v>
      </c>
      <c r="W261" s="453">
        <f>COUNTIF(E238:BV238,F261)</f>
        <v>0</v>
      </c>
      <c r="X261" s="453">
        <f>COUNTIF(E237:BV237,F261)</f>
        <v>2</v>
      </c>
      <c r="Y261" s="453">
        <f>COUNTIF(E236:BV236,F261)</f>
        <v>3</v>
      </c>
      <c r="Z261" s="453">
        <f>COUNTIF(E235:BV235,F261)</f>
        <v>4</v>
      </c>
      <c r="AA261" s="453">
        <f>COUNTIF(E234:BV234,F261)</f>
        <v>2</v>
      </c>
      <c r="AB261" s="453">
        <f>COUNTIF(E233:BV233,F261)</f>
        <v>1</v>
      </c>
      <c r="AC261" s="453">
        <f>COUNTIF(E232:BV232,F261)</f>
        <v>2</v>
      </c>
      <c r="AD261" s="453">
        <f>COUNTIF(E231:BV231,F261)</f>
        <v>1</v>
      </c>
      <c r="AE261" s="453">
        <f>COUNTIF(E230:BV230,F261)</f>
        <v>2</v>
      </c>
      <c r="AF261" s="453">
        <f>COUNTIF(E229:BV229,F261)</f>
        <v>2</v>
      </c>
      <c r="AG261" s="453">
        <f>COUNTIF(E228:BV228,F261)</f>
        <v>2</v>
      </c>
      <c r="AH261" s="453">
        <f>COUNTIF(E227:BV227,F261)</f>
        <v>1</v>
      </c>
      <c r="AI261" s="146">
        <f>COUNTIF(E226:BV226,F261)</f>
        <v>1</v>
      </c>
      <c r="AJ261" s="146">
        <f>COUNTIF(E225:BV225,F261)</f>
        <v>2</v>
      </c>
      <c r="AK261" s="146">
        <f>COUNTIF(E224:BV224,F261)</f>
        <v>2</v>
      </c>
      <c r="AL261" s="146">
        <f>COUNTIF(E223:BV223,F261)</f>
        <v>0</v>
      </c>
      <c r="AM261" s="146">
        <f>COUNTIF(E222:BV222,F261)</f>
        <v>6</v>
      </c>
      <c r="AN261" s="146">
        <f>COUNTIF(E221:BV221,F261)</f>
        <v>2</v>
      </c>
      <c r="AO261" s="146">
        <f>COUNTIF(E220:BV220,F261)</f>
        <v>0</v>
      </c>
      <c r="AP261" s="146">
        <f>COUNTIF(E219:BV219,F261)</f>
        <v>1</v>
      </c>
      <c r="AQ261" s="146">
        <f>COUNTIF(E218:BV218,F261)</f>
        <v>0</v>
      </c>
      <c r="AR261" s="146">
        <f>COUNTIF(E217:BV217,F261)</f>
        <v>1</v>
      </c>
      <c r="AS261" s="146">
        <f>COUNTIF(E216:BV216,F261)</f>
        <v>2</v>
      </c>
      <c r="AT261" s="146">
        <f>COUNTIF(E215:BV215,F261)</f>
        <v>0</v>
      </c>
      <c r="AU261" s="146">
        <f>COUNTIF(E214:BV214,F261)</f>
        <v>0</v>
      </c>
      <c r="AV261" s="146">
        <f>COUNTIF(E213:BV213,F261)</f>
        <v>3</v>
      </c>
      <c r="AW261" s="146">
        <f>COUNTIF(E212:BV212,F261)</f>
        <v>0</v>
      </c>
      <c r="AX261" s="146">
        <f>COUNTIF(E211:BV211,F261)</f>
        <v>1</v>
      </c>
      <c r="AY261" s="146">
        <f>COUNTIF(E210:BV210,F261)</f>
        <v>1</v>
      </c>
      <c r="AZ261" s="146">
        <f>COUNTIF(E209:BV209,F261)</f>
        <v>2</v>
      </c>
      <c r="BA261" s="146">
        <f>COUNTIF(E208:BV208,F261)</f>
        <v>3</v>
      </c>
      <c r="BB261" s="146">
        <f>COUNTIF(E207:BV207,F261)</f>
        <v>2</v>
      </c>
      <c r="BC261" s="146">
        <f>COUNTIF(E206:BV206,F261)</f>
        <v>1</v>
      </c>
      <c r="BD261" s="146">
        <f>COUNTIF(E205:BV205,F261)</f>
        <v>1</v>
      </c>
      <c r="BE261" s="146">
        <f>COUNTIF(E204:BV204,F261)</f>
        <v>3</v>
      </c>
      <c r="BF261" s="146">
        <f>COUNTIF(E203:BV203,F261)</f>
        <v>0</v>
      </c>
      <c r="BG261" s="146">
        <f>COUNTIF(E202:BV202,F261)</f>
        <v>1</v>
      </c>
      <c r="BH261" s="146">
        <f>COUNTIF(E201:BV201,F261)</f>
        <v>6</v>
      </c>
      <c r="BI261" s="146">
        <f>COUNTIF(E200:BV200,F261)</f>
        <v>1</v>
      </c>
      <c r="BJ261" s="146">
        <f>COUNTIF(E199:BV199,F261)</f>
        <v>0</v>
      </c>
      <c r="BK261" s="146">
        <f>COUNTIF(E198:BV198,F261)</f>
        <v>2</v>
      </c>
      <c r="BL261" s="146">
        <f>COUNTIF(E197:BV197,F261)</f>
        <v>1</v>
      </c>
      <c r="BM261" s="146">
        <f>COUNTIF(E196:BV196,F261)</f>
        <v>1</v>
      </c>
      <c r="BN261" s="146">
        <f>COUNTIF(E195:BV195,F261)</f>
        <v>2</v>
      </c>
      <c r="BO261" s="146">
        <f>COUNTIF(E194:BV194,F261)</f>
        <v>2</v>
      </c>
      <c r="BP261" s="146">
        <f>COUNTIF(E193:BV193,F261)</f>
        <v>0</v>
      </c>
      <c r="BQ261" s="146">
        <f>COUNTIF(E192:BV192,F261)</f>
        <v>1</v>
      </c>
      <c r="BR261" s="146">
        <f>COUNTIF(E191:BV191,F261)</f>
        <v>2</v>
      </c>
      <c r="BS261" s="146">
        <f>COUNTIF(E190:BV190,F261)</f>
        <v>1</v>
      </c>
      <c r="BT261" s="146">
        <f>COUNTIF(E189:BV189,F261)</f>
        <v>3</v>
      </c>
      <c r="BU261" s="146">
        <f>COUNTIF(E188:BV188,F261)</f>
        <v>3</v>
      </c>
      <c r="BV261" s="146">
        <f>COUNTIF(E187:BV187,F261)</f>
        <v>2</v>
      </c>
      <c r="BW261" s="146">
        <f>COUNTIF(E186:BV186,F261)</f>
        <v>1</v>
      </c>
      <c r="BX261" s="146">
        <f>COUNTIF(E185:BV185,F261)</f>
        <v>0</v>
      </c>
      <c r="BY261" s="146">
        <f>COUNTIF(E184:BV184,F261)</f>
        <v>0</v>
      </c>
      <c r="BZ261" s="146">
        <f>COUNTIF(E183:BV183,F261)</f>
        <v>0</v>
      </c>
      <c r="CA261" s="146">
        <f>COUNTIF(E182:BV182,F261)</f>
        <v>4</v>
      </c>
      <c r="CB261" s="146">
        <f>COUNTIF(E181:BV181,F261)</f>
        <v>1</v>
      </c>
      <c r="CC261" s="146">
        <f>COUNTIF(E180:BV180,F261)</f>
        <v>1</v>
      </c>
      <c r="CD261" s="146">
        <f>COUNTIF(E179:BV179,F261)</f>
        <v>1</v>
      </c>
      <c r="CE261" s="146">
        <f>COUNTIF(E178:BV178,F261)</f>
        <v>1</v>
      </c>
      <c r="CF261" s="146">
        <f>COUNTIF(E177:BV177,F261)</f>
        <v>1</v>
      </c>
      <c r="CG261" s="146">
        <f>COUNTIF(E176:BV176,F261)</f>
        <v>5</v>
      </c>
      <c r="CH261" s="146">
        <f>COUNTIF(E175:BV175,F261)</f>
        <v>1</v>
      </c>
      <c r="CI261" s="146">
        <f>COUNTIF(E174:BV174,F261)</f>
        <v>2</v>
      </c>
      <c r="CJ261" s="146">
        <f>COUNTIF(E173:BV173,F261)</f>
        <v>0</v>
      </c>
      <c r="CK261" s="146">
        <f>COUNTIF(E172:BV172,F261)</f>
        <v>0</v>
      </c>
      <c r="CL261" s="146">
        <f>COUNTIF(E171:BV171,F261)</f>
        <v>1</v>
      </c>
      <c r="CM261" s="146">
        <f>COUNTIF(E170:BV170,F261)</f>
        <v>1</v>
      </c>
      <c r="CN261" s="146">
        <f>COUNTIF(E169:BV169,F261)</f>
        <v>1</v>
      </c>
      <c r="CO261" s="146">
        <f>COUNTIF(E168:BV168,F261)</f>
        <v>1</v>
      </c>
      <c r="CP261" s="146">
        <f>COUNTIF(E167:BV167,F261)</f>
        <v>2</v>
      </c>
      <c r="CQ261" s="146">
        <f>COUNTIF(E166:BV166,F261)</f>
        <v>2</v>
      </c>
      <c r="CR261" s="146">
        <f>COUNTIF(E165:BV165,F261)</f>
        <v>2</v>
      </c>
      <c r="CS261" s="146">
        <f>COUNTIF(E164:BV164,F261)</f>
        <v>0</v>
      </c>
      <c r="CT261" s="146">
        <f>COUNTIF(E163:BV163,F261)</f>
        <v>1</v>
      </c>
      <c r="CU261" s="146">
        <f>COUNTIF(E162:BV162,F261)</f>
        <v>2</v>
      </c>
      <c r="CV261" s="146">
        <f>COUNTIF(E161:BV161,F261)</f>
        <v>4</v>
      </c>
      <c r="CW261" s="146">
        <f>COUNTIF(E160:BV160,F261)</f>
        <v>2</v>
      </c>
      <c r="CX261" s="146">
        <f>COUNTIF(E159:BV159,F261)</f>
        <v>2</v>
      </c>
      <c r="CY261" s="146">
        <f>COUNTIF(E158:BV158,F261)</f>
        <v>1</v>
      </c>
      <c r="CZ261" s="146">
        <f>COUNTIF(E157:BV157,F261)</f>
        <v>1</v>
      </c>
      <c r="DA261" s="146">
        <f>COUNTIF(E156:BV156,F261)</f>
        <v>2</v>
      </c>
      <c r="DB261" s="146">
        <f>COUNTIF(E155:BV155,F261)</f>
        <v>3</v>
      </c>
      <c r="DC261" s="146">
        <f>COUNTIF(E154:BV154,F261)</f>
        <v>4</v>
      </c>
      <c r="DD261" s="146">
        <v>2</v>
      </c>
      <c r="DE261" s="146"/>
      <c r="DF261" s="146"/>
      <c r="DG261" s="146"/>
      <c r="DH261" s="146"/>
      <c r="DI261" s="146"/>
      <c r="DJ261" s="146"/>
      <c r="DK261" s="146"/>
      <c r="DL261" s="146"/>
      <c r="DM261" s="146"/>
      <c r="DN261" s="146"/>
      <c r="DO261" s="146"/>
      <c r="DP261" s="146"/>
      <c r="DQ261" s="146"/>
      <c r="DR261" s="146"/>
      <c r="DS261" s="146"/>
      <c r="DT261" s="146"/>
      <c r="DY261" s="128" t="s">
        <v>330</v>
      </c>
      <c r="FE261" s="39"/>
      <c r="FL261" s="122"/>
      <c r="FN261" s="36"/>
      <c r="FO261" s="36"/>
      <c r="FP261" s="36"/>
      <c r="FQ261" s="36"/>
      <c r="FR261" s="36"/>
      <c r="FS261" s="36"/>
      <c r="FT261" s="36"/>
      <c r="FU261" s="36"/>
      <c r="FV261" s="36"/>
      <c r="FW261" s="36"/>
      <c r="FX261" s="36"/>
      <c r="FY261" s="36"/>
      <c r="FZ261" s="36"/>
      <c r="GA261" s="36"/>
      <c r="GB261" s="36"/>
      <c r="GC261" s="36"/>
      <c r="GD261" s="36"/>
      <c r="GE261" s="36"/>
      <c r="GF261" s="36"/>
      <c r="GG261" s="36"/>
      <c r="GH261" s="36"/>
      <c r="GI261" s="36"/>
      <c r="GJ261" s="36"/>
      <c r="GK261" s="36"/>
      <c r="GL261" s="36"/>
      <c r="GN261" s="36"/>
      <c r="GO261" s="36"/>
      <c r="GP261" s="36"/>
      <c r="GQ261" s="36"/>
    </row>
    <row r="262" spans="4:287" ht="17.25">
      <c r="D262" s="128"/>
      <c r="E262" s="546">
        <v>5</v>
      </c>
      <c r="F262" s="145">
        <v>5</v>
      </c>
      <c r="G262" s="639"/>
      <c r="H262" s="453">
        <f>COUNTIF(E253:BV253,F262)</f>
        <v>3</v>
      </c>
      <c r="I262" s="453">
        <f>COUNTIF(E252:BV252,F262)</f>
        <v>1</v>
      </c>
      <c r="J262" s="453">
        <f>COUNTIF(E251:BV251,F262)</f>
        <v>1</v>
      </c>
      <c r="K262" s="453">
        <f>COUNTIF(E250:BV250,F262)</f>
        <v>0</v>
      </c>
      <c r="L262" s="453">
        <f>COUNTIF(E249:BV249,F262)</f>
        <v>3</v>
      </c>
      <c r="M262" s="453">
        <f>COUNTIF(E248:BV248,F262)</f>
        <v>0</v>
      </c>
      <c r="N262" s="453">
        <f>COUNTIF(E247:BV247,F262)</f>
        <v>0</v>
      </c>
      <c r="O262" s="453">
        <f>COUNTIF(E246:BV246,F262)</f>
        <v>0</v>
      </c>
      <c r="P262" s="453">
        <f>COUNTIF(E245:BV245,F262)</f>
        <v>2</v>
      </c>
      <c r="Q262" s="453">
        <f>COUNTIF(E244:BV244,F262)</f>
        <v>1</v>
      </c>
      <c r="R262" s="453">
        <f>COUNTIF(E243:BV243,F262)</f>
        <v>6</v>
      </c>
      <c r="S262" s="453">
        <f>COUNTIF(E242:BV242,F262)</f>
        <v>1</v>
      </c>
      <c r="T262" s="453">
        <f>COUNTIF(E241:BV241,F262)</f>
        <v>4</v>
      </c>
      <c r="U262" s="453">
        <f>COUNTIF(E240:BV240,F262)</f>
        <v>1</v>
      </c>
      <c r="V262" s="453">
        <f>COUNTIF(E239:BV239,F262)</f>
        <v>2</v>
      </c>
      <c r="W262" s="453">
        <f>COUNTIF(E238:BV238,F262)</f>
        <v>0</v>
      </c>
      <c r="X262" s="453">
        <f>COUNTIF(E237:BV237,F262)</f>
        <v>0</v>
      </c>
      <c r="Y262" s="453">
        <f>COUNTIF(E236:BV236,F262)</f>
        <v>1</v>
      </c>
      <c r="Z262" s="453">
        <f>COUNTIF(E235:BV235,F262)</f>
        <v>2</v>
      </c>
      <c r="AA262" s="453">
        <f>COUNTIF(E234:BV234,F262)</f>
        <v>2</v>
      </c>
      <c r="AB262" s="453">
        <f>COUNTIF(E233:BV233,F262)</f>
        <v>1</v>
      </c>
      <c r="AC262" s="453">
        <f>COUNTIF(E232:BV232,F262)</f>
        <v>0</v>
      </c>
      <c r="AD262" s="453">
        <f>COUNTIF(E231:BV231,F262)</f>
        <v>4</v>
      </c>
      <c r="AE262" s="453">
        <f>COUNTIF(E230:BV230,F262)</f>
        <v>3</v>
      </c>
      <c r="AF262" s="453">
        <f>COUNTIF(E229:BV229,F262)</f>
        <v>0</v>
      </c>
      <c r="AG262" s="453">
        <f>COUNTIF(E228:BV228,F262)</f>
        <v>1</v>
      </c>
      <c r="AH262" s="453">
        <f>COUNTIF(E227:BV227,F262)</f>
        <v>0</v>
      </c>
      <c r="AI262" s="146">
        <f>COUNTIF(E226:BV226,F262)</f>
        <v>2</v>
      </c>
      <c r="AJ262" s="146">
        <f>COUNTIF(E225:BV225,F262)</f>
        <v>0</v>
      </c>
      <c r="AK262" s="146">
        <f>COUNTIF(E224:BV224,F262)</f>
        <v>2</v>
      </c>
      <c r="AL262" s="146">
        <f>COUNTIF(E223:BV223,F262)</f>
        <v>2</v>
      </c>
      <c r="AM262" s="146">
        <f>COUNTIF(E222:BV222,F262)</f>
        <v>0</v>
      </c>
      <c r="AN262" s="146">
        <f>COUNTIF(E221:BV221,F262)</f>
        <v>1</v>
      </c>
      <c r="AO262" s="146">
        <f>COUNTIF(E220:BV220,F262)</f>
        <v>1</v>
      </c>
      <c r="AP262" s="146">
        <f>COUNTIF(E219:BV219,F262)</f>
        <v>1</v>
      </c>
      <c r="AQ262" s="146">
        <f>COUNTIF(E218:BV218,F262)</f>
        <v>3</v>
      </c>
      <c r="AR262" s="146">
        <f>COUNTIF(E217:BV217,F262)</f>
        <v>2</v>
      </c>
      <c r="AS262" s="146">
        <f>COUNTIF(E216:BV216,F262)</f>
        <v>2</v>
      </c>
      <c r="AT262" s="146">
        <f>COUNTIF(E215:BV215,F262)</f>
        <v>1</v>
      </c>
      <c r="AU262" s="146">
        <f>COUNTIF(E214:BV214,F262)</f>
        <v>2</v>
      </c>
      <c r="AV262" s="146">
        <f>COUNTIF(E213:BV213,F262)</f>
        <v>1</v>
      </c>
      <c r="AW262" s="146">
        <f>COUNTIF(E212:BV212,F262)</f>
        <v>2</v>
      </c>
      <c r="AX262" s="146">
        <f>COUNTIF(E211:BV211,F262)</f>
        <v>2</v>
      </c>
      <c r="AY262" s="146">
        <f>COUNTIF(E210:BV210,F262)</f>
        <v>3</v>
      </c>
      <c r="AZ262" s="146">
        <f>COUNTIF(E209:BV209,F262)</f>
        <v>1</v>
      </c>
      <c r="BA262" s="146">
        <f>COUNTIF(E208:BV208,F262)</f>
        <v>2</v>
      </c>
      <c r="BB262" s="146">
        <f>COUNTIF(E207:BV207,F262)</f>
        <v>2</v>
      </c>
      <c r="BC262" s="146">
        <f>COUNTIF(E206:BV206,F262)</f>
        <v>1</v>
      </c>
      <c r="BD262" s="146">
        <f>COUNTIF(E205:BV205,F262)</f>
        <v>1</v>
      </c>
      <c r="BE262" s="146">
        <f>COUNTIF(E204:BV204,F262)</f>
        <v>0</v>
      </c>
      <c r="BF262" s="146">
        <f>COUNTIF(E203:BV203,F262)</f>
        <v>1</v>
      </c>
      <c r="BG262" s="146">
        <f>COUNTIF(E202:BV202,F262)</f>
        <v>3</v>
      </c>
      <c r="BH262" s="146">
        <f>COUNTIF(E201:BV201,F262)</f>
        <v>2</v>
      </c>
      <c r="BI262" s="146">
        <f>COUNTIF(E200:BV200,F262)</f>
        <v>0</v>
      </c>
      <c r="BJ262" s="146">
        <f>COUNTIF(E199:BV199,F262)</f>
        <v>0</v>
      </c>
      <c r="BK262" s="146">
        <f>COUNTIF(E198:BV198,F262)</f>
        <v>4</v>
      </c>
      <c r="BL262" s="146">
        <f>COUNTIF(E197:BV197,F262)</f>
        <v>2</v>
      </c>
      <c r="BM262" s="146">
        <f>COUNTIF(E196:BV196,F262)</f>
        <v>3</v>
      </c>
      <c r="BN262" s="146">
        <f>COUNTIF(E195:BV195,F262)</f>
        <v>3</v>
      </c>
      <c r="BO262" s="146">
        <f>COUNTIF(E194:BV194,F262)</f>
        <v>1</v>
      </c>
      <c r="BP262" s="146">
        <f>COUNTIF(E193:BV193,F262)</f>
        <v>0</v>
      </c>
      <c r="BQ262" s="146">
        <f>COUNTIF(E192:BV192,F262)</f>
        <v>1</v>
      </c>
      <c r="BR262" s="146">
        <f>COUNTIF(E191:BV191,F262)</f>
        <v>2</v>
      </c>
      <c r="BS262" s="146">
        <f>COUNTIF(E190:BV190,F262)</f>
        <v>3</v>
      </c>
      <c r="BT262" s="146">
        <f>COUNTIF(E189:BV189,F262)</f>
        <v>1</v>
      </c>
      <c r="BU262" s="146">
        <f>COUNTIF(E188:BV188,F262)</f>
        <v>2</v>
      </c>
      <c r="BV262" s="146">
        <f>COUNTIF(E187:BV187,F262)</f>
        <v>1</v>
      </c>
      <c r="BW262" s="146">
        <f>COUNTIF(E186:BV186,F262)</f>
        <v>1</v>
      </c>
      <c r="BX262" s="146">
        <f>COUNTIF(E185:BV185,F262)</f>
        <v>1</v>
      </c>
      <c r="BY262" s="146">
        <f>COUNTIF(E184:BV184,F262)</f>
        <v>1</v>
      </c>
      <c r="BZ262" s="146">
        <f>COUNTIF(E183:BV183,F262)</f>
        <v>2</v>
      </c>
      <c r="CA262" s="146">
        <f>COUNTIF(E182:BV182,F262)</f>
        <v>1</v>
      </c>
      <c r="CB262" s="146">
        <f>COUNTIF(E181:BV181,F262)</f>
        <v>2</v>
      </c>
      <c r="CC262" s="146">
        <f>COUNTIF(E180:BV180,F262)</f>
        <v>1</v>
      </c>
      <c r="CD262" s="146">
        <f>COUNTIF(E179:BV179,F262)</f>
        <v>2</v>
      </c>
      <c r="CE262" s="146">
        <f>COUNTIF(E178:BV178,F262)</f>
        <v>2</v>
      </c>
      <c r="CF262" s="146">
        <f>COUNTIF(E177:BV177,F262)</f>
        <v>2</v>
      </c>
      <c r="CG262" s="146">
        <f>COUNTIF(E176:BV176,F262)</f>
        <v>0</v>
      </c>
      <c r="CH262" s="146">
        <f>COUNTIF(E175:BV175,F262)</f>
        <v>3</v>
      </c>
      <c r="CI262" s="146">
        <f>COUNTIF(E174:BV174,F262)</f>
        <v>3</v>
      </c>
      <c r="CJ262" s="146">
        <f>COUNTIF(E173:BV173,F262)</f>
        <v>0</v>
      </c>
      <c r="CK262" s="146">
        <f>COUNTIF(E172:BV172,F262)</f>
        <v>0</v>
      </c>
      <c r="CL262" s="146">
        <f>COUNTIF(E171:BV171,F262)</f>
        <v>3</v>
      </c>
      <c r="CM262" s="146">
        <f>COUNTIF(E170:BV170,F262)</f>
        <v>2</v>
      </c>
      <c r="CN262" s="146">
        <f>COUNTIF(E169:BV169,F262)</f>
        <v>1</v>
      </c>
      <c r="CO262" s="146">
        <f>COUNTIF(E168:BV168,F262)</f>
        <v>2</v>
      </c>
      <c r="CP262" s="146">
        <f>COUNTIF(E167:BV167,F262)</f>
        <v>1</v>
      </c>
      <c r="CQ262" s="146">
        <f>COUNTIF(E166:BV166,F262)</f>
        <v>2</v>
      </c>
      <c r="CR262" s="146">
        <f>COUNTIF(E165:BV165,F262)</f>
        <v>2</v>
      </c>
      <c r="CS262" s="146">
        <f>COUNTIF(E164:BV164,F262)</f>
        <v>4</v>
      </c>
      <c r="CT262" s="146">
        <f>COUNTIF(E163:BV163,F262)</f>
        <v>2</v>
      </c>
      <c r="CU262" s="146">
        <f>COUNTIF(E162:BV162,F262)</f>
        <v>3</v>
      </c>
      <c r="CV262" s="146">
        <f>COUNTIF(E161:BV161,F262)</f>
        <v>2</v>
      </c>
      <c r="CW262" s="146">
        <f>COUNTIF(E160:BV160,F262)</f>
        <v>2</v>
      </c>
      <c r="CX262" s="146">
        <f>COUNTIF(E159:BV159,F262)</f>
        <v>0</v>
      </c>
      <c r="CY262" s="146">
        <f>COUNTIF(E158:BV158,F262)</f>
        <v>2</v>
      </c>
      <c r="CZ262" s="146">
        <f>COUNTIF(E157:BV157,F262)</f>
        <v>2</v>
      </c>
      <c r="DA262" s="146">
        <f>COUNTIF(E156:BV156,F262)</f>
        <v>1</v>
      </c>
      <c r="DB262" s="146">
        <f>COUNTIF(E155:BV155,F262)</f>
        <v>2</v>
      </c>
      <c r="DC262" s="146">
        <f>COUNTIF(E154:BV154,F262)</f>
        <v>2</v>
      </c>
      <c r="DD262" s="146">
        <v>0</v>
      </c>
      <c r="DE262" s="146"/>
      <c r="DF262" s="146"/>
      <c r="DG262" s="146"/>
      <c r="DH262" s="146"/>
      <c r="DI262" s="146"/>
      <c r="DJ262" s="146"/>
      <c r="DK262" s="146"/>
      <c r="DL262" s="146"/>
      <c r="DM262" s="146"/>
      <c r="DN262" s="146"/>
      <c r="DO262" s="146"/>
      <c r="DP262" s="146"/>
      <c r="DQ262" s="146"/>
      <c r="DR262" s="146"/>
      <c r="DS262" s="146"/>
      <c r="DT262" s="146"/>
      <c r="DY262" s="200">
        <v>0</v>
      </c>
      <c r="DZ262" s="200">
        <v>1</v>
      </c>
      <c r="EA262" s="200">
        <v>2</v>
      </c>
      <c r="EB262" s="200">
        <v>3</v>
      </c>
      <c r="EC262" s="200">
        <v>4</v>
      </c>
      <c r="ED262" s="200">
        <v>5</v>
      </c>
      <c r="EE262" s="200">
        <v>6</v>
      </c>
      <c r="EF262" s="200">
        <v>7</v>
      </c>
      <c r="EG262" s="200">
        <v>8</v>
      </c>
      <c r="EH262" s="200">
        <v>9</v>
      </c>
      <c r="EI262" s="200">
        <v>10</v>
      </c>
      <c r="EJ262" s="200">
        <v>11</v>
      </c>
      <c r="EK262" s="200">
        <v>12</v>
      </c>
      <c r="EL262" s="200">
        <v>13</v>
      </c>
      <c r="EM262" s="200">
        <v>14</v>
      </c>
      <c r="EN262" s="200">
        <v>15</v>
      </c>
      <c r="EO262" s="200">
        <v>16</v>
      </c>
      <c r="EP262" s="200">
        <v>17</v>
      </c>
      <c r="EQ262" s="200">
        <v>18</v>
      </c>
      <c r="ER262" s="200">
        <v>19</v>
      </c>
      <c r="ES262" s="200">
        <v>20</v>
      </c>
      <c r="ET262" s="200">
        <v>21</v>
      </c>
      <c r="EU262" s="200">
        <v>22</v>
      </c>
      <c r="EV262" s="200">
        <v>23</v>
      </c>
      <c r="EW262" s="200">
        <v>24</v>
      </c>
      <c r="EX262" s="200">
        <v>25</v>
      </c>
      <c r="FA262" s="128" t="s">
        <v>332</v>
      </c>
      <c r="GA262" s="36"/>
      <c r="GB262" s="36"/>
      <c r="GC262" s="36"/>
      <c r="GD262" s="36"/>
      <c r="GE262" s="36"/>
      <c r="GF262" s="36"/>
      <c r="GG262" s="36"/>
      <c r="GH262" s="36"/>
      <c r="GI262" s="36"/>
      <c r="GJ262" s="36"/>
      <c r="GK262" s="36"/>
      <c r="GL262" s="36"/>
      <c r="GN262" s="36"/>
      <c r="GO262" s="36"/>
      <c r="GP262" s="36"/>
      <c r="GQ262" s="36"/>
    </row>
    <row r="263" spans="4:287" ht="17.25">
      <c r="D263" s="128"/>
      <c r="E263" s="570">
        <v>6</v>
      </c>
      <c r="F263" s="145">
        <v>6</v>
      </c>
      <c r="G263" s="639"/>
      <c r="H263" s="453">
        <f>COUNTIF(E253:BV253,F263)</f>
        <v>1</v>
      </c>
      <c r="I263" s="453">
        <f>COUNTIF(E252:BV252,F263)</f>
        <v>0</v>
      </c>
      <c r="J263" s="453">
        <f>COUNTIF(E251:BV251,F263)</f>
        <v>0</v>
      </c>
      <c r="K263" s="453">
        <f>COUNTIF(E250:BV250,F263)</f>
        <v>2</v>
      </c>
      <c r="L263" s="453">
        <f>COUNTIF(E249:BV249,F263)</f>
        <v>2</v>
      </c>
      <c r="M263" s="453">
        <f>COUNTIF(E248:BV248,F263)</f>
        <v>0</v>
      </c>
      <c r="N263" s="453">
        <f>COUNTIF(E247:BV247,F263)</f>
        <v>1</v>
      </c>
      <c r="O263" s="453">
        <f>COUNTIF(E246:BV246,F263)</f>
        <v>1</v>
      </c>
      <c r="P263" s="453">
        <f>COUNTIF(E245:BV245,F263)</f>
        <v>4</v>
      </c>
      <c r="Q263" s="453">
        <f>COUNTIF(E244:BV244,F263)</f>
        <v>1</v>
      </c>
      <c r="R263" s="453">
        <f>COUNTIF(E243:BV243,F263)</f>
        <v>2</v>
      </c>
      <c r="S263" s="453">
        <f>COUNTIF(E242:BV242,F263)</f>
        <v>0</v>
      </c>
      <c r="T263" s="453">
        <f>COUNTIF(E241:BV241,F263)</f>
        <v>1</v>
      </c>
      <c r="U263" s="453">
        <f>COUNTIF(E240:BV240,F263)</f>
        <v>2</v>
      </c>
      <c r="V263" s="453">
        <f>COUNTIF(E239:BV239,F263)</f>
        <v>0</v>
      </c>
      <c r="W263" s="453">
        <f>COUNTIF(E238:BV238,F263)</f>
        <v>2</v>
      </c>
      <c r="X263" s="453">
        <f>COUNTIF(E237:BV237,F263)</f>
        <v>0</v>
      </c>
      <c r="Y263" s="453">
        <f>COUNTIF(E236:BV236,F263)</f>
        <v>0</v>
      </c>
      <c r="Z263" s="453">
        <f>COUNTIF(E235:BV235,F263)</f>
        <v>1</v>
      </c>
      <c r="AA263" s="453">
        <f>COUNTIF(E234:BV234,F263)</f>
        <v>3</v>
      </c>
      <c r="AB263" s="453">
        <f>COUNTIF(E233:BV233,F263)</f>
        <v>2</v>
      </c>
      <c r="AC263" s="453">
        <f>COUNTIF(E232:BV232,F263)</f>
        <v>0</v>
      </c>
      <c r="AD263" s="453">
        <f>COUNTIF(E231:BV231,F263)</f>
        <v>2</v>
      </c>
      <c r="AE263" s="453">
        <f>COUNTIF(E230:BV230,F263)</f>
        <v>1</v>
      </c>
      <c r="AF263" s="453">
        <f>COUNTIF(E229:BV229,F263)</f>
        <v>2</v>
      </c>
      <c r="AG263" s="453">
        <f>COUNTIF(E228:BV228,F263)</f>
        <v>0</v>
      </c>
      <c r="AH263" s="453">
        <f>COUNTIF(E227:BV227,F263)</f>
        <v>2</v>
      </c>
      <c r="AI263" s="146">
        <f>COUNTIF(E226:BV226,F263)</f>
        <v>0</v>
      </c>
      <c r="AJ263" s="146">
        <f>COUNTIF(E225:BV225,F263)</f>
        <v>0</v>
      </c>
      <c r="AK263" s="146">
        <f>COUNTIF(E224:BV224,F263)</f>
        <v>0</v>
      </c>
      <c r="AL263" s="146">
        <f>COUNTIF(E223:BV223,F263)</f>
        <v>3</v>
      </c>
      <c r="AM263" s="146">
        <f>COUNTIF(E222:BV222,F263)</f>
        <v>0</v>
      </c>
      <c r="AN263" s="146">
        <f>COUNTIF(E221:BV221,F263)</f>
        <v>3</v>
      </c>
      <c r="AO263" s="146">
        <f>COUNTIF(E220:BV220,F263)</f>
        <v>0</v>
      </c>
      <c r="AP263" s="146">
        <f>COUNTIF(E219:BV219,F263)</f>
        <v>6</v>
      </c>
      <c r="AQ263" s="146">
        <f>COUNTIF(E218:BV218,F263)</f>
        <v>0</v>
      </c>
      <c r="AR263" s="146">
        <f>COUNTIF(E217:BV217,F263)</f>
        <v>1</v>
      </c>
      <c r="AS263" s="146">
        <f>COUNTIF(E216:BV216,F263)</f>
        <v>1</v>
      </c>
      <c r="AT263" s="146">
        <f>COUNTIF(E215:BV215,F263)</f>
        <v>0</v>
      </c>
      <c r="AU263" s="146">
        <f>COUNTIF(E214:BV214,F263)</f>
        <v>3</v>
      </c>
      <c r="AV263" s="146">
        <f>COUNTIF(E213:BV213,F263)</f>
        <v>2</v>
      </c>
      <c r="AW263" s="146">
        <f>COUNTIF(E212:BV212,F263)</f>
        <v>0</v>
      </c>
      <c r="AX263" s="146">
        <f>COUNTIF(E211:BV211,F263)</f>
        <v>0</v>
      </c>
      <c r="AY263" s="146">
        <f>COUNTIF(E210:BV210,F263)</f>
        <v>0</v>
      </c>
      <c r="AZ263" s="146">
        <f>COUNTIF(E209:BV209,F263)</f>
        <v>3</v>
      </c>
      <c r="BA263" s="146">
        <f>COUNTIF(E208:BV208,F263)</f>
        <v>0</v>
      </c>
      <c r="BB263" s="146">
        <f>COUNTIF(E207:BV207,F263)</f>
        <v>2</v>
      </c>
      <c r="BC263" s="146">
        <f>COUNTIF(E206:BV206,F263)</f>
        <v>4</v>
      </c>
      <c r="BD263" s="146">
        <f>COUNTIF(E205:BV205,F263)</f>
        <v>2</v>
      </c>
      <c r="BE263" s="146">
        <f>COUNTIF(E204:BV204,F263)</f>
        <v>1</v>
      </c>
      <c r="BF263" s="146">
        <f>COUNTIF(E203:BV203,F263)</f>
        <v>2</v>
      </c>
      <c r="BG263" s="146">
        <f>COUNTIF(E202:BV202,F263)</f>
        <v>1</v>
      </c>
      <c r="BH263" s="146">
        <f>COUNTIF(E201:BV201,F263)</f>
        <v>2</v>
      </c>
      <c r="BI263" s="146">
        <f>COUNTIF(E200:BV200,F263)</f>
        <v>2</v>
      </c>
      <c r="BJ263" s="146">
        <f>COUNTIF(E199:BV199,F263)</f>
        <v>3</v>
      </c>
      <c r="BK263" s="146">
        <f>COUNTIF(E198:BV198,F263)</f>
        <v>2</v>
      </c>
      <c r="BL263" s="146">
        <f>COUNTIF(E197:BV197,F263)</f>
        <v>3</v>
      </c>
      <c r="BM263" s="146">
        <f>COUNTIF(E196:BV196,F263)</f>
        <v>1</v>
      </c>
      <c r="BN263" s="146">
        <f>COUNTIF(E195:BV195,F263)</f>
        <v>0</v>
      </c>
      <c r="BO263" s="146">
        <f>COUNTIF(E194:BV194,F263)</f>
        <v>2</v>
      </c>
      <c r="BP263" s="146">
        <f>COUNTIF(E193:BV193,F263)</f>
        <v>1</v>
      </c>
      <c r="BQ263" s="146">
        <f>COUNTIF(E192:BV192,F263)</f>
        <v>1</v>
      </c>
      <c r="BR263" s="146">
        <f>COUNTIF(E191:BV191,F263)</f>
        <v>2</v>
      </c>
      <c r="BS263" s="146">
        <f>COUNTIF(E190:BV190,F263)</f>
        <v>1</v>
      </c>
      <c r="BT263" s="146">
        <f>COUNTIF(E189:BV189,F263)</f>
        <v>1</v>
      </c>
      <c r="BU263" s="146">
        <f>COUNTIF(E188:BV188,F263)</f>
        <v>1</v>
      </c>
      <c r="BV263" s="146">
        <f>COUNTIF(E187:BV187,F263)</f>
        <v>2</v>
      </c>
      <c r="BW263" s="146">
        <f>COUNTIF(E186:BV186,F263)</f>
        <v>0</v>
      </c>
      <c r="BX263" s="146">
        <f>COUNTIF(E185:BV185,F263)</f>
        <v>2</v>
      </c>
      <c r="BY263" s="146">
        <f>COUNTIF(E184:BV184,F263)</f>
        <v>4</v>
      </c>
      <c r="BZ263" s="146">
        <f>COUNTIF(E183:BV183,F263)</f>
        <v>2</v>
      </c>
      <c r="CA263" s="146">
        <f>COUNTIF(E182:BV182,F263)</f>
        <v>3</v>
      </c>
      <c r="CB263" s="146">
        <f>COUNTIF(E181:BV181,F263)</f>
        <v>2</v>
      </c>
      <c r="CC263" s="146">
        <f>COUNTIF(E180:BV180,F263)</f>
        <v>0</v>
      </c>
      <c r="CD263" s="146">
        <f>COUNTIF(E179:BV179,F263)</f>
        <v>2</v>
      </c>
      <c r="CE263" s="146">
        <f>COUNTIF(E178:BV178,F263)</f>
        <v>1</v>
      </c>
      <c r="CF263" s="146">
        <f>COUNTIF(E177:BV177,F263)</f>
        <v>2</v>
      </c>
      <c r="CG263" s="146">
        <f>COUNTIF(E176:BV176,F263)</f>
        <v>3</v>
      </c>
      <c r="CH263" s="146">
        <f>COUNTIF(E175:BV175,F263)</f>
        <v>1</v>
      </c>
      <c r="CI263" s="146">
        <f>COUNTIF(E174:BV174,F263)</f>
        <v>3</v>
      </c>
      <c r="CJ263" s="146">
        <f>COUNTIF(E173:BV173,F263)</f>
        <v>2</v>
      </c>
      <c r="CK263" s="146">
        <f>COUNTIF(E172:BV172,F263)</f>
        <v>2</v>
      </c>
      <c r="CL263" s="146">
        <f>COUNTIF(E171:BV171,F263)</f>
        <v>0</v>
      </c>
      <c r="CM263" s="146">
        <f>COUNTIF(E170:BV170,F263)</f>
        <v>3</v>
      </c>
      <c r="CN263" s="146">
        <f>COUNTIF(E169:BV169,F263)</f>
        <v>2</v>
      </c>
      <c r="CO263" s="146">
        <f>COUNTIF(E168:BV168,F263)</f>
        <v>0</v>
      </c>
      <c r="CP263" s="146">
        <f>COUNTIF(E167:BV167,F263)</f>
        <v>3</v>
      </c>
      <c r="CQ263" s="146">
        <f>COUNTIF(E166:BV166,F263)</f>
        <v>0</v>
      </c>
      <c r="CR263" s="146">
        <f>COUNTIF(E165:BV165,F263)</f>
        <v>2</v>
      </c>
      <c r="CS263" s="146">
        <f>COUNTIF(E164:BV164,F263)</f>
        <v>2</v>
      </c>
      <c r="CT263" s="146">
        <f>COUNTIF(E163:BV163,F263)</f>
        <v>1</v>
      </c>
      <c r="CU263" s="146">
        <f>COUNTIF(E162:BV162,F263)</f>
        <v>0</v>
      </c>
      <c r="CV263" s="146">
        <f>COUNTIF(E161:BV161,F263)</f>
        <v>3</v>
      </c>
      <c r="CW263" s="146">
        <f>COUNTIF(E160:BV160,F263)</f>
        <v>1</v>
      </c>
      <c r="CX263" s="146">
        <f>COUNTIF(E159:BV159,F263)</f>
        <v>3</v>
      </c>
      <c r="CY263" s="146">
        <f>COUNTIF(E158:BV158,F263)</f>
        <v>2</v>
      </c>
      <c r="CZ263" s="146">
        <f>COUNTIF(E157:BV157,F263)</f>
        <v>2</v>
      </c>
      <c r="DA263" s="146">
        <f>COUNTIF(E156:BV156,F263)</f>
        <v>3</v>
      </c>
      <c r="DB263" s="146">
        <f>COUNTIF(E155:BV155,F263)</f>
        <v>1</v>
      </c>
      <c r="DC263" s="146">
        <f>COUNTIF(E154:BV154,F263)</f>
        <v>2</v>
      </c>
      <c r="DD263" s="146">
        <v>3</v>
      </c>
      <c r="DE263" s="146"/>
      <c r="DF263" s="146"/>
      <c r="DG263" s="146"/>
      <c r="DH263" s="146"/>
      <c r="DI263" s="146"/>
      <c r="DJ263" s="146"/>
      <c r="DK263" s="146"/>
      <c r="DL263" s="146"/>
      <c r="DM263" s="146"/>
      <c r="DN263" s="146"/>
      <c r="DO263" s="146"/>
      <c r="DP263" s="146"/>
      <c r="DQ263" s="146"/>
      <c r="DR263" s="146"/>
      <c r="DS263" s="146"/>
      <c r="DT263" s="146"/>
      <c r="DZ263" s="128">
        <v>6</v>
      </c>
      <c r="EA263" s="128">
        <v>3</v>
      </c>
      <c r="EB263" s="128">
        <v>3</v>
      </c>
      <c r="EC263" s="128">
        <v>2</v>
      </c>
      <c r="ED263" s="128">
        <v>24</v>
      </c>
      <c r="EE263" s="128">
        <v>3</v>
      </c>
      <c r="EF263" s="128">
        <v>12</v>
      </c>
      <c r="EG263" s="128">
        <v>1</v>
      </c>
      <c r="EH263" s="128">
        <v>15</v>
      </c>
      <c r="EK263" s="128">
        <v>15</v>
      </c>
      <c r="EL263" s="128">
        <v>5</v>
      </c>
      <c r="EM263" s="128">
        <v>11</v>
      </c>
      <c r="EN263" s="128">
        <v>34</v>
      </c>
      <c r="EO263" s="128">
        <v>1</v>
      </c>
      <c r="EP263" s="128">
        <v>2</v>
      </c>
      <c r="EQ263" s="128">
        <v>16</v>
      </c>
      <c r="ER263" s="128">
        <v>3</v>
      </c>
      <c r="ES263" s="128">
        <v>14</v>
      </c>
      <c r="ET263" s="128">
        <v>1</v>
      </c>
      <c r="EU263" s="128">
        <v>23</v>
      </c>
      <c r="EV263" s="128">
        <v>3</v>
      </c>
      <c r="EW263" s="128">
        <v>5</v>
      </c>
      <c r="EX263" s="128">
        <v>1</v>
      </c>
      <c r="FA263" s="200">
        <v>0</v>
      </c>
      <c r="FB263" s="200">
        <v>1</v>
      </c>
      <c r="FC263" s="200">
        <v>2</v>
      </c>
      <c r="FD263" s="200">
        <v>3</v>
      </c>
      <c r="FE263" s="200">
        <v>4</v>
      </c>
      <c r="FF263" s="200">
        <v>5</v>
      </c>
      <c r="FG263" s="200">
        <v>6</v>
      </c>
      <c r="FH263" s="200">
        <v>7</v>
      </c>
      <c r="FI263" s="200">
        <v>8</v>
      </c>
      <c r="FJ263" s="200">
        <v>9</v>
      </c>
      <c r="FK263" s="200">
        <v>10</v>
      </c>
      <c r="FL263" s="200">
        <v>11</v>
      </c>
      <c r="FM263" s="200">
        <v>12</v>
      </c>
      <c r="FN263" s="200">
        <v>13</v>
      </c>
      <c r="FO263" s="200">
        <v>14</v>
      </c>
      <c r="FP263" s="200">
        <v>15</v>
      </c>
      <c r="FQ263" s="200">
        <v>16</v>
      </c>
      <c r="FR263" s="200">
        <v>17</v>
      </c>
      <c r="FS263" s="200">
        <v>18</v>
      </c>
      <c r="FT263" s="200">
        <v>19</v>
      </c>
      <c r="FU263" s="200">
        <v>20</v>
      </c>
      <c r="FV263" s="200">
        <v>21</v>
      </c>
      <c r="FW263" s="200">
        <v>22</v>
      </c>
      <c r="FX263" s="200">
        <v>23</v>
      </c>
      <c r="FY263" s="200">
        <v>24</v>
      </c>
      <c r="FZ263" s="200">
        <v>25</v>
      </c>
      <c r="GA263" s="36"/>
      <c r="GB263" s="36"/>
      <c r="GC263" s="36"/>
      <c r="GD263" s="36"/>
      <c r="GE263" s="36"/>
      <c r="GF263" s="36"/>
      <c r="GG263" s="36"/>
      <c r="GH263" s="36"/>
      <c r="GI263" s="36"/>
      <c r="GJ263" s="36"/>
      <c r="GK263" s="36"/>
      <c r="GL263" s="36"/>
      <c r="GN263" s="36"/>
      <c r="GO263" s="36"/>
      <c r="GP263" s="36"/>
      <c r="GQ263" s="36"/>
    </row>
    <row r="264" spans="4:287" ht="17.25">
      <c r="D264" s="128"/>
      <c r="E264" s="570">
        <v>7</v>
      </c>
      <c r="F264" s="145">
        <v>7</v>
      </c>
      <c r="G264" s="639"/>
      <c r="H264" s="453">
        <f>COUNTIF(E253:BV253,F264)</f>
        <v>2</v>
      </c>
      <c r="I264" s="453">
        <f>COUNTIF(E252:BV252,F264)</f>
        <v>3</v>
      </c>
      <c r="J264" s="453">
        <f>COUNTIF(E251:BV251,F264)</f>
        <v>0</v>
      </c>
      <c r="K264" s="453">
        <f>COUNTIF(E250:BV250,F264)</f>
        <v>1</v>
      </c>
      <c r="L264" s="453">
        <f>COUNTIF(E249:BV249,F264)</f>
        <v>1</v>
      </c>
      <c r="M264" s="453">
        <f>COUNTIF(E248:BV248,F264)</f>
        <v>1</v>
      </c>
      <c r="N264" s="453">
        <f>COUNTIF(E247:BV247,F264)</f>
        <v>2</v>
      </c>
      <c r="O264" s="453">
        <f>COUNTIF(E246:BV246,F264)</f>
        <v>1</v>
      </c>
      <c r="P264" s="453">
        <f>COUNTIF(E245:BV245,F264)</f>
        <v>0</v>
      </c>
      <c r="Q264" s="453">
        <f>COUNTIF(E244:BV244,F264)</f>
        <v>1</v>
      </c>
      <c r="R264" s="453">
        <f>COUNTIF(E243:BV243,F264)</f>
        <v>1</v>
      </c>
      <c r="S264" s="453">
        <f>COUNTIF(E242:BV242,F264)</f>
        <v>0</v>
      </c>
      <c r="T264" s="453">
        <f>COUNTIF(E241:BV241,F264)</f>
        <v>3</v>
      </c>
      <c r="U264" s="453">
        <f>COUNTIF(E240:BV240,F264)</f>
        <v>2</v>
      </c>
      <c r="V264" s="453">
        <f>COUNTIF(E239:BV239,F264)</f>
        <v>1</v>
      </c>
      <c r="W264" s="453">
        <f>COUNTIF(E238:BV238,F264)</f>
        <v>4</v>
      </c>
      <c r="X264" s="453">
        <f>COUNTIF(E237:BV237,F264)</f>
        <v>2</v>
      </c>
      <c r="Y264" s="453">
        <f>COUNTIF(E236:BV236,F264)</f>
        <v>1</v>
      </c>
      <c r="Z264" s="453">
        <f>COUNTIF(E235:BV235,F264)</f>
        <v>0</v>
      </c>
      <c r="AA264" s="453">
        <f>COUNTIF(E234:BV234,F264)</f>
        <v>1</v>
      </c>
      <c r="AB264" s="453">
        <f>COUNTIF(E233:BV233,F264)</f>
        <v>3</v>
      </c>
      <c r="AC264" s="453">
        <f>COUNTIF(E232:BV232,F264)</f>
        <v>2</v>
      </c>
      <c r="AD264" s="453">
        <f>COUNTIF(E231:BV231,F264)</f>
        <v>4</v>
      </c>
      <c r="AE264" s="453">
        <f>COUNTIF(E230:BV230,F264)</f>
        <v>2</v>
      </c>
      <c r="AF264" s="453">
        <f>COUNTIF(E229:BV229,F264)</f>
        <v>2</v>
      </c>
      <c r="AG264" s="453">
        <f>COUNTIF(E228:BV228,F264)</f>
        <v>1</v>
      </c>
      <c r="AH264" s="453">
        <f>COUNTIF(E227:BV227,F264)</f>
        <v>1</v>
      </c>
      <c r="AI264" s="146">
        <f>COUNTIF(E226:BV226,F264)</f>
        <v>0</v>
      </c>
      <c r="AJ264" s="146">
        <f>COUNTIF(E225:BV225,F264)</f>
        <v>1</v>
      </c>
      <c r="AK264" s="146">
        <f>COUNTIF(E224:BV224,F264)</f>
        <v>4</v>
      </c>
      <c r="AL264" s="146">
        <f>COUNTIF(E223:BV223,F264)</f>
        <v>0</v>
      </c>
      <c r="AM264" s="146">
        <f>COUNTIF(E222:BV222,F264)</f>
        <v>0</v>
      </c>
      <c r="AN264" s="146">
        <f>COUNTIF(E221:BV221,F264)</f>
        <v>1</v>
      </c>
      <c r="AO264" s="146">
        <f>COUNTIF(E220:BV220,F264)</f>
        <v>2</v>
      </c>
      <c r="AP264" s="146">
        <f>COUNTIF(E219:BV219,F264)</f>
        <v>0</v>
      </c>
      <c r="AQ264" s="146">
        <f>COUNTIF(E218:BV218,F264)</f>
        <v>2</v>
      </c>
      <c r="AR264" s="146">
        <f>COUNTIF(E217:BV217,F264)</f>
        <v>0</v>
      </c>
      <c r="AS264" s="146">
        <f>COUNTIF(E216:BV216,F264)</f>
        <v>3</v>
      </c>
      <c r="AT264" s="146">
        <f>COUNTIF(E215:BV215,F264)</f>
        <v>2</v>
      </c>
      <c r="AU264" s="146">
        <f>COUNTIF(E214:BV214,F264)</f>
        <v>0</v>
      </c>
      <c r="AV264" s="146">
        <f>COUNTIF(E213:BV213,F264)</f>
        <v>1</v>
      </c>
      <c r="AW264" s="146">
        <f>COUNTIF(E212:BV212,F264)</f>
        <v>1</v>
      </c>
      <c r="AX264" s="146">
        <f>COUNTIF(E211:BV211,F264)</f>
        <v>1</v>
      </c>
      <c r="AY264" s="146">
        <f>COUNTIF(E210:BV210,F264)</f>
        <v>1</v>
      </c>
      <c r="AZ264" s="146">
        <f>COUNTIF(E209:BV209,F264)</f>
        <v>1</v>
      </c>
      <c r="BA264" s="146">
        <f>COUNTIF(E208:BV208,F264)</f>
        <v>2</v>
      </c>
      <c r="BB264" s="146">
        <f>COUNTIF(E207:BV207,F264)</f>
        <v>0</v>
      </c>
      <c r="BC264" s="146">
        <f>COUNTIF(E206:BV206,F264)</f>
        <v>3</v>
      </c>
      <c r="BD264" s="146">
        <f>COUNTIF(E205:BV205,F264)</f>
        <v>1</v>
      </c>
      <c r="BE264" s="146">
        <f>COUNTIF(E204:BV204,F264)</f>
        <v>1</v>
      </c>
      <c r="BF264" s="146">
        <f>COUNTIF(E203:BV203,F264)</f>
        <v>0</v>
      </c>
      <c r="BG264" s="146">
        <f>COUNTIF(E202:BV202,F264)</f>
        <v>2</v>
      </c>
      <c r="BH264" s="146">
        <f>COUNTIF(E201:BV201,F264)</f>
        <v>0</v>
      </c>
      <c r="BI264" s="146">
        <f>COUNTIF(E200:BV200,F264)</f>
        <v>1</v>
      </c>
      <c r="BJ264" s="146">
        <f>COUNTIF(E199:BV199,F264)</f>
        <v>3</v>
      </c>
      <c r="BK264" s="146">
        <f>COUNTIF(E198:BV198,F264)</f>
        <v>1</v>
      </c>
      <c r="BL264" s="146">
        <f>COUNTIF(E197:BV197,F264)</f>
        <v>2</v>
      </c>
      <c r="BM264" s="146">
        <f>COUNTIF(E196:BV196,F264)</f>
        <v>1</v>
      </c>
      <c r="BN264" s="146">
        <f>COUNTIF(E195:BV195,F264)</f>
        <v>1</v>
      </c>
      <c r="BO264" s="146">
        <f>COUNTIF(E194:BV194,F264)</f>
        <v>1</v>
      </c>
      <c r="BP264" s="146">
        <f>COUNTIF(E193:BV193,F264)</f>
        <v>4</v>
      </c>
      <c r="BQ264" s="146">
        <f>COUNTIF(E192:BV192,F264)</f>
        <v>3</v>
      </c>
      <c r="BR264" s="146">
        <f>COUNTIF(E191:BV191,F264)</f>
        <v>2</v>
      </c>
      <c r="BS264" s="146">
        <f>COUNTIF(E190:BV190,F264)</f>
        <v>0</v>
      </c>
      <c r="BT264" s="146">
        <f>COUNTIF(E189:BV189,F264)</f>
        <v>1</v>
      </c>
      <c r="BU264" s="146">
        <f>COUNTIF(E188:BV188,F264)</f>
        <v>0</v>
      </c>
      <c r="BV264" s="146">
        <f>COUNTIF(E187:BV187,F264)</f>
        <v>1</v>
      </c>
      <c r="BW264" s="146">
        <f>COUNTIF(E186:BV186,F264)</f>
        <v>0</v>
      </c>
      <c r="BX264" s="146">
        <f>COUNTIF(E185:BV185,F264)</f>
        <v>1</v>
      </c>
      <c r="BY264" s="146">
        <f>COUNTIF(E184:BV184,F264)</f>
        <v>1</v>
      </c>
      <c r="BZ264" s="146">
        <f>COUNTIF(E183:BV183,F264)</f>
        <v>4</v>
      </c>
      <c r="CA264" s="146">
        <f>COUNTIF(E182:BV182,F264)</f>
        <v>3</v>
      </c>
      <c r="CB264" s="146">
        <f>COUNTIF(E181:BV181,F264)</f>
        <v>1</v>
      </c>
      <c r="CC264" s="146">
        <f>COUNTIF(E180:BV180,F264)</f>
        <v>1</v>
      </c>
      <c r="CD264" s="146">
        <f>COUNTIF(E179:BV179,F264)</f>
        <v>4</v>
      </c>
      <c r="CE264" s="146">
        <f>COUNTIF(E178:BV178,F264)</f>
        <v>1</v>
      </c>
      <c r="CF264" s="146">
        <f>COUNTIF(E177:BV177,F264)</f>
        <v>1</v>
      </c>
      <c r="CG264" s="146">
        <f>COUNTIF(E176:BV176,F264)</f>
        <v>0</v>
      </c>
      <c r="CH264" s="146">
        <f>COUNTIF(E175:BV175,F264)</f>
        <v>4</v>
      </c>
      <c r="CI264" s="146">
        <f>COUNTIF(E174:BV174,F264)</f>
        <v>2</v>
      </c>
      <c r="CJ264" s="146">
        <f>COUNTIF(E173:BV173,F264)</f>
        <v>0</v>
      </c>
      <c r="CK264" s="146">
        <f>COUNTIF(E172:BV172,F264)</f>
        <v>0</v>
      </c>
      <c r="CL264" s="146">
        <f>COUNTIF(E171:BV171,F264)</f>
        <v>1</v>
      </c>
      <c r="CM264" s="146">
        <f>COUNTIF(E170:BV170,F264)</f>
        <v>3</v>
      </c>
      <c r="CN264" s="146">
        <f>COUNTIF(E169:BV169,F264)</f>
        <v>1</v>
      </c>
      <c r="CO264" s="146">
        <f>COUNTIF(E168:BV168,F264)</f>
        <v>2</v>
      </c>
      <c r="CP264" s="146">
        <f>COUNTIF(E167:BV167,F264)</f>
        <v>1</v>
      </c>
      <c r="CQ264" s="146">
        <f>COUNTIF(E166:BV166,F264)</f>
        <v>1</v>
      </c>
      <c r="CR264" s="146">
        <f>COUNTIF(E165:BV165,F264)</f>
        <v>4</v>
      </c>
      <c r="CS264" s="146">
        <f>COUNTIF(E164:BV164,F264)</f>
        <v>0</v>
      </c>
      <c r="CT264" s="146">
        <f>COUNTIF(E163:BV163,F264)</f>
        <v>0</v>
      </c>
      <c r="CU264" s="146">
        <f>COUNTIF(E162:BV162,F264)</f>
        <v>1</v>
      </c>
      <c r="CV264" s="146">
        <f>COUNTIF(E161:BV161,F264)</f>
        <v>6</v>
      </c>
      <c r="CW264" s="146">
        <f>COUNTIF(E160:BV160,F264)</f>
        <v>2</v>
      </c>
      <c r="CX264" s="146">
        <f>COUNTIF(E159:BV159,F264)</f>
        <v>0</v>
      </c>
      <c r="CY264" s="146">
        <f>COUNTIF(E158:BV158,F264)</f>
        <v>1</v>
      </c>
      <c r="CZ264" s="146">
        <f>COUNTIF(E157:BV157,F264)</f>
        <v>3</v>
      </c>
      <c r="DA264" s="146">
        <f>COUNTIF(E156:BV156,F264)</f>
        <v>2</v>
      </c>
      <c r="DB264" s="146">
        <f>COUNTIF(E155:BV155,F264)</f>
        <v>5</v>
      </c>
      <c r="DC264" s="146">
        <f>COUNTIF(E154:BV154,F264)</f>
        <v>1</v>
      </c>
      <c r="DD264" s="146">
        <v>3</v>
      </c>
      <c r="DE264" s="146"/>
      <c r="DF264" s="146"/>
      <c r="DG264" s="146"/>
      <c r="DH264" s="146"/>
      <c r="DI264" s="146"/>
      <c r="DJ264" s="146"/>
      <c r="DK264" s="146"/>
      <c r="DL264" s="146"/>
      <c r="DM264" s="146"/>
      <c r="DN264" s="146"/>
      <c r="DO264" s="146"/>
      <c r="DP264" s="146"/>
      <c r="DQ264" s="146"/>
      <c r="DR264" s="146"/>
      <c r="DS264" s="146"/>
      <c r="DT264" s="146"/>
      <c r="DZ264" s="128">
        <v>11</v>
      </c>
      <c r="EA264" s="128">
        <v>7</v>
      </c>
      <c r="EB264" s="128">
        <v>20</v>
      </c>
      <c r="EC264" s="128">
        <v>11</v>
      </c>
      <c r="ED264" s="128">
        <v>28</v>
      </c>
      <c r="EE264" s="128">
        <v>7</v>
      </c>
      <c r="EF264" s="128">
        <v>14</v>
      </c>
      <c r="EG264" s="128">
        <v>15</v>
      </c>
      <c r="EH264" s="128">
        <v>30</v>
      </c>
      <c r="EK264" s="128">
        <v>30</v>
      </c>
      <c r="EL264" s="128">
        <v>22</v>
      </c>
      <c r="EM264" s="128">
        <v>14</v>
      </c>
      <c r="EN264" s="128">
        <v>36</v>
      </c>
      <c r="EO264" s="128">
        <v>16</v>
      </c>
      <c r="EP264" s="128">
        <v>5</v>
      </c>
      <c r="EQ264" s="128">
        <v>44</v>
      </c>
      <c r="ER264" s="128">
        <v>15</v>
      </c>
      <c r="ES264" s="128">
        <v>28</v>
      </c>
      <c r="ET264" s="128">
        <v>13</v>
      </c>
      <c r="EV264" s="128">
        <v>42</v>
      </c>
      <c r="EW264" s="128">
        <v>8</v>
      </c>
      <c r="EX264" s="128">
        <v>2</v>
      </c>
      <c r="FD264" s="128">
        <v>1</v>
      </c>
      <c r="FE264" s="128">
        <v>1</v>
      </c>
      <c r="FF264" s="128">
        <v>1</v>
      </c>
      <c r="FG264" s="128">
        <v>1</v>
      </c>
      <c r="FH264" s="128">
        <v>1</v>
      </c>
      <c r="FJ264" s="128">
        <v>1</v>
      </c>
      <c r="FM264" s="128">
        <v>1</v>
      </c>
      <c r="FN264" s="128">
        <v>1</v>
      </c>
      <c r="FO264" s="128">
        <v>1</v>
      </c>
      <c r="FP264" s="128">
        <v>1</v>
      </c>
      <c r="FR264" s="128">
        <v>1</v>
      </c>
      <c r="FS264" s="128">
        <v>1</v>
      </c>
      <c r="FU264" s="128">
        <v>1</v>
      </c>
      <c r="FW264" s="128">
        <v>1</v>
      </c>
      <c r="FY264" s="128">
        <v>1</v>
      </c>
      <c r="GA264" s="36"/>
      <c r="GB264" s="36"/>
      <c r="GC264" s="36"/>
      <c r="GD264" s="36"/>
      <c r="GE264" s="36"/>
      <c r="GF264" s="36"/>
      <c r="GG264" s="36"/>
      <c r="GH264" s="36"/>
      <c r="GI264" s="36"/>
      <c r="GJ264" s="36"/>
      <c r="GK264" s="36"/>
      <c r="GL264" s="36"/>
      <c r="GN264" s="36"/>
      <c r="GO264" s="36"/>
      <c r="GP264" s="36"/>
      <c r="GQ264" s="36"/>
    </row>
    <row r="265" spans="4:287" ht="17.25">
      <c r="D265" s="128"/>
      <c r="E265" s="570">
        <v>8</v>
      </c>
      <c r="F265" s="145">
        <v>8</v>
      </c>
      <c r="G265" s="639"/>
      <c r="H265" s="453">
        <f>COUNTIF(E253:BV253,F265)</f>
        <v>1</v>
      </c>
      <c r="I265" s="453">
        <f>COUNTIF(E252:BV252,F265)</f>
        <v>2</v>
      </c>
      <c r="J265" s="453">
        <f>COUNTIF(E251:BV251,F265)</f>
        <v>2</v>
      </c>
      <c r="K265" s="453">
        <f>COUNTIF(E250:BV250,F265)</f>
        <v>1</v>
      </c>
      <c r="L265" s="453">
        <f>COUNTIF(E249:BV249,F265)</f>
        <v>5</v>
      </c>
      <c r="M265" s="453">
        <f>COUNTIF(E248:BV248,F265)</f>
        <v>1</v>
      </c>
      <c r="N265" s="453">
        <f>COUNTIF(E247:BV247,F265)</f>
        <v>1</v>
      </c>
      <c r="O265" s="453">
        <f>COUNTIF(E246:BV246,F265)</f>
        <v>2</v>
      </c>
      <c r="P265" s="453">
        <f>COUNTIF(E245:BV245,F265)</f>
        <v>3</v>
      </c>
      <c r="Q265" s="453">
        <f>COUNTIF(E244:BV244,F265)</f>
        <v>3</v>
      </c>
      <c r="R265" s="453">
        <f>COUNTIF(E243:BV243,F265)</f>
        <v>2</v>
      </c>
      <c r="S265" s="453">
        <f>COUNTIF(E242:BV242,F265)</f>
        <v>1</v>
      </c>
      <c r="T265" s="453">
        <f>COUNTIF(E241:BV241,F265)</f>
        <v>2</v>
      </c>
      <c r="U265" s="453">
        <f>COUNTIF(E240:BV240,F265)</f>
        <v>1</v>
      </c>
      <c r="V265" s="453">
        <f>COUNTIF(E239:BV239,F265)</f>
        <v>2</v>
      </c>
      <c r="W265" s="453">
        <f>COUNTIF(E238:BV238,F265)</f>
        <v>0</v>
      </c>
      <c r="X265" s="453">
        <f>COUNTIF(E237:BV237,F265)</f>
        <v>0</v>
      </c>
      <c r="Y265" s="453">
        <f>COUNTIF(E236:BV236,F265)</f>
        <v>2</v>
      </c>
      <c r="Z265" s="453">
        <f>COUNTIF(E235:BV235,F265)</f>
        <v>1</v>
      </c>
      <c r="AA265" s="453">
        <f>COUNTIF(E234:BV234,F265)</f>
        <v>1</v>
      </c>
      <c r="AB265" s="453">
        <f>COUNTIF(E233:BV233,F265)</f>
        <v>2</v>
      </c>
      <c r="AC265" s="453">
        <f>COUNTIF(E232:BV232,F265)</f>
        <v>4</v>
      </c>
      <c r="AD265" s="453">
        <f>COUNTIF(E231:BV231,F265)</f>
        <v>2</v>
      </c>
      <c r="AE265" s="453">
        <f>COUNTIF(E230:BV230,F265)</f>
        <v>1</v>
      </c>
      <c r="AF265" s="453">
        <f>COUNTIF(E229:BV229,F265)</f>
        <v>3</v>
      </c>
      <c r="AG265" s="453">
        <f>COUNTIF(E228:BV228,F265)</f>
        <v>5</v>
      </c>
      <c r="AH265" s="453">
        <f>COUNTIF(E227:BV227,F265)</f>
        <v>3</v>
      </c>
      <c r="AI265" s="146">
        <f>COUNTIF(E226:BV226,F265)</f>
        <v>1</v>
      </c>
      <c r="AJ265" s="146">
        <f>COUNTIF(E225:BV225,F265)</f>
        <v>1</v>
      </c>
      <c r="AK265" s="146">
        <f>COUNTIF(E224:BV224,F265)</f>
        <v>3</v>
      </c>
      <c r="AL265" s="146">
        <f>COUNTIF(E223:BV223,F265)</f>
        <v>2</v>
      </c>
      <c r="AM265" s="146">
        <f>COUNTIF(E222:BV222,F265)</f>
        <v>1</v>
      </c>
      <c r="AN265" s="146">
        <f>COUNTIF(E221:BV221,F265)</f>
        <v>0</v>
      </c>
      <c r="AO265" s="146">
        <f>COUNTIF(E220:BV220,F265)</f>
        <v>2</v>
      </c>
      <c r="AP265" s="146">
        <f>COUNTIF(E219:BV219,F265)</f>
        <v>2</v>
      </c>
      <c r="AQ265" s="146">
        <f>COUNTIF(E218:BV218,F265)</f>
        <v>2</v>
      </c>
      <c r="AR265" s="146">
        <f>COUNTIF(E217:BV217,F265)</f>
        <v>2</v>
      </c>
      <c r="AS265" s="146">
        <f>COUNTIF(E216:BV216,F265)</f>
        <v>0</v>
      </c>
      <c r="AT265" s="146">
        <f>COUNTIF(E215:BV215,F265)</f>
        <v>4</v>
      </c>
      <c r="AU265" s="146">
        <f>COUNTIF(E214:BV214,F265)</f>
        <v>1</v>
      </c>
      <c r="AV265" s="146">
        <f>COUNTIF(E213:BV213,F265)</f>
        <v>3</v>
      </c>
      <c r="AW265" s="146">
        <f>COUNTIF(E212:BV212,F265)</f>
        <v>2</v>
      </c>
      <c r="AX265" s="146">
        <f>COUNTIF(E211:BV211,F265)</f>
        <v>1</v>
      </c>
      <c r="AY265" s="146">
        <f>COUNTIF(E210:BV210,F265)</f>
        <v>1</v>
      </c>
      <c r="AZ265" s="146">
        <f>COUNTIF(E209:BV209,F265)</f>
        <v>6</v>
      </c>
      <c r="BA265" s="146">
        <f>COUNTIF(E208:BV208,F265)</f>
        <v>1</v>
      </c>
      <c r="BB265" s="146">
        <f>COUNTIF(E207:BV207,F265)</f>
        <v>1</v>
      </c>
      <c r="BC265" s="146">
        <f>COUNTIF(E206:BV206,F265)</f>
        <v>2</v>
      </c>
      <c r="BD265" s="146">
        <f>COUNTIF(E205:BV205,F265)</f>
        <v>2</v>
      </c>
      <c r="BE265" s="146">
        <f>COUNTIF(E204:BV204,F265)</f>
        <v>2</v>
      </c>
      <c r="BF265" s="146">
        <f>COUNTIF(E203:BV203,F265)</f>
        <v>2</v>
      </c>
      <c r="BG265" s="146">
        <f>COUNTIF(E202:BV202,F265)</f>
        <v>2</v>
      </c>
      <c r="BH265" s="146">
        <f>COUNTIF(E201:BV201,F265)</f>
        <v>2</v>
      </c>
      <c r="BI265" s="146">
        <f>COUNTIF(E200:BV200,F265)</f>
        <v>0</v>
      </c>
      <c r="BJ265" s="146">
        <f>COUNTIF(E199:BV199,F265)</f>
        <v>1</v>
      </c>
      <c r="BK265" s="146">
        <f>COUNTIF(E198:BV198,F265)</f>
        <v>2</v>
      </c>
      <c r="BL265" s="146">
        <f>COUNTIF(E197:BV197,F265)</f>
        <v>1</v>
      </c>
      <c r="BM265" s="146">
        <f>COUNTIF(E196:BV196,F265)</f>
        <v>1</v>
      </c>
      <c r="BN265" s="146">
        <f>COUNTIF(E195:BV195,F265)</f>
        <v>1</v>
      </c>
      <c r="BO265" s="146">
        <f>COUNTIF(E194:BV194,F265)</f>
        <v>2</v>
      </c>
      <c r="BP265" s="146">
        <f>COUNTIF(E193:BV193,F265)</f>
        <v>3</v>
      </c>
      <c r="BQ265" s="146">
        <f>COUNTIF(E192:BV192,F265)</f>
        <v>5</v>
      </c>
      <c r="BR265" s="146">
        <f>COUNTIF(E191:BV191,F265)</f>
        <v>1</v>
      </c>
      <c r="BS265" s="146">
        <f>COUNTIF(E190:BV190,F265)</f>
        <v>1</v>
      </c>
      <c r="BT265" s="146">
        <f>COUNTIF(E189:BV189,F265)</f>
        <v>1</v>
      </c>
      <c r="BU265" s="146">
        <f>COUNTIF(E188:BV188,F265)</f>
        <v>1</v>
      </c>
      <c r="BV265" s="146">
        <f>COUNTIF(E187:BV187,F265)</f>
        <v>2</v>
      </c>
      <c r="BW265" s="146">
        <f>COUNTIF(E186:BV186,F265)</f>
        <v>3</v>
      </c>
      <c r="BX265" s="146">
        <f>COUNTIF(E185:BV185,F265)</f>
        <v>0</v>
      </c>
      <c r="BY265" s="146">
        <f>COUNTIF(E184:BV184,F265)</f>
        <v>4</v>
      </c>
      <c r="BZ265" s="146">
        <f>COUNTIF(E183:BV183,F265)</f>
        <v>0</v>
      </c>
      <c r="CA265" s="146">
        <f>COUNTIF(E182:BV182,F265)</f>
        <v>1</v>
      </c>
      <c r="CB265" s="146">
        <f>COUNTIF(E181:BV181,F265)</f>
        <v>0</v>
      </c>
      <c r="CC265" s="146">
        <f>COUNTIF(E180:BV180,F265)</f>
        <v>3</v>
      </c>
      <c r="CD265" s="146">
        <f>COUNTIF(E179:BV179,F265)</f>
        <v>3</v>
      </c>
      <c r="CE265" s="146">
        <f>COUNTIF(E178:BV178,F265)</f>
        <v>0</v>
      </c>
      <c r="CF265" s="146">
        <f>COUNTIF(E177:BV177,F265)</f>
        <v>2</v>
      </c>
      <c r="CG265" s="146">
        <f>COUNTIF(E176:BV176,F265)</f>
        <v>1</v>
      </c>
      <c r="CH265" s="146">
        <f>COUNTIF(E175:BV175,F265)</f>
        <v>1</v>
      </c>
      <c r="CI265" s="146">
        <f>COUNTIF(E174:BV174,F265)</f>
        <v>1</v>
      </c>
      <c r="CJ265" s="146">
        <f>COUNTIF(E173:BV173,F265)</f>
        <v>0</v>
      </c>
      <c r="CK265" s="146">
        <f>COUNTIF(E172:BV172,F265)</f>
        <v>1</v>
      </c>
      <c r="CL265" s="146">
        <f>COUNTIF(E171:BV171,F265)</f>
        <v>0</v>
      </c>
      <c r="CM265" s="146">
        <f>COUNTIF(E170:BV170,F265)</f>
        <v>2</v>
      </c>
      <c r="CN265" s="146">
        <f>COUNTIF(E169:BV169,F265)</f>
        <v>0</v>
      </c>
      <c r="CO265" s="146">
        <f>COUNTIF(E168:BV168,F265)</f>
        <v>1</v>
      </c>
      <c r="CP265" s="146">
        <f>COUNTIF(E167:BV167,F265)</f>
        <v>2</v>
      </c>
      <c r="CQ265" s="146">
        <f>COUNTIF(E166:BV166,F265)</f>
        <v>1</v>
      </c>
      <c r="CR265" s="146">
        <f>COUNTIF(E165:BV165,F265)</f>
        <v>0</v>
      </c>
      <c r="CS265" s="146">
        <f>COUNTIF(E164:BV164,F265)</f>
        <v>0</v>
      </c>
      <c r="CT265" s="146">
        <f>COUNTIF(E163:BV163,F265)</f>
        <v>2</v>
      </c>
      <c r="CU265" s="146">
        <f>COUNTIF(E162:BV162,F265)</f>
        <v>2</v>
      </c>
      <c r="CV265" s="146">
        <f>COUNTIF(E161:BV161,F265)</f>
        <v>1</v>
      </c>
      <c r="CW265" s="146">
        <f>COUNTIF(E160:BV160,F265)</f>
        <v>3</v>
      </c>
      <c r="CX265" s="146">
        <f>COUNTIF(E159:BV159,F265)</f>
        <v>2</v>
      </c>
      <c r="CY265" s="146">
        <f>COUNTIF(E158:BV158,F265)</f>
        <v>1</v>
      </c>
      <c r="CZ265" s="146">
        <f>COUNTIF(E157:BV157,F265)</f>
        <v>0</v>
      </c>
      <c r="DA265" s="146">
        <f>COUNTIF(E156:BV156,F265)</f>
        <v>0</v>
      </c>
      <c r="DB265" s="146">
        <f>COUNTIF(E155:BV155,F265)</f>
        <v>1</v>
      </c>
      <c r="DC265" s="146">
        <f>COUNTIF(E154:BV154,F265)</f>
        <v>4</v>
      </c>
      <c r="DD265" s="146">
        <v>3</v>
      </c>
      <c r="DE265" s="146"/>
      <c r="DF265" s="146"/>
      <c r="DG265" s="146"/>
      <c r="DH265" s="146"/>
      <c r="DI265" s="146"/>
      <c r="DJ265" s="146"/>
      <c r="DK265" s="146"/>
      <c r="DL265" s="146"/>
      <c r="DM265" s="146"/>
      <c r="DN265" s="146"/>
      <c r="DO265" s="146"/>
      <c r="DP265" s="146"/>
      <c r="DQ265" s="146"/>
      <c r="DR265" s="146"/>
      <c r="DS265" s="146"/>
      <c r="DT265" s="146"/>
      <c r="DZ265" s="128">
        <v>12</v>
      </c>
      <c r="EA265" s="128">
        <v>35</v>
      </c>
      <c r="EB265" s="128">
        <v>27</v>
      </c>
      <c r="EC265" s="128">
        <v>32</v>
      </c>
      <c r="ED265" s="128">
        <v>35</v>
      </c>
      <c r="EE265" s="128">
        <v>22</v>
      </c>
      <c r="EF265" s="128">
        <v>22</v>
      </c>
      <c r="EG265" s="128">
        <v>41</v>
      </c>
      <c r="EL265" s="128">
        <v>28</v>
      </c>
      <c r="EM265" s="128">
        <v>24</v>
      </c>
      <c r="EN265" s="128">
        <v>38</v>
      </c>
      <c r="EP265" s="128">
        <v>11</v>
      </c>
      <c r="ER265" s="128">
        <v>20</v>
      </c>
      <c r="ES265" s="128">
        <v>43</v>
      </c>
      <c r="ET265" s="128">
        <v>22</v>
      </c>
      <c r="EW265" s="128">
        <v>10</v>
      </c>
      <c r="EX265" s="128">
        <v>8</v>
      </c>
      <c r="FA265" s="128">
        <v>2</v>
      </c>
      <c r="FB265" s="128">
        <v>2</v>
      </c>
      <c r="FD265" s="128">
        <v>2</v>
      </c>
      <c r="FH265" s="128">
        <v>2</v>
      </c>
      <c r="FK265" s="129"/>
      <c r="FM265" s="128">
        <v>2</v>
      </c>
      <c r="FN265" s="128">
        <v>2</v>
      </c>
      <c r="FO265" s="128">
        <v>2</v>
      </c>
      <c r="FP265" s="128">
        <v>2</v>
      </c>
      <c r="FQ265" s="128">
        <v>2</v>
      </c>
      <c r="FU265" s="128">
        <v>2</v>
      </c>
      <c r="FV265" s="128">
        <v>2</v>
      </c>
      <c r="FW265" s="128">
        <v>2</v>
      </c>
      <c r="FY265" s="128">
        <v>2</v>
      </c>
      <c r="GA265" s="36"/>
      <c r="GB265" s="36"/>
      <c r="GC265" s="36"/>
      <c r="GD265" s="36"/>
      <c r="GE265" s="36"/>
      <c r="GF265" s="36"/>
      <c r="GG265" s="36"/>
      <c r="GH265" s="36"/>
      <c r="GI265" s="36"/>
      <c r="GJ265" s="36"/>
      <c r="GK265" s="36"/>
      <c r="GL265" s="36"/>
      <c r="GN265" s="36"/>
      <c r="GO265" s="36"/>
      <c r="GP265" s="36"/>
      <c r="GQ265" s="36"/>
    </row>
    <row r="266" spans="4:287" ht="17.25">
      <c r="D266" s="128"/>
      <c r="E266" s="570">
        <v>9</v>
      </c>
      <c r="F266" s="145">
        <v>9</v>
      </c>
      <c r="G266" s="639"/>
      <c r="H266" s="453">
        <f>COUNTIF(E253:BV253,F266)</f>
        <v>3</v>
      </c>
      <c r="I266" s="453">
        <f>COUNTIF(E252:BV252,F266)</f>
        <v>2</v>
      </c>
      <c r="J266" s="453">
        <f>COUNTIF(E251:BV251,F266)</f>
        <v>4</v>
      </c>
      <c r="K266" s="453">
        <f>COUNTIF(E250:BV250,F266)</f>
        <v>1</v>
      </c>
      <c r="L266" s="453">
        <f>COUNTIF(E249:BV249,F266)</f>
        <v>1</v>
      </c>
      <c r="M266" s="453">
        <f>COUNTIF(E248:BV248,F266)</f>
        <v>1</v>
      </c>
      <c r="N266" s="453">
        <f>COUNTIF(E247:BV247,F266)</f>
        <v>1</v>
      </c>
      <c r="O266" s="453">
        <f>COUNTIF(E246:BV246,F266)</f>
        <v>0</v>
      </c>
      <c r="P266" s="453">
        <f>COUNTIF(E245:BV245,F266)</f>
        <v>0</v>
      </c>
      <c r="Q266" s="453">
        <f>COUNTIF(E244:BV244,F266)</f>
        <v>2</v>
      </c>
      <c r="R266" s="453">
        <f>COUNTIF(E243:BV243,F266)</f>
        <v>0</v>
      </c>
      <c r="S266" s="453">
        <f>COUNTIF(E242:BV242,F266)</f>
        <v>2</v>
      </c>
      <c r="T266" s="453">
        <f>COUNTIF(E241:BV241,F266)</f>
        <v>2</v>
      </c>
      <c r="U266" s="453">
        <f>COUNTIF(E240:BV240,F266)</f>
        <v>2</v>
      </c>
      <c r="V266" s="453">
        <f>COUNTIF(E239:BV239,F266)</f>
        <v>1</v>
      </c>
      <c r="W266" s="453">
        <f>COUNTIF(E238:BV238,F266)</f>
        <v>1</v>
      </c>
      <c r="X266" s="453">
        <f>COUNTIF(E237:BV237,F266)</f>
        <v>0</v>
      </c>
      <c r="Y266" s="453">
        <f>COUNTIF(E236:BV236,F266)</f>
        <v>2</v>
      </c>
      <c r="Z266" s="453">
        <f>COUNTIF(E235:BV235,F266)</f>
        <v>0</v>
      </c>
      <c r="AA266" s="453">
        <f>COUNTIF(E234:BV234,F266)</f>
        <v>2</v>
      </c>
      <c r="AB266" s="453">
        <f>COUNTIF(E233:BV233,F266)</f>
        <v>2</v>
      </c>
      <c r="AC266" s="453">
        <f>COUNTIF(E232:BV232,F266)</f>
        <v>1</v>
      </c>
      <c r="AD266" s="453">
        <f>COUNTIF(E231:BV231,F266)</f>
        <v>0</v>
      </c>
      <c r="AE266" s="453">
        <f>COUNTIF(E230:BV230,F266)</f>
        <v>1</v>
      </c>
      <c r="AF266" s="453">
        <f>COUNTIF(E229:BV229,F266)</f>
        <v>1</v>
      </c>
      <c r="AG266" s="453">
        <f>COUNTIF(E228:BV228,F266)</f>
        <v>3</v>
      </c>
      <c r="AH266" s="453">
        <f>COUNTIF(E227:BV227,F266)</f>
        <v>0</v>
      </c>
      <c r="AI266" s="146">
        <f>COUNTIF(E226:BV226,F266)</f>
        <v>1</v>
      </c>
      <c r="AJ266" s="146">
        <f>COUNTIF(E225:BV225,F266)</f>
        <v>2</v>
      </c>
      <c r="AK266" s="146">
        <f>COUNTIF(E224:BV224,F266)</f>
        <v>2</v>
      </c>
      <c r="AL266" s="146">
        <f>COUNTIF(E223:BV223,F266)</f>
        <v>0</v>
      </c>
      <c r="AM266" s="146">
        <f>COUNTIF(E222:BV222,F266)</f>
        <v>2</v>
      </c>
      <c r="AN266" s="146">
        <f>COUNTIF(E221:BV221,F266)</f>
        <v>2</v>
      </c>
      <c r="AO266" s="146">
        <f>COUNTIF(E220:BV220,F266)</f>
        <v>3</v>
      </c>
      <c r="AP266" s="146">
        <f>COUNTIF(E219:BV219,F266)</f>
        <v>3</v>
      </c>
      <c r="AQ266" s="146">
        <f>COUNTIF(E218:BV218,F266)</f>
        <v>3</v>
      </c>
      <c r="AR266" s="146">
        <f>COUNTIF(E217:BV217,F266)</f>
        <v>0</v>
      </c>
      <c r="AS266" s="146">
        <f>COUNTIF(E216:BV216,F266)</f>
        <v>2</v>
      </c>
      <c r="AT266" s="146">
        <f>COUNTIF(E215:BV215,F266)</f>
        <v>5</v>
      </c>
      <c r="AU266" s="146">
        <f>COUNTIF(E214:BV214,F266)</f>
        <v>1</v>
      </c>
      <c r="AV266" s="146">
        <f>COUNTIF(E213:BV213,F266)</f>
        <v>2</v>
      </c>
      <c r="AW266" s="146">
        <f>COUNTIF(E212:BV212,F266)</f>
        <v>1</v>
      </c>
      <c r="AX266" s="146">
        <f>COUNTIF(E211:BV211,F266)</f>
        <v>0</v>
      </c>
      <c r="AY266" s="146">
        <f>COUNTIF(E210:BV210,F266)</f>
        <v>3</v>
      </c>
      <c r="AZ266" s="146">
        <f>COUNTIF(E209:BV209,F266)</f>
        <v>0</v>
      </c>
      <c r="BA266" s="146">
        <f>COUNTIF(E208:BV208,F266)</f>
        <v>2</v>
      </c>
      <c r="BB266" s="146">
        <f>COUNTIF(E207:BV207,F266)</f>
        <v>3</v>
      </c>
      <c r="BC266" s="146">
        <f>COUNTIF(E206:BV206,F266)</f>
        <v>0</v>
      </c>
      <c r="BD266" s="146">
        <f>COUNTIF(E205:BV205,F266)</f>
        <v>0</v>
      </c>
      <c r="BE266" s="146">
        <f>COUNTIF(E204:BV204,F266)</f>
        <v>1</v>
      </c>
      <c r="BF266" s="146">
        <f>COUNTIF(E203:BV203,F266)</f>
        <v>4</v>
      </c>
      <c r="BG266" s="146">
        <f>COUNTIF(E202:BV202,F266)</f>
        <v>1</v>
      </c>
      <c r="BH266" s="146">
        <f>COUNTIF(E201:BV201,F266)</f>
        <v>0</v>
      </c>
      <c r="BI266" s="146">
        <f>COUNTIF(E200:BV200,F266)</f>
        <v>3</v>
      </c>
      <c r="BJ266" s="146">
        <f>COUNTIF(E199:BV199,F266)</f>
        <v>4</v>
      </c>
      <c r="BK266" s="146">
        <f>COUNTIF(E198:BV198,F266)</f>
        <v>3</v>
      </c>
      <c r="BL266" s="146">
        <f>COUNTIF(E197:BV197,F266)</f>
        <v>5</v>
      </c>
      <c r="BM266" s="146">
        <f>COUNTIF(E196:BV196,F266)</f>
        <v>2</v>
      </c>
      <c r="BN266" s="146">
        <f>COUNTIF(E195:BV195,F266)</f>
        <v>4</v>
      </c>
      <c r="BO266" s="146">
        <f>COUNTIF(E194:BV194,F266)</f>
        <v>1</v>
      </c>
      <c r="BP266" s="146">
        <f>COUNTIF(E193:BV193,F266)</f>
        <v>1</v>
      </c>
      <c r="BQ266" s="146">
        <f>COUNTIF(E192:BV192,F266)</f>
        <v>3</v>
      </c>
      <c r="BR266" s="146">
        <f>COUNTIF(E191:BV191,F266)</f>
        <v>1</v>
      </c>
      <c r="BS266" s="146">
        <f>COUNTIF(E190:BV190,F266)</f>
        <v>2</v>
      </c>
      <c r="BT266" s="146">
        <f>COUNTIF(E189:BV189,F266)</f>
        <v>0</v>
      </c>
      <c r="BU266" s="146">
        <f>COUNTIF(E188:BV188,F266)</f>
        <v>1</v>
      </c>
      <c r="BV266" s="146">
        <f>COUNTIF(E187:BV187,F266)</f>
        <v>3</v>
      </c>
      <c r="BW266" s="146">
        <f>COUNTIF(E186:BV186,F266)</f>
        <v>3</v>
      </c>
      <c r="BX266" s="146">
        <f>COUNTIF(E185:BV185,F266)</f>
        <v>3</v>
      </c>
      <c r="BY266" s="146">
        <f>COUNTIF(E184:BV184,F266)</f>
        <v>3</v>
      </c>
      <c r="BZ266" s="146">
        <f>COUNTIF(E183:BV183,F266)</f>
        <v>2</v>
      </c>
      <c r="CA266" s="146">
        <f>COUNTIF(E182:BV182,F266)</f>
        <v>1</v>
      </c>
      <c r="CB266" s="146">
        <f>COUNTIF(E181:BV181,F266)</f>
        <v>2</v>
      </c>
      <c r="CC266" s="146">
        <f>COUNTIF(E180:BV180,F266)</f>
        <v>4</v>
      </c>
      <c r="CD266" s="146">
        <f>COUNTIF(E179:BV179,F266)</f>
        <v>2</v>
      </c>
      <c r="CE266" s="146">
        <f>COUNTIF(E178:BV178,F266)</f>
        <v>1</v>
      </c>
      <c r="CF266" s="146">
        <f>COUNTIF(E177:BV177,F266)</f>
        <v>3</v>
      </c>
      <c r="CG266" s="146">
        <f>COUNTIF(E176:BV176,F266)</f>
        <v>1</v>
      </c>
      <c r="CH266" s="146">
        <f>COUNTIF(E175:BV175,F266)</f>
        <v>0</v>
      </c>
      <c r="CI266" s="146">
        <f>COUNTIF(E174:BV174,F266)</f>
        <v>0</v>
      </c>
      <c r="CJ266" s="146">
        <f>COUNTIF(E173:BV173,F266)</f>
        <v>2</v>
      </c>
      <c r="CK266" s="146">
        <f>COUNTIF(E172:BV172,F266)</f>
        <v>3</v>
      </c>
      <c r="CL266" s="146">
        <f>COUNTIF(E171:BV171,F266)</f>
        <v>0</v>
      </c>
      <c r="CM266" s="146">
        <f>COUNTIF(E170:BV170,F266)</f>
        <v>0</v>
      </c>
      <c r="CN266" s="146">
        <f>COUNTIF(E169:BV169,F266)</f>
        <v>2</v>
      </c>
      <c r="CO266" s="146">
        <f>COUNTIF(E168:BV168,F266)</f>
        <v>1</v>
      </c>
      <c r="CP266" s="146">
        <f>COUNTIF(E167:BV167,F266)</f>
        <v>2</v>
      </c>
      <c r="CQ266" s="146">
        <f>COUNTIF(E166:BV166,F266)</f>
        <v>0</v>
      </c>
      <c r="CR266" s="146">
        <f>COUNTIF(E165:BV165,F266)</f>
        <v>3</v>
      </c>
      <c r="CS266" s="146">
        <f>COUNTIF(E164:BV164,F266)</f>
        <v>1</v>
      </c>
      <c r="CT266" s="146">
        <f>COUNTIF(E163:BV163,F266)</f>
        <v>1</v>
      </c>
      <c r="CU266" s="146">
        <f>COUNTIF(E162:BV162,F266)</f>
        <v>1</v>
      </c>
      <c r="CV266" s="146">
        <f>COUNTIF(E161:BV161,F266)</f>
        <v>1</v>
      </c>
      <c r="CW266" s="146">
        <f>COUNTIF(E160:BV160,F266)</f>
        <v>1</v>
      </c>
      <c r="CX266" s="146">
        <f>COUNTIF(E159:BV159,F266)</f>
        <v>2</v>
      </c>
      <c r="CY266" s="146">
        <f>COUNTIF(E158:BV158,F266)</f>
        <v>1</v>
      </c>
      <c r="CZ266" s="146">
        <f>COUNTIF(E157:BV157,F266)</f>
        <v>2</v>
      </c>
      <c r="DA266" s="146">
        <f>COUNTIF(E156:BV156,F266)</f>
        <v>1</v>
      </c>
      <c r="DB266" s="146">
        <f>COUNTIF(E155:BV155,F266)</f>
        <v>4</v>
      </c>
      <c r="DC266" s="146">
        <f>COUNTIF(E154:BV154,F266)</f>
        <v>1</v>
      </c>
      <c r="DD266" s="146">
        <v>0</v>
      </c>
      <c r="DE266" s="146"/>
      <c r="DF266" s="146"/>
      <c r="DG266" s="146"/>
      <c r="DH266" s="146"/>
      <c r="DI266" s="146"/>
      <c r="DJ266" s="146"/>
      <c r="DK266" s="146"/>
      <c r="DL266" s="146"/>
      <c r="DM266" s="146"/>
      <c r="DN266" s="146"/>
      <c r="DO266" s="146"/>
      <c r="DP266" s="146"/>
      <c r="DQ266" s="146"/>
      <c r="DR266" s="146"/>
      <c r="DS266" s="146"/>
      <c r="DT266" s="146"/>
      <c r="DZ266" s="128">
        <v>34</v>
      </c>
      <c r="EB266" s="128">
        <v>28</v>
      </c>
      <c r="EC266" s="128">
        <v>41</v>
      </c>
      <c r="EE266" s="128">
        <v>29</v>
      </c>
      <c r="EG266" s="128">
        <v>45</v>
      </c>
      <c r="EL266" s="128">
        <v>39</v>
      </c>
      <c r="EM266" s="128">
        <v>41</v>
      </c>
      <c r="EN266" s="128">
        <v>42</v>
      </c>
      <c r="EP266" s="128">
        <v>14</v>
      </c>
      <c r="ER266" s="128">
        <v>27</v>
      </c>
      <c r="ES266" s="128">
        <v>44</v>
      </c>
      <c r="ET266" s="128">
        <v>34</v>
      </c>
      <c r="EX266" s="128">
        <v>14</v>
      </c>
      <c r="FA266" s="128">
        <v>3</v>
      </c>
      <c r="FF266" s="128">
        <v>3</v>
      </c>
      <c r="FH266" s="128">
        <v>3</v>
      </c>
      <c r="FI266" s="128">
        <v>3</v>
      </c>
      <c r="FJ266" s="128">
        <v>3</v>
      </c>
      <c r="FK266" s="129"/>
      <c r="FM266" s="128">
        <v>3</v>
      </c>
      <c r="FN266" s="128">
        <v>3</v>
      </c>
      <c r="FO266" s="128">
        <v>3</v>
      </c>
      <c r="FP266" s="128">
        <v>3</v>
      </c>
      <c r="FQ266" s="128">
        <v>3</v>
      </c>
      <c r="FR266" s="128">
        <v>3</v>
      </c>
      <c r="FS266" s="128">
        <v>3</v>
      </c>
      <c r="FU266" s="128">
        <v>3</v>
      </c>
      <c r="FV266" s="128">
        <v>3</v>
      </c>
      <c r="FW266" s="128">
        <v>3</v>
      </c>
      <c r="FY266" s="128">
        <v>3</v>
      </c>
      <c r="GA266" s="36"/>
      <c r="GB266" s="36"/>
      <c r="GC266" s="36"/>
      <c r="GD266" s="36"/>
      <c r="GE266" s="36"/>
      <c r="GF266" s="36"/>
      <c r="GG266" s="36"/>
      <c r="GH266" s="36"/>
      <c r="GI266" s="36"/>
      <c r="GJ266" s="36"/>
      <c r="GK266" s="36"/>
      <c r="GL266" s="36"/>
      <c r="GO266" s="36"/>
      <c r="GP266" s="36"/>
      <c r="GQ266" s="36"/>
    </row>
    <row r="267" spans="4:287" ht="17.25">
      <c r="D267" s="128"/>
      <c r="E267" s="570">
        <v>10</v>
      </c>
      <c r="F267" s="145">
        <v>10</v>
      </c>
      <c r="G267" s="639"/>
      <c r="H267" s="453">
        <f>COUNTIF(E253:BV253,F267)</f>
        <v>2</v>
      </c>
      <c r="I267" s="453">
        <f>COUNTIF(E252:BV252,F267)</f>
        <v>2</v>
      </c>
      <c r="J267" s="453">
        <f>COUNTIF(E251:BV251,F267)</f>
        <v>1</v>
      </c>
      <c r="K267" s="453">
        <f>COUNTIF(E250:BV250,F267)</f>
        <v>1</v>
      </c>
      <c r="L267" s="453">
        <f>COUNTIF(E249:BV249,F267)</f>
        <v>2</v>
      </c>
      <c r="M267" s="453">
        <f>COUNTIF(E248:BV248,F267)</f>
        <v>0</v>
      </c>
      <c r="N267" s="453">
        <f>COUNTIF(E247:BV247,F267)</f>
        <v>1</v>
      </c>
      <c r="O267" s="453">
        <f>COUNTIF(E246:BV246,F267)</f>
        <v>4</v>
      </c>
      <c r="P267" s="453">
        <f>COUNTIF(E245:BV245,F267)</f>
        <v>5</v>
      </c>
      <c r="Q267" s="453">
        <f>COUNTIF(E244:BV244,F267)</f>
        <v>1</v>
      </c>
      <c r="R267" s="453">
        <f>COUNTIF(E243:BV243,F267)</f>
        <v>4</v>
      </c>
      <c r="S267" s="453">
        <f>COUNTIF(E242:BV242,F267)</f>
        <v>2</v>
      </c>
      <c r="T267" s="453">
        <f>COUNTIF(E241:BV241,F267)</f>
        <v>0</v>
      </c>
      <c r="U267" s="453">
        <f>COUNTIF(E240:BV240,F267)</f>
        <v>1</v>
      </c>
      <c r="V267" s="453">
        <f>COUNTIF(E239:BV239,F267)</f>
        <v>0</v>
      </c>
      <c r="W267" s="453">
        <f>COUNTIF(E238:BV238,F267)</f>
        <v>1</v>
      </c>
      <c r="X267" s="453">
        <f>COUNTIF(E237:BV237,F267)</f>
        <v>3</v>
      </c>
      <c r="Y267" s="453">
        <f>COUNTIF(E236:BV236,F267)</f>
        <v>5</v>
      </c>
      <c r="Z267" s="453">
        <f>COUNTIF(E235:BV235,F267)</f>
        <v>1</v>
      </c>
      <c r="AA267" s="453">
        <f>COUNTIF(E234:BV234,F267)</f>
        <v>2</v>
      </c>
      <c r="AB267" s="453">
        <f>COUNTIF(E233:BV233,F267)</f>
        <v>0</v>
      </c>
      <c r="AC267" s="453">
        <f>COUNTIF(E232:BV232,F267)</f>
        <v>0</v>
      </c>
      <c r="AD267" s="453">
        <f>COUNTIF(E231:BV231,F267)</f>
        <v>2</v>
      </c>
      <c r="AE267" s="453">
        <f>COUNTIF(E230:BV230,F267)</f>
        <v>0</v>
      </c>
      <c r="AF267" s="453">
        <f>COUNTIF(E229:BV229,F267)</f>
        <v>1</v>
      </c>
      <c r="AG267" s="453">
        <f>COUNTIF(E228:BV228,F267)</f>
        <v>3</v>
      </c>
      <c r="AH267" s="453">
        <f>COUNTIF(E227:BV227,F267)</f>
        <v>0</v>
      </c>
      <c r="AI267" s="146">
        <f>COUNTIF(E226:BV226,F267)</f>
        <v>4</v>
      </c>
      <c r="AJ267" s="146">
        <f>COUNTIF(E225:BV225,F267)</f>
        <v>1</v>
      </c>
      <c r="AK267" s="146">
        <f>COUNTIF(E224:BV224,F267)</f>
        <v>3</v>
      </c>
      <c r="AL267" s="146">
        <f>COUNTIF(E223:BV223,F267)</f>
        <v>2</v>
      </c>
      <c r="AM267" s="146">
        <f>COUNTIF(E222:BV222,F267)</f>
        <v>0</v>
      </c>
      <c r="AN267" s="146">
        <f>COUNTIF(E221:BV221,F267)</f>
        <v>1</v>
      </c>
      <c r="AO267" s="146">
        <f>COUNTIF(E220:BV220,F267)</f>
        <v>1</v>
      </c>
      <c r="AP267" s="146">
        <f>COUNTIF(E219:BV219,F267)</f>
        <v>1</v>
      </c>
      <c r="AQ267" s="146">
        <f>COUNTIF(E218:BV218,F267)</f>
        <v>2</v>
      </c>
      <c r="AR267" s="146">
        <f>COUNTIF(E217:BV217,F267)</f>
        <v>2</v>
      </c>
      <c r="AS267" s="146">
        <f>COUNTIF(E216:BV216,F267)</f>
        <v>2</v>
      </c>
      <c r="AT267" s="146">
        <f>COUNTIF(E215:BV215,F267)</f>
        <v>1</v>
      </c>
      <c r="AU267" s="146">
        <f>COUNTIF(E214:BV214,F267)</f>
        <v>1</v>
      </c>
      <c r="AV267" s="146">
        <f>COUNTIF(E213:BV213,F267)</f>
        <v>3</v>
      </c>
      <c r="AW267" s="146">
        <f>COUNTIF(E212:BV212,F267)</f>
        <v>3</v>
      </c>
      <c r="AX267" s="146">
        <f>COUNTIF(E211:BV211,F267)</f>
        <v>2</v>
      </c>
      <c r="AY267" s="146">
        <f>COUNTIF(E210:BV210,F267)</f>
        <v>0</v>
      </c>
      <c r="AZ267" s="146">
        <f>COUNTIF(E209:BV209,F267)</f>
        <v>2</v>
      </c>
      <c r="BA267" s="146">
        <f>COUNTIF(E208:BV208,F267)</f>
        <v>1</v>
      </c>
      <c r="BB267" s="146">
        <f>COUNTIF(E207:BV207,F267)</f>
        <v>1</v>
      </c>
      <c r="BC267" s="146">
        <f>COUNTIF(E206:BV206,F267)</f>
        <v>1</v>
      </c>
      <c r="BD267" s="146">
        <f>COUNTIF(E205:BV205,F267)</f>
        <v>1</v>
      </c>
      <c r="BE267" s="146">
        <f>COUNTIF(E204:BV204,F267)</f>
        <v>1</v>
      </c>
      <c r="BF267" s="146">
        <f>COUNTIF(E203:BV203,F267)</f>
        <v>3</v>
      </c>
      <c r="BG267" s="146">
        <f>COUNTIF(E202:BV202,F267)</f>
        <v>1</v>
      </c>
      <c r="BH267" s="146">
        <f>COUNTIF(E201:BV201,F267)</f>
        <v>2</v>
      </c>
      <c r="BI267" s="146">
        <f>COUNTIF(E200:BV200,F267)</f>
        <v>1</v>
      </c>
      <c r="BJ267" s="146">
        <f>COUNTIF(E199:BV199,F267)</f>
        <v>1</v>
      </c>
      <c r="BK267" s="146">
        <f>COUNTIF(E198:BV198,F267)</f>
        <v>2</v>
      </c>
      <c r="BL267" s="146">
        <f>COUNTIF(E197:BV197,F267)</f>
        <v>0</v>
      </c>
      <c r="BM267" s="146">
        <f>COUNTIF(E196:BV196,F267)</f>
        <v>4</v>
      </c>
      <c r="BN267" s="146">
        <f>COUNTIF(E195:BV195,F267)</f>
        <v>1</v>
      </c>
      <c r="BO267" s="146">
        <f>COUNTIF(E194:BV194,F267)</f>
        <v>0</v>
      </c>
      <c r="BP267" s="146">
        <f>COUNTIF(E193:BV193,F267)</f>
        <v>1</v>
      </c>
      <c r="BQ267" s="146">
        <f>COUNTIF(E192:BV192,F267)</f>
        <v>1</v>
      </c>
      <c r="BR267" s="146">
        <f>COUNTIF(E191:BV191,F267)</f>
        <v>2</v>
      </c>
      <c r="BS267" s="146">
        <f>COUNTIF(E190:BV190,F267)</f>
        <v>2</v>
      </c>
      <c r="BT267" s="146">
        <f>COUNTIF(E189:BV189,F267)</f>
        <v>1</v>
      </c>
      <c r="BU267" s="146">
        <f>COUNTIF(E188:BV188,F267)</f>
        <v>0</v>
      </c>
      <c r="BV267" s="146">
        <f>COUNTIF(E187:BV187,F267)</f>
        <v>1</v>
      </c>
      <c r="BW267" s="146">
        <f>COUNTIF(E186:BV186,F267)</f>
        <v>1</v>
      </c>
      <c r="BX267" s="146">
        <f>COUNTIF(E185:BV185,F267)</f>
        <v>2</v>
      </c>
      <c r="BY267" s="146">
        <f>COUNTIF(E184:BV184,F267)</f>
        <v>0</v>
      </c>
      <c r="BZ267" s="146">
        <f>COUNTIF(E183:BV183,F267)</f>
        <v>0</v>
      </c>
      <c r="CA267" s="146">
        <f>COUNTIF(E182:BV182,F267)</f>
        <v>0</v>
      </c>
      <c r="CB267" s="146">
        <f>COUNTIF(E181:BV181,F267)</f>
        <v>0</v>
      </c>
      <c r="CC267" s="146">
        <f>COUNTIF(E180:BV180,F267)</f>
        <v>0</v>
      </c>
      <c r="CD267" s="146">
        <f>COUNTIF(E179:BV179,F267)</f>
        <v>0</v>
      </c>
      <c r="CE267" s="146">
        <f>COUNTIF(E178:BV178,F267)</f>
        <v>0</v>
      </c>
      <c r="CF267" s="146">
        <f>COUNTIF(E177:BV177,F267)</f>
        <v>0</v>
      </c>
      <c r="CG267" s="146">
        <f>COUNTIF(E176:BV176,F267)</f>
        <v>3</v>
      </c>
      <c r="CH267" s="146">
        <f>COUNTIF(E175:BV175,F267)</f>
        <v>0</v>
      </c>
      <c r="CI267" s="146">
        <f>COUNTIF(E174:BV174,F267)</f>
        <v>3</v>
      </c>
      <c r="CJ267" s="146">
        <f>COUNTIF(E173:BV173,F267)</f>
        <v>0</v>
      </c>
      <c r="CK267" s="146">
        <f>COUNTIF(E172:BV172,F267)</f>
        <v>2</v>
      </c>
      <c r="CL267" s="146">
        <f>COUNTIF(E171:BV171,F267)</f>
        <v>4</v>
      </c>
      <c r="CM267" s="146">
        <f>COUNTIF(E170:BV170,F267)</f>
        <v>1</v>
      </c>
      <c r="CN267" s="146">
        <f>COUNTIF(E169:BV169,F267)</f>
        <v>1</v>
      </c>
      <c r="CO267" s="146">
        <f>COUNTIF(E168:BV168,F267)</f>
        <v>3</v>
      </c>
      <c r="CP267" s="146">
        <f>COUNTIF(E167:BV167,F267)</f>
        <v>0</v>
      </c>
      <c r="CQ267" s="146">
        <f>COUNTIF(E166:BV166,F267)</f>
        <v>3</v>
      </c>
      <c r="CR267" s="146">
        <f>COUNTIF(E165:BV165,F267)</f>
        <v>1</v>
      </c>
      <c r="CS267" s="146">
        <f>COUNTIF(E164:BV164,F267)</f>
        <v>4</v>
      </c>
      <c r="CT267" s="146">
        <f>COUNTIF(E163:BV163,F267)</f>
        <v>6</v>
      </c>
      <c r="CU267" s="146">
        <f>COUNTIF(E162:BV162,F267)</f>
        <v>4</v>
      </c>
      <c r="CV267" s="146">
        <f>COUNTIF(E161:BV161,F267)</f>
        <v>2</v>
      </c>
      <c r="CW267" s="146">
        <f>COUNTIF(E160:BV160,F267)</f>
        <v>2</v>
      </c>
      <c r="CX267" s="146">
        <f>COUNTIF(E159:BV159,F267)</f>
        <v>2</v>
      </c>
      <c r="CY267" s="146">
        <f>COUNTIF(E158:BV158,F267)</f>
        <v>1</v>
      </c>
      <c r="CZ267" s="146">
        <f>COUNTIF(E157:BV157,F267)</f>
        <v>1</v>
      </c>
      <c r="DA267" s="146">
        <f>COUNTIF(E156:BV156,F267)</f>
        <v>1</v>
      </c>
      <c r="DB267" s="146">
        <f>COUNTIF(E155:BV155,F267)</f>
        <v>2</v>
      </c>
      <c r="DC267" s="146">
        <f>COUNTIF(E154:BV154,F267)</f>
        <v>2</v>
      </c>
      <c r="DD267" s="146">
        <v>4</v>
      </c>
      <c r="DE267" s="146"/>
      <c r="DF267" s="146"/>
      <c r="DG267" s="146"/>
      <c r="DH267" s="146"/>
      <c r="DI267" s="146"/>
      <c r="DJ267" s="146"/>
      <c r="DK267" s="146"/>
      <c r="DL267" s="146"/>
      <c r="DM267" s="146"/>
      <c r="DN267" s="146"/>
      <c r="DO267" s="146"/>
      <c r="DP267" s="146"/>
      <c r="DQ267" s="146"/>
      <c r="DR267" s="146"/>
      <c r="DS267" s="146"/>
      <c r="DT267" s="146"/>
      <c r="EE267" s="128">
        <v>34</v>
      </c>
      <c r="EX267" s="128">
        <v>16</v>
      </c>
      <c r="FA267" s="128">
        <v>4</v>
      </c>
      <c r="FB267" s="128">
        <v>4</v>
      </c>
      <c r="FC267" s="128">
        <v>4</v>
      </c>
      <c r="FD267" s="128">
        <v>4</v>
      </c>
      <c r="FE267" s="128">
        <v>4</v>
      </c>
      <c r="FF267" s="128">
        <v>4</v>
      </c>
      <c r="FH267" s="128">
        <v>4</v>
      </c>
      <c r="FI267" s="128">
        <v>4</v>
      </c>
      <c r="FJ267" s="128">
        <v>4</v>
      </c>
      <c r="FK267" s="129"/>
      <c r="FL267" s="129"/>
      <c r="FN267" s="128">
        <v>4</v>
      </c>
      <c r="FO267" s="128">
        <v>4</v>
      </c>
      <c r="FP267" s="128">
        <v>4</v>
      </c>
      <c r="FQ267" s="128">
        <v>4</v>
      </c>
      <c r="FR267" s="128">
        <v>4</v>
      </c>
      <c r="FS267" s="128">
        <v>4</v>
      </c>
      <c r="FU267" s="128">
        <v>4</v>
      </c>
      <c r="FV267" s="128">
        <v>4</v>
      </c>
      <c r="FW267" s="128">
        <v>4</v>
      </c>
      <c r="FX267" s="128">
        <v>4</v>
      </c>
      <c r="FY267" s="128">
        <v>4</v>
      </c>
      <c r="FZ267" s="128">
        <v>4</v>
      </c>
      <c r="GA267" s="36"/>
      <c r="GB267" s="36"/>
      <c r="GC267" s="36"/>
      <c r="GD267" s="36"/>
      <c r="GE267" s="36"/>
      <c r="GF267" s="36"/>
      <c r="GG267" s="36"/>
      <c r="GH267" s="36"/>
      <c r="GI267" s="36"/>
      <c r="GJ267" s="36"/>
      <c r="GK267" s="36"/>
      <c r="GL267" s="36"/>
      <c r="GO267" s="36"/>
      <c r="GP267" s="36"/>
      <c r="GQ267" s="36"/>
    </row>
    <row r="268" spans="4:287" ht="17.25">
      <c r="D268" s="128"/>
      <c r="E268" s="570">
        <v>11</v>
      </c>
      <c r="F268" s="145">
        <v>11</v>
      </c>
      <c r="G268" s="639"/>
      <c r="H268" s="453">
        <f>COUNTIF(E253:BV253,F268)</f>
        <v>4</v>
      </c>
      <c r="I268" s="453">
        <f>COUNTIF(E252:BV252,F268)</f>
        <v>2</v>
      </c>
      <c r="J268" s="453">
        <f>COUNTIF(E251:BV251,F268)</f>
        <v>3</v>
      </c>
      <c r="K268" s="453">
        <f>COUNTIF(E250:BV250,F268)</f>
        <v>0</v>
      </c>
      <c r="L268" s="453">
        <f>COUNTIF(E249:BV249,F268)</f>
        <v>0</v>
      </c>
      <c r="M268" s="453">
        <f>COUNTIF(E248:BV248,F268)</f>
        <v>2</v>
      </c>
      <c r="N268" s="453">
        <f>COUNTIF(E247:BV247,F268)</f>
        <v>0</v>
      </c>
      <c r="O268" s="453">
        <f>COUNTIF(E246:BV246,F268)</f>
        <v>1</v>
      </c>
      <c r="P268" s="453">
        <f>COUNTIF(E245:BV245,F268)</f>
        <v>1</v>
      </c>
      <c r="Q268" s="453">
        <f>COUNTIF(E244:BV244,F268)</f>
        <v>3</v>
      </c>
      <c r="R268" s="453">
        <f>COUNTIF(E243:BV243,F268)</f>
        <v>2</v>
      </c>
      <c r="S268" s="453">
        <f>COUNTIF(E242:BV242,F268)</f>
        <v>1</v>
      </c>
      <c r="T268" s="453">
        <f>COUNTIF(E241:BV241,F268)</f>
        <v>2</v>
      </c>
      <c r="U268" s="453">
        <f>COUNTIF(E240:BV240,F268)</f>
        <v>2</v>
      </c>
      <c r="V268" s="453">
        <f>COUNTIF(E239:BV239,F268)</f>
        <v>3</v>
      </c>
      <c r="W268" s="453">
        <f>COUNTIF(E238:BV238,F268)</f>
        <v>3</v>
      </c>
      <c r="X268" s="453">
        <f>COUNTIF(E237:BV237,F268)</f>
        <v>2</v>
      </c>
      <c r="Y268" s="453">
        <f>COUNTIF(E236:BV236,F268)</f>
        <v>2</v>
      </c>
      <c r="Z268" s="453">
        <f>COUNTIF(E235:BV235,F268)</f>
        <v>2</v>
      </c>
      <c r="AA268" s="453">
        <f>COUNTIF(E234:BV234,F268)</f>
        <v>0</v>
      </c>
      <c r="AB268" s="453">
        <f>COUNTIF(E233:BV233,F268)</f>
        <v>1</v>
      </c>
      <c r="AC268" s="453">
        <f>COUNTIF(E232:BV232,F268)</f>
        <v>1</v>
      </c>
      <c r="AD268" s="453">
        <f>COUNTIF(E231:BV231,F268)</f>
        <v>2</v>
      </c>
      <c r="AE268" s="453">
        <f>COUNTIF(E230:BV230,F268)</f>
        <v>0</v>
      </c>
      <c r="AF268" s="453">
        <f>COUNTIF(E229:BV229,F268)</f>
        <v>1</v>
      </c>
      <c r="AG268" s="453">
        <f>COUNTIF(E228:BV228,F268)</f>
        <v>1</v>
      </c>
      <c r="AH268" s="453">
        <f>COUNTIF(E227:BV227,F268)</f>
        <v>0</v>
      </c>
      <c r="AI268" s="146">
        <f>COUNTIF(E226:BV226,F268)</f>
        <v>0</v>
      </c>
      <c r="AJ268" s="146">
        <f>COUNTIF(E225:BV225,F268)</f>
        <v>2</v>
      </c>
      <c r="AK268" s="146">
        <f>COUNTIF(E224:BV224,F268)</f>
        <v>3</v>
      </c>
      <c r="AL268" s="146">
        <f>COUNTIF(E223:BV223,F268)</f>
        <v>3</v>
      </c>
      <c r="AM268" s="146">
        <f>COUNTIF(E222:BV222,F268)</f>
        <v>2</v>
      </c>
      <c r="AN268" s="146">
        <f>COUNTIF(E221:BV221,F268)</f>
        <v>1</v>
      </c>
      <c r="AO268" s="146">
        <f>COUNTIF(E220:BV220,F268)</f>
        <v>3</v>
      </c>
      <c r="AP268" s="146">
        <f>COUNTIF(E219:BV219,F268)</f>
        <v>0</v>
      </c>
      <c r="AQ268" s="146">
        <f>COUNTIF(E218:BV218,F268)</f>
        <v>1</v>
      </c>
      <c r="AR268" s="146">
        <f>COUNTIF(E217:BV217,F268)</f>
        <v>2</v>
      </c>
      <c r="AS268" s="146">
        <f>COUNTIF(E216:BV216,F268)</f>
        <v>4</v>
      </c>
      <c r="AT268" s="146">
        <f>COUNTIF(E215:BV215,F268)</f>
        <v>2</v>
      </c>
      <c r="AU268" s="146">
        <f>COUNTIF(E214:BV214,F268)</f>
        <v>3</v>
      </c>
      <c r="AV268" s="146">
        <f>COUNTIF(E213:BV213,F268)</f>
        <v>4</v>
      </c>
      <c r="AW268" s="146">
        <f>COUNTIF(E212:BV212,F268)</f>
        <v>2</v>
      </c>
      <c r="AX268" s="146">
        <f>COUNTIF(E211:BV211,F268)</f>
        <v>0</v>
      </c>
      <c r="AY268" s="146">
        <f>COUNTIF(E210:BV210,F268)</f>
        <v>3</v>
      </c>
      <c r="AZ268" s="146">
        <f>COUNTIF(E209:BV209,F268)</f>
        <v>2</v>
      </c>
      <c r="BA268" s="146">
        <f>COUNTIF(E208:BV208,F268)</f>
        <v>0</v>
      </c>
      <c r="BB268" s="146">
        <f>COUNTIF(E207:BV207,F268)</f>
        <v>2</v>
      </c>
      <c r="BC268" s="146">
        <f>COUNTIF(E206:BV206,F268)</f>
        <v>1</v>
      </c>
      <c r="BD268" s="146">
        <f>COUNTIF(E205:BV205,F268)</f>
        <v>1</v>
      </c>
      <c r="BE268" s="146">
        <f>COUNTIF(E204:BV204,F268)</f>
        <v>1</v>
      </c>
      <c r="BF268" s="146">
        <f>COUNTIF(E203:BV203,F268)</f>
        <v>0</v>
      </c>
      <c r="BG268" s="146">
        <f>COUNTIF(E202:BV202,F268)</f>
        <v>1</v>
      </c>
      <c r="BH268" s="146">
        <f>COUNTIF(E201:BV201,F268)</f>
        <v>1</v>
      </c>
      <c r="BI268" s="146">
        <f>COUNTIF(E200:BV200,F268)</f>
        <v>0</v>
      </c>
      <c r="BJ268" s="146">
        <f>COUNTIF(E199:BV199,F268)</f>
        <v>2</v>
      </c>
      <c r="BK268" s="146">
        <f>COUNTIF(E198:BV198,F268)</f>
        <v>1</v>
      </c>
      <c r="BL268" s="146">
        <f>COUNTIF(E197:BV197,F268)</f>
        <v>0</v>
      </c>
      <c r="BM268" s="146">
        <f>COUNTIF(E196:BV196,F268)</f>
        <v>2</v>
      </c>
      <c r="BN268" s="146">
        <f>COUNTIF(E195:BV195,F268)</f>
        <v>0</v>
      </c>
      <c r="BO268" s="146">
        <f>COUNTIF(E194:BV194,F268)</f>
        <v>3</v>
      </c>
      <c r="BP268" s="146">
        <f>COUNTIF(E193:BV193,F268)</f>
        <v>1</v>
      </c>
      <c r="BQ268" s="146">
        <f>COUNTIF(E192:BV192,F268)</f>
        <v>1</v>
      </c>
      <c r="BR268" s="146">
        <f>COUNTIF(E191:BV191,F268)</f>
        <v>1</v>
      </c>
      <c r="BS268" s="146">
        <f>COUNTIF(E190:BV190,F268)</f>
        <v>1</v>
      </c>
      <c r="BT268" s="146">
        <f>COUNTIF(E189:BV189,F268)</f>
        <v>1</v>
      </c>
      <c r="BU268" s="146">
        <f>COUNTIF(E188:BV188,F268)</f>
        <v>2</v>
      </c>
      <c r="BV268" s="146">
        <f>COUNTIF(E187:BV187,F268)</f>
        <v>3</v>
      </c>
      <c r="BW268" s="146">
        <f>COUNTIF(E186:BV186,F268)</f>
        <v>1</v>
      </c>
      <c r="BX268" s="146">
        <f>COUNTIF(E185:BV185,F268)</f>
        <v>0</v>
      </c>
      <c r="BY268" s="146">
        <f>COUNTIF(E184:BV184,F268)</f>
        <v>0</v>
      </c>
      <c r="BZ268" s="146">
        <f>COUNTIF(E183:BV183,F268)</f>
        <v>2</v>
      </c>
      <c r="CA268" s="146">
        <f>COUNTIF(E182:BV182,F268)</f>
        <v>2</v>
      </c>
      <c r="CB268" s="146">
        <f>COUNTIF(E181:BV181,F268)</f>
        <v>2</v>
      </c>
      <c r="CC268" s="146">
        <f>COUNTIF(E180:BV180,F268)</f>
        <v>0</v>
      </c>
      <c r="CD268" s="146">
        <f>COUNTIF(E179:BV179,F268)</f>
        <v>3</v>
      </c>
      <c r="CE268" s="146">
        <f>COUNTIF(E178:BV178,F268)</f>
        <v>3</v>
      </c>
      <c r="CF268" s="146">
        <f>COUNTIF(E177:BV177,F268)</f>
        <v>0</v>
      </c>
      <c r="CG268" s="146">
        <f>COUNTIF(E176:BV176,F268)</f>
        <v>2</v>
      </c>
      <c r="CH268" s="146">
        <f>COUNTIF(E175:BV175,F268)</f>
        <v>0</v>
      </c>
      <c r="CI268" s="146">
        <f>COUNTIF(E174:BV174,F268)</f>
        <v>3</v>
      </c>
      <c r="CJ268" s="146">
        <f>COUNTIF(E173:BV173,F268)</f>
        <v>0</v>
      </c>
      <c r="CK268" s="146">
        <f>COUNTIF(E172:BV172,F268)</f>
        <v>2</v>
      </c>
      <c r="CL268" s="146">
        <f>COUNTIF(E171:BV171,F268)</f>
        <v>0</v>
      </c>
      <c r="CM268" s="146">
        <f>COUNTIF(E170:BV170,F268)</f>
        <v>2</v>
      </c>
      <c r="CN268" s="146">
        <f>COUNTIF(E169:BV169,F268)</f>
        <v>1</v>
      </c>
      <c r="CO268" s="146">
        <f>COUNTIF(E168:BV168,F268)</f>
        <v>1</v>
      </c>
      <c r="CP268" s="146">
        <f>COUNTIF(E167:BV167,F268)</f>
        <v>1</v>
      </c>
      <c r="CQ268" s="146">
        <f>COUNTIF(E166:BV166,F268)</f>
        <v>2</v>
      </c>
      <c r="CR268" s="146">
        <f>COUNTIF(E165:BV165,F268)</f>
        <v>1</v>
      </c>
      <c r="CS268" s="146">
        <f>COUNTIF(E164:BV164,F268)</f>
        <v>1</v>
      </c>
      <c r="CT268" s="146">
        <f>COUNTIF(E163:BV163,F268)</f>
        <v>5</v>
      </c>
      <c r="CU268" s="146">
        <f>COUNTIF(E162:BV162,F268)</f>
        <v>1</v>
      </c>
      <c r="CV268" s="146">
        <f>COUNTIF(E161:BV161,F268)</f>
        <v>1</v>
      </c>
      <c r="CW268" s="146">
        <f>COUNTIF(E160:BV160,F268)</f>
        <v>1</v>
      </c>
      <c r="CX268" s="146">
        <f>COUNTIF(E159:BV159,F268)</f>
        <v>1</v>
      </c>
      <c r="CY268" s="146">
        <f>COUNTIF(E158:BV158,F268)</f>
        <v>0</v>
      </c>
      <c r="CZ268" s="146">
        <f>COUNTIF(E157:BV157,F268)</f>
        <v>1</v>
      </c>
      <c r="DA268" s="146">
        <f>COUNTIF(E156:BV156,F268)</f>
        <v>1</v>
      </c>
      <c r="DB268" s="146">
        <f>COUNTIF(E155:BV155,F268)</f>
        <v>4</v>
      </c>
      <c r="DC268" s="146">
        <f>COUNTIF(E154:BV154,F268)</f>
        <v>4</v>
      </c>
      <c r="DD268" s="146">
        <v>2</v>
      </c>
      <c r="DE268" s="146"/>
      <c r="DF268" s="146"/>
      <c r="DG268" s="146"/>
      <c r="DH268" s="146"/>
      <c r="DI268" s="146"/>
      <c r="DJ268" s="146"/>
      <c r="DK268" s="146"/>
      <c r="DL268" s="146"/>
      <c r="DM268" s="146"/>
      <c r="DN268" s="146"/>
      <c r="DO268" s="146"/>
      <c r="DP268" s="146"/>
      <c r="DQ268" s="146"/>
      <c r="DR268" s="146"/>
      <c r="DS268" s="146"/>
      <c r="DT268" s="146"/>
      <c r="EX268" s="128">
        <v>18</v>
      </c>
      <c r="FA268" s="128">
        <v>5</v>
      </c>
      <c r="FB268" s="128">
        <v>5</v>
      </c>
      <c r="FC268" s="128">
        <v>5</v>
      </c>
      <c r="FE268" s="128">
        <v>5</v>
      </c>
      <c r="FH268" s="128">
        <v>5</v>
      </c>
      <c r="FI268" s="128">
        <v>5</v>
      </c>
      <c r="FJ268" s="128">
        <v>5</v>
      </c>
      <c r="FK268" s="129"/>
      <c r="FL268" s="129"/>
      <c r="FM268" s="128">
        <v>5</v>
      </c>
      <c r="FQ268" s="128">
        <v>5</v>
      </c>
      <c r="FS268" s="128">
        <v>5</v>
      </c>
      <c r="FT268" s="128">
        <v>5</v>
      </c>
      <c r="FU268" s="128">
        <v>5</v>
      </c>
      <c r="FW268" s="128">
        <v>5</v>
      </c>
      <c r="FX268" s="128">
        <v>5</v>
      </c>
      <c r="GA268" s="36"/>
      <c r="GB268" s="36"/>
      <c r="GC268" s="36"/>
      <c r="GD268" s="36"/>
      <c r="GE268" s="36"/>
      <c r="GF268" s="36"/>
      <c r="GG268" s="36"/>
      <c r="GH268" s="52"/>
      <c r="GI268" s="36"/>
      <c r="GJ268" s="36"/>
      <c r="GK268" s="36"/>
      <c r="GL268" s="36"/>
      <c r="GO268" s="36"/>
      <c r="GP268" s="36"/>
      <c r="GQ268" s="36"/>
    </row>
    <row r="269" spans="4:287" ht="17.25">
      <c r="D269" s="128"/>
      <c r="E269" s="570">
        <v>12</v>
      </c>
      <c r="F269" s="145">
        <v>12</v>
      </c>
      <c r="G269" s="639"/>
      <c r="H269" s="453">
        <f>COUNTIF(E253:BV253,F269)</f>
        <v>2</v>
      </c>
      <c r="I269" s="453">
        <f>COUNTIF(E252:BV252,F269)</f>
        <v>3</v>
      </c>
      <c r="J269" s="453">
        <f>COUNTIF(E251:BV251,F269)</f>
        <v>0</v>
      </c>
      <c r="K269" s="453">
        <f>COUNTIF(E250:BV250,F269)</f>
        <v>2</v>
      </c>
      <c r="L269" s="453">
        <f>COUNTIF(E249:BV249,F269)</f>
        <v>1</v>
      </c>
      <c r="M269" s="453">
        <f>COUNTIF(E248:BV248,F269)</f>
        <v>1</v>
      </c>
      <c r="N269" s="453">
        <f>COUNTIF(E247:BV247,F269)</f>
        <v>0</v>
      </c>
      <c r="O269" s="453">
        <f>COUNTIF(E246:BV246,F269)</f>
        <v>0</v>
      </c>
      <c r="P269" s="453">
        <f>COUNTIF(E245:BV245,F269)</f>
        <v>4</v>
      </c>
      <c r="Q269" s="453">
        <f>COUNTIF(E244:BV244,F269)</f>
        <v>1</v>
      </c>
      <c r="R269" s="453">
        <f>COUNTIF(E243:BV243,F269)</f>
        <v>0</v>
      </c>
      <c r="S269" s="453">
        <f>COUNTIF(E242:BV242,F269)</f>
        <v>0</v>
      </c>
      <c r="T269" s="453">
        <f>COUNTIF(E241:BV241,F269)</f>
        <v>4</v>
      </c>
      <c r="U269" s="453">
        <f>COUNTIF(E240:BV240,F269)</f>
        <v>0</v>
      </c>
      <c r="V269" s="453">
        <f>COUNTIF(E239:BV239,F269)</f>
        <v>1</v>
      </c>
      <c r="W269" s="453">
        <f>COUNTIF(E238:BV238,F269)</f>
        <v>0</v>
      </c>
      <c r="X269" s="453">
        <f>COUNTIF(E237:BV237,F269)</f>
        <v>2</v>
      </c>
      <c r="Y269" s="453">
        <f>COUNTIF(E236:BV236,F269)</f>
        <v>2</v>
      </c>
      <c r="Z269" s="453">
        <f>COUNTIF(E235:BV235,F269)</f>
        <v>2</v>
      </c>
      <c r="AA269" s="453">
        <f>COUNTIF(E234:BV234,F269)</f>
        <v>2</v>
      </c>
      <c r="AB269" s="453">
        <f>COUNTIF(E233:BV233,F269)</f>
        <v>2</v>
      </c>
      <c r="AC269" s="453">
        <f>COUNTIF(E232:BV232,F269)</f>
        <v>2</v>
      </c>
      <c r="AD269" s="453">
        <f>COUNTIF(E231:BV231,F269)</f>
        <v>1</v>
      </c>
      <c r="AE269" s="453">
        <f>COUNTIF(E230:BV230,F269)</f>
        <v>4</v>
      </c>
      <c r="AF269" s="453">
        <f>COUNTIF(E229:BV229,F269)</f>
        <v>2</v>
      </c>
      <c r="AG269" s="453">
        <f>COUNTIF(E228:BV228,F269)</f>
        <v>4</v>
      </c>
      <c r="AH269" s="453">
        <f>COUNTIF(E227:BV227,F269)</f>
        <v>3</v>
      </c>
      <c r="AI269" s="146">
        <f>COUNTIF(E226:BV226,F269)</f>
        <v>3</v>
      </c>
      <c r="AJ269" s="146">
        <f>COUNTIF(E225:BV225,F269)</f>
        <v>2</v>
      </c>
      <c r="AK269" s="146">
        <f>COUNTIF(E224:BV224,F269)</f>
        <v>1</v>
      </c>
      <c r="AL269" s="146">
        <f>COUNTIF(E223:BV223,F269)</f>
        <v>0</v>
      </c>
      <c r="AM269" s="146">
        <f>COUNTIF(E222:BV222,F269)</f>
        <v>1</v>
      </c>
      <c r="AN269" s="146">
        <f>COUNTIF(E221:BV221,F269)</f>
        <v>2</v>
      </c>
      <c r="AO269" s="146">
        <f>COUNTIF(E220:BV220,F269)</f>
        <v>0</v>
      </c>
      <c r="AP269" s="146">
        <f>COUNTIF(E219:BV219,F269)</f>
        <v>3</v>
      </c>
      <c r="AQ269" s="146">
        <f>COUNTIF(E218:BV218,F269)</f>
        <v>2</v>
      </c>
      <c r="AR269" s="146">
        <f>COUNTIF(E217:BV217,F269)</f>
        <v>1</v>
      </c>
      <c r="AS269" s="146">
        <f>COUNTIF(E216:BV216,F269)</f>
        <v>3</v>
      </c>
      <c r="AT269" s="146">
        <f>COUNTIF(E215:BV215,F269)</f>
        <v>3</v>
      </c>
      <c r="AU269" s="146">
        <f>COUNTIF(E214:BV214,F269)</f>
        <v>0</v>
      </c>
      <c r="AV269" s="146">
        <f>COUNTIF(E213:BV213,F269)</f>
        <v>1</v>
      </c>
      <c r="AW269" s="146">
        <f>COUNTIF(E212:BV212,F269)</f>
        <v>1</v>
      </c>
      <c r="AX269" s="146">
        <f>COUNTIF(E211:BV211,F269)</f>
        <v>1</v>
      </c>
      <c r="AY269" s="146">
        <f>COUNTIF(E210:BV210,F269)</f>
        <v>2</v>
      </c>
      <c r="AZ269" s="146">
        <f>COUNTIF(E209:BV209,F269)</f>
        <v>2</v>
      </c>
      <c r="BA269" s="146">
        <f>COUNTIF(E208:BV208,F269)</f>
        <v>2</v>
      </c>
      <c r="BB269" s="146">
        <f>COUNTIF(E207:BV207,F269)</f>
        <v>0</v>
      </c>
      <c r="BC269" s="146">
        <f>COUNTIF(E206:BV206,F269)</f>
        <v>2</v>
      </c>
      <c r="BD269" s="146">
        <f>COUNTIF(E205:BV205,F269)</f>
        <v>1</v>
      </c>
      <c r="BE269" s="146">
        <f>COUNTIF(E204:BV204,F269)</f>
        <v>1</v>
      </c>
      <c r="BF269" s="146">
        <f>COUNTIF(E203:BV203,F269)</f>
        <v>5</v>
      </c>
      <c r="BG269" s="146">
        <f>COUNTIF(E202:BV202,F269)</f>
        <v>0</v>
      </c>
      <c r="BH269" s="146">
        <f>COUNTIF(E201:BV201,F269)</f>
        <v>1</v>
      </c>
      <c r="BI269" s="146">
        <f>COUNTIF(E200:BV200,F269)</f>
        <v>5</v>
      </c>
      <c r="BJ269" s="146">
        <f>COUNTIF(E199:BV199,F269)</f>
        <v>1</v>
      </c>
      <c r="BK269" s="146">
        <f>COUNTIF(E198:BV198,F269)</f>
        <v>1</v>
      </c>
      <c r="BL269" s="146">
        <f>COUNTIF(E197:BV197,F269)</f>
        <v>2</v>
      </c>
      <c r="BM269" s="146">
        <f>COUNTIF(E196:BV196,F269)</f>
        <v>1</v>
      </c>
      <c r="BN269" s="146">
        <f>COUNTIF(E195:BV195,F269)</f>
        <v>1</v>
      </c>
      <c r="BO269" s="146">
        <f>COUNTIF(E194:BV194,F269)</f>
        <v>2</v>
      </c>
      <c r="BP269" s="146">
        <f>COUNTIF(E193:BV193,F269)</f>
        <v>3</v>
      </c>
      <c r="BQ269" s="146">
        <f>COUNTIF(E192:BV192,F269)</f>
        <v>1</v>
      </c>
      <c r="BR269" s="146">
        <f>COUNTIF(E191:BV191,F269)</f>
        <v>4</v>
      </c>
      <c r="BS269" s="146">
        <f>COUNTIF(E190:BV190,F269)</f>
        <v>0</v>
      </c>
      <c r="BT269" s="146">
        <f>COUNTIF(E189:BV189,F269)</f>
        <v>0</v>
      </c>
      <c r="BU269" s="146">
        <f>COUNTIF(E188:BV188,F269)</f>
        <v>4</v>
      </c>
      <c r="BV269" s="146">
        <f>COUNTIF(E187:BV187,F269)</f>
        <v>6</v>
      </c>
      <c r="BW269" s="146">
        <f>COUNTIF(E186:BV186,F269)</f>
        <v>1</v>
      </c>
      <c r="BX269" s="146">
        <f>COUNTIF(E185:BV185,F269)</f>
        <v>3</v>
      </c>
      <c r="BY269" s="146">
        <f>COUNTIF(E184:BV184,F269)</f>
        <v>5</v>
      </c>
      <c r="BZ269" s="146">
        <f>COUNTIF(E183:BV183,F269)</f>
        <v>2</v>
      </c>
      <c r="CA269" s="146">
        <f>COUNTIF(E182:BV182,F269)</f>
        <v>3</v>
      </c>
      <c r="CB269" s="146">
        <f>COUNTIF(E181:BV181,F269)</f>
        <v>1</v>
      </c>
      <c r="CC269" s="146">
        <f>COUNTIF(E180:BV180,F269)</f>
        <v>1</v>
      </c>
      <c r="CD269" s="146">
        <f>COUNTIF(E179:BV179,F269)</f>
        <v>2</v>
      </c>
      <c r="CE269" s="146">
        <f>COUNTIF(E178:BV178,F269)</f>
        <v>0</v>
      </c>
      <c r="CF269" s="146">
        <f>COUNTIF(E177:BV177,F269)</f>
        <v>0</v>
      </c>
      <c r="CG269" s="146">
        <f>COUNTIF(E176:BV176,F269)</f>
        <v>3</v>
      </c>
      <c r="CH269" s="146">
        <f>COUNTIF(E175:BV175,F269)</f>
        <v>2</v>
      </c>
      <c r="CI269" s="146">
        <f>COUNTIF(E174:BV174,F269)</f>
        <v>5</v>
      </c>
      <c r="CJ269" s="146">
        <f>COUNTIF(E173:BV173,F269)</f>
        <v>4</v>
      </c>
      <c r="CK269" s="146">
        <f>COUNTIF(E172:BV172,F269)</f>
        <v>2</v>
      </c>
      <c r="CL269" s="146">
        <f>COUNTIF(E171:BV171,F269)</f>
        <v>2</v>
      </c>
      <c r="CM269" s="146">
        <f>COUNTIF(E170:BV170,F269)</f>
        <v>4</v>
      </c>
      <c r="CN269" s="146">
        <f>COUNTIF(E169:BV169,F269)</f>
        <v>1</v>
      </c>
      <c r="CO269" s="146">
        <f>COUNTIF(E168:BV168,F269)</f>
        <v>2</v>
      </c>
      <c r="CP269" s="146">
        <f>COUNTIF(E167:BV167,F269)</f>
        <v>3</v>
      </c>
      <c r="CQ269" s="146">
        <f>COUNTIF(E166:BV166,F269)</f>
        <v>2</v>
      </c>
      <c r="CR269" s="146">
        <f>COUNTIF(E165:BV165,F269)</f>
        <v>4</v>
      </c>
      <c r="CS269" s="146">
        <f>COUNTIF(E164:BV164,F269)</f>
        <v>1</v>
      </c>
      <c r="CT269" s="146">
        <f>COUNTIF(E163:BV163,F269)</f>
        <v>2</v>
      </c>
      <c r="CU269" s="146">
        <f>COUNTIF(E162:BV162,F269)</f>
        <v>2</v>
      </c>
      <c r="CV269" s="146">
        <f>COUNTIF(E161:BV161,F269)</f>
        <v>1</v>
      </c>
      <c r="CW269" s="146">
        <f>COUNTIF(E160:BV160,F269)</f>
        <v>1</v>
      </c>
      <c r="CX269" s="146">
        <f>COUNTIF(E159:BV159,F269)</f>
        <v>1</v>
      </c>
      <c r="CY269" s="146">
        <f>COUNTIF(E158:BV158,F269)</f>
        <v>0</v>
      </c>
      <c r="CZ269" s="146">
        <f>COUNTIF(E157:BV157,F269)</f>
        <v>1</v>
      </c>
      <c r="DA269" s="146">
        <f>COUNTIF(E156:BV156,F269)</f>
        <v>3</v>
      </c>
      <c r="DB269" s="146">
        <f>COUNTIF(E155:BV155,F269)</f>
        <v>4</v>
      </c>
      <c r="DC269" s="146">
        <f>COUNTIF(E154:BV154,F269)</f>
        <v>2</v>
      </c>
      <c r="DD269" s="146">
        <v>3</v>
      </c>
      <c r="DE269" s="146"/>
      <c r="DF269" s="146"/>
      <c r="DG269" s="146"/>
      <c r="DH269" s="146"/>
      <c r="DI269" s="146"/>
      <c r="DJ269" s="146"/>
      <c r="DK269" s="146"/>
      <c r="DL269" s="146"/>
      <c r="DM269" s="146"/>
      <c r="DN269" s="146"/>
      <c r="DO269" s="146"/>
      <c r="DP269" s="146"/>
      <c r="DQ269" s="146"/>
      <c r="DR269" s="146"/>
      <c r="DS269" s="146"/>
      <c r="DT269" s="146"/>
      <c r="EX269" s="128">
        <v>27</v>
      </c>
      <c r="FA269" s="128">
        <v>6</v>
      </c>
      <c r="FC269" s="128">
        <v>6</v>
      </c>
      <c r="FD269" s="128">
        <v>6</v>
      </c>
      <c r="FE269" s="128">
        <v>6</v>
      </c>
      <c r="FH269" s="128">
        <v>6</v>
      </c>
      <c r="FI269" s="128">
        <v>6</v>
      </c>
      <c r="FJ269" s="128">
        <v>6</v>
      </c>
      <c r="FK269" s="129"/>
      <c r="FL269" s="129"/>
      <c r="FM269" s="128">
        <v>6</v>
      </c>
      <c r="FO269" s="128">
        <v>6</v>
      </c>
      <c r="FP269" s="128">
        <v>6</v>
      </c>
      <c r="FR269" s="128">
        <v>6</v>
      </c>
      <c r="FU269" s="128">
        <v>6</v>
      </c>
      <c r="FV269" s="128">
        <v>6</v>
      </c>
      <c r="FW269" s="128">
        <v>6</v>
      </c>
      <c r="FY269" s="128">
        <v>6</v>
      </c>
      <c r="FZ269" s="128">
        <v>6</v>
      </c>
      <c r="GA269" s="36"/>
      <c r="GB269" s="36"/>
      <c r="GC269" s="36"/>
      <c r="GD269" s="36"/>
      <c r="GE269" s="36"/>
      <c r="GF269" s="36"/>
      <c r="GG269" s="36"/>
      <c r="GH269" s="36"/>
      <c r="GI269" s="36"/>
      <c r="GJ269" s="36"/>
      <c r="GK269" s="36"/>
      <c r="GL269" s="36"/>
      <c r="GN269" s="36"/>
      <c r="GO269" s="36"/>
      <c r="GP269" s="36"/>
      <c r="GQ269" s="36"/>
    </row>
    <row r="270" spans="4:287" ht="17.25">
      <c r="D270" s="128"/>
      <c r="E270" s="570">
        <v>13</v>
      </c>
      <c r="F270" s="145">
        <v>13</v>
      </c>
      <c r="G270" s="639"/>
      <c r="H270" s="453">
        <f>COUNTIF(E253:BV253,F270)</f>
        <v>3</v>
      </c>
      <c r="I270" s="453">
        <f>COUNTIF(E252:BV252,F270)</f>
        <v>1</v>
      </c>
      <c r="J270" s="453">
        <f>COUNTIF(E251:BV251,F270)</f>
        <v>2</v>
      </c>
      <c r="K270" s="453">
        <f>COUNTIF(E250:BV250,F270)</f>
        <v>0</v>
      </c>
      <c r="L270" s="453">
        <f>COUNTIF(E249:BV249,F270)</f>
        <v>0</v>
      </c>
      <c r="M270" s="453">
        <f>COUNTIF(E248:BV248,F270)</f>
        <v>1</v>
      </c>
      <c r="N270" s="453">
        <f>COUNTIF(E247:BV247,F270)</f>
        <v>0</v>
      </c>
      <c r="O270" s="453">
        <f>COUNTIF(E246:BV246,F270)</f>
        <v>5</v>
      </c>
      <c r="P270" s="453">
        <f>COUNTIF(E245:BV245,F270)</f>
        <v>1</v>
      </c>
      <c r="Q270" s="453">
        <f>COUNTIF(E244:BV244,F270)</f>
        <v>3</v>
      </c>
      <c r="R270" s="453">
        <f>COUNTIF(E243:BV243,F270)</f>
        <v>1</v>
      </c>
      <c r="S270" s="453">
        <f>COUNTIF(E242:BV242,F270)</f>
        <v>1</v>
      </c>
      <c r="T270" s="453">
        <f>COUNTIF(E241:BV241,F270)</f>
        <v>2</v>
      </c>
      <c r="U270" s="453">
        <f>COUNTIF(E240:BV240,F270)</f>
        <v>3</v>
      </c>
      <c r="V270" s="453">
        <f>COUNTIF(E239:BV239,F270)</f>
        <v>3</v>
      </c>
      <c r="W270" s="453">
        <f>COUNTIF(E238:BV238,F270)</f>
        <v>1</v>
      </c>
      <c r="X270" s="453">
        <f>COUNTIF(E237:BV237,F270)</f>
        <v>3</v>
      </c>
      <c r="Y270" s="453">
        <f>COUNTIF(E236:BV236,F270)</f>
        <v>4</v>
      </c>
      <c r="Z270" s="453">
        <f>COUNTIF(E235:BV235,F270)</f>
        <v>1</v>
      </c>
      <c r="AA270" s="453">
        <f>COUNTIF(E234:BV234,F270)</f>
        <v>1</v>
      </c>
      <c r="AB270" s="453">
        <f>COUNTIF(E233:BV233,F270)</f>
        <v>1</v>
      </c>
      <c r="AC270" s="453">
        <f>COUNTIF(E232:BV232,F270)</f>
        <v>1</v>
      </c>
      <c r="AD270" s="453">
        <f>COUNTIF(E231:BV231,F270)</f>
        <v>2</v>
      </c>
      <c r="AE270" s="453">
        <f>COUNTIF(E230:BV230,F270)</f>
        <v>1</v>
      </c>
      <c r="AF270" s="453">
        <f>COUNTIF(E229:BV229,F270)</f>
        <v>3</v>
      </c>
      <c r="AG270" s="453">
        <f>COUNTIF(E228:BV228,F270)</f>
        <v>1</v>
      </c>
      <c r="AH270" s="453">
        <f>COUNTIF(E227:BV227,F270)</f>
        <v>3</v>
      </c>
      <c r="AI270" s="146">
        <f>COUNTIF(E226:BV226,F270)</f>
        <v>3</v>
      </c>
      <c r="AJ270" s="146">
        <f>COUNTIF(E225:BV225,F270)</f>
        <v>1</v>
      </c>
      <c r="AK270" s="146">
        <f>COUNTIF(E224:BV224,F270)</f>
        <v>2</v>
      </c>
      <c r="AL270" s="146">
        <f>COUNTIF(E223:BV223,F270)</f>
        <v>3</v>
      </c>
      <c r="AM270" s="146">
        <f>COUNTIF(E222:BV222,F270)</f>
        <v>2</v>
      </c>
      <c r="AN270" s="146">
        <f>COUNTIF(E221:BV221,F270)</f>
        <v>2</v>
      </c>
      <c r="AO270" s="146">
        <f>COUNTIF(E220:BV220,F270)</f>
        <v>1</v>
      </c>
      <c r="AP270" s="146">
        <f>COUNTIF(E219:BV219,F270)</f>
        <v>5</v>
      </c>
      <c r="AQ270" s="146">
        <f>COUNTIF(E218:BV218,F270)</f>
        <v>2</v>
      </c>
      <c r="AR270" s="146">
        <f>COUNTIF(E217:BV217,F270)</f>
        <v>0</v>
      </c>
      <c r="AS270" s="146">
        <f>COUNTIF(E216:BV216,F270)</f>
        <v>2</v>
      </c>
      <c r="AT270" s="146">
        <f>COUNTIF(E215:BV215,F270)</f>
        <v>1</v>
      </c>
      <c r="AU270" s="146">
        <f>COUNTIF(E214:BV214,F270)</f>
        <v>1</v>
      </c>
      <c r="AV270" s="146">
        <f>COUNTIF(E213:BV213,F270)</f>
        <v>2</v>
      </c>
      <c r="AW270" s="146">
        <f>COUNTIF(E212:BV212,F270)</f>
        <v>3</v>
      </c>
      <c r="AX270" s="146">
        <f>COUNTIF(E211:BV211,F270)</f>
        <v>3</v>
      </c>
      <c r="AY270" s="146">
        <f>COUNTIF(E210:BV210,F270)</f>
        <v>2</v>
      </c>
      <c r="AZ270" s="146">
        <f>COUNTIF(E209:BV209,F270)</f>
        <v>1</v>
      </c>
      <c r="BA270" s="146">
        <f>COUNTIF(E208:BV208,F270)</f>
        <v>3</v>
      </c>
      <c r="BB270" s="146">
        <f>COUNTIF(E207:BV207,F270)</f>
        <v>1</v>
      </c>
      <c r="BC270" s="146">
        <f>COUNTIF(E206:BV206,F270)</f>
        <v>1</v>
      </c>
      <c r="BD270" s="146">
        <f>COUNTIF(E205:BV205,F270)</f>
        <v>3</v>
      </c>
      <c r="BE270" s="146">
        <f>COUNTIF(E204:BV204,F270)</f>
        <v>5</v>
      </c>
      <c r="BF270" s="146">
        <f>COUNTIF(E203:BV203,F270)</f>
        <v>1</v>
      </c>
      <c r="BG270" s="146">
        <f>COUNTIF(E202:BV202,F270)</f>
        <v>2</v>
      </c>
      <c r="BH270" s="146">
        <f>COUNTIF(E201:BV201,F270)</f>
        <v>2</v>
      </c>
      <c r="BI270" s="146">
        <f>COUNTIF(E200:BV200,F270)</f>
        <v>1</v>
      </c>
      <c r="BJ270" s="146">
        <f>COUNTIF(E199:BV199,F270)</f>
        <v>0</v>
      </c>
      <c r="BK270" s="146">
        <f>COUNTIF(E198:BV198,F270)</f>
        <v>1</v>
      </c>
      <c r="BL270" s="146">
        <f>COUNTIF(E197:BV197,F270)</f>
        <v>1</v>
      </c>
      <c r="BM270" s="146">
        <f>COUNTIF(E196:BV196,F270)</f>
        <v>1</v>
      </c>
      <c r="BN270" s="146">
        <f>COUNTIF(E195:BV195,F270)</f>
        <v>0</v>
      </c>
      <c r="BO270" s="146">
        <f>COUNTIF(E194:BV194,F270)</f>
        <v>0</v>
      </c>
      <c r="BP270" s="146">
        <f>COUNTIF(E193:BV193,F270)</f>
        <v>2</v>
      </c>
      <c r="BQ270" s="146">
        <f>COUNTIF(E192:BV192,F270)</f>
        <v>2</v>
      </c>
      <c r="BR270" s="146">
        <f>COUNTIF(E191:BV191,F270)</f>
        <v>1</v>
      </c>
      <c r="BS270" s="146">
        <f>COUNTIF(E190:BV190,F270)</f>
        <v>1</v>
      </c>
      <c r="BT270" s="146">
        <f>COUNTIF(E189:BV189,F270)</f>
        <v>2</v>
      </c>
      <c r="BU270" s="146">
        <f>COUNTIF(E188:BV188,F270)</f>
        <v>1</v>
      </c>
      <c r="BV270" s="146">
        <f>COUNTIF(E187:BV187,F270)</f>
        <v>2</v>
      </c>
      <c r="BW270" s="146">
        <f>COUNTIF(E186:BV186,F270)</f>
        <v>2</v>
      </c>
      <c r="BX270" s="146">
        <f>COUNTIF(E185:BV185,F270)</f>
        <v>1</v>
      </c>
      <c r="BY270" s="146">
        <f>COUNTIF(E184:BV184,F270)</f>
        <v>1</v>
      </c>
      <c r="BZ270" s="146">
        <f>COUNTIF(E183:BV183,F270)</f>
        <v>2</v>
      </c>
      <c r="CA270" s="146">
        <f>COUNTIF(E182:BV182,F270)</f>
        <v>0</v>
      </c>
      <c r="CB270" s="146">
        <f>COUNTIF(E181:BV181,F270)</f>
        <v>2</v>
      </c>
      <c r="CC270" s="146">
        <f>COUNTIF(E180:BV180,F270)</f>
        <v>3</v>
      </c>
      <c r="CD270" s="146">
        <f>COUNTIF(E179:BV179,F270)</f>
        <v>2</v>
      </c>
      <c r="CE270" s="146">
        <f>COUNTIF(E178:BV178,F270)</f>
        <v>2</v>
      </c>
      <c r="CF270" s="146">
        <f>COUNTIF(E177:BV177,F270)</f>
        <v>1</v>
      </c>
      <c r="CG270" s="146">
        <f>COUNTIF(E176:BV176,F270)</f>
        <v>1</v>
      </c>
      <c r="CH270" s="146">
        <f>COUNTIF(E175:BV175,F270)</f>
        <v>2</v>
      </c>
      <c r="CI270" s="146">
        <f>COUNTIF(E174:BV174,F270)</f>
        <v>1</v>
      </c>
      <c r="CJ270" s="146">
        <f>COUNTIF(E173:BV173,F270)</f>
        <v>0</v>
      </c>
      <c r="CK270" s="146">
        <f>COUNTIF(E172:BV172,F270)</f>
        <v>1</v>
      </c>
      <c r="CL270" s="146">
        <f>COUNTIF(E171:BV171,F270)</f>
        <v>1</v>
      </c>
      <c r="CM270" s="146">
        <f>COUNTIF(E170:BV170,F270)</f>
        <v>1</v>
      </c>
      <c r="CN270" s="146">
        <f>COUNTIF(E169:BV169,F270)</f>
        <v>0</v>
      </c>
      <c r="CO270" s="146">
        <f>COUNTIF(E168:BV168,F270)</f>
        <v>3</v>
      </c>
      <c r="CP270" s="146">
        <f>COUNTIF(E167:BV167,F270)</f>
        <v>3</v>
      </c>
      <c r="CQ270" s="146">
        <f>COUNTIF(E166:BV166,F270)</f>
        <v>1</v>
      </c>
      <c r="CR270" s="146">
        <f>COUNTIF(E165:BV165,F270)</f>
        <v>1</v>
      </c>
      <c r="CS270" s="146">
        <f>COUNTIF(E164:BV164,F270)</f>
        <v>1</v>
      </c>
      <c r="CT270" s="146">
        <f>COUNTIF(E163:BV163,F270)</f>
        <v>1</v>
      </c>
      <c r="CU270" s="146">
        <f>COUNTIF(E162:BV162,F270)</f>
        <v>1</v>
      </c>
      <c r="CV270" s="146">
        <f>COUNTIF(E161:BV161,F270)</f>
        <v>0</v>
      </c>
      <c r="CW270" s="146">
        <f>COUNTIF(E160:BV160,F270)</f>
        <v>2</v>
      </c>
      <c r="CX270" s="146">
        <f>COUNTIF(E159:BV159,F270)</f>
        <v>2</v>
      </c>
      <c r="CY270" s="146">
        <f>COUNTIF(E158:BV158,F270)</f>
        <v>1</v>
      </c>
      <c r="CZ270" s="146">
        <f>COUNTIF(E157:BV157,F270)</f>
        <v>1</v>
      </c>
      <c r="DA270" s="146">
        <f>COUNTIF(E156:BV156,F270)</f>
        <v>2</v>
      </c>
      <c r="DB270" s="146">
        <f>COUNTIF(E155:BV155,F270)</f>
        <v>1</v>
      </c>
      <c r="DC270" s="146">
        <f>COUNTIF(E154:BV154,F270)</f>
        <v>1</v>
      </c>
      <c r="DD270" s="146">
        <v>3</v>
      </c>
      <c r="DE270" s="146"/>
      <c r="DF270" s="146"/>
      <c r="DG270" s="146"/>
      <c r="DH270" s="146"/>
      <c r="DI270" s="146"/>
      <c r="DJ270" s="146"/>
      <c r="DK270" s="146"/>
      <c r="DL270" s="146"/>
      <c r="DM270" s="146"/>
      <c r="DN270" s="146"/>
      <c r="DO270" s="146"/>
      <c r="DP270" s="146"/>
      <c r="DQ270" s="146"/>
      <c r="DR270" s="146"/>
      <c r="DS270" s="146"/>
      <c r="DT270" s="146"/>
      <c r="DY270" s="128" t="s">
        <v>331</v>
      </c>
      <c r="EY270" s="129"/>
      <c r="EZ270" s="152"/>
      <c r="FA270" s="128">
        <v>7</v>
      </c>
      <c r="FB270" s="128">
        <v>7</v>
      </c>
      <c r="FD270" s="128">
        <v>7</v>
      </c>
      <c r="FE270" s="128">
        <v>7</v>
      </c>
      <c r="FF270" s="128">
        <v>7</v>
      </c>
      <c r="FH270" s="128">
        <v>7</v>
      </c>
      <c r="FI270" s="128">
        <v>7</v>
      </c>
      <c r="FK270" s="129"/>
      <c r="FL270" s="129"/>
      <c r="FM270" s="128">
        <v>7</v>
      </c>
      <c r="FN270" s="128">
        <v>7</v>
      </c>
      <c r="FO270" s="128">
        <v>7</v>
      </c>
      <c r="FP270" s="128">
        <v>7</v>
      </c>
      <c r="FQ270" s="128">
        <v>7</v>
      </c>
      <c r="FR270" s="128">
        <v>7</v>
      </c>
      <c r="FS270" s="128">
        <v>7</v>
      </c>
      <c r="FT270" s="128">
        <v>7</v>
      </c>
      <c r="FU270" s="128">
        <v>7</v>
      </c>
      <c r="FV270" s="128">
        <v>7</v>
      </c>
      <c r="FW270" s="128">
        <v>7</v>
      </c>
      <c r="FY270" s="128">
        <v>7</v>
      </c>
      <c r="GA270" s="52"/>
      <c r="GB270" s="52"/>
      <c r="GC270" s="36"/>
      <c r="GD270" s="36"/>
      <c r="GE270" s="52"/>
      <c r="GF270" s="52"/>
      <c r="GG270" s="52"/>
      <c r="GH270" s="52"/>
      <c r="GI270" s="36"/>
      <c r="GJ270" s="52"/>
      <c r="GK270" s="52"/>
      <c r="GL270" s="52"/>
      <c r="GN270" s="52"/>
      <c r="GO270" s="52"/>
      <c r="GP270" s="52"/>
      <c r="GQ270" s="52"/>
      <c r="GR270" s="129"/>
      <c r="GS270" s="129"/>
      <c r="GT270" s="129"/>
      <c r="GU270" s="129"/>
      <c r="GV270" s="129"/>
      <c r="GW270" s="129"/>
      <c r="GX270" s="129"/>
      <c r="GY270" s="129"/>
      <c r="GZ270" s="129"/>
      <c r="HA270" s="129"/>
      <c r="HB270" s="129"/>
      <c r="HC270" s="129"/>
      <c r="HD270" s="129"/>
      <c r="HE270" s="129"/>
      <c r="HF270" s="129"/>
      <c r="HG270" s="129"/>
      <c r="HH270" s="129"/>
      <c r="HI270" s="129"/>
      <c r="HJ270" s="129"/>
      <c r="HK270" s="129"/>
      <c r="HL270" s="129"/>
      <c r="HM270" s="129"/>
      <c r="HN270" s="129"/>
      <c r="HO270" s="129"/>
      <c r="HP270" s="129"/>
      <c r="HQ270" s="129"/>
      <c r="HR270" s="129"/>
      <c r="HS270" s="129"/>
      <c r="HT270" s="129"/>
      <c r="HU270" s="129"/>
      <c r="HV270" s="129"/>
      <c r="HW270" s="129"/>
      <c r="HX270" s="129"/>
      <c r="HY270" s="129"/>
      <c r="HZ270" s="129"/>
      <c r="IA270" s="129"/>
      <c r="IB270" s="129"/>
      <c r="IC270" s="129"/>
      <c r="ID270" s="129"/>
      <c r="IE270" s="129"/>
      <c r="IF270" s="129"/>
      <c r="IG270" s="129"/>
      <c r="IH270" s="129"/>
      <c r="II270" s="129"/>
      <c r="IJ270" s="129"/>
      <c r="IK270" s="129"/>
      <c r="IL270" s="129"/>
      <c r="IM270" s="129"/>
      <c r="IN270" s="129"/>
      <c r="IO270" s="129"/>
      <c r="IP270" s="129"/>
      <c r="IQ270" s="129"/>
      <c r="IR270" s="129"/>
      <c r="IS270" s="129"/>
      <c r="IT270" s="129"/>
      <c r="IU270" s="129"/>
      <c r="IV270" s="129"/>
      <c r="IW270" s="129"/>
      <c r="IX270" s="129"/>
      <c r="IY270" s="129"/>
      <c r="IZ270" s="129"/>
      <c r="JA270" s="129"/>
      <c r="JB270" s="129"/>
      <c r="JC270" s="129"/>
      <c r="JD270" s="129"/>
      <c r="JE270" s="129"/>
      <c r="JF270" s="129"/>
      <c r="JG270" s="129"/>
      <c r="JH270" s="129"/>
      <c r="JI270" s="129"/>
      <c r="JJ270" s="129"/>
      <c r="JK270" s="129"/>
      <c r="JL270" s="129"/>
      <c r="JM270" s="129"/>
      <c r="JN270" s="129"/>
      <c r="JO270" s="129"/>
      <c r="JP270" s="129"/>
      <c r="JQ270" s="129"/>
      <c r="JR270" s="129"/>
      <c r="JS270" s="129"/>
      <c r="JT270" s="129"/>
      <c r="JU270" s="129"/>
      <c r="JV270" s="129"/>
      <c r="JW270" s="129"/>
      <c r="JX270" s="129"/>
      <c r="JY270" s="129"/>
    </row>
    <row r="271" spans="4:287" ht="17.25">
      <c r="D271" s="128"/>
      <c r="E271" s="570"/>
      <c r="F271" s="145">
        <v>14</v>
      </c>
      <c r="G271" s="639"/>
      <c r="H271" s="453">
        <f>COUNTIF(E253:BV253,F271)</f>
        <v>0</v>
      </c>
      <c r="I271" s="453">
        <f>COUNTIF(E252:BV252,F271)</f>
        <v>2</v>
      </c>
      <c r="J271" s="453">
        <f>COUNTIF(E251:BV251,F271)</f>
        <v>2</v>
      </c>
      <c r="K271" s="453">
        <f>COUNTIF(E250:BV250,F271)</f>
        <v>1</v>
      </c>
      <c r="L271" s="453">
        <f>COUNTIF(E249:BV249,F271)</f>
        <v>0</v>
      </c>
      <c r="M271" s="453">
        <f>COUNTIF(E248:BV248,F271)</f>
        <v>0</v>
      </c>
      <c r="N271" s="453">
        <f>COUNTIF(E247:BV247,F271)</f>
        <v>1</v>
      </c>
      <c r="O271" s="453">
        <f>COUNTIF(E246:BV246,F271)</f>
        <v>2</v>
      </c>
      <c r="P271" s="453">
        <f>COUNTIF(E245:BV245,F271)</f>
        <v>2</v>
      </c>
      <c r="Q271" s="453">
        <f>COUNTIF(E244:BV244,F271)</f>
        <v>0</v>
      </c>
      <c r="R271" s="453">
        <f>COUNTIF(E243:BV243,F271)</f>
        <v>1</v>
      </c>
      <c r="S271" s="453">
        <f>COUNTIF(E242:BV242,F271)</f>
        <v>0</v>
      </c>
      <c r="T271" s="453">
        <f>COUNTIF(E241:BV241,F271)</f>
        <v>2</v>
      </c>
      <c r="U271" s="453">
        <f>COUNTIF(E240:BV240,F271)</f>
        <v>2</v>
      </c>
      <c r="V271" s="453">
        <f>COUNTIF(E239:BV239,F271)</f>
        <v>2</v>
      </c>
      <c r="W271" s="453">
        <f>COUNTIF(E238:BV238,F271)</f>
        <v>1</v>
      </c>
      <c r="X271" s="453">
        <f>COUNTIF(E237:BV237,F271)</f>
        <v>2</v>
      </c>
      <c r="Y271" s="453">
        <f>COUNTIF(E236:BV236,F271)</f>
        <v>2</v>
      </c>
      <c r="Z271" s="453">
        <f>COUNTIF(E235:BV235,F271)</f>
        <v>3</v>
      </c>
      <c r="AA271" s="453">
        <f>COUNTIF(E234:BV234,F271)</f>
        <v>2</v>
      </c>
      <c r="AB271" s="453">
        <f>COUNTIF(E233:BV233,F271)</f>
        <v>3</v>
      </c>
      <c r="AC271" s="453">
        <f>COUNTIF(E232:BV232,F271)</f>
        <v>1</v>
      </c>
      <c r="AD271" s="453">
        <f>COUNTIF(E231:BV231,F271)</f>
        <v>2</v>
      </c>
      <c r="AE271" s="453">
        <f>COUNTIF(E230:BV230,F271)</f>
        <v>1</v>
      </c>
      <c r="AF271" s="453">
        <f>COUNTIF(E229:BV229,F271)</f>
        <v>1</v>
      </c>
      <c r="AG271" s="453">
        <f>COUNTIF(E228:BV228,F271)</f>
        <v>1</v>
      </c>
      <c r="AH271" s="453">
        <f>COUNTIF(E227:BV227,F271)</f>
        <v>0</v>
      </c>
      <c r="AI271" s="146">
        <f>COUNTIF(E226:BV226,F271)</f>
        <v>3</v>
      </c>
      <c r="AJ271" s="146">
        <f>COUNTIF(E225:BV225,F271)</f>
        <v>4</v>
      </c>
      <c r="AK271" s="146">
        <f>COUNTIF(E224:BV224,F271)</f>
        <v>1</v>
      </c>
      <c r="AL271" s="146">
        <f>COUNTIF(E223:BV223,F271)</f>
        <v>2</v>
      </c>
      <c r="AM271" s="146">
        <f>COUNTIF(E222:BV222,F271)</f>
        <v>3</v>
      </c>
      <c r="AN271" s="146">
        <f>COUNTIF(E221:BV221,F271)</f>
        <v>2</v>
      </c>
      <c r="AO271" s="146">
        <f>COUNTIF(E220:BV220,F271)</f>
        <v>0</v>
      </c>
      <c r="AP271" s="146">
        <f>COUNTIF(E219:BV219,F271)</f>
        <v>3</v>
      </c>
      <c r="AQ271" s="146">
        <f>COUNTIF(E218:BV218,F271)</f>
        <v>2</v>
      </c>
      <c r="AR271" s="146">
        <f>COUNTIF(E217:BV217,F271)</f>
        <v>1</v>
      </c>
      <c r="AS271" s="146">
        <f>COUNTIF(E216:BV216,F271)</f>
        <v>2</v>
      </c>
      <c r="AT271" s="146">
        <f>COUNTIF(E215:BV215,F271)</f>
        <v>2</v>
      </c>
      <c r="AU271" s="146">
        <f>COUNTIF(E214:BV214,F271)</f>
        <v>2</v>
      </c>
      <c r="AV271" s="146">
        <f>COUNTIF(E213:BV213,F271)</f>
        <v>3</v>
      </c>
      <c r="AW271" s="146">
        <f>COUNTIF(E212:BV212,F271)</f>
        <v>2</v>
      </c>
      <c r="AX271" s="146">
        <f>COUNTIF(E211:BV211,F271)</f>
        <v>3</v>
      </c>
      <c r="AY271" s="146">
        <f>COUNTIF(E210:BV210,F271)</f>
        <v>1</v>
      </c>
      <c r="AZ271" s="146">
        <f>COUNTIF(E209:BV209,F271)</f>
        <v>1</v>
      </c>
      <c r="BA271" s="146">
        <f>COUNTIF(E208:BV208,F271)</f>
        <v>2</v>
      </c>
      <c r="BB271" s="146">
        <f>COUNTIF(E207:BV207,F271)</f>
        <v>2</v>
      </c>
      <c r="BC271" s="146">
        <f>COUNTIF(E206:BV206,F271)</f>
        <v>1</v>
      </c>
      <c r="BD271" s="146">
        <f>COUNTIF(E205:BV205,F271)</f>
        <v>3</v>
      </c>
      <c r="BE271" s="146">
        <f>COUNTIF(E204:BV204,F271)</f>
        <v>2</v>
      </c>
      <c r="BF271" s="146">
        <f>COUNTIF(E203:BV203,F271)</f>
        <v>1</v>
      </c>
      <c r="BG271" s="146">
        <f>COUNTIF(E202:BV202,F271)</f>
        <v>2</v>
      </c>
      <c r="BH271" s="146">
        <f>COUNTIF(E201:BV201,F271)</f>
        <v>0</v>
      </c>
      <c r="BI271" s="146">
        <f>COUNTIF(E200:BV200,F271)</f>
        <v>1</v>
      </c>
      <c r="BJ271" s="146">
        <f>COUNTIF(E199:BV199,F271)</f>
        <v>0</v>
      </c>
      <c r="BK271" s="146">
        <f>COUNTIF(E198:BV198,F271)</f>
        <v>2</v>
      </c>
      <c r="BL271" s="146">
        <f>COUNTIF(E197:BV197,F271)</f>
        <v>2</v>
      </c>
      <c r="BM271" s="146">
        <f>COUNTIF(E196:BV196,F271)</f>
        <v>1</v>
      </c>
      <c r="BN271" s="146">
        <f>COUNTIF(E195:BV195,F271)</f>
        <v>2</v>
      </c>
      <c r="BO271" s="146">
        <f>COUNTIF(E194:BV194,F271)</f>
        <v>1</v>
      </c>
      <c r="BP271" s="146">
        <f>COUNTIF(E193:BV193,F271)</f>
        <v>3</v>
      </c>
      <c r="BQ271" s="146">
        <f>COUNTIF(E192:BV192,F271)</f>
        <v>1</v>
      </c>
      <c r="BR271" s="146">
        <f>COUNTIF(E191:BV191,F271)</f>
        <v>1</v>
      </c>
      <c r="BS271" s="146">
        <f>COUNTIF(E190:BV190,F271)</f>
        <v>3</v>
      </c>
      <c r="BT271" s="146">
        <f>COUNTIF(E189:BV189,F271)</f>
        <v>2</v>
      </c>
      <c r="BU271" s="146">
        <f>COUNTIF(E188:BV188,F271)</f>
        <v>0</v>
      </c>
      <c r="BV271" s="146">
        <f>COUNTIF(E187:BV187,F271)</f>
        <v>2</v>
      </c>
      <c r="BW271" s="146">
        <f>COUNTIF(E186:BV186,F271)</f>
        <v>1</v>
      </c>
      <c r="BX271" s="146">
        <f>COUNTIF(E185:BV185,F271)</f>
        <v>0</v>
      </c>
      <c r="BY271" s="146">
        <f>COUNTIF(E184:BV184,F271)</f>
        <v>1</v>
      </c>
      <c r="BZ271" s="146">
        <f>COUNTIF(E183:BV183,F271)</f>
        <v>2</v>
      </c>
      <c r="CA271" s="146">
        <f>COUNTIF(E182:BV182,F271)</f>
        <v>1</v>
      </c>
      <c r="CB271" s="146">
        <f>COUNTIF(E181:BV181,F271)</f>
        <v>0</v>
      </c>
      <c r="CC271" s="146">
        <f>COUNTIF(E180:BV180,F271)</f>
        <v>2</v>
      </c>
      <c r="CD271" s="146">
        <f>COUNTIF(E179:BV179,F271)</f>
        <v>4</v>
      </c>
      <c r="CE271" s="146">
        <f>COUNTIF(E178:BV178,F271)</f>
        <v>1</v>
      </c>
      <c r="CF271" s="146">
        <f>COUNTIF(E177:BV177,F271)</f>
        <v>1</v>
      </c>
      <c r="CG271" s="146">
        <f>COUNTIF(E176:BV176,F271)</f>
        <v>1</v>
      </c>
      <c r="CH271" s="146">
        <f>COUNTIF(E175:BV175,F271)</f>
        <v>2</v>
      </c>
      <c r="CI271" s="146">
        <f>COUNTIF(E174:BV174,F271)</f>
        <v>1</v>
      </c>
      <c r="CJ271" s="146">
        <f>COUNTIF(E173:BV173,F271)</f>
        <v>0</v>
      </c>
      <c r="CK271" s="146">
        <f>COUNTIF(E172:BV172,F271)</f>
        <v>3</v>
      </c>
      <c r="CL271" s="146">
        <f>COUNTIF(E171:BV171,F271)</f>
        <v>1</v>
      </c>
      <c r="CM271" s="146">
        <f>COUNTIF(E170:BV170,F271)</f>
        <v>2</v>
      </c>
      <c r="CN271" s="146">
        <f>COUNTIF(E169:BV169,F271)</f>
        <v>1</v>
      </c>
      <c r="CO271" s="146">
        <f>COUNTIF(E168:BV168,F271)</f>
        <v>3</v>
      </c>
      <c r="CP271" s="146">
        <f>COUNTIF(E167:BV167,F271)</f>
        <v>3</v>
      </c>
      <c r="CQ271" s="146">
        <f>COUNTIF(E166:BV166,F271)</f>
        <v>2</v>
      </c>
      <c r="CR271" s="146">
        <f>COUNTIF(E165:BV165,F271)</f>
        <v>1</v>
      </c>
      <c r="CS271" s="146">
        <f>COUNTIF(E164:BV164,F271)</f>
        <v>0</v>
      </c>
      <c r="CT271" s="146">
        <f>COUNTIF(E163:BV163,F271)</f>
        <v>2</v>
      </c>
      <c r="CU271" s="146">
        <f>COUNTIF(E162:BV162,F271)</f>
        <v>0</v>
      </c>
      <c r="CV271" s="146">
        <f>COUNTIF(E161:BV161,F271)</f>
        <v>2</v>
      </c>
      <c r="CW271" s="146">
        <f>COUNTIF(E160:BV160,F271)</f>
        <v>0</v>
      </c>
      <c r="CX271" s="146">
        <f>COUNTIF(E159:BV159,F271)</f>
        <v>2</v>
      </c>
      <c r="CY271" s="146">
        <f>COUNTIF(E158:BV158,F271)</f>
        <v>3</v>
      </c>
      <c r="CZ271" s="146">
        <f>COUNTIF(E157:BV157,F271)</f>
        <v>2</v>
      </c>
      <c r="DA271" s="146">
        <f>COUNTIF(E156:BV156,F271)</f>
        <v>3</v>
      </c>
      <c r="DB271" s="146">
        <f>COUNTIF(E155:BV155,F271)</f>
        <v>2</v>
      </c>
      <c r="DC271" s="146">
        <f>COUNTIF(E154:BV154,F271)</f>
        <v>1</v>
      </c>
      <c r="DD271" s="146">
        <v>3</v>
      </c>
      <c r="DE271" s="146"/>
      <c r="DF271" s="146"/>
      <c r="DG271" s="146"/>
      <c r="DH271" s="146"/>
      <c r="DI271" s="146"/>
      <c r="DJ271" s="146"/>
      <c r="DK271" s="146"/>
      <c r="DL271" s="146"/>
      <c r="DM271" s="146"/>
      <c r="DN271" s="146"/>
      <c r="DO271" s="146"/>
      <c r="DP271" s="146"/>
      <c r="DQ271" s="146"/>
      <c r="DR271" s="146"/>
      <c r="DS271" s="146"/>
      <c r="DT271" s="146"/>
      <c r="DY271" s="200">
        <v>0</v>
      </c>
      <c r="DZ271" s="200">
        <v>1</v>
      </c>
      <c r="EA271" s="200">
        <v>2</v>
      </c>
      <c r="EB271" s="200">
        <v>3</v>
      </c>
      <c r="EC271" s="200">
        <v>4</v>
      </c>
      <c r="ED271" s="200">
        <v>5</v>
      </c>
      <c r="EE271" s="200">
        <v>6</v>
      </c>
      <c r="EF271" s="200">
        <v>7</v>
      </c>
      <c r="EG271" s="200">
        <v>8</v>
      </c>
      <c r="EH271" s="200">
        <v>9</v>
      </c>
      <c r="EI271" s="200">
        <v>10</v>
      </c>
      <c r="EJ271" s="200">
        <v>11</v>
      </c>
      <c r="EK271" s="200">
        <v>12</v>
      </c>
      <c r="EL271" s="200">
        <v>13</v>
      </c>
      <c r="EM271" s="200">
        <v>14</v>
      </c>
      <c r="EN271" s="200">
        <v>15</v>
      </c>
      <c r="EO271" s="200">
        <v>16</v>
      </c>
      <c r="EP271" s="200">
        <v>17</v>
      </c>
      <c r="EQ271" s="200">
        <v>18</v>
      </c>
      <c r="ER271" s="200">
        <v>19</v>
      </c>
      <c r="ES271" s="200">
        <v>20</v>
      </c>
      <c r="ET271" s="200">
        <v>21</v>
      </c>
      <c r="EU271" s="200">
        <v>22</v>
      </c>
      <c r="EV271" s="200">
        <v>23</v>
      </c>
      <c r="EW271" s="200">
        <v>24</v>
      </c>
      <c r="EX271" s="200">
        <v>25</v>
      </c>
      <c r="EY271" s="129"/>
      <c r="EZ271" s="152"/>
      <c r="FB271" s="128">
        <v>8</v>
      </c>
      <c r="FE271" s="128">
        <v>8</v>
      </c>
      <c r="FG271" s="128">
        <v>8</v>
      </c>
      <c r="FI271" s="128">
        <v>8</v>
      </c>
      <c r="FJ271" s="128">
        <v>8</v>
      </c>
      <c r="FK271" s="129"/>
      <c r="FL271" s="129"/>
      <c r="FM271" s="128">
        <v>8</v>
      </c>
      <c r="FN271" s="128">
        <v>8</v>
      </c>
      <c r="FO271" s="128">
        <v>8</v>
      </c>
      <c r="FP271" s="128">
        <v>8</v>
      </c>
      <c r="FQ271" s="128">
        <v>8</v>
      </c>
      <c r="FR271" s="128">
        <v>8</v>
      </c>
      <c r="FS271" s="128">
        <v>8</v>
      </c>
      <c r="FU271" s="128">
        <v>8</v>
      </c>
      <c r="FV271" s="128">
        <v>8</v>
      </c>
      <c r="FW271" s="128">
        <v>8</v>
      </c>
      <c r="FX271" s="128">
        <v>8</v>
      </c>
      <c r="GA271" s="52"/>
      <c r="GB271" s="52"/>
      <c r="GC271" s="36"/>
      <c r="GD271" s="36"/>
      <c r="GE271" s="52"/>
      <c r="GF271" s="52"/>
      <c r="GG271" s="52"/>
      <c r="GH271" s="52"/>
      <c r="GI271" s="36"/>
      <c r="GJ271" s="52"/>
      <c r="GK271" s="52"/>
      <c r="GL271" s="52"/>
      <c r="GN271" s="52"/>
      <c r="GO271" s="52"/>
      <c r="GP271" s="52"/>
      <c r="GQ271" s="52"/>
      <c r="GR271" s="129"/>
      <c r="GS271" s="129"/>
      <c r="GT271" s="129"/>
      <c r="GU271" s="129"/>
      <c r="GV271" s="129"/>
      <c r="GW271" s="129"/>
      <c r="GX271" s="129"/>
      <c r="GY271" s="129"/>
      <c r="GZ271" s="129"/>
      <c r="HA271" s="129"/>
      <c r="HB271" s="129"/>
      <c r="HC271" s="129"/>
      <c r="HD271" s="129"/>
      <c r="HE271" s="129"/>
      <c r="HF271" s="129"/>
      <c r="HG271" s="129"/>
      <c r="HH271" s="129"/>
      <c r="HI271" s="129"/>
      <c r="HJ271" s="129"/>
      <c r="HK271" s="129"/>
      <c r="HL271" s="129"/>
      <c r="HM271" s="129"/>
      <c r="HN271" s="129"/>
      <c r="HO271" s="129"/>
      <c r="HP271" s="129"/>
      <c r="HQ271" s="129"/>
      <c r="HR271" s="129"/>
      <c r="HS271" s="129"/>
      <c r="HT271" s="129"/>
      <c r="HU271" s="129"/>
      <c r="HV271" s="129"/>
      <c r="HW271" s="129"/>
      <c r="HX271" s="129"/>
      <c r="HY271" s="129"/>
      <c r="HZ271" s="129"/>
      <c r="IA271" s="129"/>
      <c r="IB271" s="129"/>
      <c r="IC271" s="129"/>
      <c r="ID271" s="129"/>
      <c r="IE271" s="129"/>
      <c r="IF271" s="129"/>
      <c r="IG271" s="129"/>
      <c r="IH271" s="129"/>
      <c r="II271" s="129"/>
      <c r="IJ271" s="129"/>
      <c r="IK271" s="129"/>
      <c r="IL271" s="129"/>
      <c r="IM271" s="129"/>
      <c r="IN271" s="129"/>
      <c r="IO271" s="129"/>
      <c r="IP271" s="129"/>
      <c r="IQ271" s="129"/>
      <c r="IR271" s="129"/>
      <c r="IS271" s="129"/>
      <c r="IT271" s="129"/>
      <c r="IU271" s="129"/>
      <c r="IV271" s="129"/>
      <c r="IW271" s="129"/>
      <c r="IX271" s="129"/>
      <c r="IY271" s="129"/>
      <c r="IZ271" s="129"/>
      <c r="JA271" s="129"/>
      <c r="JB271" s="129"/>
      <c r="JC271" s="129"/>
      <c r="JD271" s="129"/>
      <c r="JE271" s="129"/>
      <c r="JF271" s="129"/>
      <c r="JG271" s="129"/>
      <c r="JH271" s="129"/>
      <c r="JI271" s="129"/>
      <c r="JJ271" s="129"/>
      <c r="JK271" s="129"/>
      <c r="JL271" s="129"/>
      <c r="JM271" s="129"/>
      <c r="JN271" s="129"/>
      <c r="JO271" s="129"/>
      <c r="JP271" s="129"/>
      <c r="JQ271" s="129"/>
      <c r="JR271" s="129"/>
      <c r="JS271" s="129"/>
      <c r="JT271" s="129"/>
      <c r="JU271" s="129"/>
      <c r="JV271" s="129"/>
      <c r="JW271" s="129"/>
      <c r="JX271" s="129"/>
      <c r="JY271" s="129"/>
    </row>
    <row r="272" spans="4:287" ht="17.25">
      <c r="D272" s="128"/>
      <c r="E272" s="570"/>
      <c r="F272" s="145">
        <v>15</v>
      </c>
      <c r="G272" s="639"/>
      <c r="H272" s="453">
        <f>COUNTIF(E253:BV253,F272)</f>
        <v>0</v>
      </c>
      <c r="I272" s="453">
        <f>COUNTIF(E252:BV252,F272)</f>
        <v>1</v>
      </c>
      <c r="J272" s="453">
        <f>COUNTIF(E251:BV251,F272)</f>
        <v>1</v>
      </c>
      <c r="K272" s="453">
        <f>COUNTIF(E250:BV250,F272)</f>
        <v>3</v>
      </c>
      <c r="L272" s="453">
        <f>COUNTIF(E249:BV249,F272)</f>
        <v>2</v>
      </c>
      <c r="M272" s="453">
        <f>COUNTIF(E248:BV248,F272)</f>
        <v>2</v>
      </c>
      <c r="N272" s="453">
        <f>COUNTIF(E247:BV247,F272)</f>
        <v>4</v>
      </c>
      <c r="O272" s="453">
        <f>COUNTIF(E246:BV246,F272)</f>
        <v>5</v>
      </c>
      <c r="P272" s="453">
        <f>COUNTIF(E245:BV245,F272)</f>
        <v>0</v>
      </c>
      <c r="Q272" s="453">
        <f>COUNTIF(E244:BV244,F272)</f>
        <v>4</v>
      </c>
      <c r="R272" s="453">
        <f>COUNTIF(E243:BV243,F272)</f>
        <v>5</v>
      </c>
      <c r="S272" s="453">
        <f>COUNTIF(E242:BV242,F272)</f>
        <v>0</v>
      </c>
      <c r="T272" s="453">
        <f>COUNTIF(E241:BV241,F272)</f>
        <v>4</v>
      </c>
      <c r="U272" s="453">
        <f>COUNTIF(E240:BV240,F272)</f>
        <v>3</v>
      </c>
      <c r="V272" s="453">
        <f>COUNTIF(E239:BV239,F272)</f>
        <v>1</v>
      </c>
      <c r="W272" s="453">
        <f>COUNTIF(E238:BV238,F272)</f>
        <v>0</v>
      </c>
      <c r="X272" s="453">
        <f>COUNTIF(E237:BV237,F272)</f>
        <v>0</v>
      </c>
      <c r="Y272" s="453">
        <f>COUNTIF(E236:BV236,F272)</f>
        <v>0</v>
      </c>
      <c r="Z272" s="453">
        <f>COUNTIF(E235:BV235,F272)</f>
        <v>1</v>
      </c>
      <c r="AA272" s="453">
        <f>COUNTIF(E234:BV234,F272)</f>
        <v>1</v>
      </c>
      <c r="AB272" s="453">
        <f>COUNTIF(E233:BV233,F272)</f>
        <v>2</v>
      </c>
      <c r="AC272" s="453">
        <f>COUNTIF(E232:BV232,F272)</f>
        <v>2</v>
      </c>
      <c r="AD272" s="453">
        <f>COUNTIF(E231:BV231,F272)</f>
        <v>0</v>
      </c>
      <c r="AE272" s="453">
        <f>COUNTIF(E230:BV230,F272)</f>
        <v>2</v>
      </c>
      <c r="AF272" s="453">
        <f>COUNTIF(E229:BV229,F272)</f>
        <v>1</v>
      </c>
      <c r="AG272" s="453">
        <f>COUNTIF(E228:BV228,F272)</f>
        <v>0</v>
      </c>
      <c r="AH272" s="453">
        <f>COUNTIF(E227:BV227,F272)</f>
        <v>0</v>
      </c>
      <c r="AI272" s="146">
        <f>COUNTIF(E226:BV226,F272)</f>
        <v>1</v>
      </c>
      <c r="AJ272" s="146">
        <f>COUNTIF(E225:BV225,F272)</f>
        <v>2</v>
      </c>
      <c r="AK272" s="146">
        <f>COUNTIF(E224:BV224,F272)</f>
        <v>1</v>
      </c>
      <c r="AL272" s="146">
        <f>COUNTIF(E223:BV223,F272)</f>
        <v>1</v>
      </c>
      <c r="AM272" s="146">
        <f>COUNTIF(E222:BV222,F272)</f>
        <v>1</v>
      </c>
      <c r="AN272" s="146">
        <f>COUNTIF(E221:BV221,F272)</f>
        <v>1</v>
      </c>
      <c r="AO272" s="146">
        <f>COUNTIF(E220:BV220,F272)</f>
        <v>2</v>
      </c>
      <c r="AP272" s="146">
        <f>COUNTIF(E219:BV219,F272)</f>
        <v>0</v>
      </c>
      <c r="AQ272" s="146">
        <f>COUNTIF(E218:BV218,F272)</f>
        <v>1</v>
      </c>
      <c r="AR272" s="146">
        <f>COUNTIF(E217:BV217,F272)</f>
        <v>1</v>
      </c>
      <c r="AS272" s="146">
        <f>COUNTIF(E216:BV216,F272)</f>
        <v>1</v>
      </c>
      <c r="AT272" s="146">
        <f>COUNTIF(E215:BV215,F272)</f>
        <v>3</v>
      </c>
      <c r="AU272" s="146">
        <f>COUNTIF(E214:BV214,F272)</f>
        <v>1</v>
      </c>
      <c r="AV272" s="146">
        <f>COUNTIF(E213:BV213,F272)</f>
        <v>1</v>
      </c>
      <c r="AW272" s="146">
        <f>COUNTIF(E212:BV212,F272)</f>
        <v>3</v>
      </c>
      <c r="AX272" s="146">
        <f>COUNTIF(E211:BV211,F272)</f>
        <v>3</v>
      </c>
      <c r="AY272" s="146">
        <f>COUNTIF(E210:BV210,F272)</f>
        <v>2</v>
      </c>
      <c r="AZ272" s="146">
        <f>COUNTIF(E209:BV209,F272)</f>
        <v>0</v>
      </c>
      <c r="BA272" s="146">
        <f>COUNTIF(E208:BV208,F272)</f>
        <v>1</v>
      </c>
      <c r="BB272" s="146">
        <f>COUNTIF(E207:BV207,F272)</f>
        <v>0</v>
      </c>
      <c r="BC272" s="146">
        <f>COUNTIF(E206:BV206,F272)</f>
        <v>1</v>
      </c>
      <c r="BD272" s="146">
        <f>COUNTIF(E205:BV205,F272)</f>
        <v>2</v>
      </c>
      <c r="BE272" s="146">
        <f>COUNTIF(E204:BV204,F272)</f>
        <v>1</v>
      </c>
      <c r="BF272" s="146">
        <f>COUNTIF(E203:BV203,F272)</f>
        <v>3</v>
      </c>
      <c r="BG272" s="146">
        <f>COUNTIF(E202:BV202,F272)</f>
        <v>1</v>
      </c>
      <c r="BH272" s="146">
        <f>COUNTIF(E201:BV201,F272)</f>
        <v>2</v>
      </c>
      <c r="BI272" s="146">
        <f>COUNTIF(E200:BV200,F272)</f>
        <v>4</v>
      </c>
      <c r="BJ272" s="146">
        <f>COUNTIF(E199:BV199,F272)</f>
        <v>1</v>
      </c>
      <c r="BK272" s="146">
        <f>COUNTIF(E198:BV198,F272)</f>
        <v>0</v>
      </c>
      <c r="BL272" s="146">
        <f>COUNTIF(E197:BV197,F272)</f>
        <v>1</v>
      </c>
      <c r="BM272" s="146">
        <f>COUNTIF(E196:BV196,F272)</f>
        <v>2</v>
      </c>
      <c r="BN272" s="146">
        <f>COUNTIF(E195:BV195,F272)</f>
        <v>1</v>
      </c>
      <c r="BO272" s="146">
        <f>COUNTIF(E194:BV194,F272)</f>
        <v>4</v>
      </c>
      <c r="BP272" s="146">
        <f>COUNTIF(E193:BV193,F272)</f>
        <v>2</v>
      </c>
      <c r="BQ272" s="146">
        <f>COUNTIF(E192:BV192,F272)</f>
        <v>2</v>
      </c>
      <c r="BR272" s="146">
        <f>COUNTIF(E191:BV191,F272)</f>
        <v>4</v>
      </c>
      <c r="BS272" s="146">
        <f>COUNTIF(E190:BV190,F272)</f>
        <v>2</v>
      </c>
      <c r="BT272" s="146">
        <f>COUNTIF(E189:BV189,F272)</f>
        <v>1</v>
      </c>
      <c r="BU272" s="146">
        <f>COUNTIF(E188:BV188,F272)</f>
        <v>3</v>
      </c>
      <c r="BV272" s="146">
        <f>COUNTIF(E187:BV187,F272)</f>
        <v>2</v>
      </c>
      <c r="BW272" s="146">
        <f>COUNTIF(E186:BV186,F272)</f>
        <v>3</v>
      </c>
      <c r="BX272" s="146">
        <f>COUNTIF(E185:BV185,F272)</f>
        <v>5</v>
      </c>
      <c r="BY272" s="146">
        <f>COUNTIF(E184:BV184,F272)</f>
        <v>1</v>
      </c>
      <c r="BZ272" s="146">
        <f>COUNTIF(E183:BV183,F272)</f>
        <v>1</v>
      </c>
      <c r="CA272" s="146">
        <f>COUNTIF(E182:BV182,F272)</f>
        <v>1</v>
      </c>
      <c r="CB272" s="146">
        <f>COUNTIF(E181:BV181,F272)</f>
        <v>1</v>
      </c>
      <c r="CC272" s="146">
        <f>COUNTIF(E180:BV180,F272)</f>
        <v>2</v>
      </c>
      <c r="CD272" s="146">
        <f>COUNTIF(E179:BV179,F272)</f>
        <v>1</v>
      </c>
      <c r="CE272" s="146">
        <f>COUNTIF(E178:BV178,F272)</f>
        <v>2</v>
      </c>
      <c r="CF272" s="146">
        <f>COUNTIF(E177:BV177,F272)</f>
        <v>3</v>
      </c>
      <c r="CG272" s="146">
        <f>COUNTIF(E176:BV176,F272)</f>
        <v>3</v>
      </c>
      <c r="CH272" s="146">
        <f>COUNTIF(E175:BV175,F272)</f>
        <v>0</v>
      </c>
      <c r="CI272" s="146">
        <f>COUNTIF(E174:BV174,F272)</f>
        <v>0</v>
      </c>
      <c r="CJ272" s="146">
        <f>COUNTIF(E173:BV173,F272)</f>
        <v>10</v>
      </c>
      <c r="CK272" s="146">
        <f>COUNTIF(E172:BV172,F272)</f>
        <v>3</v>
      </c>
      <c r="CL272" s="146">
        <f>COUNTIF(E171:BV171,F272)</f>
        <v>6</v>
      </c>
      <c r="CM272" s="146">
        <f>COUNTIF(E170:BV170,F272)</f>
        <v>0</v>
      </c>
      <c r="CN272" s="146">
        <f>COUNTIF(E169:BV169,F272)</f>
        <v>2</v>
      </c>
      <c r="CO272" s="146">
        <f>COUNTIF(E168:BV168,F272)</f>
        <v>0</v>
      </c>
      <c r="CP272" s="146">
        <f>COUNTIF(E167:BV167,F272)</f>
        <v>2</v>
      </c>
      <c r="CQ272" s="146">
        <f>COUNTIF(E166:BV166,F272)</f>
        <v>1</v>
      </c>
      <c r="CR272" s="146">
        <f>COUNTIF(E165:BV165,F272)</f>
        <v>2</v>
      </c>
      <c r="CS272" s="146">
        <f>COUNTIF(E164:BV164,F272)</f>
        <v>2</v>
      </c>
      <c r="CT272" s="146">
        <f>COUNTIF(E163:BV163,F272)</f>
        <v>2</v>
      </c>
      <c r="CU272" s="146">
        <f>COUNTIF(E162:BV162,F272)</f>
        <v>1</v>
      </c>
      <c r="CV272" s="146">
        <f>COUNTIF(E161:BV161,F272)</f>
        <v>2</v>
      </c>
      <c r="CW272" s="146">
        <f>COUNTIF(E160:BV160,F272)</f>
        <v>1</v>
      </c>
      <c r="CX272" s="146">
        <f>COUNTIF(E159:BV159,F272)</f>
        <v>0</v>
      </c>
      <c r="CY272" s="146">
        <f>COUNTIF(E158:BV158,F272)</f>
        <v>2</v>
      </c>
      <c r="CZ272" s="146">
        <f>COUNTIF(E157:BV157,F272)</f>
        <v>1</v>
      </c>
      <c r="DA272" s="146">
        <f>COUNTIF(E156:BV156,F272)</f>
        <v>0</v>
      </c>
      <c r="DB272" s="146">
        <f>COUNTIF(E155:BV155,F272)</f>
        <v>2</v>
      </c>
      <c r="DC272" s="146">
        <f>COUNTIF(E154:BV154,F272)</f>
        <v>1</v>
      </c>
      <c r="DD272" s="146">
        <v>2</v>
      </c>
      <c r="DE272" s="146"/>
      <c r="DF272" s="146"/>
      <c r="DG272" s="146"/>
      <c r="DH272" s="146"/>
      <c r="DI272" s="146"/>
      <c r="DJ272" s="146"/>
      <c r="DK272" s="146"/>
      <c r="DL272" s="146"/>
      <c r="DM272" s="146"/>
      <c r="DN272" s="146"/>
      <c r="DO272" s="146"/>
      <c r="DP272" s="146"/>
      <c r="DQ272" s="146"/>
      <c r="DR272" s="146"/>
      <c r="DS272" s="146"/>
      <c r="DT272" s="146"/>
      <c r="DU272" s="2"/>
      <c r="DV272" s="2"/>
      <c r="DW272" s="2"/>
      <c r="DX272" s="2"/>
      <c r="EB272" s="128">
        <v>1</v>
      </c>
      <c r="EC272" s="128">
        <v>1</v>
      </c>
      <c r="ED272" s="128">
        <v>1</v>
      </c>
      <c r="EE272" s="128">
        <v>1</v>
      </c>
      <c r="EF272" s="128">
        <v>1</v>
      </c>
      <c r="EG272" s="128">
        <v>1</v>
      </c>
      <c r="EH272" s="128">
        <v>1</v>
      </c>
      <c r="EK272" s="128">
        <v>1</v>
      </c>
      <c r="EL272" s="128">
        <v>1</v>
      </c>
      <c r="EM272" s="128">
        <v>1</v>
      </c>
      <c r="EN272" s="128">
        <v>1</v>
      </c>
      <c r="EO272" s="128">
        <v>1</v>
      </c>
      <c r="EP272" s="128">
        <v>1</v>
      </c>
      <c r="EQ272" s="128">
        <v>1</v>
      </c>
      <c r="ES272" s="128">
        <v>1</v>
      </c>
      <c r="ET272" s="128">
        <v>1</v>
      </c>
      <c r="EU272" s="128">
        <v>1</v>
      </c>
      <c r="EW272" s="128">
        <v>1</v>
      </c>
      <c r="EX272" s="128">
        <v>1</v>
      </c>
      <c r="EZ272" s="129"/>
      <c r="FA272" s="128">
        <v>9</v>
      </c>
      <c r="FB272" s="128">
        <v>9</v>
      </c>
      <c r="FD272" s="128">
        <v>9</v>
      </c>
      <c r="FE272" s="128">
        <v>9</v>
      </c>
      <c r="FF272" s="128">
        <v>9</v>
      </c>
      <c r="FG272" s="128">
        <v>9</v>
      </c>
      <c r="FH272" s="128">
        <v>9</v>
      </c>
      <c r="FI272" s="128">
        <v>9</v>
      </c>
      <c r="FJ272" s="128">
        <v>9</v>
      </c>
      <c r="FK272" s="129"/>
      <c r="FL272" s="129"/>
      <c r="FM272" s="128">
        <v>9</v>
      </c>
      <c r="FN272" s="128">
        <v>9</v>
      </c>
      <c r="FO272" s="128">
        <v>9</v>
      </c>
      <c r="FP272" s="128">
        <v>9</v>
      </c>
      <c r="FQ272" s="128">
        <v>9</v>
      </c>
      <c r="FR272" s="128">
        <v>9</v>
      </c>
      <c r="FS272" s="128">
        <v>9</v>
      </c>
      <c r="FT272" s="128">
        <v>9</v>
      </c>
      <c r="FU272" s="128">
        <v>9</v>
      </c>
      <c r="FV272" s="128">
        <v>9</v>
      </c>
      <c r="FW272" s="128">
        <v>9</v>
      </c>
      <c r="FX272" s="128">
        <v>9</v>
      </c>
      <c r="GA272" s="52"/>
      <c r="GB272" s="52"/>
      <c r="GC272" s="52"/>
      <c r="GD272" s="52"/>
      <c r="GE272" s="36"/>
      <c r="GF272" s="36"/>
      <c r="GG272" s="52"/>
      <c r="GH272" s="52"/>
      <c r="GI272" s="52"/>
      <c r="GJ272" s="52"/>
      <c r="GK272" s="36"/>
      <c r="GL272" s="52"/>
      <c r="GN272" s="52"/>
      <c r="GO272" s="52"/>
      <c r="GP272" s="52"/>
      <c r="GQ272" s="52"/>
      <c r="GR272" s="129"/>
      <c r="GS272" s="129"/>
      <c r="GT272" s="129"/>
      <c r="GU272" s="129"/>
      <c r="GV272" s="129"/>
      <c r="GW272" s="129"/>
      <c r="GX272" s="129"/>
      <c r="GY272" s="129"/>
      <c r="GZ272" s="129"/>
      <c r="HA272" s="129"/>
      <c r="HB272" s="129"/>
      <c r="HC272" s="129"/>
      <c r="HD272" s="129"/>
      <c r="HE272" s="129"/>
      <c r="HF272" s="129"/>
      <c r="HG272" s="129"/>
      <c r="HH272" s="129"/>
      <c r="HI272" s="129"/>
      <c r="HJ272" s="129"/>
      <c r="HK272" s="129"/>
      <c r="HL272" s="129"/>
      <c r="HM272" s="129"/>
      <c r="HN272" s="129"/>
      <c r="HO272" s="129"/>
      <c r="HP272" s="129"/>
      <c r="HQ272" s="129"/>
      <c r="HR272" s="129"/>
      <c r="HS272" s="129"/>
      <c r="HT272" s="129"/>
      <c r="HU272" s="129"/>
      <c r="HV272" s="129"/>
      <c r="HW272" s="129"/>
      <c r="HX272" s="129"/>
      <c r="HY272" s="129"/>
      <c r="HZ272" s="129"/>
      <c r="IA272" s="129"/>
      <c r="IB272" s="129"/>
      <c r="IC272" s="129"/>
      <c r="ID272" s="129"/>
      <c r="IE272" s="129"/>
      <c r="IF272" s="129"/>
      <c r="IG272" s="129"/>
      <c r="IH272" s="129"/>
      <c r="II272" s="129"/>
      <c r="IJ272" s="129"/>
      <c r="IK272" s="129"/>
      <c r="IL272" s="129"/>
      <c r="IM272" s="129"/>
      <c r="IN272" s="129"/>
      <c r="IO272" s="129"/>
      <c r="IP272" s="129"/>
      <c r="IQ272" s="129"/>
      <c r="IR272" s="129"/>
      <c r="IS272" s="129"/>
      <c r="IT272" s="129"/>
      <c r="IU272" s="129"/>
      <c r="IV272" s="129"/>
      <c r="IW272" s="129"/>
      <c r="IX272" s="129"/>
      <c r="IY272" s="129"/>
      <c r="IZ272" s="129"/>
      <c r="JA272" s="129"/>
      <c r="JB272" s="129"/>
      <c r="JC272" s="129"/>
      <c r="JD272" s="129"/>
      <c r="JE272" s="129"/>
      <c r="JF272" s="129"/>
      <c r="JG272" s="129"/>
      <c r="JH272" s="129"/>
      <c r="JI272" s="129"/>
      <c r="JJ272" s="129"/>
      <c r="JK272" s="129"/>
      <c r="JL272" s="129"/>
      <c r="JM272" s="129"/>
      <c r="JN272" s="129"/>
      <c r="JO272" s="129"/>
      <c r="JP272" s="129"/>
      <c r="JQ272" s="129"/>
      <c r="JR272" s="129"/>
      <c r="JS272" s="129"/>
      <c r="JT272" s="129"/>
      <c r="JU272" s="129"/>
      <c r="JV272" s="129"/>
      <c r="JW272" s="129"/>
      <c r="JX272" s="129"/>
      <c r="JY272" s="129"/>
      <c r="JZ272" s="129"/>
      <c r="KA272" s="129"/>
    </row>
    <row r="273" spans="4:290" ht="17.25">
      <c r="D273" s="128"/>
      <c r="E273" s="570"/>
      <c r="F273" s="145">
        <v>16</v>
      </c>
      <c r="G273" s="639"/>
      <c r="H273" s="453">
        <f>COUNTIF(E253:BV253,F273)</f>
        <v>0</v>
      </c>
      <c r="I273" s="453">
        <f>COUNTIF(E252:BV252,F273)</f>
        <v>3</v>
      </c>
      <c r="J273" s="453">
        <f>COUNTIF(E251:BV251,F273)</f>
        <v>2</v>
      </c>
      <c r="K273" s="453">
        <f>COUNTIF(E250:BV250,F273)</f>
        <v>1</v>
      </c>
      <c r="L273" s="453">
        <f>COUNTIF(E249:BV249,F273)</f>
        <v>2</v>
      </c>
      <c r="M273" s="453">
        <f>COUNTIF(E248:BV248,F273)</f>
        <v>1</v>
      </c>
      <c r="N273" s="453">
        <f>COUNTIF(E247:BV247,F273)</f>
        <v>2</v>
      </c>
      <c r="O273" s="453">
        <f>COUNTIF(E246:BV246,F273)</f>
        <v>2</v>
      </c>
      <c r="P273" s="453">
        <f>COUNTIF(E245:BV245,F273)</f>
        <v>1</v>
      </c>
      <c r="Q273" s="453">
        <f>COUNTIF(E244:BV244,F273)</f>
        <v>2</v>
      </c>
      <c r="R273" s="453">
        <f>COUNTIF(E243:BV243,F273)</f>
        <v>2</v>
      </c>
      <c r="S273" s="453">
        <f>COUNTIF(E242:BV242,F273)</f>
        <v>4</v>
      </c>
      <c r="T273" s="453">
        <f>COUNTIF(E241:BV241,F273)</f>
        <v>1</v>
      </c>
      <c r="U273" s="453">
        <f>COUNTIF(E240:BV240,F273)</f>
        <v>2</v>
      </c>
      <c r="V273" s="453">
        <f>COUNTIF(E239:BV239,F273)</f>
        <v>4</v>
      </c>
      <c r="W273" s="453">
        <f>COUNTIF(E238:BV238,F273)</f>
        <v>3</v>
      </c>
      <c r="X273" s="453">
        <f>COUNTIF(E237:BV237,F273)</f>
        <v>0</v>
      </c>
      <c r="Y273" s="453">
        <f>COUNTIF(E236:BV236,F273)</f>
        <v>1</v>
      </c>
      <c r="Z273" s="453">
        <f>COUNTIF(E235:BV235,F273)</f>
        <v>3</v>
      </c>
      <c r="AA273" s="453">
        <f>COUNTIF(E234:BV234,F273)</f>
        <v>2</v>
      </c>
      <c r="AB273" s="453">
        <f>COUNTIF(E233:BV233,F273)</f>
        <v>1</v>
      </c>
      <c r="AC273" s="453">
        <f>COUNTIF(E232:BV232,F273)</f>
        <v>1</v>
      </c>
      <c r="AD273" s="453">
        <f>COUNTIF(E231:BV231,F273)</f>
        <v>3</v>
      </c>
      <c r="AE273" s="453">
        <f>COUNTIF(E230:BV230,F273)</f>
        <v>3</v>
      </c>
      <c r="AF273" s="453">
        <f>COUNTIF(E229:BV229,F273)</f>
        <v>5</v>
      </c>
      <c r="AG273" s="453">
        <f>COUNTIF(E228:BV228,F273)</f>
        <v>4</v>
      </c>
      <c r="AH273" s="453">
        <f>COUNTIF(E227:BV227,F273)</f>
        <v>0</v>
      </c>
      <c r="AI273" s="146">
        <f>COUNTIF(E226:BV226,F273)</f>
        <v>1</v>
      </c>
      <c r="AJ273" s="146">
        <f>COUNTIF(E225:BV225,F273)</f>
        <v>2</v>
      </c>
      <c r="AK273" s="146">
        <f>COUNTIF(E224:BV224,F273)</f>
        <v>2</v>
      </c>
      <c r="AL273" s="146">
        <f>COUNTIF(E223:BV223,F273)</f>
        <v>1</v>
      </c>
      <c r="AM273" s="146">
        <f>COUNTIF(E222:BV222,F273)</f>
        <v>3</v>
      </c>
      <c r="AN273" s="146">
        <f>COUNTIF(E221:BV221,F273)</f>
        <v>1</v>
      </c>
      <c r="AO273" s="146">
        <f>COUNTIF(E220:BV220,F273)</f>
        <v>2</v>
      </c>
      <c r="AP273" s="146">
        <f>COUNTIF(E219:BV219,F273)</f>
        <v>2</v>
      </c>
      <c r="AQ273" s="146">
        <f>COUNTIF(E218:BV218,F273)</f>
        <v>1</v>
      </c>
      <c r="AR273" s="146">
        <f>COUNTIF(E217:BV217,F273)</f>
        <v>2</v>
      </c>
      <c r="AS273" s="146">
        <f>COUNTIF(E216:BV216,F273)</f>
        <v>1</v>
      </c>
      <c r="AT273" s="146">
        <f>COUNTIF(E215:BV215,F273)</f>
        <v>2</v>
      </c>
      <c r="AU273" s="146">
        <f>COUNTIF(E214:BV214,F273)</f>
        <v>0</v>
      </c>
      <c r="AV273" s="146">
        <f>COUNTIF(E213:BV213,F273)</f>
        <v>1</v>
      </c>
      <c r="AW273" s="146">
        <f>COUNTIF(E212:BV212,F273)</f>
        <v>1</v>
      </c>
      <c r="AX273" s="146">
        <f>COUNTIF(E211:BV211,F273)</f>
        <v>5</v>
      </c>
      <c r="AY273" s="146">
        <f>COUNTIF(E210:BV210,F273)</f>
        <v>2</v>
      </c>
      <c r="AZ273" s="146">
        <f>COUNTIF(E209:BV209,F273)</f>
        <v>3</v>
      </c>
      <c r="BA273" s="146">
        <f>COUNTIF(E208:BV208,F273)</f>
        <v>1</v>
      </c>
      <c r="BB273" s="146">
        <f>COUNTIF(E207:BV207,F273)</f>
        <v>4</v>
      </c>
      <c r="BC273" s="146">
        <f>COUNTIF(E206:BV206,F273)</f>
        <v>1</v>
      </c>
      <c r="BD273" s="146">
        <f>COUNTIF(E205:BV205,F273)</f>
        <v>1</v>
      </c>
      <c r="BE273" s="146">
        <f>COUNTIF(E204:BV204,F273)</f>
        <v>2</v>
      </c>
      <c r="BF273" s="146">
        <f>COUNTIF(E203:BV203,F273)</f>
        <v>2</v>
      </c>
      <c r="BG273" s="146">
        <f>COUNTIF(E202:BV202,F273)</f>
        <v>2</v>
      </c>
      <c r="BH273" s="146">
        <f>COUNTIF(E201:BV201,F273)</f>
        <v>2</v>
      </c>
      <c r="BI273" s="146">
        <f>COUNTIF(E200:BV200,F273)</f>
        <v>2</v>
      </c>
      <c r="BJ273" s="146">
        <f>COUNTIF(E199:BV199,F273)</f>
        <v>2</v>
      </c>
      <c r="BK273" s="146">
        <f>COUNTIF(E198:BV198,F273)</f>
        <v>1</v>
      </c>
      <c r="BL273" s="146">
        <f>COUNTIF(E197:BV197,F273)</f>
        <v>0</v>
      </c>
      <c r="BM273" s="146">
        <f>COUNTIF(E196:BV196,F273)</f>
        <v>2</v>
      </c>
      <c r="BN273" s="146">
        <f>COUNTIF(E195:BV195,F273)</f>
        <v>3</v>
      </c>
      <c r="BO273" s="146">
        <f>COUNTIF(E194:BV194,F273)</f>
        <v>2</v>
      </c>
      <c r="BP273" s="146">
        <f>COUNTIF(E193:BV193,F273)</f>
        <v>2</v>
      </c>
      <c r="BQ273" s="146">
        <f>COUNTIF(E192:BV192,F273)</f>
        <v>1</v>
      </c>
      <c r="BR273" s="146">
        <f>COUNTIF(E191:BV191,F273)</f>
        <v>0</v>
      </c>
      <c r="BS273" s="146">
        <f>COUNTIF(E190:BV190,F273)</f>
        <v>1</v>
      </c>
      <c r="BT273" s="146">
        <f>COUNTIF(E189:BV189,F273)</f>
        <v>2</v>
      </c>
      <c r="BU273" s="146">
        <f>COUNTIF(E188:BV188,F273)</f>
        <v>1</v>
      </c>
      <c r="BV273" s="146">
        <f>COUNTIF(E187:BV187,F273)</f>
        <v>0</v>
      </c>
      <c r="BW273" s="146">
        <f>COUNTIF(E186:BV186,F273)</f>
        <v>3</v>
      </c>
      <c r="BX273" s="146">
        <f>COUNTIF(E185:BV185,F273)</f>
        <v>0</v>
      </c>
      <c r="BY273" s="146">
        <f>COUNTIF(E184:BV184,F273)</f>
        <v>1</v>
      </c>
      <c r="BZ273" s="146">
        <f>COUNTIF(E183:BV183,F273)</f>
        <v>4</v>
      </c>
      <c r="CA273" s="146">
        <f>COUNTIF(E182:BV182,F273)</f>
        <v>1</v>
      </c>
      <c r="CB273" s="146">
        <f>COUNTIF(E181:BV181,F273)</f>
        <v>2</v>
      </c>
      <c r="CC273" s="146">
        <f>COUNTIF(E180:BV180,F273)</f>
        <v>0</v>
      </c>
      <c r="CD273" s="146">
        <f>COUNTIF(E179:BV179,F273)</f>
        <v>3</v>
      </c>
      <c r="CE273" s="146">
        <f>COUNTIF(E178:BV178,F273)</f>
        <v>3</v>
      </c>
      <c r="CF273" s="146">
        <f>COUNTIF(E177:BV177,F273)</f>
        <v>3</v>
      </c>
      <c r="CG273" s="146">
        <f>COUNTIF(E176:BV176,F273)</f>
        <v>2</v>
      </c>
      <c r="CH273" s="146">
        <f>COUNTIF(E175:BV175,F273)</f>
        <v>1</v>
      </c>
      <c r="CI273" s="146">
        <f>COUNTIF(E174:BV174,F273)</f>
        <v>1</v>
      </c>
      <c r="CJ273" s="146">
        <f>COUNTIF(E173:BV173,F273)</f>
        <v>0</v>
      </c>
      <c r="CK273" s="146">
        <f>COUNTIF(E172:BV172,F273)</f>
        <v>1</v>
      </c>
      <c r="CL273" s="146">
        <f>COUNTIF(E171:BV171,F273)</f>
        <v>1</v>
      </c>
      <c r="CM273" s="146">
        <f>COUNTIF(E170:BV170,F273)</f>
        <v>0</v>
      </c>
      <c r="CN273" s="146">
        <f>COUNTIF(E169:BV169,F273)</f>
        <v>1</v>
      </c>
      <c r="CO273" s="146">
        <f>COUNTIF(E168:BV168,F273)</f>
        <v>3</v>
      </c>
      <c r="CP273" s="146">
        <f>COUNTIF(E167:BV167,F273)</f>
        <v>1</v>
      </c>
      <c r="CQ273" s="146">
        <f>COUNTIF(E166:BV166,F273)</f>
        <v>2</v>
      </c>
      <c r="CR273" s="146">
        <f>COUNTIF(E165:BV165,F273)</f>
        <v>0</v>
      </c>
      <c r="CS273" s="146">
        <f>COUNTIF(E164:BV164,F273)</f>
        <v>0</v>
      </c>
      <c r="CT273" s="146">
        <f>COUNTIF(E163:BV163,F273)</f>
        <v>3</v>
      </c>
      <c r="CU273" s="146">
        <f>COUNTIF(E162:BV162,F273)</f>
        <v>1</v>
      </c>
      <c r="CV273" s="146">
        <f>COUNTIF(E161:BV161,F273)</f>
        <v>1</v>
      </c>
      <c r="CW273" s="146">
        <f>COUNTIF(E160:BV160,F273)</f>
        <v>2</v>
      </c>
      <c r="CX273" s="146">
        <f>COUNTIF(E159:BV159,F273)</f>
        <v>4</v>
      </c>
      <c r="CY273" s="146">
        <f>COUNTIF(E158:BV158,F273)</f>
        <v>3</v>
      </c>
      <c r="CZ273" s="146">
        <f>COUNTIF(E157:BV157,F273)</f>
        <v>2</v>
      </c>
      <c r="DA273" s="146">
        <f>COUNTIF(E156:BV156,F273)</f>
        <v>0</v>
      </c>
      <c r="DB273" s="146">
        <f>COUNTIF(E155:BV155,F273)</f>
        <v>0</v>
      </c>
      <c r="DC273" s="146">
        <f>COUNTIF(E154:BV154,F273)</f>
        <v>1</v>
      </c>
      <c r="DD273" s="146">
        <v>3</v>
      </c>
      <c r="DE273" s="146"/>
      <c r="DF273" s="146"/>
      <c r="DG273" s="146"/>
      <c r="DH273" s="146"/>
      <c r="DI273" s="146"/>
      <c r="DJ273" s="146"/>
      <c r="DK273" s="146"/>
      <c r="DL273" s="146"/>
      <c r="DM273" s="146"/>
      <c r="DN273" s="146"/>
      <c r="DO273" s="146"/>
      <c r="DP273" s="146"/>
      <c r="DQ273" s="146"/>
      <c r="DR273" s="146"/>
      <c r="DS273" s="146"/>
      <c r="DT273" s="146"/>
      <c r="DU273" s="2"/>
      <c r="DV273" s="2"/>
      <c r="DW273" s="2"/>
      <c r="DX273" s="2"/>
      <c r="DY273" s="128">
        <v>2</v>
      </c>
      <c r="DZ273" s="128">
        <v>2</v>
      </c>
      <c r="EB273" s="128">
        <v>2</v>
      </c>
      <c r="EC273" s="128">
        <v>2</v>
      </c>
      <c r="EF273" s="128">
        <v>2</v>
      </c>
      <c r="EK273" s="128">
        <v>2</v>
      </c>
      <c r="EL273" s="128">
        <v>2</v>
      </c>
      <c r="EM273" s="128">
        <v>2</v>
      </c>
      <c r="EN273" s="128">
        <v>2</v>
      </c>
      <c r="EO273" s="128">
        <v>2</v>
      </c>
      <c r="EP273" s="128">
        <v>2</v>
      </c>
      <c r="ES273" s="128">
        <v>2</v>
      </c>
      <c r="ET273" s="128">
        <v>2</v>
      </c>
      <c r="EU273" s="128">
        <v>2</v>
      </c>
      <c r="EW273" s="128">
        <v>2</v>
      </c>
      <c r="EX273" s="128">
        <v>2</v>
      </c>
      <c r="EZ273" s="129"/>
      <c r="FA273" s="128">
        <v>10</v>
      </c>
      <c r="FB273" s="128">
        <v>10</v>
      </c>
      <c r="FC273" s="128">
        <v>10</v>
      </c>
      <c r="FD273" s="128">
        <v>10</v>
      </c>
      <c r="FG273" s="128">
        <v>10</v>
      </c>
      <c r="FI273" s="128">
        <v>10</v>
      </c>
      <c r="FJ273" s="128">
        <v>10</v>
      </c>
      <c r="FK273" s="129"/>
      <c r="FL273" s="129"/>
      <c r="FN273" s="128">
        <v>10</v>
      </c>
      <c r="FO273" s="128">
        <v>10</v>
      </c>
      <c r="FP273" s="128">
        <v>10</v>
      </c>
      <c r="FQ273" s="128">
        <v>10</v>
      </c>
      <c r="FS273" s="128">
        <v>10</v>
      </c>
      <c r="FT273" s="128">
        <v>10</v>
      </c>
      <c r="FU273" s="128">
        <v>10</v>
      </c>
      <c r="FV273" s="128">
        <v>10</v>
      </c>
      <c r="FX273" s="128">
        <v>10</v>
      </c>
      <c r="GA273" s="196"/>
      <c r="GB273" s="52"/>
      <c r="GC273" s="52"/>
      <c r="GD273" s="52"/>
      <c r="GE273" s="52"/>
      <c r="GF273" s="196"/>
      <c r="GG273" s="196"/>
      <c r="GH273" s="196"/>
      <c r="GI273" s="196"/>
      <c r="GJ273" s="196"/>
      <c r="GK273" s="196"/>
      <c r="GL273" s="196"/>
      <c r="GM273" s="196"/>
      <c r="GN273" s="196"/>
      <c r="GO273" s="196"/>
      <c r="GP273" s="196"/>
      <c r="GQ273" s="196"/>
      <c r="GR273" s="61"/>
      <c r="GS273" s="61"/>
      <c r="GT273" s="61"/>
      <c r="GU273" s="129"/>
      <c r="GV273" s="129"/>
      <c r="GW273" s="129"/>
      <c r="GX273" s="129"/>
      <c r="GY273" s="129"/>
      <c r="GZ273" s="129"/>
      <c r="HA273" s="129"/>
      <c r="HB273" s="129"/>
      <c r="HC273" s="61"/>
      <c r="HD273" s="61"/>
      <c r="HE273" s="61"/>
      <c r="HF273" s="61"/>
      <c r="HG273" s="61"/>
      <c r="HH273" s="61"/>
      <c r="HI273" s="61"/>
      <c r="HJ273" s="61"/>
      <c r="HK273" s="61"/>
      <c r="HL273" s="61"/>
      <c r="HM273" s="61"/>
      <c r="HN273" s="61"/>
      <c r="HO273" s="61"/>
      <c r="HP273" s="61"/>
      <c r="HQ273" s="61"/>
      <c r="HR273" s="61"/>
      <c r="HS273" s="129"/>
      <c r="HT273" s="129"/>
      <c r="HU273" s="129"/>
      <c r="HV273" s="129"/>
      <c r="HW273" s="129"/>
      <c r="HX273" s="129"/>
      <c r="HY273" s="129"/>
      <c r="HZ273" s="129"/>
      <c r="IA273" s="129"/>
      <c r="IB273" s="129"/>
      <c r="IC273" s="129"/>
      <c r="ID273" s="129"/>
      <c r="IE273" s="129"/>
      <c r="IF273" s="129"/>
      <c r="IG273" s="129"/>
      <c r="IH273" s="129"/>
      <c r="II273" s="129"/>
      <c r="IJ273" s="129"/>
      <c r="IK273" s="129"/>
      <c r="IL273" s="129"/>
      <c r="IM273" s="129"/>
      <c r="IN273" s="129"/>
      <c r="IO273" s="129"/>
      <c r="IP273" s="129"/>
      <c r="IQ273" s="129"/>
      <c r="IR273" s="129"/>
      <c r="IS273" s="129"/>
      <c r="IT273" s="129"/>
      <c r="IU273" s="129"/>
      <c r="IV273" s="129"/>
      <c r="IW273" s="129"/>
      <c r="IX273" s="129"/>
      <c r="IY273" s="129"/>
      <c r="IZ273" s="129"/>
      <c r="JA273" s="129"/>
      <c r="JB273" s="129"/>
      <c r="JC273" s="129"/>
      <c r="JD273" s="129"/>
      <c r="JE273" s="129"/>
      <c r="JF273" s="129"/>
      <c r="JG273" s="129"/>
      <c r="JH273" s="129"/>
      <c r="JI273" s="129"/>
      <c r="JJ273" s="129"/>
      <c r="JK273" s="129"/>
      <c r="JL273" s="129"/>
      <c r="JM273" s="129"/>
      <c r="JN273" s="129"/>
      <c r="JO273" s="129"/>
      <c r="JP273" s="129"/>
      <c r="JQ273" s="129"/>
      <c r="JR273" s="129"/>
      <c r="JS273" s="129"/>
      <c r="JT273" s="129"/>
      <c r="JU273" s="129"/>
      <c r="JV273" s="129"/>
      <c r="JW273" s="129"/>
      <c r="JX273" s="129"/>
      <c r="JY273" s="129"/>
      <c r="JZ273" s="129"/>
      <c r="KA273" s="129"/>
      <c r="KB273" s="129"/>
    </row>
    <row r="274" spans="4:290" ht="17.25">
      <c r="D274" s="128"/>
      <c r="E274" s="570">
        <v>17</v>
      </c>
      <c r="F274" s="145">
        <v>17</v>
      </c>
      <c r="G274" s="639"/>
      <c r="H274" s="453">
        <f>COUNTIF(E253:BV253,F274)</f>
        <v>4</v>
      </c>
      <c r="I274" s="453">
        <f>COUNTIF(E252:BV252,F274)</f>
        <v>3</v>
      </c>
      <c r="J274" s="453">
        <f>COUNTIF(E251:BV251,F274)</f>
        <v>7</v>
      </c>
      <c r="K274" s="453">
        <f>COUNTIF(E250:BV250,F274)</f>
        <v>4</v>
      </c>
      <c r="L274" s="453">
        <f>COUNTIF(E249:BV249,F274)</f>
        <v>1</v>
      </c>
      <c r="M274" s="453">
        <f>COUNTIF(E248:BV248,F274)</f>
        <v>3</v>
      </c>
      <c r="N274" s="453">
        <f>COUNTIF(E247:BV247,F274)</f>
        <v>1</v>
      </c>
      <c r="O274" s="453">
        <f>COUNTIF(E246:BV246,F274)</f>
        <v>2</v>
      </c>
      <c r="P274" s="453">
        <f>COUNTIF(E245:BV245,F274)</f>
        <v>2</v>
      </c>
      <c r="Q274" s="453">
        <f>COUNTIF(E244:BV244,F274)</f>
        <v>2</v>
      </c>
      <c r="R274" s="453">
        <f>COUNTIF(E243:BV243,F274)</f>
        <v>1</v>
      </c>
      <c r="S274" s="453">
        <f>COUNTIF(E242:BV242,F274)</f>
        <v>1</v>
      </c>
      <c r="T274" s="453">
        <f>COUNTIF(E241:BV241,F274)</f>
        <v>1</v>
      </c>
      <c r="U274" s="453">
        <f>COUNTIF(E240:BV240,F274)</f>
        <v>3</v>
      </c>
      <c r="V274" s="453">
        <f>COUNTIF(E239:BV239,F274)</f>
        <v>3</v>
      </c>
      <c r="W274" s="453">
        <f>COUNTIF(E238:BV238,F274)</f>
        <v>0</v>
      </c>
      <c r="X274" s="453">
        <f>COUNTIF(E237:BV237,F274)</f>
        <v>3</v>
      </c>
      <c r="Y274" s="453">
        <f>COUNTIF(E236:BV236,F274)</f>
        <v>2</v>
      </c>
      <c r="Z274" s="453">
        <f>COUNTIF(E235:BV235,F274)</f>
        <v>2</v>
      </c>
      <c r="AA274" s="453">
        <f>COUNTIF(E234:BV234,F274)</f>
        <v>1</v>
      </c>
      <c r="AB274" s="453">
        <f>COUNTIF(E233:BV233,F274)</f>
        <v>2</v>
      </c>
      <c r="AC274" s="453">
        <f>COUNTIF(E232:BV232,F274)</f>
        <v>0</v>
      </c>
      <c r="AD274" s="453">
        <f>COUNTIF(E231:BV231,F274)</f>
        <v>2</v>
      </c>
      <c r="AE274" s="453">
        <f>COUNTIF(E230:BV230,F274)</f>
        <v>1</v>
      </c>
      <c r="AF274" s="453">
        <f>COUNTIF(E229:BV229,F274)</f>
        <v>3</v>
      </c>
      <c r="AG274" s="453">
        <f>COUNTIF(E228:BV228,F274)</f>
        <v>1</v>
      </c>
      <c r="AH274" s="453">
        <f>COUNTIF(E227:BV227,F274)</f>
        <v>4</v>
      </c>
      <c r="AI274" s="146">
        <f>COUNTIF(E226:BV226,F274)</f>
        <v>3</v>
      </c>
      <c r="AJ274" s="146">
        <f>COUNTIF(E225:BV225,F274)</f>
        <v>0</v>
      </c>
      <c r="AK274" s="146">
        <f>COUNTIF(E224:BV224,F274)</f>
        <v>2</v>
      </c>
      <c r="AL274" s="146">
        <f>COUNTIF(E223:BV223,F274)</f>
        <v>2</v>
      </c>
      <c r="AM274" s="146">
        <f>COUNTIF(E222:BV222,F274)</f>
        <v>1</v>
      </c>
      <c r="AN274" s="146">
        <f>COUNTIF(E221:BV221,F274)</f>
        <v>1</v>
      </c>
      <c r="AO274" s="146">
        <f>COUNTIF(E220:BV220,F274)</f>
        <v>0</v>
      </c>
      <c r="AP274" s="146">
        <f>COUNTIF(E219:BV219,F274)</f>
        <v>0</v>
      </c>
      <c r="AQ274" s="146">
        <f>COUNTIF(E218:BV218,F274)</f>
        <v>1</v>
      </c>
      <c r="AR274" s="146">
        <f>COUNTIF(E217:BV217,F274)</f>
        <v>2</v>
      </c>
      <c r="AS274" s="146">
        <f>COUNTIF(E216:BV216,F274)</f>
        <v>1</v>
      </c>
      <c r="AT274" s="146">
        <f>COUNTIF(E215:BV215,F274)</f>
        <v>0</v>
      </c>
      <c r="AU274" s="146">
        <f>COUNTIF(E214:BV214,F274)</f>
        <v>3</v>
      </c>
      <c r="AV274" s="146">
        <f>COUNTIF(E213:BV213,F274)</f>
        <v>3</v>
      </c>
      <c r="AW274" s="146">
        <f>COUNTIF(E212:BV212,F274)</f>
        <v>1</v>
      </c>
      <c r="AX274" s="146">
        <f>COUNTIF(E211:BV211,F274)</f>
        <v>5</v>
      </c>
      <c r="AY274" s="146">
        <f>COUNTIF(E210:BV210,F274)</f>
        <v>1</v>
      </c>
      <c r="AZ274" s="146">
        <f>COUNTIF(E209:BV209,F274)</f>
        <v>1</v>
      </c>
      <c r="BA274" s="146">
        <f>COUNTIF(E208:BV208,F274)</f>
        <v>4</v>
      </c>
      <c r="BB274" s="146">
        <f>COUNTIF(E207:BV207,F274)</f>
        <v>2</v>
      </c>
      <c r="BC274" s="146">
        <f>COUNTIF(E206:BV206,F274)</f>
        <v>0</v>
      </c>
      <c r="BD274" s="146">
        <f>COUNTIF(E205:BV205,F274)</f>
        <v>4</v>
      </c>
      <c r="BE274" s="146">
        <f>COUNTIF(E204:BV204,F274)</f>
        <v>2</v>
      </c>
      <c r="BF274" s="146">
        <f>COUNTIF(E203:BV203,F274)</f>
        <v>2</v>
      </c>
      <c r="BG274" s="146">
        <f>COUNTIF(E202:BV202,F274)</f>
        <v>2</v>
      </c>
      <c r="BH274" s="146">
        <f>COUNTIF(E201:BV201,F274)</f>
        <v>5</v>
      </c>
      <c r="BI274" s="146">
        <f>COUNTIF(E200:BV200,F274)</f>
        <v>2</v>
      </c>
      <c r="BJ274" s="146">
        <f>COUNTIF(E199:BV199,F274)</f>
        <v>2</v>
      </c>
      <c r="BK274" s="146">
        <f>COUNTIF(E198:BV198,F274)</f>
        <v>1</v>
      </c>
      <c r="BL274" s="146">
        <f>COUNTIF(E197:BV197,F274)</f>
        <v>2</v>
      </c>
      <c r="BM274" s="146">
        <f>COUNTIF(E196:BV196,F274)</f>
        <v>3</v>
      </c>
      <c r="BN274" s="146">
        <f>COUNTIF(E195:BV195,F274)</f>
        <v>3</v>
      </c>
      <c r="BO274" s="146">
        <f>COUNTIF(E194:BV194,F274)</f>
        <v>1</v>
      </c>
      <c r="BP274" s="146">
        <f>COUNTIF(E193:BV193,F274)</f>
        <v>3</v>
      </c>
      <c r="BQ274" s="146">
        <f>COUNTIF(E192:BV192,F274)</f>
        <v>1</v>
      </c>
      <c r="BR274" s="146">
        <f>COUNTIF(E191:BV191,F274)</f>
        <v>2</v>
      </c>
      <c r="BS274" s="146">
        <f>COUNTIF(E190:BV190,F274)</f>
        <v>2</v>
      </c>
      <c r="BT274" s="146">
        <f>COUNTIF(E189:BV189,F274)</f>
        <v>3</v>
      </c>
      <c r="BU274" s="146">
        <f>COUNTIF(E188:BV188,F274)</f>
        <v>0</v>
      </c>
      <c r="BV274" s="146">
        <f>COUNTIF(E187:BV187,F274)</f>
        <v>2</v>
      </c>
      <c r="BW274" s="146">
        <f>COUNTIF(E186:BV186,F274)</f>
        <v>0</v>
      </c>
      <c r="BX274" s="146">
        <f>COUNTIF(E185:BV185,F274)</f>
        <v>0</v>
      </c>
      <c r="BY274" s="146">
        <f>COUNTIF(E184:BV184,F274)</f>
        <v>1</v>
      </c>
      <c r="BZ274" s="146">
        <f>COUNTIF(E183:BV183,F274)</f>
        <v>2</v>
      </c>
      <c r="CA274" s="146">
        <f>COUNTIF(E270:EP270,F274)</f>
        <v>0</v>
      </c>
      <c r="CB274" s="146">
        <f>COUNTIF(E181:BV181,F274)</f>
        <v>1</v>
      </c>
      <c r="CC274" s="146">
        <f>COUNTIF(E180:BV180,F274)</f>
        <v>6</v>
      </c>
      <c r="CD274" s="146">
        <f>COUNTIF(E179:BV179,F274)</f>
        <v>1</v>
      </c>
      <c r="CE274" s="146">
        <f>COUNTIF(E178:BV178,F274)</f>
        <v>3</v>
      </c>
      <c r="CF274" s="146">
        <f>COUNTIF(E177:BV177,F274)</f>
        <v>0</v>
      </c>
      <c r="CG274" s="146">
        <f>COUNTIF(E176:BV176,F274)</f>
        <v>3</v>
      </c>
      <c r="CH274" s="146">
        <f>COUNTIF(E175:BV175,F274)</f>
        <v>0</v>
      </c>
      <c r="CI274" s="146">
        <f>COUNTIF(E174:BV174,F274)</f>
        <v>3</v>
      </c>
      <c r="CJ274" s="146">
        <f>COUNTIF(E173:BV173,F274)</f>
        <v>0</v>
      </c>
      <c r="CK274" s="146">
        <f>COUNTIF(E172:BV172,F274)</f>
        <v>2</v>
      </c>
      <c r="CL274" s="146">
        <f>COUNTIF(E171:BV171,F274)</f>
        <v>2</v>
      </c>
      <c r="CM274" s="146">
        <f>COUNTIF(E170:BV170,F274)</f>
        <v>1</v>
      </c>
      <c r="CN274" s="146">
        <f>COUNTIF(E169:BV169,F274)</f>
        <v>1</v>
      </c>
      <c r="CO274" s="146">
        <f>COUNTIF(E168:BV168,F274)</f>
        <v>5</v>
      </c>
      <c r="CP274" s="146">
        <f>COUNTIF(E167:BV167,F274)</f>
        <v>2</v>
      </c>
      <c r="CQ274" s="146">
        <f>COUNTIF(E166:BV166,F274)</f>
        <v>3</v>
      </c>
      <c r="CR274" s="146">
        <f>COUNTIF(E165:BV165,F274)</f>
        <v>1</v>
      </c>
      <c r="CS274" s="146">
        <f>COUNTIF(E164:BV164,F274)</f>
        <v>1</v>
      </c>
      <c r="CT274" s="146">
        <f>COUNTIF(E163:BV163,F274)</f>
        <v>1</v>
      </c>
      <c r="CU274" s="146">
        <f>COUNTIF(E162:BV162,F274)</f>
        <v>2</v>
      </c>
      <c r="CV274" s="146">
        <f>COUNTIF(E161:BV161,F274)</f>
        <v>0</v>
      </c>
      <c r="CW274" s="146">
        <f>COUNTIF(E160:BV160,F274)</f>
        <v>1</v>
      </c>
      <c r="CX274" s="146">
        <f>COUNTIF(E159:BV159,F274)</f>
        <v>0</v>
      </c>
      <c r="CY274" s="146">
        <f>COUNTIF(E158:BV158,F274)</f>
        <v>1</v>
      </c>
      <c r="CZ274" s="146">
        <f>COUNTIF(E157:BV157,F274)</f>
        <v>1</v>
      </c>
      <c r="DA274" s="146">
        <f>COUNTIF(E156:BV156,F274)</f>
        <v>2</v>
      </c>
      <c r="DB274" s="146">
        <f>COUNTIF(E155:BV155,F274)</f>
        <v>1</v>
      </c>
      <c r="DC274" s="146">
        <f>COUNTIF(E154:BV154,F274)</f>
        <v>1</v>
      </c>
      <c r="DD274" s="146">
        <v>1</v>
      </c>
      <c r="DE274" s="146"/>
      <c r="DF274" s="146"/>
      <c r="DG274" s="146"/>
      <c r="DH274" s="146"/>
      <c r="DI274" s="146"/>
      <c r="DJ274" s="146"/>
      <c r="DK274" s="146"/>
      <c r="DL274" s="146"/>
      <c r="DM274" s="146"/>
      <c r="DN274" s="146"/>
      <c r="DO274" s="146"/>
      <c r="DP274" s="146"/>
      <c r="DQ274" s="146"/>
      <c r="DR274" s="146"/>
      <c r="DS274" s="146"/>
      <c r="DT274" s="146"/>
      <c r="DU274" s="2"/>
      <c r="DV274" s="18"/>
      <c r="DW274" s="72"/>
      <c r="DX274" s="72"/>
      <c r="DY274" s="128">
        <v>3</v>
      </c>
      <c r="EA274" s="128">
        <v>3</v>
      </c>
      <c r="EB274" s="128">
        <v>3</v>
      </c>
      <c r="ED274" s="128">
        <v>3</v>
      </c>
      <c r="EE274" s="128">
        <v>3</v>
      </c>
      <c r="EF274" s="128">
        <v>3</v>
      </c>
      <c r="EG274" s="128">
        <v>3</v>
      </c>
      <c r="EH274" s="128">
        <v>3</v>
      </c>
      <c r="EK274" s="128">
        <v>3</v>
      </c>
      <c r="EL274" s="128">
        <v>3</v>
      </c>
      <c r="EM274" s="128">
        <v>3</v>
      </c>
      <c r="EN274" s="128">
        <v>3</v>
      </c>
      <c r="EO274" s="128">
        <v>3</v>
      </c>
      <c r="EP274" s="128">
        <v>3</v>
      </c>
      <c r="EQ274" s="128">
        <v>3</v>
      </c>
      <c r="ER274" s="128">
        <v>3</v>
      </c>
      <c r="ES274" s="128">
        <v>3</v>
      </c>
      <c r="ET274" s="128">
        <v>3</v>
      </c>
      <c r="EU274" s="128">
        <v>3</v>
      </c>
      <c r="EV274" s="128">
        <v>3</v>
      </c>
      <c r="EW274" s="128">
        <v>3</v>
      </c>
      <c r="EZ274" s="61"/>
      <c r="FA274" s="128">
        <v>11</v>
      </c>
      <c r="FC274" s="128">
        <v>11</v>
      </c>
      <c r="FD274" s="128">
        <v>11</v>
      </c>
      <c r="FF274" s="128">
        <v>11</v>
      </c>
      <c r="FG274" s="128">
        <v>11</v>
      </c>
      <c r="FH274" s="128">
        <v>11</v>
      </c>
      <c r="FI274" s="128">
        <v>11</v>
      </c>
      <c r="FK274" s="129"/>
      <c r="FL274" s="129"/>
      <c r="FM274" s="128">
        <v>11</v>
      </c>
      <c r="FN274" s="128">
        <v>11</v>
      </c>
      <c r="FP274" s="128">
        <v>11</v>
      </c>
      <c r="FQ274" s="128">
        <v>11</v>
      </c>
      <c r="FS274" s="128">
        <v>11</v>
      </c>
      <c r="FT274" s="128">
        <v>11</v>
      </c>
      <c r="FU274" s="128">
        <v>11</v>
      </c>
      <c r="FV274" s="128">
        <v>11</v>
      </c>
      <c r="FW274" s="128">
        <v>11</v>
      </c>
      <c r="FX274" s="128">
        <v>11</v>
      </c>
      <c r="FY274" s="128">
        <v>11</v>
      </c>
      <c r="FZ274" s="128">
        <v>11</v>
      </c>
      <c r="GA274" s="52"/>
      <c r="GB274" s="52"/>
      <c r="GC274" s="52"/>
      <c r="GD274" s="52"/>
      <c r="GE274" s="52"/>
      <c r="GF274" s="52"/>
      <c r="GG274" s="52"/>
      <c r="GH274" s="52"/>
      <c r="GI274" s="52"/>
      <c r="GJ274" s="52"/>
      <c r="GK274" s="52"/>
      <c r="GL274" s="52"/>
      <c r="GM274" s="52"/>
      <c r="GN274" s="52"/>
      <c r="GO274" s="52"/>
      <c r="GP274" s="52"/>
      <c r="GQ274" s="52"/>
      <c r="GR274" s="129"/>
      <c r="GS274" s="129"/>
      <c r="GT274" s="129"/>
      <c r="GU274" s="129"/>
      <c r="GV274" s="129"/>
      <c r="GW274" s="129"/>
      <c r="GX274" s="129"/>
      <c r="GY274" s="129"/>
      <c r="GZ274" s="129"/>
      <c r="HA274" s="129"/>
      <c r="HB274" s="129"/>
      <c r="HC274" s="129"/>
      <c r="HD274" s="72"/>
      <c r="HE274" s="129"/>
      <c r="HF274" s="129"/>
      <c r="HG274" s="129"/>
      <c r="HH274" s="129"/>
      <c r="HI274" s="129"/>
      <c r="HJ274" s="129"/>
      <c r="HK274" s="152"/>
      <c r="HL274" s="129"/>
      <c r="HM274" s="129"/>
      <c r="HN274" s="129"/>
      <c r="HO274" s="129"/>
      <c r="HP274" s="54"/>
      <c r="HQ274" s="129"/>
      <c r="HR274" s="54"/>
      <c r="HS274" s="129"/>
      <c r="HT274" s="129"/>
      <c r="HU274" s="129"/>
      <c r="HV274" s="129"/>
      <c r="HW274" s="129"/>
      <c r="HX274" s="129"/>
      <c r="HY274" s="129"/>
      <c r="HZ274" s="129"/>
      <c r="IA274" s="129"/>
      <c r="IB274" s="129"/>
      <c r="IC274" s="129"/>
      <c r="ID274" s="129"/>
      <c r="IE274" s="129"/>
      <c r="IF274" s="129"/>
      <c r="IG274" s="129"/>
      <c r="IH274" s="129"/>
      <c r="II274" s="129"/>
      <c r="IJ274" s="129"/>
      <c r="IK274" s="129"/>
      <c r="IL274" s="129"/>
      <c r="IM274" s="129"/>
      <c r="IN274" s="129"/>
      <c r="IO274" s="129"/>
      <c r="IP274" s="129"/>
      <c r="IQ274" s="129"/>
      <c r="IR274" s="129"/>
      <c r="IS274" s="129"/>
      <c r="IT274" s="129"/>
      <c r="IU274" s="129"/>
      <c r="IV274" s="129"/>
      <c r="IW274" s="129"/>
      <c r="IX274" s="129"/>
      <c r="IY274" s="129"/>
      <c r="IZ274" s="129"/>
      <c r="JA274" s="129"/>
      <c r="JB274" s="129"/>
      <c r="JC274" s="129"/>
      <c r="JD274" s="129"/>
      <c r="JE274" s="129"/>
      <c r="JF274" s="129"/>
      <c r="JG274" s="129"/>
      <c r="JH274" s="129"/>
      <c r="JI274" s="129"/>
      <c r="JJ274" s="129"/>
      <c r="JK274" s="129"/>
      <c r="JL274" s="129"/>
      <c r="JM274" s="129"/>
      <c r="JN274" s="129"/>
      <c r="JO274" s="129"/>
      <c r="JP274" s="129"/>
      <c r="JQ274" s="129"/>
      <c r="JR274" s="129"/>
      <c r="JS274" s="129"/>
      <c r="JT274" s="129"/>
      <c r="JU274" s="129"/>
      <c r="JV274" s="129"/>
      <c r="JW274" s="129"/>
      <c r="JX274" s="129"/>
      <c r="JY274" s="129"/>
      <c r="JZ274" s="129"/>
      <c r="KA274" s="129"/>
      <c r="KB274" s="129"/>
      <c r="KC274" s="129"/>
    </row>
    <row r="275" spans="4:290" ht="17.25">
      <c r="D275" s="128"/>
      <c r="E275" s="570">
        <v>18</v>
      </c>
      <c r="F275" s="145">
        <v>18</v>
      </c>
      <c r="G275" s="639"/>
      <c r="H275" s="453">
        <f>COUNTIF(E253:BV253,F275)</f>
        <v>1</v>
      </c>
      <c r="I275" s="453">
        <f>COUNTIF(E252:BV252,F275)</f>
        <v>0</v>
      </c>
      <c r="J275" s="453">
        <f>COUNTIF(E251:BV251,F275)</f>
        <v>1</v>
      </c>
      <c r="K275" s="453">
        <f>COUNTIF(E250:BV250,F275)</f>
        <v>1</v>
      </c>
      <c r="L275" s="453">
        <f>COUNTIF(E249:BV249,F275)</f>
        <v>1</v>
      </c>
      <c r="M275" s="453">
        <f>COUNTIF(E248:BV248,F275)</f>
        <v>1</v>
      </c>
      <c r="N275" s="453">
        <f>COUNTIF(E247:BV247,F275)</f>
        <v>1</v>
      </c>
      <c r="O275" s="453">
        <f>COUNTIF(E246:BV246,F275)</f>
        <v>1</v>
      </c>
      <c r="P275" s="453">
        <f>COUNTIF(E245:BV245,F275)</f>
        <v>1</v>
      </c>
      <c r="Q275" s="453">
        <f>COUNTIF(E244:BV244,F275)</f>
        <v>2</v>
      </c>
      <c r="R275" s="453">
        <f>COUNTIF(E243:BV243,F275)</f>
        <v>0</v>
      </c>
      <c r="S275" s="453">
        <f>COUNTIF(E242:BV242,F275)</f>
        <v>1</v>
      </c>
      <c r="T275" s="453">
        <f>COUNTIF(E241:BV241,F275)</f>
        <v>0</v>
      </c>
      <c r="U275" s="453">
        <f>COUNTIF(E240:BV240,F275)</f>
        <v>1</v>
      </c>
      <c r="V275" s="453">
        <f>COUNTIF(E239:BV239,F275)</f>
        <v>0</v>
      </c>
      <c r="W275" s="453">
        <f>COUNTIF(E238:BV238,F275)</f>
        <v>2</v>
      </c>
      <c r="X275" s="453">
        <f>COUNTIF(E237:BV237,F275)</f>
        <v>2</v>
      </c>
      <c r="Y275" s="453">
        <f>COUNTIF(E236:BV236,F275)</f>
        <v>0</v>
      </c>
      <c r="Z275" s="453">
        <f>COUNTIF(E235:BV235,F275)</f>
        <v>2</v>
      </c>
      <c r="AA275" s="453">
        <f>COUNTIF(E234:BV234,F275)</f>
        <v>0</v>
      </c>
      <c r="AB275" s="453">
        <f>COUNTIF(E233:BV233,F275)</f>
        <v>2</v>
      </c>
      <c r="AC275" s="453">
        <f>COUNTIF(E232:BV232,F275)</f>
        <v>1</v>
      </c>
      <c r="AD275" s="453">
        <f>COUNTIF(E231:BV231,F275)</f>
        <v>2</v>
      </c>
      <c r="AE275" s="453">
        <f>COUNTIF(E230:BV230,F275)</f>
        <v>1</v>
      </c>
      <c r="AF275" s="453">
        <f>COUNTIF(E229:BV229,F275)</f>
        <v>1</v>
      </c>
      <c r="AG275" s="453">
        <f>COUNTIF(E228:BV228,F275)</f>
        <v>2</v>
      </c>
      <c r="AH275" s="453">
        <f>COUNTIF(E227:BV227,F275)</f>
        <v>0</v>
      </c>
      <c r="AI275" s="146">
        <f>COUNTIF(E226:BV226,F275)</f>
        <v>5</v>
      </c>
      <c r="AJ275" s="146">
        <f>COUNTIF(E225:BV225,F275)</f>
        <v>2</v>
      </c>
      <c r="AK275" s="146">
        <f>COUNTIF(E224:BV224,F275)</f>
        <v>2</v>
      </c>
      <c r="AL275" s="146">
        <f>COUNTIF(E223:BV223,F275)</f>
        <v>3</v>
      </c>
      <c r="AM275" s="146">
        <f>COUNTIF(E222:BV222,F275)</f>
        <v>1</v>
      </c>
      <c r="AN275" s="146">
        <f>COUNTIF(E221:BV221,F275)</f>
        <v>0</v>
      </c>
      <c r="AO275" s="146">
        <f>COUNTIF(E220:BV220,F275)</f>
        <v>2</v>
      </c>
      <c r="AP275" s="146">
        <f>COUNTIF(E219:BV219,F275)</f>
        <v>2</v>
      </c>
      <c r="AQ275" s="146">
        <f>COUNTIF(E218:BV218,F275)</f>
        <v>1</v>
      </c>
      <c r="AR275" s="146">
        <f>COUNTIF(E217:BV217,F275)</f>
        <v>3</v>
      </c>
      <c r="AS275" s="146">
        <f>COUNTIF(E216:BV216,F275)</f>
        <v>0</v>
      </c>
      <c r="AT275" s="146">
        <f>COUNTIF(E215:BV215,F275)</f>
        <v>2</v>
      </c>
      <c r="AU275" s="146">
        <f>COUNTIF(E214:BV214,F275)</f>
        <v>1</v>
      </c>
      <c r="AV275" s="146">
        <f>COUNTIF(E213:BV213,F275)</f>
        <v>5</v>
      </c>
      <c r="AW275" s="146">
        <f>COUNTIF(E212:BV212,F275)</f>
        <v>1</v>
      </c>
      <c r="AX275" s="146">
        <f>COUNTIF(E211:BV211,F275)</f>
        <v>0</v>
      </c>
      <c r="AY275" s="146">
        <f>COUNTIF(E210:BV210,F275)</f>
        <v>1</v>
      </c>
      <c r="AZ275" s="146">
        <f>COUNTIF(E209:BV209,F275)</f>
        <v>1</v>
      </c>
      <c r="BA275" s="146">
        <f>COUNTIF(E208:BV208,F275)</f>
        <v>2</v>
      </c>
      <c r="BB275" s="146">
        <f>COUNTIF(E207:BV207,F275)</f>
        <v>2</v>
      </c>
      <c r="BC275" s="146">
        <f>COUNTIF(E206:BV206,F275)</f>
        <v>4</v>
      </c>
      <c r="BD275" s="146">
        <f>COUNTIF(E205:BV205,F275)</f>
        <v>0</v>
      </c>
      <c r="BE275" s="146">
        <f>COUNTIF(E204:BV204,F275)</f>
        <v>2</v>
      </c>
      <c r="BF275" s="146">
        <f>COUNTIF(E203:BV203,F275)</f>
        <v>1</v>
      </c>
      <c r="BG275" s="146">
        <f>COUNTIF(E202:BV202,F275)</f>
        <v>0</v>
      </c>
      <c r="BH275" s="146">
        <f>COUNTIF(E201:BV201,F275)</f>
        <v>1</v>
      </c>
      <c r="BI275" s="146">
        <f>COUNTIF(E200:BV200,F275)</f>
        <v>0</v>
      </c>
      <c r="BJ275" s="146">
        <f>COUNTIF(E199:BV199,F275)</f>
        <v>2</v>
      </c>
      <c r="BK275" s="146">
        <f>COUNTIF(E198:BV198,F275)</f>
        <v>4</v>
      </c>
      <c r="BL275" s="146">
        <f>COUNTIF(E197:BV197,F275)</f>
        <v>4</v>
      </c>
      <c r="BM275" s="146">
        <f>COUNTIF(E196:BV196,F275)</f>
        <v>2</v>
      </c>
      <c r="BN275" s="146">
        <f>COUNTIF(E195:BV195,F275)</f>
        <v>0</v>
      </c>
      <c r="BO275" s="146">
        <f>COUNTIF(E194:BV194,F275)</f>
        <v>1</v>
      </c>
      <c r="BP275" s="146">
        <f>COUNTIF(E193:BV193,F275)</f>
        <v>2</v>
      </c>
      <c r="BQ275" s="146">
        <f>COUNTIF(E192:BV192,F275)</f>
        <v>0</v>
      </c>
      <c r="BR275" s="146">
        <f>COUNTIF(E191:BV191,F275)</f>
        <v>0</v>
      </c>
      <c r="BS275" s="146">
        <f>COUNTIF(E190:BV190,F275)</f>
        <v>4</v>
      </c>
      <c r="BT275" s="146">
        <f>COUNTIF(E189:BV189,F275)</f>
        <v>3</v>
      </c>
      <c r="BU275" s="146">
        <f>COUNTIF(E188:BV188,F275)</f>
        <v>2</v>
      </c>
      <c r="BV275" s="146">
        <f>COUNTIF(E187:BV187,F275)</f>
        <v>1</v>
      </c>
      <c r="BW275" s="146">
        <f>COUNTIF(E186:BV186,F275)</f>
        <v>1</v>
      </c>
      <c r="BX275" s="146">
        <f>COUNTIF(E185:BV185,F275)</f>
        <v>4</v>
      </c>
      <c r="BY275" s="146">
        <f>COUNTIF(E184:BV184,F275)</f>
        <v>1</v>
      </c>
      <c r="BZ275" s="146">
        <f>COUNTIF(E183:BV183,F275)</f>
        <v>1</v>
      </c>
      <c r="CA275" s="146">
        <f>COUNTIF(E182:BV182,F275)</f>
        <v>2</v>
      </c>
      <c r="CB275" s="146">
        <f>COUNTIF(E181:BV181,F275)</f>
        <v>1</v>
      </c>
      <c r="CC275" s="146">
        <f>COUNTIF(E180:BV180,F275)</f>
        <v>1</v>
      </c>
      <c r="CD275" s="146">
        <f>COUNTIF(E179:BV179,F275)</f>
        <v>2</v>
      </c>
      <c r="CE275" s="146">
        <f>COUNTIF(E178:BV178,F275)</f>
        <v>2</v>
      </c>
      <c r="CF275" s="146">
        <f>COUNTIF(E177:BV177,F275)</f>
        <v>3</v>
      </c>
      <c r="CG275" s="146">
        <f>COUNTIF(E176:BV176,F275)</f>
        <v>1</v>
      </c>
      <c r="CH275" s="146">
        <f>COUNTIF(E175:BV175,F275)</f>
        <v>0</v>
      </c>
      <c r="CI275" s="146">
        <f>COUNTIF(E174:BV174,F275)</f>
        <v>0</v>
      </c>
      <c r="CJ275" s="146">
        <f>COUNTIF(E173:BV173,F275)</f>
        <v>11</v>
      </c>
      <c r="CK275" s="146">
        <f>COUNTIF(E172:BV172,F275)</f>
        <v>1</v>
      </c>
      <c r="CL275" s="146">
        <f>COUNTIF(E171:BV171,F275)</f>
        <v>1</v>
      </c>
      <c r="CM275" s="146">
        <f>COUNTIF(E170:BV170,F275)</f>
        <v>1</v>
      </c>
      <c r="CN275" s="146">
        <f>COUNTIF(E169:BV169,F275)</f>
        <v>3</v>
      </c>
      <c r="CO275" s="146">
        <f>COUNTIF(E168:BV168,F275)</f>
        <v>1</v>
      </c>
      <c r="CP275" s="146">
        <f>COUNTIF(E167:BV167,F275)</f>
        <v>0</v>
      </c>
      <c r="CQ275" s="146">
        <f>COUNTIF(E166:BV166,F275)</f>
        <v>4</v>
      </c>
      <c r="CR275" s="146">
        <f>COUNTIF(E165:BV165,F275)</f>
        <v>2</v>
      </c>
      <c r="CS275" s="146">
        <f>COUNTIF(E164:BV164,F275)</f>
        <v>3</v>
      </c>
      <c r="CT275" s="146">
        <f>COUNTIF(E163:BV163,F275)</f>
        <v>1</v>
      </c>
      <c r="CU275" s="146">
        <f>COUNTIF(E162:BV162,F275)</f>
        <v>0</v>
      </c>
      <c r="CV275" s="146">
        <f>COUNTIF(E161:BV161,F275)</f>
        <v>1</v>
      </c>
      <c r="CW275" s="146">
        <f>COUNTIF(E160:BV160,F275)</f>
        <v>0</v>
      </c>
      <c r="CX275" s="146">
        <f>COUNTIF(E159:BV159,F275)</f>
        <v>1</v>
      </c>
      <c r="CY275" s="146">
        <f>COUNTIF(E158:BV158,F275)</f>
        <v>4</v>
      </c>
      <c r="CZ275" s="146">
        <f>COUNTIF(E157:BV157,F275)</f>
        <v>0</v>
      </c>
      <c r="DA275" s="146">
        <f>COUNTIF(E156:BV156,F275)</f>
        <v>1</v>
      </c>
      <c r="DB275" s="146">
        <f>COUNTIF(E155:BV155,F275)</f>
        <v>0</v>
      </c>
      <c r="DC275" s="146">
        <f>COUNTIF(E154:BV154,F275)</f>
        <v>6</v>
      </c>
      <c r="DD275" s="146">
        <v>3</v>
      </c>
      <c r="DE275" s="146"/>
      <c r="DF275" s="146"/>
      <c r="DG275" s="146"/>
      <c r="DH275" s="146"/>
      <c r="DI275" s="146"/>
      <c r="DJ275" s="146"/>
      <c r="DK275" s="146"/>
      <c r="DL275" s="146"/>
      <c r="DM275" s="146"/>
      <c r="DN275" s="146"/>
      <c r="DO275" s="146"/>
      <c r="DP275" s="146"/>
      <c r="DQ275" s="146"/>
      <c r="DR275" s="146"/>
      <c r="DS275" s="146"/>
      <c r="DT275" s="146"/>
      <c r="DU275" s="2"/>
      <c r="DV275" s="18"/>
      <c r="DW275" s="73"/>
      <c r="DX275" s="73"/>
      <c r="DY275" s="128">
        <v>4</v>
      </c>
      <c r="DZ275" s="128">
        <v>4</v>
      </c>
      <c r="EA275" s="128">
        <v>4</v>
      </c>
      <c r="EB275" s="128">
        <v>4</v>
      </c>
      <c r="EC275" s="128">
        <v>4</v>
      </c>
      <c r="ED275" s="128">
        <v>4</v>
      </c>
      <c r="EF275" s="128">
        <v>4</v>
      </c>
      <c r="EG275" s="128">
        <v>4</v>
      </c>
      <c r="EH275" s="128">
        <v>4</v>
      </c>
      <c r="EJ275" s="129"/>
      <c r="EL275" s="128">
        <v>4</v>
      </c>
      <c r="EM275" s="128">
        <v>4</v>
      </c>
      <c r="EN275" s="128">
        <v>4</v>
      </c>
      <c r="EO275" s="128">
        <v>4</v>
      </c>
      <c r="EP275" s="128">
        <v>4</v>
      </c>
      <c r="EQ275" s="128">
        <v>4</v>
      </c>
      <c r="ES275" s="128">
        <v>4</v>
      </c>
      <c r="ET275" s="128">
        <v>4</v>
      </c>
      <c r="EU275" s="128">
        <v>4</v>
      </c>
      <c r="EV275" s="128">
        <v>4</v>
      </c>
      <c r="EW275" s="128">
        <v>4</v>
      </c>
      <c r="EX275" s="128">
        <v>4</v>
      </c>
      <c r="EZ275" s="152"/>
      <c r="FA275" s="128">
        <v>12</v>
      </c>
      <c r="FC275" s="128">
        <v>12</v>
      </c>
      <c r="FD275" s="128">
        <v>12</v>
      </c>
      <c r="FE275" s="128">
        <v>12</v>
      </c>
      <c r="FF275" s="128">
        <v>12</v>
      </c>
      <c r="FI275" s="128">
        <v>12</v>
      </c>
      <c r="FJ275" s="128">
        <v>12</v>
      </c>
      <c r="FK275" s="129"/>
      <c r="FL275" s="129"/>
      <c r="FM275" s="128">
        <v>12</v>
      </c>
      <c r="FN275" s="128">
        <v>12</v>
      </c>
      <c r="FQ275" s="128">
        <v>12</v>
      </c>
      <c r="FR275" s="128">
        <v>12</v>
      </c>
      <c r="FT275" s="128">
        <v>12</v>
      </c>
      <c r="FU275" s="128">
        <v>12</v>
      </c>
      <c r="FW275" s="128">
        <v>12</v>
      </c>
      <c r="FX275" s="128">
        <v>12</v>
      </c>
      <c r="GA275" s="52"/>
      <c r="GB275" s="52"/>
      <c r="GC275" s="52"/>
      <c r="GD275" s="52"/>
      <c r="GE275" s="52"/>
      <c r="GF275" s="52"/>
      <c r="GG275" s="52"/>
      <c r="GH275" s="52"/>
      <c r="GI275" s="52"/>
      <c r="GJ275" s="52"/>
      <c r="GK275" s="52"/>
      <c r="GL275" s="52"/>
      <c r="GM275" s="52"/>
      <c r="GN275" s="52"/>
      <c r="GO275" s="52"/>
      <c r="GP275" s="52"/>
      <c r="GQ275" s="52"/>
      <c r="GR275" s="129"/>
      <c r="GS275" s="129"/>
      <c r="GT275" s="129"/>
      <c r="GU275" s="129"/>
      <c r="GV275" s="129"/>
      <c r="GW275" s="129"/>
      <c r="GX275" s="129"/>
      <c r="GY275" s="129"/>
      <c r="GZ275" s="129"/>
      <c r="HA275" s="129"/>
      <c r="HB275" s="129"/>
      <c r="HC275" s="129"/>
      <c r="HD275" s="129"/>
      <c r="HE275" s="73"/>
      <c r="HF275" s="72"/>
      <c r="HG275" s="129"/>
      <c r="HH275" s="129"/>
      <c r="HI275" s="129"/>
      <c r="HJ275" s="129"/>
      <c r="HK275" s="129"/>
      <c r="HL275" s="152"/>
      <c r="HM275" s="129"/>
      <c r="HN275" s="129"/>
      <c r="HO275" s="129"/>
      <c r="HP275" s="129"/>
      <c r="HQ275" s="129"/>
      <c r="HR275" s="129"/>
      <c r="HS275" s="129"/>
      <c r="HT275" s="129"/>
      <c r="HU275" s="129"/>
      <c r="HV275" s="129"/>
      <c r="HW275" s="129"/>
      <c r="HX275" s="129"/>
      <c r="HY275" s="129"/>
      <c r="HZ275" s="129"/>
      <c r="IA275" s="129"/>
      <c r="IB275" s="129"/>
      <c r="IC275" s="129"/>
      <c r="ID275" s="129"/>
      <c r="IE275" s="129"/>
      <c r="IF275" s="129"/>
      <c r="IG275" s="129"/>
      <c r="IH275" s="129"/>
      <c r="II275" s="129"/>
      <c r="IJ275" s="129"/>
      <c r="IK275" s="129"/>
      <c r="IL275" s="129"/>
      <c r="IM275" s="129"/>
      <c r="IN275" s="129"/>
      <c r="IO275" s="129"/>
      <c r="IP275" s="129"/>
      <c r="IQ275" s="129"/>
      <c r="IR275" s="129"/>
      <c r="IS275" s="129"/>
      <c r="IT275" s="129"/>
      <c r="IU275" s="129"/>
      <c r="IV275" s="129"/>
      <c r="IW275" s="129"/>
      <c r="IX275" s="129"/>
      <c r="IY275" s="129"/>
      <c r="IZ275" s="129"/>
      <c r="JA275" s="129"/>
      <c r="JB275" s="129"/>
      <c r="JC275" s="129"/>
      <c r="JD275" s="129"/>
      <c r="JE275" s="129"/>
      <c r="JF275" s="129"/>
      <c r="JG275" s="129"/>
      <c r="JH275" s="129"/>
      <c r="JI275" s="129"/>
      <c r="JJ275" s="129"/>
      <c r="JK275" s="129"/>
      <c r="JL275" s="129"/>
      <c r="JM275" s="129"/>
      <c r="JN275" s="129"/>
      <c r="JO275" s="129"/>
      <c r="JP275" s="129"/>
      <c r="JQ275" s="129"/>
      <c r="JR275" s="129"/>
      <c r="JS275" s="129"/>
      <c r="JT275" s="129"/>
      <c r="JU275" s="129"/>
      <c r="JV275" s="129"/>
      <c r="JW275" s="129"/>
      <c r="JX275" s="129"/>
      <c r="JY275" s="129"/>
      <c r="JZ275" s="129"/>
      <c r="KA275" s="129"/>
      <c r="KB275" s="129"/>
      <c r="KC275" s="129"/>
      <c r="KD275" s="129"/>
    </row>
    <row r="276" spans="4:290" ht="17.25">
      <c r="D276" s="128"/>
      <c r="E276" s="570"/>
      <c r="F276" s="145">
        <v>19</v>
      </c>
      <c r="G276" s="639"/>
      <c r="H276" s="453">
        <f>COUNTIF(E253:BV253,F276)</f>
        <v>0</v>
      </c>
      <c r="I276" s="453">
        <f>COUNTIF(E252:BV252,F276)</f>
        <v>1</v>
      </c>
      <c r="J276" s="453">
        <f>COUNTIF(E251:BV251,F276)</f>
        <v>3</v>
      </c>
      <c r="K276" s="453">
        <f>COUNTIF(E250:BV250,F276)</f>
        <v>2</v>
      </c>
      <c r="L276" s="453">
        <f>COUNTIF(E249:BV249,F276)</f>
        <v>2</v>
      </c>
      <c r="M276" s="453">
        <f>COUNTIF(E248:BV248,F276)</f>
        <v>1</v>
      </c>
      <c r="N276" s="453">
        <f>COUNTIF(E247:BV247,F276)</f>
        <v>2</v>
      </c>
      <c r="O276" s="453">
        <f>COUNTIF(E246:BV246,F276)</f>
        <v>2</v>
      </c>
      <c r="P276" s="453">
        <f>COUNTIF(E245:BV245,F276)</f>
        <v>4</v>
      </c>
      <c r="Q276" s="453">
        <f>COUNTIF(E244:BV244,F276)</f>
        <v>1</v>
      </c>
      <c r="R276" s="453">
        <f>COUNTIF(E243:BV243,F276)</f>
        <v>0</v>
      </c>
      <c r="S276" s="453">
        <f>COUNTIF(E242:BV242,F276)</f>
        <v>3</v>
      </c>
      <c r="T276" s="453">
        <f>COUNTIF(E241:BV241,F276)</f>
        <v>2</v>
      </c>
      <c r="U276" s="453">
        <f>COUNTIF(E240:BV240,F276)</f>
        <v>1</v>
      </c>
      <c r="V276" s="453">
        <f>COUNTIF(E239:BV239,F276)</f>
        <v>3</v>
      </c>
      <c r="W276" s="453">
        <f>COUNTIF(E238:BV238,F276)</f>
        <v>1</v>
      </c>
      <c r="X276" s="453">
        <f>COUNTIF(E237:BV237,F276)</f>
        <v>2</v>
      </c>
      <c r="Y276" s="453">
        <f>COUNTIF(E236:BV236,F276)</f>
        <v>0</v>
      </c>
      <c r="Z276" s="453">
        <f>COUNTIF(E235:BV235,F276)</f>
        <v>2</v>
      </c>
      <c r="AA276" s="453">
        <f>COUNTIF(E234:BV234,F276)</f>
        <v>1</v>
      </c>
      <c r="AB276" s="453">
        <f>COUNTIF(E233:BV233,F276)</f>
        <v>3</v>
      </c>
      <c r="AC276" s="453">
        <f>COUNTIF(E232:BV232,F276)</f>
        <v>2</v>
      </c>
      <c r="AD276" s="453">
        <f>COUNTIF(E231:BV231,F276)</f>
        <v>4</v>
      </c>
      <c r="AE276" s="453">
        <f>COUNTIF(E230:BV230,F276)</f>
        <v>1</v>
      </c>
      <c r="AF276" s="453">
        <f>COUNTIF(E229:BV229,F276)</f>
        <v>4</v>
      </c>
      <c r="AG276" s="453">
        <f>COUNTIF(E228:BV228,F276)</f>
        <v>0</v>
      </c>
      <c r="AH276" s="453">
        <f>COUNTIF(E227:BV227,F276)</f>
        <v>1</v>
      </c>
      <c r="AI276" s="146">
        <f>COUNTIF(E226:BV226,F276)</f>
        <v>1</v>
      </c>
      <c r="AJ276" s="146">
        <f>COUNTIF(E225:BV225,F276)</f>
        <v>4</v>
      </c>
      <c r="AK276" s="146">
        <f>COUNTIF(E224:BV224,F276)</f>
        <v>0</v>
      </c>
      <c r="AL276" s="146">
        <f>COUNTIF(E223:BV223,F276)</f>
        <v>0</v>
      </c>
      <c r="AM276" s="146">
        <f>COUNTIF(E222:BV222,F276)</f>
        <v>2</v>
      </c>
      <c r="AN276" s="146">
        <f>COUNTIF(E221:BV221,F276)</f>
        <v>1</v>
      </c>
      <c r="AO276" s="146">
        <f>COUNTIF(E220:BV220,F276)</f>
        <v>2</v>
      </c>
      <c r="AP276" s="146">
        <f>COUNTIF(E219:BV219,F276)</f>
        <v>2</v>
      </c>
      <c r="AQ276" s="146">
        <f>COUNTIF(E218:BV218,F276)</f>
        <v>0</v>
      </c>
      <c r="AR276" s="146">
        <f>COUNTIF(E217:BV217,F276)</f>
        <v>1</v>
      </c>
      <c r="AS276" s="146">
        <f>COUNTIF(E216:BV216,F276)</f>
        <v>3</v>
      </c>
      <c r="AT276" s="146">
        <f>COUNTIF(E215:BV215,F276)</f>
        <v>2</v>
      </c>
      <c r="AU276" s="146">
        <f>COUNTIF(E214:BV214,F276)</f>
        <v>1</v>
      </c>
      <c r="AV276" s="146">
        <f>COUNTIF(E213:BV213,F276)</f>
        <v>1</v>
      </c>
      <c r="AW276" s="146">
        <f>COUNTIF(E212:BV212,F276)</f>
        <v>4</v>
      </c>
      <c r="AX276" s="146">
        <f>COUNTIF(E211:BV211,F276)</f>
        <v>1</v>
      </c>
      <c r="AY276" s="146">
        <f>COUNTIF(E210:BV210,F276)</f>
        <v>0</v>
      </c>
      <c r="AZ276" s="146">
        <f>COUNTIF(E209:BV209,F276)</f>
        <v>1</v>
      </c>
      <c r="BA276" s="146">
        <f>COUNTIF(E208:BV208,F276)</f>
        <v>1</v>
      </c>
      <c r="BB276" s="146">
        <f>COUNTIF(E207:BV207,F276)</f>
        <v>1</v>
      </c>
      <c r="BC276" s="146">
        <f>COUNTIF(E206:BV206,F276)</f>
        <v>4</v>
      </c>
      <c r="BD276" s="146">
        <f>COUNTIF(E205:BV205,F276)</f>
        <v>2</v>
      </c>
      <c r="BE276" s="146">
        <f>COUNTIF(E204:BV204,F276)</f>
        <v>1</v>
      </c>
      <c r="BF276" s="146">
        <f>COUNTIF(E203:BV203,F276)</f>
        <v>3</v>
      </c>
      <c r="BG276" s="146">
        <f>COUNTIF(E202:BV202,F276)</f>
        <v>1</v>
      </c>
      <c r="BH276" s="146">
        <f>COUNTIF(E201:BV201,F276)</f>
        <v>4</v>
      </c>
      <c r="BI276" s="146">
        <f>COUNTIF(E200:BV200,F276)</f>
        <v>1</v>
      </c>
      <c r="BJ276" s="146">
        <f>COUNTIF(E199:BV199,F276)</f>
        <v>2</v>
      </c>
      <c r="BK276" s="146">
        <f>COUNTIF(E198:BV198,F276)</f>
        <v>1</v>
      </c>
      <c r="BL276" s="146">
        <f>COUNTIF(E197:BV197,F276)</f>
        <v>2</v>
      </c>
      <c r="BM276" s="146">
        <f>COUNTIF(E196:BV196,F276)</f>
        <v>2</v>
      </c>
      <c r="BN276" s="146">
        <f>COUNTIF(E195:BV195,F276)</f>
        <v>0</v>
      </c>
      <c r="BO276" s="146">
        <f>COUNTIF(E194:BV194,F276)</f>
        <v>2</v>
      </c>
      <c r="BP276" s="146">
        <f>COUNTIF(E193:BV193,F276)</f>
        <v>2</v>
      </c>
      <c r="BQ276" s="146">
        <f>COUNTIF(E192:BV192,F276)</f>
        <v>4</v>
      </c>
      <c r="BR276" s="146">
        <f>COUNTIF(E191:BV191,F276)</f>
        <v>2</v>
      </c>
      <c r="BS276" s="146">
        <f>COUNTIF(E190:BV190,F276)</f>
        <v>2</v>
      </c>
      <c r="BT276" s="146">
        <f>COUNTIF(E189:BV189,F276)</f>
        <v>2</v>
      </c>
      <c r="BU276" s="146">
        <f>COUNTIF(E188:BV188,F276)</f>
        <v>2</v>
      </c>
      <c r="BV276" s="146">
        <f>COUNTIF(E187:BV187,F276)</f>
        <v>2</v>
      </c>
      <c r="BW276" s="146">
        <f>COUNTIF(E186:BV186,F276)</f>
        <v>1</v>
      </c>
      <c r="BX276" s="146">
        <f>COUNTIF(E185:BV185,F276)</f>
        <v>1</v>
      </c>
      <c r="BY276" s="146">
        <f>COUNTIF(E184:BV184,F276)</f>
        <v>1</v>
      </c>
      <c r="BZ276" s="146">
        <f>COUNTIF(E183:BV183,F276)</f>
        <v>0</v>
      </c>
      <c r="CA276" s="146">
        <f>COUNTIF(E182:BV182,F276)</f>
        <v>2</v>
      </c>
      <c r="CB276" s="146">
        <f>COUNTIF(E181:BV181,F276)</f>
        <v>0</v>
      </c>
      <c r="CC276" s="146">
        <f>COUNTIF(E180:BV180,F276)</f>
        <v>2</v>
      </c>
      <c r="CD276" s="146">
        <f>COUNTIF(E179:BV179,F276)</f>
        <v>0</v>
      </c>
      <c r="CE276" s="146">
        <f>COUNTIF(E178:BV178,F276)</f>
        <v>1</v>
      </c>
      <c r="CF276" s="146">
        <f>COUNTIF(E177:BV177,F276)</f>
        <v>1</v>
      </c>
      <c r="CG276" s="146">
        <f>COUNTIF(E176:BV176,F276)</f>
        <v>0</v>
      </c>
      <c r="CH276" s="146">
        <f>COUNTIF(E175:BV175,F276)</f>
        <v>2</v>
      </c>
      <c r="CI276" s="146">
        <f>COUNTIF(E174:BV174,F276)</f>
        <v>0</v>
      </c>
      <c r="CJ276" s="146">
        <f>COUNTIF(E173:BV173,F276)</f>
        <v>0</v>
      </c>
      <c r="CK276" s="146">
        <f>COUNTIF(E172:BV172,F276)</f>
        <v>4</v>
      </c>
      <c r="CL276" s="146">
        <f>COUNTIF(E171:BV171,F276)</f>
        <v>0</v>
      </c>
      <c r="CM276" s="146">
        <f>COUNTIF(E170:BV170,F276)</f>
        <v>1</v>
      </c>
      <c r="CN276" s="146">
        <f>COUNTIF(E169:BV169,F276)</f>
        <v>2</v>
      </c>
      <c r="CO276" s="146">
        <f>COUNTIF(E168:BV168,F276)</f>
        <v>1</v>
      </c>
      <c r="CP276" s="146">
        <f>COUNTIF(E167:BV167,F276)</f>
        <v>0</v>
      </c>
      <c r="CQ276" s="146">
        <f>COUNTIF(E166:BV166,F276)</f>
        <v>0</v>
      </c>
      <c r="CR276" s="146">
        <f>COUNTIF(E165:BV165,F276)</f>
        <v>1</v>
      </c>
      <c r="CS276" s="146">
        <f>COUNTIF(E164:BV164,F276)</f>
        <v>1</v>
      </c>
      <c r="CT276" s="146">
        <f>COUNTIF(E163:BV163,F276)</f>
        <v>3</v>
      </c>
      <c r="CU276" s="146">
        <f>COUNTIF(E162:BV162,F276)</f>
        <v>1</v>
      </c>
      <c r="CV276" s="146">
        <f>COUNTIF(E161:BV161,F276)</f>
        <v>0</v>
      </c>
      <c r="CW276" s="146">
        <f>COUNTIF(E160:BV160,F276)</f>
        <v>1</v>
      </c>
      <c r="CX276" s="146">
        <f>COUNTIF(E159:BV159,F276)</f>
        <v>2</v>
      </c>
      <c r="CY276" s="146">
        <f>COUNTIF(E158:BV158,F276)</f>
        <v>2</v>
      </c>
      <c r="CZ276" s="146">
        <f>COUNTIF(E157:BV157,F276)</f>
        <v>2</v>
      </c>
      <c r="DA276" s="146">
        <f>COUNTIF(E156:BV156,F276)</f>
        <v>3</v>
      </c>
      <c r="DB276" s="146">
        <f>COUNTIF(E155:BV155,F276)</f>
        <v>0</v>
      </c>
      <c r="DC276" s="146">
        <f>COUNTIF(E154:BV154,F276)</f>
        <v>1</v>
      </c>
      <c r="DD276" s="146">
        <v>0</v>
      </c>
      <c r="DE276" s="146"/>
      <c r="DF276" s="146"/>
      <c r="DG276" s="146"/>
      <c r="DH276" s="146"/>
      <c r="DI276" s="146"/>
      <c r="DJ276" s="146"/>
      <c r="DK276" s="146"/>
      <c r="DL276" s="146"/>
      <c r="DM276" s="146"/>
      <c r="DN276" s="146"/>
      <c r="DO276" s="146"/>
      <c r="DP276" s="146"/>
      <c r="DQ276" s="146"/>
      <c r="DR276" s="146"/>
      <c r="DS276" s="146"/>
      <c r="DT276" s="146"/>
      <c r="DU276" s="2"/>
      <c r="DV276" s="18"/>
      <c r="DW276" s="74"/>
      <c r="DX276" s="74"/>
      <c r="DY276" s="128">
        <v>5</v>
      </c>
      <c r="DZ276" s="128">
        <v>5</v>
      </c>
      <c r="EA276" s="128">
        <v>5</v>
      </c>
      <c r="EC276" s="128">
        <v>5</v>
      </c>
      <c r="EF276" s="128">
        <v>5</v>
      </c>
      <c r="EG276" s="128">
        <v>5</v>
      </c>
      <c r="EH276" s="128">
        <v>5</v>
      </c>
      <c r="EJ276" s="129"/>
      <c r="EK276" s="128">
        <v>5</v>
      </c>
      <c r="EL276" s="128">
        <v>5</v>
      </c>
      <c r="EO276" s="128">
        <v>5</v>
      </c>
      <c r="EP276" s="128">
        <v>5</v>
      </c>
      <c r="EQ276" s="128">
        <v>5</v>
      </c>
      <c r="ER276" s="128">
        <v>5</v>
      </c>
      <c r="ES276" s="128">
        <v>5</v>
      </c>
      <c r="EU276" s="128">
        <v>5</v>
      </c>
      <c r="EV276" s="128">
        <v>5</v>
      </c>
      <c r="EW276" s="128">
        <v>5</v>
      </c>
      <c r="EZ276" s="152"/>
      <c r="FA276" s="128">
        <v>13</v>
      </c>
      <c r="FB276" s="128">
        <v>13</v>
      </c>
      <c r="FC276" s="128">
        <v>13</v>
      </c>
      <c r="FD276" s="128">
        <v>13</v>
      </c>
      <c r="FE276" s="128">
        <v>13</v>
      </c>
      <c r="FF276" s="128">
        <v>13</v>
      </c>
      <c r="FG276" s="128">
        <v>13</v>
      </c>
      <c r="FH276" s="128">
        <v>13</v>
      </c>
      <c r="FI276" s="128">
        <v>13</v>
      </c>
      <c r="FK276" s="129"/>
      <c r="FL276" s="129"/>
      <c r="FM276" s="128">
        <v>13</v>
      </c>
      <c r="FN276" s="128">
        <v>13</v>
      </c>
      <c r="FO276" s="128">
        <v>13</v>
      </c>
      <c r="FQ276" s="128">
        <v>13</v>
      </c>
      <c r="FR276" s="128">
        <v>13</v>
      </c>
      <c r="FS276" s="128">
        <v>13</v>
      </c>
      <c r="FU276" s="128">
        <v>13</v>
      </c>
      <c r="FW276" s="128">
        <v>13</v>
      </c>
      <c r="FZ276" s="128">
        <v>13</v>
      </c>
      <c r="GA276" s="52"/>
      <c r="GB276" s="52"/>
      <c r="GC276" s="52"/>
      <c r="GD276" s="52"/>
      <c r="GE276" s="52"/>
      <c r="GF276" s="52"/>
      <c r="GG276" s="52"/>
      <c r="GH276" s="52"/>
      <c r="GI276" s="52"/>
      <c r="GJ276" s="52"/>
      <c r="GK276" s="52"/>
      <c r="GL276" s="52"/>
      <c r="GM276" s="52"/>
      <c r="GN276" s="52"/>
      <c r="GO276" s="52"/>
      <c r="GP276" s="52"/>
      <c r="GQ276" s="52"/>
      <c r="GR276" s="129"/>
      <c r="GS276" s="129"/>
      <c r="GT276" s="129"/>
      <c r="GU276" s="129"/>
      <c r="GV276" s="129"/>
      <c r="GW276" s="129"/>
      <c r="GX276" s="129"/>
      <c r="GY276" s="129"/>
      <c r="GZ276" s="129"/>
      <c r="HA276" s="129"/>
      <c r="HB276" s="129"/>
      <c r="HC276" s="129"/>
      <c r="HD276" s="129"/>
      <c r="HE276" s="74"/>
      <c r="HF276" s="73"/>
      <c r="HG276" s="72"/>
      <c r="HH276" s="129"/>
      <c r="HI276" s="129"/>
      <c r="HJ276" s="129"/>
      <c r="HK276" s="129"/>
      <c r="HL276" s="67"/>
      <c r="HM276" s="129"/>
      <c r="HN276" s="129"/>
      <c r="HO276" s="129"/>
      <c r="HP276" s="129"/>
      <c r="HQ276" s="129"/>
      <c r="HR276" s="129"/>
      <c r="HS276" s="129"/>
      <c r="HT276" s="129"/>
      <c r="HU276" s="129"/>
      <c r="HV276" s="129"/>
      <c r="HW276" s="129"/>
      <c r="HX276" s="129"/>
      <c r="HY276" s="129"/>
      <c r="HZ276" s="129"/>
      <c r="IA276" s="129"/>
      <c r="IB276" s="129"/>
      <c r="IC276" s="129"/>
      <c r="ID276" s="129"/>
      <c r="IE276" s="129"/>
      <c r="IF276" s="129"/>
      <c r="IG276" s="129"/>
      <c r="IH276" s="129"/>
      <c r="II276" s="129"/>
      <c r="IJ276" s="129"/>
      <c r="IK276" s="129"/>
      <c r="IL276" s="129"/>
      <c r="IM276" s="129"/>
      <c r="IN276" s="129"/>
      <c r="IO276" s="129"/>
      <c r="IP276" s="129"/>
      <c r="IQ276" s="129"/>
      <c r="IR276" s="129"/>
      <c r="IS276" s="129"/>
      <c r="IT276" s="129"/>
      <c r="IU276" s="129"/>
      <c r="IV276" s="129"/>
      <c r="IW276" s="129"/>
      <c r="IX276" s="129"/>
      <c r="IY276" s="129"/>
      <c r="IZ276" s="129"/>
      <c r="JA276" s="129"/>
      <c r="JB276" s="129"/>
      <c r="JC276" s="129"/>
      <c r="JD276" s="129"/>
      <c r="JE276" s="129"/>
      <c r="JF276" s="129"/>
      <c r="JG276" s="129"/>
      <c r="JH276" s="129"/>
      <c r="JI276" s="129"/>
      <c r="JJ276" s="129"/>
      <c r="JK276" s="129"/>
      <c r="JL276" s="129"/>
      <c r="JM276" s="129"/>
      <c r="JN276" s="129"/>
      <c r="JO276" s="129"/>
      <c r="JP276" s="129"/>
      <c r="JQ276" s="129"/>
      <c r="JR276" s="129"/>
      <c r="JS276" s="129"/>
      <c r="JT276" s="129"/>
      <c r="JU276" s="129"/>
      <c r="JV276" s="129"/>
      <c r="JW276" s="129"/>
      <c r="JX276" s="129"/>
      <c r="JY276" s="129"/>
      <c r="JZ276" s="129"/>
      <c r="KA276" s="129"/>
      <c r="KB276" s="129"/>
      <c r="KC276" s="129"/>
      <c r="KD276" s="129"/>
    </row>
    <row r="277" spans="4:290" ht="17.25">
      <c r="D277" s="128"/>
      <c r="E277" s="570">
        <v>20</v>
      </c>
      <c r="F277" s="145">
        <v>20</v>
      </c>
      <c r="G277" s="639"/>
      <c r="H277" s="453">
        <f>COUNTIF(E253:BV253,F277)</f>
        <v>1</v>
      </c>
      <c r="I277" s="453">
        <f>COUNTIF(E252:BV252,F277)</f>
        <v>1</v>
      </c>
      <c r="J277" s="453">
        <f>COUNTIF(E251:BV251,F277)</f>
        <v>0</v>
      </c>
      <c r="K277" s="453">
        <f>COUNTIF(E250:BV250,F277)</f>
        <v>4</v>
      </c>
      <c r="L277" s="453">
        <f>COUNTIF(E249:BV249,F277)</f>
        <v>0</v>
      </c>
      <c r="M277" s="453">
        <f>COUNTIF(E248:BV248,F277)</f>
        <v>3</v>
      </c>
      <c r="N277" s="453">
        <f>COUNTIF(E247:BV247,F277)</f>
        <v>3</v>
      </c>
      <c r="O277" s="453">
        <f>COUNTIF(E246:BV246,F277)</f>
        <v>2</v>
      </c>
      <c r="P277" s="453">
        <f>COUNTIF(E245:BV245,F277)</f>
        <v>2</v>
      </c>
      <c r="Q277" s="453">
        <f>COUNTIF(E244:BV244,F277)</f>
        <v>2</v>
      </c>
      <c r="R277" s="453">
        <f>COUNTIF(E243:BV243,F277)</f>
        <v>4</v>
      </c>
      <c r="S277" s="453">
        <f>COUNTIF(E242:BV242,F277)</f>
        <v>0</v>
      </c>
      <c r="T277" s="453">
        <f>COUNTIF(E241:BV241,F277)</f>
        <v>0</v>
      </c>
      <c r="U277" s="453">
        <f>COUNTIF(E240:BV240,F277)</f>
        <v>0</v>
      </c>
      <c r="V277" s="453">
        <f>COUNTIF(E239:BV239,F277)</f>
        <v>1</v>
      </c>
      <c r="W277" s="453">
        <f>COUNTIF(E238:BV238,F277)</f>
        <v>2</v>
      </c>
      <c r="X277" s="453">
        <f>COUNTIF(E237:BV237,F277)</f>
        <v>0</v>
      </c>
      <c r="Y277" s="453">
        <f>COUNTIF(E236:BV236,F277)</f>
        <v>3</v>
      </c>
      <c r="Z277" s="453">
        <f>COUNTIF(E235:BV235,F277)</f>
        <v>0</v>
      </c>
      <c r="AA277" s="453">
        <f>COUNTIF(E234:BV234,F277)</f>
        <v>1</v>
      </c>
      <c r="AB277" s="453">
        <f>COUNTIF(E233:BV233,F277)</f>
        <v>0</v>
      </c>
      <c r="AC277" s="453">
        <f>COUNTIF(E232:BV232,F277)</f>
        <v>3</v>
      </c>
      <c r="AD277" s="453">
        <f>COUNTIF(E231:BV231,F277)</f>
        <v>1</v>
      </c>
      <c r="AE277" s="453">
        <f>COUNTIF(E230:BV230,F277)</f>
        <v>1</v>
      </c>
      <c r="AF277" s="453">
        <f>COUNTIF(E229:BV229,F277)</f>
        <v>2</v>
      </c>
      <c r="AG277" s="453">
        <f>COUNTIF(E228:BV228,F277)</f>
        <v>1</v>
      </c>
      <c r="AH277" s="453">
        <f>COUNTIF(E227:BV227,F277)</f>
        <v>3</v>
      </c>
      <c r="AI277" s="146">
        <f>COUNTIF(E226:BV226,F277)</f>
        <v>2</v>
      </c>
      <c r="AJ277" s="146">
        <f>COUNTIF(E225:BV225,F277)</f>
        <v>1</v>
      </c>
      <c r="AK277" s="146">
        <f>COUNTIF(E224:BV224,F277)</f>
        <v>1</v>
      </c>
      <c r="AL277" s="146">
        <f>COUNTIF(E223:BV223,F277)</f>
        <v>0</v>
      </c>
      <c r="AM277" s="146">
        <f>COUNTIF(E222:BV222,F277)</f>
        <v>1</v>
      </c>
      <c r="AN277" s="146">
        <f>COUNTIF(E221:BV221,F277)</f>
        <v>2</v>
      </c>
      <c r="AO277" s="146">
        <f>COUNTIF(E220:BV220,F277)</f>
        <v>0</v>
      </c>
      <c r="AP277" s="146">
        <f>COUNTIF(E219:BV219,F277)</f>
        <v>1</v>
      </c>
      <c r="AQ277" s="146">
        <f>COUNTIF(E218:BV218,F277)</f>
        <v>1</v>
      </c>
      <c r="AR277" s="146">
        <f>COUNTIF(E217:BV217,F277)</f>
        <v>3</v>
      </c>
      <c r="AS277" s="146">
        <f>COUNTIF(E216:BV216,F277)</f>
        <v>0</v>
      </c>
      <c r="AT277" s="146">
        <f>COUNTIF(E215:BV215,F277)</f>
        <v>2</v>
      </c>
      <c r="AU277" s="146">
        <f>COUNTIF(E214:BV214,F277)</f>
        <v>2</v>
      </c>
      <c r="AV277" s="146">
        <f>COUNTIF(E213:BV213,F277)</f>
        <v>0</v>
      </c>
      <c r="AW277" s="146">
        <f>COUNTIF(E212:BV212,F277)</f>
        <v>2</v>
      </c>
      <c r="AX277" s="146">
        <f>COUNTIF(E211:BV211,F277)</f>
        <v>1</v>
      </c>
      <c r="AY277" s="146">
        <f>COUNTIF(E210:BV210,F277)</f>
        <v>3</v>
      </c>
      <c r="AZ277" s="146">
        <f>COUNTIF(E209:BV209,F277)</f>
        <v>0</v>
      </c>
      <c r="BA277" s="146">
        <f>COUNTIF(E208:BV208,F277)</f>
        <v>1</v>
      </c>
      <c r="BB277" s="146">
        <f>COUNTIF(E207:BV207,F277)</f>
        <v>1</v>
      </c>
      <c r="BC277" s="146">
        <f>COUNTIF(E206:BV206,F277)</f>
        <v>2</v>
      </c>
      <c r="BD277" s="146">
        <f>COUNTIF(E205:BV205,F277)</f>
        <v>3</v>
      </c>
      <c r="BE277" s="146">
        <f>COUNTIF(E204:BV204,F277)</f>
        <v>0</v>
      </c>
      <c r="BF277" s="146">
        <f>COUNTIF(E203:BV203,F277)</f>
        <v>1</v>
      </c>
      <c r="BG277" s="146">
        <f>COUNTIF(E202:BV202,F277)</f>
        <v>2</v>
      </c>
      <c r="BH277" s="146">
        <f>COUNTIF(E201:BV201,F277)</f>
        <v>3</v>
      </c>
      <c r="BI277" s="146">
        <f>COUNTIF(E200:BV200,F277)</f>
        <v>0</v>
      </c>
      <c r="BJ277" s="146">
        <f>COUNTIF(E199:BV199,F277)</f>
        <v>5</v>
      </c>
      <c r="BK277" s="146">
        <f>COUNTIF(E198:BV198,F277)</f>
        <v>1</v>
      </c>
      <c r="BL277" s="146">
        <f>COUNTIF(E197:BV197,F277)</f>
        <v>2</v>
      </c>
      <c r="BM277" s="146">
        <f>COUNTIF(E196:BV196,F277)</f>
        <v>1</v>
      </c>
      <c r="BN277" s="146">
        <f>COUNTIF(E195:BV195,F277)</f>
        <v>1</v>
      </c>
      <c r="BO277" s="146">
        <f>COUNTIF(E194:BV194,F277)</f>
        <v>0</v>
      </c>
      <c r="BP277" s="146">
        <f>COUNTIF(E193:BV193,F277)</f>
        <v>0</v>
      </c>
      <c r="BQ277" s="146">
        <f>COUNTIF(E192:BV192,F277)</f>
        <v>4</v>
      </c>
      <c r="BR277" s="146">
        <f>COUNTIF(E191:BV191,F277)</f>
        <v>1</v>
      </c>
      <c r="BS277" s="146">
        <f>COUNTIF(E190:BV190,F277)</f>
        <v>2</v>
      </c>
      <c r="BT277" s="146">
        <f>COUNTIF(E189:BV189,F277)</f>
        <v>2</v>
      </c>
      <c r="BU277" s="146">
        <f>COUNTIF(E188:BV188,F277)</f>
        <v>0</v>
      </c>
      <c r="BV277" s="146">
        <f>COUNTIF(E187:BV187,F277)</f>
        <v>2</v>
      </c>
      <c r="BW277" s="146">
        <f>COUNTIF(E186:BV186,F277)</f>
        <v>2</v>
      </c>
      <c r="BX277" s="146">
        <f>COUNTIF(E185:BV185,F277)</f>
        <v>1</v>
      </c>
      <c r="BY277" s="146">
        <f>COUNTIF(E184:BV184,F277)</f>
        <v>0</v>
      </c>
      <c r="BZ277" s="146">
        <f>COUNTIF(E183:BV183,F277)</f>
        <v>5</v>
      </c>
      <c r="CA277" s="146">
        <f>COUNTIF(E182:BV182,F277)</f>
        <v>1</v>
      </c>
      <c r="CB277" s="146">
        <f>COUNTIF(E181:BV181,F277)</f>
        <v>1</v>
      </c>
      <c r="CC277" s="146">
        <f>COUNTIF(E180:BV180,F277)</f>
        <v>3</v>
      </c>
      <c r="CD277" s="146">
        <f>COUNTIF(E179:BV179,F277)</f>
        <v>2</v>
      </c>
      <c r="CE277" s="146">
        <f>COUNTIF(E178:BV178,F277)</f>
        <v>3</v>
      </c>
      <c r="CF277" s="146">
        <f>COUNTIF(E177:BV177,F277)</f>
        <v>2</v>
      </c>
      <c r="CG277" s="146">
        <f>COUNTIF(E176:BV176,F277)</f>
        <v>2</v>
      </c>
      <c r="CH277" s="146">
        <f>COUNTIF(E175:BV175,F277)</f>
        <v>3</v>
      </c>
      <c r="CI277" s="146">
        <f>COUNTIF(E174:BV174,F277)</f>
        <v>2</v>
      </c>
      <c r="CJ277" s="146">
        <f>COUNTIF(E173:BV173,F277)</f>
        <v>0</v>
      </c>
      <c r="CK277" s="146">
        <f>COUNTIF(E172:BV172,F277)</f>
        <v>0</v>
      </c>
      <c r="CL277" s="146">
        <f>COUNTIF(E171:BV171,F277)</f>
        <v>3</v>
      </c>
      <c r="CM277" s="146">
        <f>COUNTIF(E170:BV170,F277)</f>
        <v>2</v>
      </c>
      <c r="CN277" s="146">
        <f>COUNTIF(E169:BV169,F277)</f>
        <v>1</v>
      </c>
      <c r="CO277" s="146">
        <f>COUNTIF(E168:BV168,F277)</f>
        <v>1</v>
      </c>
      <c r="CP277" s="146">
        <f>COUNTIF(E167:BV167,F277)</f>
        <v>0</v>
      </c>
      <c r="CQ277" s="146">
        <f>COUNTIF(E166:BV166,F277)</f>
        <v>2</v>
      </c>
      <c r="CR277" s="146">
        <f>COUNTIF(E165:BV165,F277)</f>
        <v>3</v>
      </c>
      <c r="CS277" s="146">
        <f>COUNTIF(E164:BV164,F277)</f>
        <v>4</v>
      </c>
      <c r="CT277" s="146">
        <f>COUNTIF(E163:BV163,F277)</f>
        <v>2</v>
      </c>
      <c r="CU277" s="146">
        <f>COUNTIF(E162:BV162,F277)</f>
        <v>3</v>
      </c>
      <c r="CV277" s="146">
        <f>COUNTIF(E161:BV161,F277)</f>
        <v>2</v>
      </c>
      <c r="CW277" s="146">
        <f>COUNTIF(E160:BV160,F277)</f>
        <v>2</v>
      </c>
      <c r="CX277" s="146">
        <f>COUNTIF(E159:BV159,F277)</f>
        <v>2</v>
      </c>
      <c r="CY277" s="146">
        <f>COUNTIF(E158:BV158,F277)</f>
        <v>3</v>
      </c>
      <c r="CZ277" s="146">
        <f>COUNTIF(E157:BV157,F277)</f>
        <v>0</v>
      </c>
      <c r="DA277" s="146">
        <f>COUNTIF(E156:BV156,F277)</f>
        <v>3</v>
      </c>
      <c r="DB277" s="146">
        <f>COUNTIF(E155:BV155,F277)</f>
        <v>2</v>
      </c>
      <c r="DC277" s="146">
        <f>COUNTIF(E154:BV154,F277)</f>
        <v>1</v>
      </c>
      <c r="DD277" s="146">
        <v>2</v>
      </c>
      <c r="DE277" s="146"/>
      <c r="DF277" s="146"/>
      <c r="DG277" s="146"/>
      <c r="DH277" s="146"/>
      <c r="DI277" s="146"/>
      <c r="DJ277" s="146"/>
      <c r="DK277" s="146"/>
      <c r="DL277" s="146"/>
      <c r="DM277" s="146"/>
      <c r="DN277" s="146"/>
      <c r="DO277" s="146"/>
      <c r="DP277" s="146"/>
      <c r="DQ277" s="146"/>
      <c r="DR277" s="146"/>
      <c r="DS277" s="146"/>
      <c r="DT277" s="146"/>
      <c r="DU277" s="2"/>
      <c r="DV277" s="18"/>
      <c r="DW277" s="129"/>
      <c r="DX277" s="129"/>
      <c r="DY277" s="128">
        <v>6</v>
      </c>
      <c r="DZ277" s="128">
        <v>6</v>
      </c>
      <c r="EA277" s="128">
        <v>6</v>
      </c>
      <c r="EB277" s="128">
        <v>6</v>
      </c>
      <c r="EC277" s="128">
        <v>6</v>
      </c>
      <c r="EF277" s="128">
        <v>6</v>
      </c>
      <c r="EG277" s="128">
        <v>6</v>
      </c>
      <c r="EH277" s="128">
        <v>6</v>
      </c>
      <c r="EJ277" s="129"/>
      <c r="EK277" s="128">
        <v>6</v>
      </c>
      <c r="EM277" s="128">
        <v>6</v>
      </c>
      <c r="EN277" s="128">
        <v>6</v>
      </c>
      <c r="EP277" s="128">
        <v>6</v>
      </c>
      <c r="ES277" s="128">
        <v>6</v>
      </c>
      <c r="ET277" s="128">
        <v>6</v>
      </c>
      <c r="EU277" s="128">
        <v>6</v>
      </c>
      <c r="EW277" s="128">
        <v>6</v>
      </c>
      <c r="EX277" s="128">
        <v>6</v>
      </c>
      <c r="EZ277" s="152"/>
      <c r="FA277" s="128">
        <v>14</v>
      </c>
      <c r="FB277" s="128">
        <v>14</v>
      </c>
      <c r="FC277" s="128">
        <v>14</v>
      </c>
      <c r="FD277" s="128">
        <v>14</v>
      </c>
      <c r="FE277" s="128">
        <v>14</v>
      </c>
      <c r="FF277" s="128">
        <v>14</v>
      </c>
      <c r="FG277" s="128">
        <v>14</v>
      </c>
      <c r="FI277" s="128">
        <v>14</v>
      </c>
      <c r="FJ277" s="128">
        <v>14</v>
      </c>
      <c r="FL277" s="129"/>
      <c r="FN277" s="128">
        <v>14</v>
      </c>
      <c r="FQ277" s="128">
        <v>14</v>
      </c>
      <c r="FS277" s="128">
        <v>14</v>
      </c>
      <c r="FT277" s="128">
        <v>14</v>
      </c>
      <c r="FV277" s="128">
        <v>14</v>
      </c>
      <c r="FW277" s="128">
        <v>14</v>
      </c>
      <c r="FY277" s="128">
        <v>14</v>
      </c>
      <c r="GA277" s="52"/>
      <c r="GB277" s="52"/>
      <c r="GC277" s="52"/>
      <c r="GD277" s="52"/>
      <c r="GE277" s="52"/>
      <c r="GF277" s="52"/>
      <c r="GG277" s="52"/>
      <c r="GH277" s="52"/>
      <c r="GI277" s="52"/>
      <c r="GJ277" s="52"/>
      <c r="GK277" s="52"/>
      <c r="GL277" s="52"/>
      <c r="GM277" s="52"/>
      <c r="GN277" s="52"/>
      <c r="GO277" s="52"/>
      <c r="GP277" s="52"/>
      <c r="GQ277" s="52"/>
      <c r="GR277" s="129"/>
      <c r="GS277" s="129"/>
      <c r="GT277" s="129"/>
      <c r="GU277" s="129"/>
      <c r="GV277" s="129"/>
      <c r="GW277" s="129"/>
      <c r="GX277" s="129"/>
      <c r="GY277" s="129"/>
      <c r="GZ277" s="129"/>
      <c r="HA277" s="129"/>
      <c r="HB277" s="129"/>
      <c r="HC277" s="129"/>
      <c r="HD277" s="129"/>
      <c r="HE277" s="129"/>
      <c r="HF277" s="74"/>
      <c r="HG277" s="73"/>
      <c r="HH277" s="72"/>
      <c r="HI277" s="129"/>
      <c r="HJ277" s="129"/>
      <c r="HK277" s="129"/>
      <c r="HL277" s="54"/>
      <c r="HM277" s="129"/>
      <c r="HN277" s="129"/>
      <c r="HO277" s="129"/>
      <c r="HP277" s="129"/>
      <c r="HQ277" s="129"/>
      <c r="HR277" s="129"/>
      <c r="HS277" s="129"/>
      <c r="HT277" s="129"/>
      <c r="HU277" s="129"/>
      <c r="HV277" s="129"/>
      <c r="HW277" s="129"/>
      <c r="HX277" s="129"/>
      <c r="HY277" s="129"/>
      <c r="HZ277" s="129"/>
      <c r="IA277" s="129"/>
      <c r="IB277" s="129"/>
      <c r="IC277" s="129"/>
      <c r="ID277" s="129"/>
      <c r="IE277" s="129"/>
      <c r="IF277" s="129"/>
      <c r="IG277" s="129"/>
      <c r="IH277" s="129"/>
      <c r="II277" s="129"/>
      <c r="IJ277" s="129"/>
      <c r="IK277" s="129"/>
      <c r="IL277" s="129"/>
      <c r="IM277" s="129"/>
      <c r="IN277" s="129"/>
      <c r="IO277" s="129"/>
      <c r="IP277" s="129"/>
      <c r="IQ277" s="129"/>
      <c r="IR277" s="129"/>
      <c r="IS277" s="129"/>
      <c r="IT277" s="129"/>
      <c r="IU277" s="129"/>
      <c r="IV277" s="129"/>
      <c r="IW277" s="129"/>
      <c r="IX277" s="129"/>
      <c r="IY277" s="129"/>
      <c r="IZ277" s="129"/>
      <c r="JA277" s="129"/>
      <c r="JB277" s="129"/>
      <c r="JC277" s="129"/>
      <c r="JD277" s="129"/>
      <c r="JE277" s="129"/>
      <c r="JF277" s="129"/>
      <c r="JG277" s="129"/>
      <c r="JH277" s="129"/>
      <c r="JI277" s="129"/>
      <c r="JJ277" s="129"/>
      <c r="JK277" s="129"/>
      <c r="JL277" s="129"/>
      <c r="JM277" s="129"/>
      <c r="JN277" s="129"/>
      <c r="JO277" s="129"/>
      <c r="JP277" s="129"/>
      <c r="JQ277" s="129"/>
      <c r="JR277" s="129"/>
      <c r="JS277" s="129"/>
      <c r="JT277" s="129"/>
      <c r="JU277" s="129"/>
      <c r="JV277" s="129"/>
      <c r="JW277" s="129"/>
      <c r="JX277" s="129"/>
      <c r="JY277" s="129"/>
      <c r="JZ277" s="129"/>
      <c r="KA277" s="129"/>
      <c r="KB277" s="129"/>
      <c r="KC277" s="129"/>
      <c r="KD277" s="129"/>
    </row>
    <row r="278" spans="4:290" ht="17.25">
      <c r="D278" s="128"/>
      <c r="E278" s="570"/>
      <c r="F278" s="145">
        <v>21</v>
      </c>
      <c r="G278" s="639"/>
      <c r="H278" s="453">
        <f>COUNTIF(E253:BV253,F278)</f>
        <v>0</v>
      </c>
      <c r="I278" s="453">
        <f>COUNTIF(E252:BV252,F278)</f>
        <v>0</v>
      </c>
      <c r="J278" s="453">
        <f>COUNTIF(E251:BV251,F278)</f>
        <v>1</v>
      </c>
      <c r="K278" s="453">
        <f>COUNTIF(E250:BV250,F278)</f>
        <v>2</v>
      </c>
      <c r="L278" s="453">
        <f>COUNTIF(E249:BV249,F278)</f>
        <v>2</v>
      </c>
      <c r="M278" s="453">
        <f>COUNTIF(E248:BV248,F278)</f>
        <v>4</v>
      </c>
      <c r="N278" s="453">
        <f>COUNTIF(E247:BV247,F278)</f>
        <v>0</v>
      </c>
      <c r="O278" s="453">
        <f>COUNTIF(E246:BV246,F278)</f>
        <v>2</v>
      </c>
      <c r="P278" s="453">
        <f>COUNTIF(E245:BV245,F278)</f>
        <v>1</v>
      </c>
      <c r="Q278" s="453">
        <f>COUNTIF(E244:BV244,F278)</f>
        <v>0</v>
      </c>
      <c r="R278" s="453">
        <f>COUNTIF(E243:BV243,F278)</f>
        <v>0</v>
      </c>
      <c r="S278" s="453">
        <f>COUNTIF(E242:BV242,F278)</f>
        <v>0</v>
      </c>
      <c r="T278" s="453">
        <f>COUNTIF(E241:BV241,F278)</f>
        <v>1</v>
      </c>
      <c r="U278" s="453">
        <f>COUNTIF(E240:BV240,F278)</f>
        <v>3</v>
      </c>
      <c r="V278" s="453">
        <f>COUNTIF(E239:BV239,F278)</f>
        <v>0</v>
      </c>
      <c r="W278" s="453">
        <f>COUNTIF(E238:BV238,F278)</f>
        <v>2</v>
      </c>
      <c r="X278" s="453">
        <f>COUNTIF(E237:BV237,F278)</f>
        <v>1</v>
      </c>
      <c r="Y278" s="453">
        <f>COUNTIF(E236:BV236,F278)</f>
        <v>1</v>
      </c>
      <c r="Z278" s="453">
        <f>COUNTIF(E235:BV235,F278)</f>
        <v>1</v>
      </c>
      <c r="AA278" s="453">
        <f>COUNTIF(E234:BV234,F278)</f>
        <v>1</v>
      </c>
      <c r="AB278" s="453">
        <f>COUNTIF(E233:BV233,F278)</f>
        <v>0</v>
      </c>
      <c r="AC278" s="453">
        <f>COUNTIF(E232:BV232,F278)</f>
        <v>4</v>
      </c>
      <c r="AD278" s="453">
        <f>COUNTIF(E231:BV231,F278)</f>
        <v>3</v>
      </c>
      <c r="AE278" s="453">
        <f>COUNTIF(E230:BV230,F278)</f>
        <v>3</v>
      </c>
      <c r="AF278" s="453">
        <f>COUNTIF(E229:BV229,F278)</f>
        <v>1</v>
      </c>
      <c r="AG278" s="453">
        <f>COUNTIF(E228:BV228,F278)</f>
        <v>2</v>
      </c>
      <c r="AH278" s="453">
        <f>COUNTIF(E227:BV227,F278)</f>
        <v>1</v>
      </c>
      <c r="AI278" s="146">
        <f>COUNTIF(E226:BV226,F278)</f>
        <v>3</v>
      </c>
      <c r="AJ278" s="146">
        <f>COUNTIF(E225:BV225,F278)</f>
        <v>0</v>
      </c>
      <c r="AK278" s="146">
        <f>COUNTIF(E224:BV224,F278)</f>
        <v>2</v>
      </c>
      <c r="AL278" s="146">
        <f>COUNTIF(E223:BV223,F278)</f>
        <v>1</v>
      </c>
      <c r="AM278" s="146">
        <f>COUNTIF(E222:BV222,F278)</f>
        <v>2</v>
      </c>
      <c r="AN278" s="146">
        <f>COUNTIF(E221:BV221,F278)</f>
        <v>0</v>
      </c>
      <c r="AO278" s="146">
        <f>COUNTIF(E220:BV220,F278)</f>
        <v>0</v>
      </c>
      <c r="AP278" s="146">
        <f>COUNTIF(E219:BV219,F278)</f>
        <v>0</v>
      </c>
      <c r="AQ278" s="146">
        <f>COUNTIF(E218:BV218,F278)</f>
        <v>3</v>
      </c>
      <c r="AR278" s="146">
        <f>COUNTIF(E217:BV217,F278)</f>
        <v>1</v>
      </c>
      <c r="AS278" s="146">
        <f>COUNTIF(E216:BV216,F278)</f>
        <v>0</v>
      </c>
      <c r="AT278" s="146">
        <f>COUNTIF(E215:BV215,F278)</f>
        <v>2</v>
      </c>
      <c r="AU278" s="146">
        <f>COUNTIF(E214:BV214,F278)</f>
        <v>0</v>
      </c>
      <c r="AV278" s="146">
        <f>COUNTIF(E213:BV213,F278)</f>
        <v>2</v>
      </c>
      <c r="AW278" s="146">
        <f>COUNTIF(E212:BV212,F278)</f>
        <v>1</v>
      </c>
      <c r="AX278" s="146">
        <f>COUNTIF(E211:BV211,F278)</f>
        <v>2</v>
      </c>
      <c r="AY278" s="146">
        <f>COUNTIF(E210:BV210,F278)</f>
        <v>5</v>
      </c>
      <c r="AZ278" s="146">
        <f>COUNTIF(E209:BV209,F278)</f>
        <v>2</v>
      </c>
      <c r="BA278" s="146">
        <f>COUNTIF(E208:BV208,F278)</f>
        <v>5</v>
      </c>
      <c r="BB278" s="146">
        <f>COUNTIF(E207:BV207,F278)</f>
        <v>0</v>
      </c>
      <c r="BC278" s="146">
        <f>COUNTIF(E206:BV206,F278)</f>
        <v>2</v>
      </c>
      <c r="BD278" s="146">
        <f>COUNTIF(E205:BV205,F278)</f>
        <v>1</v>
      </c>
      <c r="BE278" s="146">
        <f>COUNTIF(E204:BV204,F278)</f>
        <v>2</v>
      </c>
      <c r="BF278" s="146">
        <f>COUNTIF(E203:BV203,F278)</f>
        <v>1</v>
      </c>
      <c r="BG278" s="146">
        <f>COUNTIF(E202:BV202,F278)</f>
        <v>2</v>
      </c>
      <c r="BH278" s="146">
        <f>COUNTIF(E201:BV201,F278)</f>
        <v>1</v>
      </c>
      <c r="BI278" s="146">
        <f>COUNTIF(E200:BV200,F278)</f>
        <v>3</v>
      </c>
      <c r="BJ278" s="146">
        <f>COUNTIF(E199:BV199,F278)</f>
        <v>3</v>
      </c>
      <c r="BK278" s="146">
        <f>COUNTIF(E198:BV198,F278)</f>
        <v>4</v>
      </c>
      <c r="BL278" s="146">
        <f>COUNTIF(E197:BV197,F278)</f>
        <v>1</v>
      </c>
      <c r="BM278" s="146">
        <f>COUNTIF(E196:BV196,F278)</f>
        <v>4</v>
      </c>
      <c r="BN278" s="146">
        <f>COUNTIF(E195:BV195,F278)</f>
        <v>1</v>
      </c>
      <c r="BO278" s="146">
        <f>COUNTIF(E194:BV194,F278)</f>
        <v>1</v>
      </c>
      <c r="BP278" s="146">
        <f>COUNTIF(E193:BV193,F278)</f>
        <v>2</v>
      </c>
      <c r="BQ278" s="146">
        <f>COUNTIF(E192:BV192,F278)</f>
        <v>0</v>
      </c>
      <c r="BR278" s="146">
        <f>COUNTIF(E191:BV191,F278)</f>
        <v>0</v>
      </c>
      <c r="BS278" s="146">
        <f>COUNTIF(E190:BV190,F278)</f>
        <v>1</v>
      </c>
      <c r="BT278" s="146">
        <f>COUNTIF(E189:BV189,F278)</f>
        <v>1</v>
      </c>
      <c r="BU278" s="146">
        <f>COUNTIF(E188:BV188,F278)</f>
        <v>1</v>
      </c>
      <c r="BV278" s="146">
        <f>COUNTIF(E187:BV187,F278)</f>
        <v>1</v>
      </c>
      <c r="BW278" s="146">
        <f>COUNTIF(E186:BV186,F278)</f>
        <v>4</v>
      </c>
      <c r="BX278" s="146">
        <f>COUNTIF(E185:BV185,F278)</f>
        <v>2</v>
      </c>
      <c r="BY278" s="146">
        <f>COUNTIF(E184:BV184,F278)</f>
        <v>0</v>
      </c>
      <c r="BZ278" s="146">
        <f>COUNTIF(E183:BV183,F278)</f>
        <v>0</v>
      </c>
      <c r="CA278" s="146">
        <f>COUNTIF(E182:BV182,F278)</f>
        <v>1</v>
      </c>
      <c r="CB278" s="146">
        <f>COUNTIF(E181:BV181,F278)</f>
        <v>1</v>
      </c>
      <c r="CC278" s="146">
        <f>COUNTIF(E180:BV180,F278)</f>
        <v>1</v>
      </c>
      <c r="CD278" s="146">
        <f>COUNTIF(E179:BV179,F278)</f>
        <v>2</v>
      </c>
      <c r="CE278" s="146">
        <f>COUNTIF(E178:BV178,F278)</f>
        <v>3</v>
      </c>
      <c r="CF278" s="146">
        <f>COUNTIF(E177:BV177,F278)</f>
        <v>1</v>
      </c>
      <c r="CG278" s="146">
        <f>COUNTIF(E176:BV176,F278)</f>
        <v>1</v>
      </c>
      <c r="CH278" s="146">
        <f>COUNTIF(E175:BV175,F278)</f>
        <v>3</v>
      </c>
      <c r="CI278" s="146">
        <f>COUNTIF(E174:BV174,F278)</f>
        <v>1</v>
      </c>
      <c r="CJ278" s="146">
        <f>COUNTIF(E173:BV173,F278)</f>
        <v>5</v>
      </c>
      <c r="CK278" s="146">
        <f>COUNTIF(E172:BV172,F278)</f>
        <v>3</v>
      </c>
      <c r="CL278" s="146">
        <f>COUNTIF(E171:BV171,F278)</f>
        <v>2</v>
      </c>
      <c r="CM278" s="146">
        <f>COUNTIF(E170:BV170,F278)</f>
        <v>1</v>
      </c>
      <c r="CN278" s="146">
        <f>COUNTIF(E169:BV169,F278)</f>
        <v>3</v>
      </c>
      <c r="CO278" s="146">
        <f>COUNTIF(E168:BV168,F278)</f>
        <v>4</v>
      </c>
      <c r="CP278" s="146">
        <f>COUNTIF(E167:BV167,F278)</f>
        <v>1</v>
      </c>
      <c r="CQ278" s="146">
        <f>COUNTIF(E166:BV166,F278)</f>
        <v>1</v>
      </c>
      <c r="CR278" s="146">
        <f>COUNTIF(E165:BV165,F278)</f>
        <v>0</v>
      </c>
      <c r="CS278" s="146">
        <f>COUNTIF(E164:BV164,F278)</f>
        <v>1</v>
      </c>
      <c r="CT278" s="146">
        <f>COUNTIF(E163:BV163,F278)</f>
        <v>2</v>
      </c>
      <c r="CU278" s="146">
        <f>COUNTIF(E162:BV162,F278)</f>
        <v>3</v>
      </c>
      <c r="CV278" s="146">
        <f>COUNTIF(E161:BV161,F278)</f>
        <v>2</v>
      </c>
      <c r="CW278" s="146">
        <f>COUNTIF(E160:BV160,F278)</f>
        <v>2</v>
      </c>
      <c r="CX278" s="146">
        <f>COUNTIF(E159:BV159,F278)</f>
        <v>1</v>
      </c>
      <c r="CY278" s="146">
        <f>COUNTIF(E158:BV158,F278)</f>
        <v>0</v>
      </c>
      <c r="CZ278" s="146">
        <f>COUNTIF(E157:BV157,F278)</f>
        <v>0</v>
      </c>
      <c r="DA278" s="146">
        <f>COUNTIF(E156:BV156,F278)</f>
        <v>3</v>
      </c>
      <c r="DB278" s="146">
        <f>COUNTIF(E155:BV155,F278)</f>
        <v>1</v>
      </c>
      <c r="DC278" s="146">
        <f>COUNTIF(E154:BV154,F278)</f>
        <v>0</v>
      </c>
      <c r="DD278" s="146">
        <v>2</v>
      </c>
      <c r="DE278" s="146"/>
      <c r="DF278" s="146"/>
      <c r="DG278" s="146"/>
      <c r="DH278" s="146"/>
      <c r="DI278" s="146"/>
      <c r="DJ278" s="146"/>
      <c r="DK278" s="146"/>
      <c r="DL278" s="146"/>
      <c r="DM278" s="146"/>
      <c r="DN278" s="146"/>
      <c r="DO278" s="146"/>
      <c r="DP278" s="146"/>
      <c r="DQ278" s="146"/>
      <c r="DR278" s="146"/>
      <c r="DS278" s="146"/>
      <c r="DT278" s="146"/>
      <c r="DU278" s="2"/>
      <c r="DV278" s="18"/>
      <c r="DW278" s="129"/>
      <c r="DX278" s="129"/>
      <c r="DY278" s="128">
        <v>7</v>
      </c>
      <c r="DZ278" s="128">
        <v>7</v>
      </c>
      <c r="EA278" s="128">
        <v>7</v>
      </c>
      <c r="EB278" s="128">
        <v>7</v>
      </c>
      <c r="EC278" s="128">
        <v>7</v>
      </c>
      <c r="ED278" s="128">
        <v>7</v>
      </c>
      <c r="EE278" s="128">
        <v>7</v>
      </c>
      <c r="EF278" s="128">
        <v>7</v>
      </c>
      <c r="EG278" s="128">
        <v>7</v>
      </c>
      <c r="EJ278" s="129"/>
      <c r="EK278" s="128">
        <v>7</v>
      </c>
      <c r="EL278" s="128">
        <v>7</v>
      </c>
      <c r="EM278" s="128">
        <v>7</v>
      </c>
      <c r="EN278" s="128">
        <v>7</v>
      </c>
      <c r="EO278" s="128">
        <v>7</v>
      </c>
      <c r="EP278" s="128">
        <v>7</v>
      </c>
      <c r="EQ278" s="128">
        <v>7</v>
      </c>
      <c r="ER278" s="128">
        <v>7</v>
      </c>
      <c r="ES278" s="128">
        <v>7</v>
      </c>
      <c r="ET278" s="128">
        <v>7</v>
      </c>
      <c r="EU278" s="128">
        <v>7</v>
      </c>
      <c r="EW278" s="128">
        <v>7</v>
      </c>
      <c r="EZ278" s="152"/>
      <c r="FA278" s="128">
        <v>15</v>
      </c>
      <c r="FB278" s="128">
        <v>15</v>
      </c>
      <c r="FC278" s="128">
        <v>15</v>
      </c>
      <c r="FD278" s="128">
        <v>15</v>
      </c>
      <c r="FE278" s="128">
        <v>15</v>
      </c>
      <c r="FF278" s="128">
        <v>15</v>
      </c>
      <c r="FG278" s="128">
        <v>15</v>
      </c>
      <c r="FL278" s="129"/>
      <c r="FQ278" s="128">
        <v>15</v>
      </c>
      <c r="FR278" s="128">
        <v>15</v>
      </c>
      <c r="FS278" s="128">
        <v>15</v>
      </c>
      <c r="FU278" s="128">
        <v>15</v>
      </c>
      <c r="FW278" s="128">
        <v>15</v>
      </c>
      <c r="FY278" s="128">
        <v>15</v>
      </c>
      <c r="FZ278" s="128">
        <v>15</v>
      </c>
      <c r="GA278" s="52"/>
      <c r="GB278" s="52"/>
      <c r="GC278" s="52"/>
      <c r="GD278" s="52"/>
      <c r="GE278" s="52"/>
      <c r="GF278" s="52"/>
      <c r="GG278" s="197"/>
      <c r="GH278" s="52"/>
      <c r="GI278" s="52"/>
      <c r="GJ278" s="52"/>
      <c r="GK278" s="52"/>
      <c r="GL278" s="52"/>
      <c r="GM278" s="52"/>
      <c r="GN278" s="52"/>
      <c r="GO278" s="52"/>
      <c r="GP278" s="52"/>
      <c r="GQ278" s="52"/>
      <c r="GR278" s="129"/>
      <c r="GS278" s="129"/>
      <c r="GT278" s="129"/>
      <c r="GU278" s="129"/>
      <c r="GV278" s="129"/>
      <c r="GW278" s="129"/>
      <c r="GX278" s="129"/>
      <c r="GY278" s="129"/>
      <c r="GZ278" s="129"/>
      <c r="HA278" s="129"/>
      <c r="HB278" s="129"/>
      <c r="HC278" s="129"/>
      <c r="HD278" s="129"/>
      <c r="HE278" s="129"/>
      <c r="HF278" s="129"/>
      <c r="HG278" s="74"/>
      <c r="HH278" s="73"/>
      <c r="HI278" s="72"/>
      <c r="HJ278" s="129"/>
      <c r="HK278" s="129"/>
      <c r="HL278" s="152"/>
      <c r="HM278" s="129"/>
      <c r="HN278" s="129"/>
      <c r="HO278" s="129"/>
      <c r="HP278" s="129"/>
      <c r="HQ278" s="129"/>
      <c r="HR278" s="129"/>
      <c r="HS278" s="129"/>
      <c r="HT278" s="129"/>
      <c r="HU278" s="129"/>
      <c r="HV278" s="129"/>
      <c r="HW278" s="129"/>
      <c r="HX278" s="129"/>
      <c r="HY278" s="129"/>
      <c r="HZ278" s="129"/>
      <c r="IA278" s="129"/>
      <c r="IB278" s="129"/>
      <c r="IC278" s="129"/>
      <c r="ID278" s="129"/>
      <c r="IE278" s="129"/>
      <c r="IF278" s="129"/>
      <c r="IG278" s="129"/>
      <c r="IH278" s="129"/>
      <c r="II278" s="129"/>
      <c r="IJ278" s="129"/>
      <c r="IK278" s="129"/>
      <c r="IL278" s="129"/>
      <c r="IM278" s="129"/>
      <c r="IN278" s="129"/>
      <c r="IO278" s="129"/>
      <c r="IP278" s="129"/>
      <c r="IQ278" s="129"/>
      <c r="IR278" s="129"/>
      <c r="IS278" s="129"/>
      <c r="IT278" s="129"/>
      <c r="IU278" s="129"/>
      <c r="IV278" s="129"/>
      <c r="IW278" s="129"/>
      <c r="IX278" s="129"/>
      <c r="IY278" s="129"/>
      <c r="IZ278" s="129"/>
      <c r="JA278" s="129"/>
      <c r="JB278" s="129"/>
      <c r="JC278" s="129"/>
      <c r="JD278" s="129"/>
      <c r="JE278" s="129"/>
      <c r="JF278" s="129"/>
      <c r="JG278" s="129"/>
      <c r="JH278" s="129"/>
      <c r="JI278" s="129"/>
      <c r="JJ278" s="129"/>
      <c r="JK278" s="129"/>
      <c r="JL278" s="129"/>
      <c r="JM278" s="129"/>
      <c r="JN278" s="129"/>
      <c r="JO278" s="129"/>
      <c r="JP278" s="129"/>
      <c r="JQ278" s="129"/>
      <c r="JR278" s="129"/>
      <c r="JS278" s="129"/>
      <c r="JT278" s="129"/>
      <c r="JU278" s="129"/>
      <c r="JV278" s="129"/>
      <c r="JW278" s="129"/>
      <c r="JX278" s="129"/>
      <c r="JY278" s="129"/>
      <c r="JZ278" s="129"/>
      <c r="KA278" s="129"/>
      <c r="KB278" s="129"/>
      <c r="KC278" s="129"/>
      <c r="KD278" s="129"/>
    </row>
    <row r="279" spans="4:290" ht="17.25">
      <c r="D279" s="128"/>
      <c r="E279" s="570"/>
      <c r="F279" s="145">
        <v>22</v>
      </c>
      <c r="G279" s="639"/>
      <c r="H279" s="453">
        <f>COUNTIF(E253:BV253,F279)</f>
        <v>0</v>
      </c>
      <c r="I279" s="453">
        <f>COUNTIF(E252:BV252,F279)</f>
        <v>1</v>
      </c>
      <c r="J279" s="453">
        <f>COUNTIF(E251:BV251,F279)</f>
        <v>2</v>
      </c>
      <c r="K279" s="453">
        <f>COUNTIF(E250:BV250,F279)</f>
        <v>4</v>
      </c>
      <c r="L279" s="453">
        <f>COUNTIF(E249:BV249,F279)</f>
        <v>1</v>
      </c>
      <c r="M279" s="453">
        <f>COUNTIF(E248:BV248,F279)</f>
        <v>3</v>
      </c>
      <c r="N279" s="453">
        <f>COUNTIF(E247:BV247,F279)</f>
        <v>1</v>
      </c>
      <c r="O279" s="453">
        <f>COUNTIF(E246:BV246,F279)</f>
        <v>1</v>
      </c>
      <c r="P279" s="453">
        <f>COUNTIF(E245:BV245,F279)</f>
        <v>0</v>
      </c>
      <c r="Q279" s="453">
        <f>COUNTIF(E244:BV244,F279)</f>
        <v>1</v>
      </c>
      <c r="R279" s="453">
        <f>COUNTIF(E243:BV243,F279)</f>
        <v>0</v>
      </c>
      <c r="S279" s="453">
        <f>COUNTIF(E242:BV242,F279)</f>
        <v>2</v>
      </c>
      <c r="T279" s="453">
        <f>COUNTIF(E241:BV241,F279)</f>
        <v>0</v>
      </c>
      <c r="U279" s="453">
        <f>COUNTIF(E240:BV240,F279)</f>
        <v>0</v>
      </c>
      <c r="V279" s="453">
        <f>COUNTIF(E239:BV239,F279)</f>
        <v>4</v>
      </c>
      <c r="W279" s="453">
        <f>COUNTIF(E238:BV238,F279)</f>
        <v>1</v>
      </c>
      <c r="X279" s="453">
        <f>COUNTIF(E237:BV237,F279)</f>
        <v>2</v>
      </c>
      <c r="Y279" s="453">
        <f>COUNTIF(E236:BV236,F279)</f>
        <v>1</v>
      </c>
      <c r="Z279" s="453">
        <f>COUNTIF(E235:BV235,F279)</f>
        <v>0</v>
      </c>
      <c r="AA279" s="453">
        <f>COUNTIF(E234:BV234,F279)</f>
        <v>4</v>
      </c>
      <c r="AB279" s="453">
        <f>COUNTIF(E233:BV233,F279)</f>
        <v>2</v>
      </c>
      <c r="AC279" s="453">
        <f>COUNTIF(E232:BV232,F279)</f>
        <v>2</v>
      </c>
      <c r="AD279" s="453">
        <f>COUNTIF(E231:BV231,F279)</f>
        <v>0</v>
      </c>
      <c r="AE279" s="453">
        <f>COUNTIF(E230:BV230,F279)</f>
        <v>1</v>
      </c>
      <c r="AF279" s="453">
        <f>COUNTIF(E229:BV229,F279)</f>
        <v>1</v>
      </c>
      <c r="AG279" s="453">
        <f>COUNTIF(E228:BV228,F279)</f>
        <v>2</v>
      </c>
      <c r="AH279" s="453">
        <f>COUNTIF(E227:BV227,F279)</f>
        <v>3</v>
      </c>
      <c r="AI279" s="146">
        <f>COUNTIF(E226:BV226,F279)</f>
        <v>1</v>
      </c>
      <c r="AJ279" s="146">
        <f>COUNTIF(E225:BV225,F279)</f>
        <v>4</v>
      </c>
      <c r="AK279" s="146">
        <f>COUNTIF(E224:BV224,F279)</f>
        <v>1</v>
      </c>
      <c r="AL279" s="146">
        <f>COUNTIF(E223:BV223,F279)</f>
        <v>1</v>
      </c>
      <c r="AM279" s="146">
        <f>COUNTIF(E222:BV222,F279)</f>
        <v>0</v>
      </c>
      <c r="AN279" s="146">
        <f>COUNTIF(E221:BV221,F279)</f>
        <v>3</v>
      </c>
      <c r="AO279" s="146">
        <f>COUNTIF(E220:BV220,F279)</f>
        <v>2</v>
      </c>
      <c r="AP279" s="146">
        <f>COUNTIF(E219:BV219,F279)</f>
        <v>4</v>
      </c>
      <c r="AQ279" s="146">
        <f>COUNTIF(E218:BV218,F279)</f>
        <v>3</v>
      </c>
      <c r="AR279" s="146">
        <f>COUNTIF(E217:BV217,F279)</f>
        <v>2</v>
      </c>
      <c r="AS279" s="146">
        <f>COUNTIF(E216:BV216,F279)</f>
        <v>0</v>
      </c>
      <c r="AT279" s="146">
        <f>COUNTIF(E215:BV215,F279)</f>
        <v>4</v>
      </c>
      <c r="AU279" s="146">
        <f>COUNTIF(E214:BV214,F279)</f>
        <v>1</v>
      </c>
      <c r="AV279" s="146">
        <f>COUNTIF(E213:BV213,F279)</f>
        <v>2</v>
      </c>
      <c r="AW279" s="146">
        <f>COUNTIF(E212:BV212,F279)</f>
        <v>3</v>
      </c>
      <c r="AX279" s="146">
        <f>COUNTIF(E211:BV211,F279)</f>
        <v>1</v>
      </c>
      <c r="AY279" s="146">
        <f>COUNTIF(E210:BV210,F279)</f>
        <v>6</v>
      </c>
      <c r="AZ279" s="146">
        <f>COUNTIF(E209:BV209,F279)</f>
        <v>2</v>
      </c>
      <c r="BA279" s="146">
        <f>COUNTIF(E208:BV208,F279)</f>
        <v>0</v>
      </c>
      <c r="BB279" s="146">
        <f>COUNTIF(E207:BV207,F279)</f>
        <v>2</v>
      </c>
      <c r="BC279" s="146">
        <f>COUNTIF(E206:BV206,F279)</f>
        <v>0</v>
      </c>
      <c r="BD279" s="146">
        <f>COUNTIF(E205:BV205,F279)</f>
        <v>2</v>
      </c>
      <c r="BE279" s="146">
        <f>COUNTIF(E204:BV204,F279)</f>
        <v>2</v>
      </c>
      <c r="BF279" s="146">
        <f>COUNTIF(E203:BV203,F279)</f>
        <v>1</v>
      </c>
      <c r="BG279" s="146">
        <f>COUNTIF(E202:BV202,F279)</f>
        <v>1</v>
      </c>
      <c r="BH279" s="146">
        <f>COUNTIF(E201:BV201,F279)</f>
        <v>2</v>
      </c>
      <c r="BI279" s="146">
        <f>COUNTIF(E200:BV200,F279)</f>
        <v>1</v>
      </c>
      <c r="BJ279" s="146">
        <f>COUNTIF(E199:BV199,F279)</f>
        <v>0</v>
      </c>
      <c r="BK279" s="146">
        <f>COUNTIF(E198:BV198,F279)</f>
        <v>1</v>
      </c>
      <c r="BL279" s="146">
        <f>COUNTIF(E197:BV197,F279)</f>
        <v>0</v>
      </c>
      <c r="BM279" s="146">
        <f>COUNTIF(E196:BV196,F279)</f>
        <v>0</v>
      </c>
      <c r="BN279" s="146">
        <f>COUNTIF(E195:BV195,F279)</f>
        <v>3</v>
      </c>
      <c r="BO279" s="146">
        <f>COUNTIF(E194:BV194,F279)</f>
        <v>1</v>
      </c>
      <c r="BP279" s="146">
        <f>COUNTIF(E193:BV193,F279)</f>
        <v>1</v>
      </c>
      <c r="BQ279" s="146">
        <f>COUNTIF(E192:BV192,F279)</f>
        <v>0</v>
      </c>
      <c r="BR279" s="146">
        <f>COUNTIF(E191:BV191,F279)</f>
        <v>1</v>
      </c>
      <c r="BS279" s="146">
        <f>COUNTIF(E190:BV190,F279)</f>
        <v>2</v>
      </c>
      <c r="BT279" s="146">
        <f>COUNTIF(E189:BV189,F279)</f>
        <v>4</v>
      </c>
      <c r="BU279" s="146">
        <f>COUNTIF(E188:BV188,F279)</f>
        <v>2</v>
      </c>
      <c r="BV279" s="146">
        <f>COUNTIF(E187:BV187,F279)</f>
        <v>1</v>
      </c>
      <c r="BW279" s="146">
        <f>COUNTIF(E186:BV186,F279)</f>
        <v>1</v>
      </c>
      <c r="BX279" s="146">
        <f>COUNTIF(E185:BV185,F279)</f>
        <v>0</v>
      </c>
      <c r="BY279" s="146">
        <f>COUNTIF(E184:BV184,F279)</f>
        <v>3</v>
      </c>
      <c r="BZ279" s="146">
        <f>COUNTIF(E183:BV183,F279)</f>
        <v>1</v>
      </c>
      <c r="CA279" s="146">
        <f>COUNTIF(E182:BV182,F279)</f>
        <v>2</v>
      </c>
      <c r="CB279" s="146">
        <f>COUNTIF(E181:BV181,F279)</f>
        <v>0</v>
      </c>
      <c r="CC279" s="146">
        <f>COUNTIF(E180:BV180,F279)</f>
        <v>1</v>
      </c>
      <c r="CD279" s="146">
        <f>COUNTIF(E179:BV179,F279)</f>
        <v>0</v>
      </c>
      <c r="CE279" s="146">
        <f>COUNTIF(E178:BV178,F279)</f>
        <v>1</v>
      </c>
      <c r="CF279" s="146">
        <f>COUNTIF(E177:BV177,F279)</f>
        <v>5</v>
      </c>
      <c r="CG279" s="146">
        <f>COUNTIF(E176:BV176,F279)</f>
        <v>1</v>
      </c>
      <c r="CH279" s="146">
        <f>COUNTIF(E175:BV175,F279)</f>
        <v>1</v>
      </c>
      <c r="CI279" s="146">
        <f>COUNTIF(E174:BV174,F279)</f>
        <v>2</v>
      </c>
      <c r="CJ279" s="146">
        <f>COUNTIF(E173:BV173,F279)</f>
        <v>0</v>
      </c>
      <c r="CK279" s="146">
        <f>COUNTIF(E172:BV172,F279)</f>
        <v>1</v>
      </c>
      <c r="CL279" s="146">
        <f>COUNTIF(E171:BV171,F279)</f>
        <v>1</v>
      </c>
      <c r="CM279" s="146">
        <f>COUNTIF(E170:BV170,F279)</f>
        <v>4</v>
      </c>
      <c r="CN279" s="146">
        <f>COUNTIF(E169:BV169,F279)</f>
        <v>3</v>
      </c>
      <c r="CO279" s="146">
        <f>COUNTIF(E168:BV168,F279)</f>
        <v>0</v>
      </c>
      <c r="CP279" s="146">
        <f>COUNTIF(E167:BV167,F279)</f>
        <v>0</v>
      </c>
      <c r="CQ279" s="146">
        <f>COUNTIF(E166:BV166,F279)</f>
        <v>2</v>
      </c>
      <c r="CR279" s="146">
        <f>COUNTIF(E165:BV165,F279)</f>
        <v>1</v>
      </c>
      <c r="CS279" s="146">
        <f>COUNTIF(E164:BV164,F279)</f>
        <v>0</v>
      </c>
      <c r="CT279" s="146">
        <f>COUNTIF(E163:BV163,F279)</f>
        <v>3</v>
      </c>
      <c r="CU279" s="146">
        <f>COUNTIF(E162:BV162,F279)</f>
        <v>1</v>
      </c>
      <c r="CV279" s="146">
        <f>COUNTIF(E161:BV161,F279)</f>
        <v>2</v>
      </c>
      <c r="CW279" s="146">
        <f>COUNTIF(E160:BV160,F279)</f>
        <v>3</v>
      </c>
      <c r="CX279" s="146">
        <f>COUNTIF(E159:BV159,F279)</f>
        <v>1</v>
      </c>
      <c r="CY279" s="146">
        <f>COUNTIF(E158:BV158,F279)</f>
        <v>1</v>
      </c>
      <c r="CZ279" s="146">
        <f>COUNTIF(E157:BV157,F279)</f>
        <v>3</v>
      </c>
      <c r="DA279" s="146">
        <f>COUNTIF(E156:BV156,F279)</f>
        <v>3</v>
      </c>
      <c r="DB279" s="146">
        <f>COUNTIF(E155:BV155,F279)</f>
        <v>2</v>
      </c>
      <c r="DC279" s="146">
        <f>COUNTIF(E154:BV154,F279)</f>
        <v>2</v>
      </c>
      <c r="DD279" s="146">
        <v>1</v>
      </c>
      <c r="DE279" s="146"/>
      <c r="DF279" s="146"/>
      <c r="DG279" s="146"/>
      <c r="DH279" s="146"/>
      <c r="DI279" s="146"/>
      <c r="DJ279" s="146"/>
      <c r="DK279" s="146"/>
      <c r="DL279" s="146"/>
      <c r="DM279" s="146"/>
      <c r="DN279" s="146"/>
      <c r="DO279" s="146"/>
      <c r="DP279" s="146"/>
      <c r="DQ279" s="146"/>
      <c r="DR279" s="146"/>
      <c r="DS279" s="146"/>
      <c r="DT279" s="146"/>
      <c r="DU279" s="2"/>
      <c r="DV279" s="18"/>
      <c r="DW279" s="129"/>
      <c r="DX279" s="129"/>
      <c r="DZ279" s="128">
        <v>8</v>
      </c>
      <c r="EC279" s="128">
        <v>8</v>
      </c>
      <c r="EE279" s="128">
        <v>8</v>
      </c>
      <c r="EG279" s="128">
        <v>8</v>
      </c>
      <c r="EH279" s="128">
        <v>8</v>
      </c>
      <c r="EJ279" s="129"/>
      <c r="EK279" s="128">
        <v>8</v>
      </c>
      <c r="EL279" s="128">
        <v>8</v>
      </c>
      <c r="EM279" s="128">
        <v>8</v>
      </c>
      <c r="EN279" s="128">
        <v>8</v>
      </c>
      <c r="EO279" s="128">
        <v>8</v>
      </c>
      <c r="EP279" s="128">
        <v>8</v>
      </c>
      <c r="EQ279" s="128">
        <v>8</v>
      </c>
      <c r="ES279" s="128">
        <v>8</v>
      </c>
      <c r="ET279" s="128">
        <v>8</v>
      </c>
      <c r="EU279" s="128">
        <v>8</v>
      </c>
      <c r="EV279" s="128">
        <v>8</v>
      </c>
      <c r="EW279" s="128">
        <v>8</v>
      </c>
      <c r="EX279" s="128">
        <v>8</v>
      </c>
      <c r="EZ279" s="152"/>
      <c r="FA279" s="128">
        <v>16</v>
      </c>
      <c r="FC279" s="128">
        <v>16</v>
      </c>
      <c r="FE279" s="128">
        <v>16</v>
      </c>
      <c r="FG279" s="128">
        <v>16</v>
      </c>
      <c r="FI279" s="128">
        <v>16</v>
      </c>
      <c r="FJ279" s="128">
        <v>16</v>
      </c>
      <c r="FL279" s="129"/>
      <c r="FM279" s="128">
        <v>16</v>
      </c>
      <c r="FN279" s="128">
        <v>16</v>
      </c>
      <c r="FO279" s="128">
        <v>16</v>
      </c>
      <c r="FP279" s="128">
        <v>16</v>
      </c>
      <c r="FR279" s="128">
        <v>16</v>
      </c>
      <c r="FT279" s="128">
        <v>16</v>
      </c>
      <c r="FU279" s="128">
        <v>16</v>
      </c>
      <c r="FV279" s="128">
        <v>16</v>
      </c>
      <c r="FW279" s="128">
        <v>16</v>
      </c>
      <c r="FX279" s="128">
        <v>16</v>
      </c>
      <c r="FY279" s="128">
        <v>16</v>
      </c>
      <c r="GA279" s="52"/>
      <c r="GB279" s="52"/>
      <c r="GC279" s="52"/>
      <c r="GD279" s="52"/>
      <c r="GE279" s="52"/>
      <c r="GF279" s="52"/>
      <c r="GG279" s="197"/>
      <c r="GH279" s="52"/>
      <c r="GI279" s="52"/>
      <c r="GJ279" s="52"/>
      <c r="GK279" s="52"/>
      <c r="GL279" s="52"/>
      <c r="GM279" s="52"/>
      <c r="GN279" s="52"/>
      <c r="GO279" s="52"/>
      <c r="GP279" s="52"/>
      <c r="GQ279" s="52"/>
      <c r="GR279" s="129"/>
      <c r="GS279" s="129"/>
      <c r="GT279" s="129"/>
      <c r="GU279" s="129"/>
      <c r="GV279" s="129"/>
      <c r="GW279" s="129"/>
      <c r="GX279" s="129"/>
      <c r="GY279" s="129"/>
      <c r="GZ279" s="129"/>
      <c r="HA279" s="129"/>
      <c r="HB279" s="79"/>
      <c r="HC279" s="129"/>
      <c r="HD279" s="129"/>
      <c r="HE279" s="129"/>
      <c r="HF279" s="129"/>
      <c r="HG279" s="129"/>
      <c r="HH279" s="74"/>
      <c r="HI279" s="73"/>
      <c r="HJ279" s="72"/>
      <c r="HK279" s="129"/>
      <c r="HL279" s="152"/>
      <c r="HM279" s="129"/>
      <c r="HN279" s="129"/>
      <c r="HO279" s="129"/>
      <c r="HP279" s="129"/>
      <c r="HQ279" s="129"/>
      <c r="HR279" s="129"/>
      <c r="HS279" s="129"/>
      <c r="HT279" s="129"/>
      <c r="HU279" s="129"/>
      <c r="HV279" s="129"/>
      <c r="HW279" s="129"/>
      <c r="HX279" s="129"/>
      <c r="HY279" s="129"/>
      <c r="HZ279" s="129"/>
      <c r="IA279" s="129"/>
      <c r="IB279" s="129"/>
      <c r="IC279" s="129"/>
      <c r="ID279" s="129"/>
      <c r="IE279" s="129"/>
      <c r="IF279" s="129"/>
      <c r="IG279" s="129"/>
      <c r="IH279" s="129"/>
      <c r="II279" s="129"/>
      <c r="IJ279" s="129"/>
      <c r="IK279" s="129"/>
      <c r="IL279" s="129"/>
      <c r="IM279" s="129"/>
      <c r="IN279" s="129"/>
      <c r="IO279" s="129"/>
      <c r="IP279" s="129"/>
      <c r="IQ279" s="129"/>
      <c r="IR279" s="129"/>
      <c r="IS279" s="129"/>
      <c r="IT279" s="129"/>
      <c r="IU279" s="129"/>
      <c r="IV279" s="129"/>
      <c r="IW279" s="129"/>
      <c r="IX279" s="129"/>
      <c r="IY279" s="129"/>
      <c r="IZ279" s="129"/>
      <c r="JA279" s="129"/>
      <c r="JB279" s="129"/>
      <c r="JC279" s="129"/>
      <c r="JD279" s="129"/>
      <c r="JE279" s="129"/>
      <c r="JF279" s="129"/>
      <c r="JG279" s="129"/>
      <c r="JH279" s="129"/>
      <c r="JI279" s="129"/>
      <c r="JJ279" s="129"/>
      <c r="JK279" s="129"/>
      <c r="JL279" s="129"/>
      <c r="JM279" s="129"/>
      <c r="JN279" s="129"/>
      <c r="JO279" s="129"/>
      <c r="JP279" s="129"/>
      <c r="JQ279" s="129"/>
      <c r="JR279" s="129"/>
      <c r="JS279" s="129"/>
      <c r="JT279" s="129"/>
      <c r="JU279" s="129"/>
      <c r="JV279" s="129"/>
      <c r="JW279" s="129"/>
      <c r="JX279" s="129"/>
      <c r="JY279" s="129"/>
      <c r="JZ279" s="129"/>
      <c r="KA279" s="129"/>
      <c r="KB279" s="129"/>
      <c r="KC279" s="129"/>
      <c r="KD279" s="129"/>
    </row>
    <row r="280" spans="4:290" ht="17.25">
      <c r="D280" s="128"/>
      <c r="E280" s="570">
        <v>23</v>
      </c>
      <c r="F280" s="145">
        <v>23</v>
      </c>
      <c r="G280" s="639"/>
      <c r="H280" s="453">
        <f>COUNTIF(E253:BV253,F280)</f>
        <v>2</v>
      </c>
      <c r="I280" s="453">
        <f>COUNTIF(E252:BV252,F280)</f>
        <v>2</v>
      </c>
      <c r="J280" s="453">
        <f>COUNTIF(E251:BV251,F280)</f>
        <v>0</v>
      </c>
      <c r="K280" s="453">
        <f>COUNTIF(E250:BV250,F280)</f>
        <v>1</v>
      </c>
      <c r="L280" s="453">
        <f>COUNTIF(E249:BV249,F280)</f>
        <v>2</v>
      </c>
      <c r="M280" s="453">
        <f>COUNTIF(E248:BV248,F280)</f>
        <v>2</v>
      </c>
      <c r="N280" s="453">
        <f>COUNTIF(E247:BV247,F280)</f>
        <v>3</v>
      </c>
      <c r="O280" s="453">
        <f>COUNTIF(E246:BV246,F280)</f>
        <v>2</v>
      </c>
      <c r="P280" s="453">
        <f>COUNTIF(E245:BV245,F280)</f>
        <v>1</v>
      </c>
      <c r="Q280" s="453">
        <f>COUNTIF(E244:BV244,F280)</f>
        <v>2</v>
      </c>
      <c r="R280" s="453">
        <f>COUNTIF(E243:BV243,F280)</f>
        <v>2</v>
      </c>
      <c r="S280" s="453">
        <f>COUNTIF(E242:BV242,F280)</f>
        <v>3</v>
      </c>
      <c r="T280" s="453">
        <f>COUNTIF(E241:BV241,F280)</f>
        <v>0</v>
      </c>
      <c r="U280" s="453">
        <f>COUNTIF(E240:BV240,F280)</f>
        <v>3</v>
      </c>
      <c r="V280" s="453">
        <f>COUNTIF(E239:BV239,F280)</f>
        <v>1</v>
      </c>
      <c r="W280" s="453">
        <f>COUNTIF(E238:BV238,F280)</f>
        <v>1</v>
      </c>
      <c r="X280" s="453">
        <f>COUNTIF(E237:BV237,F280)</f>
        <v>2</v>
      </c>
      <c r="Y280" s="453">
        <f>COUNTIF(E236:BV236,F280)</f>
        <v>2</v>
      </c>
      <c r="Z280" s="453">
        <f>COUNTIF(E235:BV235,F280)</f>
        <v>1</v>
      </c>
      <c r="AA280" s="453">
        <f>COUNTIF(E234:BV234,F280)</f>
        <v>2</v>
      </c>
      <c r="AB280" s="453">
        <f>COUNTIF(E233:BV233,F280)</f>
        <v>3</v>
      </c>
      <c r="AC280" s="453">
        <f>COUNTIF(E232:BV232,F280)</f>
        <v>0</v>
      </c>
      <c r="AD280" s="453">
        <f>COUNTIF(E231:BV231,F280)</f>
        <v>0</v>
      </c>
      <c r="AE280" s="453">
        <f>COUNTIF(E230:BV230,F280)</f>
        <v>4</v>
      </c>
      <c r="AF280" s="453">
        <f>COUNTIF(E229:BV229,F280)</f>
        <v>4</v>
      </c>
      <c r="AG280" s="453">
        <f>COUNTIF(E228:BV228,F280)</f>
        <v>1</v>
      </c>
      <c r="AH280" s="453">
        <f>COUNTIF(E227:BV227,F280)</f>
        <v>1</v>
      </c>
      <c r="AI280" s="146">
        <f>COUNTIF(E226:BV226,F280)</f>
        <v>3</v>
      </c>
      <c r="AJ280" s="146">
        <f>COUNTIF(E225:BV225,F280)</f>
        <v>1</v>
      </c>
      <c r="AK280" s="146">
        <f>COUNTIF(E224:BV224,F280)</f>
        <v>2</v>
      </c>
      <c r="AL280" s="146">
        <f>COUNTIF(E223:BV223,F280)</f>
        <v>2</v>
      </c>
      <c r="AM280" s="146">
        <f>COUNTIF(E222:BV222,F280)</f>
        <v>2</v>
      </c>
      <c r="AN280" s="146">
        <f>COUNTIF(E221:BV221,F280)</f>
        <v>3</v>
      </c>
      <c r="AO280" s="146">
        <f>COUNTIF(E220:BV220,F280)</f>
        <v>2</v>
      </c>
      <c r="AP280" s="146">
        <f>COUNTIF(E219:BV219,F280)</f>
        <v>0</v>
      </c>
      <c r="AQ280" s="146">
        <f>COUNTIF(E218:BV218,F280)</f>
        <v>2</v>
      </c>
      <c r="AR280" s="146">
        <f>COUNTIF(E217:BV217,F280)</f>
        <v>3</v>
      </c>
      <c r="AS280" s="146">
        <f>COUNTIF(E216:BV216,F280)</f>
        <v>1</v>
      </c>
      <c r="AT280" s="146">
        <f>COUNTIF(E215:BV215,F280)</f>
        <v>0</v>
      </c>
      <c r="AU280" s="146">
        <f>COUNTIF(E214:BV214,F280)</f>
        <v>1</v>
      </c>
      <c r="AV280" s="146">
        <f>COUNTIF(E213:BV213,F280)</f>
        <v>0</v>
      </c>
      <c r="AW280" s="146">
        <f>COUNTIF(E212:BV212,F280)</f>
        <v>2</v>
      </c>
      <c r="AX280" s="146">
        <f>COUNTIF(E211:BV211,F280)</f>
        <v>1</v>
      </c>
      <c r="AY280" s="146">
        <f>COUNTIF(E210:BV210,F280)</f>
        <v>2</v>
      </c>
      <c r="AZ280" s="146">
        <f>COUNTIF(E209:BV209,F280)</f>
        <v>1</v>
      </c>
      <c r="BA280" s="146">
        <f>COUNTIF(E208:BV208,F280)</f>
        <v>3</v>
      </c>
      <c r="BB280" s="146">
        <f>COUNTIF(E207:BV207,F280)</f>
        <v>1</v>
      </c>
      <c r="BC280" s="146">
        <f>COUNTIF(E206:BV206,F280)</f>
        <v>0</v>
      </c>
      <c r="BD280" s="146">
        <f>COUNTIF(E205:BV205,F280)</f>
        <v>4</v>
      </c>
      <c r="BE280" s="146">
        <f>COUNTIF(E204:BV204,F280)</f>
        <v>3</v>
      </c>
      <c r="BF280" s="146">
        <f>COUNTIF(E203:BV203,F280)</f>
        <v>2</v>
      </c>
      <c r="BG280" s="146">
        <f>COUNTIF(E202:BV202,F280)</f>
        <v>2</v>
      </c>
      <c r="BH280" s="146">
        <f>COUNTIF(E201:BV201,F280)</f>
        <v>2</v>
      </c>
      <c r="BI280" s="146">
        <f>COUNTIF(E200:BV200,F280)</f>
        <v>2</v>
      </c>
      <c r="BJ280" s="146">
        <f>COUNTIF(E199:BV199,F280)</f>
        <v>0</v>
      </c>
      <c r="BK280" s="146">
        <f>COUNTIF(E198:BV198,F280)</f>
        <v>0</v>
      </c>
      <c r="BL280" s="146">
        <f>COUNTIF(E197:BV197,F280)</f>
        <v>0</v>
      </c>
      <c r="BM280" s="146">
        <f>COUNTIF(E196:BV196,F280)</f>
        <v>2</v>
      </c>
      <c r="BN280" s="146">
        <f>COUNTIF(E195:BV195,F280)</f>
        <v>2</v>
      </c>
      <c r="BO280" s="146">
        <f>COUNTIF(E194:BV194,F280)</f>
        <v>2</v>
      </c>
      <c r="BP280" s="146">
        <f>COUNTIF(E193:BV193,F280)</f>
        <v>3</v>
      </c>
      <c r="BQ280" s="146">
        <f>COUNTIF(E192:BV192,F280)</f>
        <v>1</v>
      </c>
      <c r="BR280" s="146">
        <f>COUNTIF(E191:BV191,F280)</f>
        <v>1</v>
      </c>
      <c r="BS280" s="146">
        <f>COUNTIF(E190:BV190,F280)</f>
        <v>1</v>
      </c>
      <c r="BT280" s="146">
        <f>COUNTIF(E189:BV189,F280)</f>
        <v>2</v>
      </c>
      <c r="BU280" s="146">
        <f>COUNTIF(E188:BV188,F280)</f>
        <v>2</v>
      </c>
      <c r="BV280" s="146">
        <f>COUNTIF(E187:BV187,F280)</f>
        <v>0</v>
      </c>
      <c r="BW280" s="146">
        <f>COUNTIF(E186:BV186,F280)</f>
        <v>1</v>
      </c>
      <c r="BX280" s="146">
        <f>COUNTIF(E185:BV185,F280)</f>
        <v>0</v>
      </c>
      <c r="BY280" s="146">
        <f>COUNTIF(E184:BV184,F280)</f>
        <v>1</v>
      </c>
      <c r="BZ280" s="146">
        <f>COUNTIF(E183:BV183,F280)</f>
        <v>3</v>
      </c>
      <c r="CA280" s="146">
        <f>COUNTIF(E182:BV182,F280)</f>
        <v>1</v>
      </c>
      <c r="CB280" s="146">
        <f>COUNTIF(E181:BV181,F280)</f>
        <v>2</v>
      </c>
      <c r="CC280" s="146">
        <f>COUNTIF(E180:BV180,F280)</f>
        <v>3</v>
      </c>
      <c r="CD280" s="146">
        <f>COUNTIF(E179:BV179,F280)</f>
        <v>1</v>
      </c>
      <c r="CE280" s="146">
        <f>COUNTIF(E178:BV178,F280)</f>
        <v>2</v>
      </c>
      <c r="CF280" s="146">
        <f>COUNTIF(E177:BV177,F280)</f>
        <v>1</v>
      </c>
      <c r="CG280" s="146">
        <f>COUNTIF(E176:BV176,F280)</f>
        <v>1</v>
      </c>
      <c r="CH280" s="146">
        <f>COUNTIF(E175:BV175,F280)</f>
        <v>1</v>
      </c>
      <c r="CI280" s="146">
        <f>COUNTIF(E174:BV174,F280)</f>
        <v>1</v>
      </c>
      <c r="CJ280" s="146">
        <f>COUNTIF(E173:BV173,F280)</f>
        <v>0</v>
      </c>
      <c r="CK280" s="146">
        <f>COUNTIF(E172:BV172,F280)</f>
        <v>1</v>
      </c>
      <c r="CL280" s="146">
        <f>COUNTIF(E171:BV171,F280)</f>
        <v>2</v>
      </c>
      <c r="CM280" s="146">
        <f>COUNTIF(E170:BV170,F280)</f>
        <v>3</v>
      </c>
      <c r="CN280" s="146">
        <f>COUNTIF(E169:BV169,F280)</f>
        <v>2</v>
      </c>
      <c r="CO280" s="146">
        <f>COUNTIF(E168:BV168,F280)</f>
        <v>1</v>
      </c>
      <c r="CP280" s="146">
        <f>COUNTIF(E167:BV167,F280)</f>
        <v>2</v>
      </c>
      <c r="CQ280" s="146">
        <f>COUNTIF(E166:BV166,F280)</f>
        <v>1</v>
      </c>
      <c r="CR280" s="146">
        <f>COUNTIF(E165:BV165,F280)</f>
        <v>1</v>
      </c>
      <c r="CS280" s="146">
        <f>COUNTIF(E164:BV164,F280)</f>
        <v>1</v>
      </c>
      <c r="CT280" s="146">
        <f>COUNTIF(E163:BV163,F280)</f>
        <v>1</v>
      </c>
      <c r="CU280" s="146">
        <f>COUNTIF(E162:BV162,F280)</f>
        <v>2</v>
      </c>
      <c r="CV280" s="146">
        <f>COUNTIF(E161:BV161,F280)</f>
        <v>0</v>
      </c>
      <c r="CW280" s="146">
        <f>COUNTIF(E160:BV160,F280)</f>
        <v>1</v>
      </c>
      <c r="CX280" s="146">
        <f>COUNTIF(E159:BV159,F280)</f>
        <v>3</v>
      </c>
      <c r="CY280" s="146">
        <f>COUNTIF(E158:BV158,F280)</f>
        <v>4</v>
      </c>
      <c r="CZ280" s="146">
        <f>COUNTIF(E157:BV157,F280)</f>
        <v>1</v>
      </c>
      <c r="DA280" s="146">
        <f>COUNTIF(E156:BV156,F280)</f>
        <v>2</v>
      </c>
      <c r="DB280" s="146">
        <f>COUNTIF(E155:BV155,F280)</f>
        <v>3</v>
      </c>
      <c r="DC280" s="146">
        <f>COUNTIF(E154:BV154,F280)</f>
        <v>0</v>
      </c>
      <c r="DD280" s="146">
        <v>0</v>
      </c>
      <c r="DE280" s="146"/>
      <c r="DF280" s="146"/>
      <c r="DG280" s="146"/>
      <c r="DH280" s="146"/>
      <c r="DI280" s="146"/>
      <c r="DJ280" s="146"/>
      <c r="DK280" s="146"/>
      <c r="DL280" s="146"/>
      <c r="DM280" s="146"/>
      <c r="DN280" s="146"/>
      <c r="DO280" s="146"/>
      <c r="DP280" s="146"/>
      <c r="DQ280" s="146"/>
      <c r="DR280" s="146"/>
      <c r="DS280" s="146"/>
      <c r="DT280" s="146"/>
      <c r="DU280" s="2"/>
      <c r="DV280" s="18"/>
      <c r="DW280" s="129"/>
      <c r="DX280" s="129"/>
      <c r="DY280" s="128">
        <v>9</v>
      </c>
      <c r="DZ280" s="128">
        <v>9</v>
      </c>
      <c r="EB280" s="128">
        <v>9</v>
      </c>
      <c r="EC280" s="128">
        <v>9</v>
      </c>
      <c r="ED280" s="128">
        <v>9</v>
      </c>
      <c r="EE280" s="128">
        <v>9</v>
      </c>
      <c r="EF280" s="128">
        <v>9</v>
      </c>
      <c r="EG280" s="128">
        <v>9</v>
      </c>
      <c r="EH280" s="128">
        <v>9</v>
      </c>
      <c r="EJ280" s="129"/>
      <c r="EK280" s="128">
        <v>9</v>
      </c>
      <c r="EL280" s="128">
        <v>9</v>
      </c>
      <c r="EM280" s="128">
        <v>9</v>
      </c>
      <c r="EN280" s="128">
        <v>9</v>
      </c>
      <c r="EO280" s="128">
        <v>9</v>
      </c>
      <c r="EP280" s="128">
        <v>9</v>
      </c>
      <c r="EQ280" s="128">
        <v>9</v>
      </c>
      <c r="ER280" s="128">
        <v>9</v>
      </c>
      <c r="ES280" s="128">
        <v>9</v>
      </c>
      <c r="ET280" s="128">
        <v>9</v>
      </c>
      <c r="EU280" s="128">
        <v>9</v>
      </c>
      <c r="EV280" s="128">
        <v>9</v>
      </c>
      <c r="EZ280" s="52"/>
      <c r="FA280" s="128">
        <v>17</v>
      </c>
      <c r="FE280" s="128">
        <v>17</v>
      </c>
      <c r="FF280" s="128">
        <v>17</v>
      </c>
      <c r="FH280" s="128">
        <v>17</v>
      </c>
      <c r="FI280" s="128">
        <v>17</v>
      </c>
      <c r="FJ280" s="128">
        <v>17</v>
      </c>
      <c r="FL280" s="129"/>
      <c r="FN280" s="128">
        <v>17</v>
      </c>
      <c r="FP280" s="128">
        <v>17</v>
      </c>
      <c r="FQ280" s="128">
        <v>17</v>
      </c>
      <c r="FR280" s="128">
        <v>17</v>
      </c>
      <c r="FS280" s="128">
        <v>17</v>
      </c>
      <c r="FT280" s="128">
        <v>17</v>
      </c>
      <c r="FU280" s="128">
        <v>17</v>
      </c>
      <c r="FV280" s="128">
        <v>17</v>
      </c>
      <c r="FW280" s="128">
        <v>17</v>
      </c>
      <c r="FX280" s="128">
        <v>17</v>
      </c>
      <c r="FZ280" s="128">
        <v>17</v>
      </c>
      <c r="GA280" s="52"/>
      <c r="GB280" s="52"/>
      <c r="GC280" s="52"/>
      <c r="GD280" s="52"/>
      <c r="GE280" s="52"/>
      <c r="GF280" s="52"/>
      <c r="GG280" s="197"/>
      <c r="GH280" s="52"/>
      <c r="GI280" s="52"/>
      <c r="GJ280" s="52"/>
      <c r="GK280" s="52"/>
      <c r="GL280" s="52"/>
      <c r="GM280" s="52"/>
      <c r="GN280" s="52"/>
      <c r="GO280" s="52"/>
      <c r="GP280" s="52"/>
      <c r="GQ280" s="52"/>
      <c r="GR280" s="129"/>
      <c r="GS280" s="129"/>
      <c r="GT280" s="129"/>
      <c r="GU280" s="129"/>
      <c r="GV280" s="129"/>
      <c r="GW280" s="129"/>
      <c r="GX280" s="129"/>
      <c r="GY280" s="129"/>
      <c r="GZ280" s="129"/>
      <c r="HA280" s="129"/>
      <c r="HB280" s="79"/>
      <c r="HC280" s="129"/>
      <c r="HD280" s="129"/>
      <c r="HE280" s="129"/>
      <c r="HF280" s="129"/>
      <c r="HG280" s="129"/>
      <c r="HH280" s="129"/>
      <c r="HI280" s="74"/>
      <c r="HJ280" s="73"/>
      <c r="HK280" s="72"/>
      <c r="HL280" s="152"/>
      <c r="HM280" s="129"/>
      <c r="HN280" s="129"/>
      <c r="HO280" s="129"/>
      <c r="HP280" s="129"/>
      <c r="HQ280" s="129"/>
      <c r="HR280" s="129"/>
      <c r="HS280" s="129"/>
      <c r="HT280" s="129"/>
      <c r="HU280" s="129"/>
      <c r="HV280" s="129"/>
      <c r="HW280" s="129"/>
      <c r="HX280" s="129"/>
      <c r="HY280" s="129"/>
      <c r="HZ280" s="129"/>
      <c r="IA280" s="129"/>
      <c r="IB280" s="129"/>
      <c r="IC280" s="129"/>
      <c r="ID280" s="129"/>
      <c r="IE280" s="129"/>
      <c r="IF280" s="129"/>
      <c r="IG280" s="129"/>
      <c r="IH280" s="129"/>
      <c r="II280" s="129"/>
      <c r="IJ280" s="129"/>
      <c r="IK280" s="129"/>
      <c r="IL280" s="129"/>
      <c r="IM280" s="129"/>
      <c r="IN280" s="129"/>
      <c r="IO280" s="129"/>
      <c r="IP280" s="129"/>
      <c r="IQ280" s="129"/>
      <c r="IR280" s="129"/>
      <c r="IS280" s="129"/>
      <c r="IT280" s="129"/>
      <c r="IU280" s="129"/>
      <c r="IV280" s="129"/>
      <c r="IW280" s="129"/>
      <c r="IX280" s="129"/>
      <c r="IY280" s="129"/>
      <c r="IZ280" s="129"/>
      <c r="JA280" s="129"/>
      <c r="JB280" s="129"/>
      <c r="JC280" s="129"/>
      <c r="JD280" s="129"/>
      <c r="JE280" s="129"/>
      <c r="JF280" s="129"/>
      <c r="JG280" s="129"/>
      <c r="JH280" s="129"/>
      <c r="JI280" s="129"/>
      <c r="JJ280" s="129"/>
      <c r="JK280" s="129"/>
      <c r="JL280" s="129"/>
      <c r="JM280" s="129"/>
      <c r="JN280" s="129"/>
      <c r="JO280" s="129"/>
      <c r="JP280" s="129"/>
      <c r="JQ280" s="129"/>
      <c r="JR280" s="129"/>
      <c r="JS280" s="129"/>
      <c r="JT280" s="129"/>
      <c r="JU280" s="129"/>
      <c r="JV280" s="129"/>
      <c r="JW280" s="129"/>
      <c r="JX280" s="129"/>
      <c r="JY280" s="129"/>
      <c r="JZ280" s="129"/>
      <c r="KA280" s="129"/>
      <c r="KB280" s="129"/>
      <c r="KC280" s="129"/>
      <c r="KD280" s="129"/>
    </row>
    <row r="281" spans="4:290" ht="17.25">
      <c r="D281" s="128"/>
      <c r="E281" s="570">
        <v>24</v>
      </c>
      <c r="F281" s="145">
        <v>24</v>
      </c>
      <c r="G281" s="639"/>
      <c r="H281" s="453">
        <f>COUNTIF(E253:BV253,F281)</f>
        <v>2</v>
      </c>
      <c r="I281" s="453">
        <f>COUNTIF(E252:BV252,F281)</f>
        <v>1</v>
      </c>
      <c r="J281" s="453">
        <f>COUNTIF(E251:BV251,F281)</f>
        <v>1</v>
      </c>
      <c r="K281" s="453">
        <f>COUNTIF(E250:BV250,F281)</f>
        <v>0</v>
      </c>
      <c r="L281" s="453">
        <f>COUNTIF(E249:BV249,F281)</f>
        <v>2</v>
      </c>
      <c r="M281" s="453">
        <f>COUNTIF(E248:BV248,F281)</f>
        <v>3</v>
      </c>
      <c r="N281" s="453">
        <f>COUNTIF(E247:BV247,F281)</f>
        <v>1</v>
      </c>
      <c r="O281" s="453">
        <f>COUNTIF(E246:BV246,F281)</f>
        <v>0</v>
      </c>
      <c r="P281" s="453">
        <f>COUNTIF(E245:BV245,F281)</f>
        <v>0</v>
      </c>
      <c r="Q281" s="453">
        <f>COUNTIF(E244:BV244,F281)</f>
        <v>2</v>
      </c>
      <c r="R281" s="453">
        <f>COUNTIF(E243:BV243,F281)</f>
        <v>0</v>
      </c>
      <c r="S281" s="453">
        <f>COUNTIF(E242:BV242,F281)</f>
        <v>0</v>
      </c>
      <c r="T281" s="453">
        <f>COUNTIF(E241:BV241,F281)</f>
        <v>1</v>
      </c>
      <c r="U281" s="453">
        <f>COUNTIF(E240:BV240,F281)</f>
        <v>0</v>
      </c>
      <c r="V281" s="453">
        <f>COUNTIF(E239:BV239,F281)</f>
        <v>1</v>
      </c>
      <c r="W281" s="453">
        <f>COUNTIF(E238:BV238,F281)</f>
        <v>3</v>
      </c>
      <c r="X281" s="453">
        <f>COUNTIF(E237:BV237,F281)</f>
        <v>3</v>
      </c>
      <c r="Y281" s="453">
        <f>COUNTIF(E236:BV236,F281)</f>
        <v>1</v>
      </c>
      <c r="Z281" s="453">
        <f>COUNTIF(E235:BV235,F281)</f>
        <v>1</v>
      </c>
      <c r="AA281" s="453">
        <f>COUNTIF(E234:BV234,F281)</f>
        <v>2</v>
      </c>
      <c r="AB281" s="453">
        <f>COUNTIF(E233:BV233,F281)</f>
        <v>0</v>
      </c>
      <c r="AC281" s="453">
        <f>COUNTIF(E232:BV232,F281)</f>
        <v>2</v>
      </c>
      <c r="AD281" s="453">
        <f>COUNTIF(E231:BV231,F281)</f>
        <v>0</v>
      </c>
      <c r="AE281" s="453">
        <f>COUNTIF(E230:BV230,F281)</f>
        <v>3</v>
      </c>
      <c r="AF281" s="453">
        <f>COUNTIF(E229:BV229,F281)</f>
        <v>2</v>
      </c>
      <c r="AG281" s="453">
        <f>COUNTIF(E228:BV228,F281)</f>
        <v>0</v>
      </c>
      <c r="AH281" s="453">
        <f>COUNTIF(E227:BV227,F281)</f>
        <v>0</v>
      </c>
      <c r="AI281" s="146">
        <f>COUNTIF(E226:BV226,F281)</f>
        <v>1</v>
      </c>
      <c r="AJ281" s="146">
        <f>COUNTIF(E225:BV225,F281)</f>
        <v>1</v>
      </c>
      <c r="AK281" s="146">
        <f>COUNTIF(E224:BV224,F281)</f>
        <v>1</v>
      </c>
      <c r="AL281" s="146">
        <f>COUNTIF(E223:BV223,F281)</f>
        <v>0</v>
      </c>
      <c r="AM281" s="146">
        <f>COUNTIF(E222:BV222,F281)</f>
        <v>1</v>
      </c>
      <c r="AN281" s="146">
        <f>COUNTIF(E221:BV221,F281)</f>
        <v>3</v>
      </c>
      <c r="AO281" s="146">
        <f>COUNTIF(E220:BV220,F281)</f>
        <v>1</v>
      </c>
      <c r="AP281" s="146">
        <f>COUNTIF(E219:BV219,F281)</f>
        <v>2</v>
      </c>
      <c r="AQ281" s="146">
        <f>COUNTIF(E218:BV218,F281)</f>
        <v>0</v>
      </c>
      <c r="AR281" s="146">
        <f>COUNTIF(E217:BV217,F281)</f>
        <v>2</v>
      </c>
      <c r="AS281" s="146">
        <f>COUNTIF(E216:BV216,F281)</f>
        <v>2</v>
      </c>
      <c r="AT281" s="146">
        <f>COUNTIF(E215:BV215,F281)</f>
        <v>1</v>
      </c>
      <c r="AU281" s="146">
        <f>COUNTIF(E214:BV214,F281)</f>
        <v>1</v>
      </c>
      <c r="AV281" s="146">
        <f>COUNTIF(E213:BV213,F281)</f>
        <v>1</v>
      </c>
      <c r="AW281" s="146">
        <f>COUNTIF(E212:BV212,F281)</f>
        <v>1</v>
      </c>
      <c r="AX281" s="146">
        <f>COUNTIF(E211:BV211,F281)</f>
        <v>1</v>
      </c>
      <c r="AY281" s="146">
        <f>COUNTIF(E210:BV210,F281)</f>
        <v>0</v>
      </c>
      <c r="AZ281" s="146">
        <f>COUNTIF(E209:BV209,F281)</f>
        <v>4</v>
      </c>
      <c r="BA281" s="146">
        <f>COUNTIF(E208:BV208,F281)</f>
        <v>1</v>
      </c>
      <c r="BB281" s="146">
        <f>COUNTIF(E207:BV207,F281)</f>
        <v>2</v>
      </c>
      <c r="BC281" s="146">
        <f>COUNTIF(E206:BV206,F281)</f>
        <v>4</v>
      </c>
      <c r="BD281" s="146">
        <f>COUNTIF(E205:BV205,F281)</f>
        <v>1</v>
      </c>
      <c r="BE281" s="146">
        <f>COUNTIF(E204:BV204,F281)</f>
        <v>2</v>
      </c>
      <c r="BF281" s="146">
        <f>COUNTIF(E203:BV203,F281)</f>
        <v>1</v>
      </c>
      <c r="BG281" s="146">
        <f>COUNTIF(E202:BV202,F281)</f>
        <v>4</v>
      </c>
      <c r="BH281" s="146">
        <f>COUNTIF(E201:BV201,F281)</f>
        <v>0</v>
      </c>
      <c r="BI281" s="146">
        <f>COUNTIF(E200:BV200,F281)</f>
        <v>5</v>
      </c>
      <c r="BJ281" s="146">
        <f>COUNTIF(E199:BV199,F281)</f>
        <v>2</v>
      </c>
      <c r="BK281" s="146">
        <f>COUNTIF(E198:BV198,F281)</f>
        <v>2</v>
      </c>
      <c r="BL281" s="146">
        <f>COUNTIF(E197:BV197,F281)</f>
        <v>3</v>
      </c>
      <c r="BM281" s="146">
        <f>COUNTIF(E196:BV196,F281)</f>
        <v>1</v>
      </c>
      <c r="BN281" s="146">
        <f>COUNTIF(E195:BV195,F281)</f>
        <v>3</v>
      </c>
      <c r="BO281" s="146">
        <f>COUNTIF(E194:BV194,F281)</f>
        <v>1</v>
      </c>
      <c r="BP281" s="146">
        <f>COUNTIF(E193:BV193,F281)</f>
        <v>1</v>
      </c>
      <c r="BQ281" s="146">
        <f>COUNTIF(E192:BV192,F281)</f>
        <v>1</v>
      </c>
      <c r="BR281" s="146">
        <f>COUNTIF(E191:BV191,F281)</f>
        <v>2</v>
      </c>
      <c r="BS281" s="146">
        <f>COUNTIF(E190:BV190,F281)</f>
        <v>0</v>
      </c>
      <c r="BT281" s="146">
        <f>COUNTIF(E189:BV189,F281)</f>
        <v>3</v>
      </c>
      <c r="BU281" s="146">
        <f>COUNTIF(E188:BV188,F281)</f>
        <v>2</v>
      </c>
      <c r="BV281" s="146">
        <f>COUNTIF(E187:BV187,F281)</f>
        <v>2</v>
      </c>
      <c r="BW281" s="146">
        <f>COUNTIF(E186:BV186,F281)</f>
        <v>0</v>
      </c>
      <c r="BX281" s="146">
        <f>COUNTIF(E185:BV185,F281)</f>
        <v>2</v>
      </c>
      <c r="BY281" s="146">
        <f>COUNTIF(E184:BV184,F281)</f>
        <v>4</v>
      </c>
      <c r="BZ281" s="146">
        <f>COUNTIF(E183:BV183,F281)</f>
        <v>0</v>
      </c>
      <c r="CA281" s="146">
        <f>COUNTIF(E182:BV182,F281)</f>
        <v>1</v>
      </c>
      <c r="CB281" s="146">
        <f>COUNTIF(E181:BV181,F281)</f>
        <v>1</v>
      </c>
      <c r="CC281" s="146">
        <f>COUNTIF(E180:BV180,F281)</f>
        <v>0</v>
      </c>
      <c r="CD281" s="146">
        <f>COUNTIF(E179:BV179,F281)</f>
        <v>1</v>
      </c>
      <c r="CE281" s="146">
        <f>COUNTIF(E178:BV178,F281)</f>
        <v>0</v>
      </c>
      <c r="CF281" s="146">
        <f>COUNTIF(E177:BV177,F281)</f>
        <v>2</v>
      </c>
      <c r="CG281" s="146">
        <f>COUNTIF(E176:BV176,F281)</f>
        <v>2</v>
      </c>
      <c r="CH281" s="146">
        <f>COUNTIF(E175:BV175,F281)</f>
        <v>0</v>
      </c>
      <c r="CI281" s="146">
        <f>COUNTIF(E174:BV174,F281)</f>
        <v>3</v>
      </c>
      <c r="CJ281" s="146">
        <f>COUNTIF(E173:BV173,F281)</f>
        <v>5</v>
      </c>
      <c r="CK281" s="146">
        <f>COUNTIF(E172:BV172,F281)</f>
        <v>2</v>
      </c>
      <c r="CL281" s="146">
        <f>COUNTIF(E171:BV171,F281)</f>
        <v>1</v>
      </c>
      <c r="CM281" s="146">
        <f>COUNTIF(E170:BV170,F281)</f>
        <v>2</v>
      </c>
      <c r="CN281" s="146">
        <f>COUNTIF(E169:BV169,F281)</f>
        <v>1</v>
      </c>
      <c r="CO281" s="146">
        <f>COUNTIF(E168:BV168,F281)</f>
        <v>3</v>
      </c>
      <c r="CP281" s="146">
        <f>COUNTIF(E167:BV167,F281)</f>
        <v>4</v>
      </c>
      <c r="CQ281" s="146">
        <f>COUNTIF(E166:BV166,F281)</f>
        <v>3</v>
      </c>
      <c r="CR281" s="146">
        <f>COUNTIF(E165:BV165,F281)</f>
        <v>1</v>
      </c>
      <c r="CS281" s="146">
        <f>COUNTIF(E164:BV164,F281)</f>
        <v>4</v>
      </c>
      <c r="CT281" s="146">
        <f>COUNTIF(E163:BV163,F281)</f>
        <v>0</v>
      </c>
      <c r="CU281" s="146">
        <f>COUNTIF(E162:BV162,F281)</f>
        <v>1</v>
      </c>
      <c r="CV281" s="146">
        <f>COUNTIF(E161:BV161,F281)</f>
        <v>1</v>
      </c>
      <c r="CW281" s="146">
        <f>COUNTIF(E160:BV160,F281)</f>
        <v>2</v>
      </c>
      <c r="CX281" s="146">
        <f>COUNTIF(E159:BV159,F281)</f>
        <v>2</v>
      </c>
      <c r="CY281" s="146">
        <f>COUNTIF(E158:BV158,F281)</f>
        <v>1</v>
      </c>
      <c r="CZ281" s="146">
        <f>COUNTIF(E157:BV157,F281)</f>
        <v>1</v>
      </c>
      <c r="DA281" s="146">
        <f>COUNTIF(E156:BV156,F281)</f>
        <v>1</v>
      </c>
      <c r="DB281" s="146">
        <f>COUNTIF(E155:BV155,F281)</f>
        <v>3</v>
      </c>
      <c r="DC281" s="146">
        <f>COUNTIF(E154:BV154,F281)</f>
        <v>1</v>
      </c>
      <c r="DD281" s="146">
        <v>1</v>
      </c>
      <c r="DE281" s="146"/>
      <c r="DF281" s="146"/>
      <c r="DG281" s="146"/>
      <c r="DH281" s="146"/>
      <c r="DI281" s="146"/>
      <c r="DJ281" s="146"/>
      <c r="DK281" s="146"/>
      <c r="DL281" s="146"/>
      <c r="DM281" s="146"/>
      <c r="DN281" s="146"/>
      <c r="DO281" s="146"/>
      <c r="DP281" s="146"/>
      <c r="DQ281" s="146"/>
      <c r="DR281" s="146"/>
      <c r="DS281" s="146"/>
      <c r="DT281" s="146"/>
      <c r="DU281" s="2"/>
      <c r="DV281" s="18"/>
      <c r="DW281" s="129"/>
      <c r="DX281" s="129"/>
      <c r="DY281" s="128">
        <v>10</v>
      </c>
      <c r="DZ281" s="128">
        <v>10</v>
      </c>
      <c r="EA281" s="128">
        <v>10</v>
      </c>
      <c r="EB281" s="128">
        <v>10</v>
      </c>
      <c r="EE281" s="128">
        <v>10</v>
      </c>
      <c r="EG281" s="128">
        <v>10</v>
      </c>
      <c r="EH281" s="128">
        <v>10</v>
      </c>
      <c r="EJ281" s="129"/>
      <c r="EL281" s="128">
        <v>10</v>
      </c>
      <c r="EM281" s="128">
        <v>10</v>
      </c>
      <c r="EN281" s="128">
        <v>10</v>
      </c>
      <c r="EO281" s="128">
        <v>10</v>
      </c>
      <c r="EQ281" s="128">
        <v>10</v>
      </c>
      <c r="ER281" s="128">
        <v>10</v>
      </c>
      <c r="ES281" s="128">
        <v>10</v>
      </c>
      <c r="ET281" s="128">
        <v>10</v>
      </c>
      <c r="EV281" s="128">
        <v>10</v>
      </c>
      <c r="EW281" s="128">
        <v>10</v>
      </c>
      <c r="EZ281" s="52"/>
      <c r="FA281" s="128">
        <v>18</v>
      </c>
      <c r="FB281" s="128">
        <v>18</v>
      </c>
      <c r="FD281" s="128">
        <v>18</v>
      </c>
      <c r="FE281" s="128">
        <v>18</v>
      </c>
      <c r="FF281" s="128">
        <v>18</v>
      </c>
      <c r="FG281" s="128">
        <v>18</v>
      </c>
      <c r="FH281" s="128">
        <v>18</v>
      </c>
      <c r="FJ281" s="128">
        <v>18</v>
      </c>
      <c r="FL281" s="129"/>
      <c r="FM281" s="128">
        <v>18</v>
      </c>
      <c r="FN281" s="128">
        <v>18</v>
      </c>
      <c r="FO281" s="128">
        <v>18</v>
      </c>
      <c r="FP281" s="128">
        <v>18</v>
      </c>
      <c r="FQ281" s="128">
        <v>18</v>
      </c>
      <c r="FR281" s="128">
        <v>18</v>
      </c>
      <c r="FT281" s="128">
        <v>18</v>
      </c>
      <c r="FW281" s="128">
        <v>18</v>
      </c>
      <c r="FX281" s="128">
        <v>18</v>
      </c>
      <c r="FY281" s="128">
        <v>18</v>
      </c>
      <c r="GA281" s="52"/>
      <c r="GB281" s="52"/>
      <c r="GC281" s="52"/>
      <c r="GD281" s="52"/>
      <c r="GE281" s="52"/>
      <c r="GF281" s="52"/>
      <c r="GG281" s="197"/>
      <c r="GH281" s="52"/>
      <c r="GI281" s="52"/>
      <c r="GJ281" s="52"/>
      <c r="GK281" s="52"/>
      <c r="GL281" s="52"/>
      <c r="GM281" s="52"/>
      <c r="GN281" s="52"/>
      <c r="GO281" s="52"/>
      <c r="GP281" s="52"/>
      <c r="GQ281" s="52"/>
      <c r="GR281" s="129"/>
      <c r="GS281" s="129"/>
      <c r="GT281" s="129"/>
      <c r="GU281" s="129"/>
      <c r="GV281" s="129"/>
      <c r="GW281" s="129"/>
      <c r="GX281" s="129"/>
      <c r="GY281" s="129"/>
      <c r="GZ281" s="129"/>
      <c r="HA281" s="129"/>
      <c r="HB281" s="79"/>
      <c r="HC281" s="129"/>
      <c r="HD281" s="129"/>
      <c r="HE281" s="129"/>
      <c r="HF281" s="129"/>
      <c r="HG281" s="129"/>
      <c r="HH281" s="129"/>
      <c r="HI281" s="129"/>
      <c r="HJ281" s="74"/>
      <c r="HK281" s="73"/>
      <c r="HL281" s="129"/>
      <c r="HM281" s="129"/>
      <c r="HN281" s="129"/>
      <c r="HO281" s="129"/>
      <c r="HP281" s="129"/>
      <c r="HQ281" s="129"/>
      <c r="HR281" s="129"/>
      <c r="HS281" s="129"/>
      <c r="HT281" s="129"/>
      <c r="HU281" s="129"/>
      <c r="HV281" s="129"/>
      <c r="HW281" s="129"/>
      <c r="HX281" s="129"/>
      <c r="HY281" s="129"/>
      <c r="HZ281" s="79"/>
      <c r="IA281" s="129"/>
      <c r="IB281" s="129"/>
      <c r="IC281" s="129"/>
      <c r="ID281" s="129"/>
      <c r="IE281" s="129"/>
      <c r="IF281" s="129"/>
      <c r="IG281" s="129"/>
      <c r="IH281" s="129"/>
      <c r="II281" s="129"/>
      <c r="IJ281" s="129"/>
      <c r="IK281" s="129"/>
      <c r="IL281" s="129"/>
      <c r="IM281" s="129"/>
      <c r="IN281" s="129"/>
      <c r="IO281" s="129"/>
      <c r="IP281" s="129"/>
      <c r="IQ281" s="129"/>
      <c r="IR281" s="129"/>
      <c r="IS281" s="129"/>
      <c r="IT281" s="129"/>
      <c r="IU281" s="129"/>
      <c r="IV281" s="129"/>
      <c r="IW281" s="129"/>
      <c r="IX281" s="129"/>
      <c r="IY281" s="129"/>
      <c r="IZ281" s="129"/>
      <c r="JA281" s="129"/>
      <c r="JB281" s="129"/>
      <c r="JC281" s="129"/>
      <c r="JD281" s="129"/>
      <c r="JE281" s="129"/>
      <c r="JF281" s="129"/>
      <c r="JG281" s="129"/>
      <c r="JH281" s="129"/>
      <c r="JI281" s="129"/>
      <c r="JJ281" s="129"/>
      <c r="JK281" s="129"/>
      <c r="JL281" s="129"/>
      <c r="JM281" s="129"/>
      <c r="JN281" s="129"/>
      <c r="JO281" s="129"/>
      <c r="JP281" s="129"/>
      <c r="JQ281" s="129"/>
      <c r="JR281" s="129"/>
      <c r="JS281" s="129"/>
      <c r="JT281" s="129"/>
      <c r="JU281" s="129"/>
      <c r="JV281" s="129"/>
      <c r="JW281" s="129"/>
      <c r="JX281" s="129"/>
      <c r="JY281" s="129"/>
      <c r="JZ281" s="129"/>
      <c r="KA281" s="129"/>
      <c r="KB281" s="129"/>
      <c r="KC281" s="129"/>
      <c r="KD281" s="129"/>
    </row>
    <row r="282" spans="4:290" ht="17.25">
      <c r="D282" s="128"/>
      <c r="E282" s="570"/>
      <c r="F282" s="145">
        <v>25</v>
      </c>
      <c r="G282" s="639"/>
      <c r="H282" s="453">
        <f>COUNTIF(E253:BV253,F282)</f>
        <v>0</v>
      </c>
      <c r="I282" s="453">
        <f>COUNTIF(E252:BV252,F282)</f>
        <v>2</v>
      </c>
      <c r="J282" s="453">
        <f>COUNTIF(E251:BV251,F282)</f>
        <v>0</v>
      </c>
      <c r="K282" s="453">
        <f>COUNTIF(E250:BV250,F282)</f>
        <v>1</v>
      </c>
      <c r="L282" s="453">
        <f>COUNTIF(E249:BV249,F282)</f>
        <v>2</v>
      </c>
      <c r="M282" s="453">
        <f>COUNTIF(E248:BV248,F282)</f>
        <v>2</v>
      </c>
      <c r="N282" s="453">
        <f>COUNTIF(E247:BV247,F282)</f>
        <v>0</v>
      </c>
      <c r="O282" s="453">
        <f>COUNTIF(E246:BV246,F282)</f>
        <v>2</v>
      </c>
      <c r="P282" s="453">
        <f>COUNTIF(E245:BV245,F282)</f>
        <v>2</v>
      </c>
      <c r="Q282" s="453">
        <f>COUNTIF(E244:BV244,F282)</f>
        <v>0</v>
      </c>
      <c r="R282" s="453">
        <f>COUNTIF(E243:BV243,F282)</f>
        <v>2</v>
      </c>
      <c r="S282" s="453">
        <f>COUNTIF(E242:BV242,F282)</f>
        <v>1</v>
      </c>
      <c r="T282" s="453">
        <f>COUNTIF(E241:BV241,F282)</f>
        <v>2</v>
      </c>
      <c r="U282" s="453">
        <f>COUNTIF(E240:BV240,F282)</f>
        <v>1</v>
      </c>
      <c r="V282" s="453">
        <f>COUNTIF(E239:BV239,F282)</f>
        <v>1</v>
      </c>
      <c r="W282" s="453">
        <f>COUNTIF(E238:BV238,F282)</f>
        <v>0</v>
      </c>
      <c r="X282" s="453">
        <f>COUNTIF(E237:BV237,F282)</f>
        <v>0</v>
      </c>
      <c r="Y282" s="453">
        <f>COUNTIF(E236:BV236,F282)</f>
        <v>0</v>
      </c>
      <c r="Z282" s="453">
        <f>COUNTIF(E235:BV235,F282)</f>
        <v>2</v>
      </c>
      <c r="AA282" s="453">
        <f>COUNTIF(E234:BV234,F282)</f>
        <v>1</v>
      </c>
      <c r="AB282" s="453">
        <f>COUNTIF(E233:BV233,F282)</f>
        <v>1</v>
      </c>
      <c r="AC282" s="453">
        <f>COUNTIF(E232:BV232,F282)</f>
        <v>1</v>
      </c>
      <c r="AD282" s="453">
        <f>COUNTIF(E231:BV231,F282)</f>
        <v>3</v>
      </c>
      <c r="AE282" s="453">
        <f>COUNTIF(E230:BV230,F282)</f>
        <v>2</v>
      </c>
      <c r="AF282" s="453">
        <f>COUNTIF(E229:BV229,F282)</f>
        <v>2</v>
      </c>
      <c r="AG282" s="453">
        <f>COUNTIF(E228:BV228,F282)</f>
        <v>2</v>
      </c>
      <c r="AH282" s="453">
        <f>COUNTIF(E227:BV227,F282)</f>
        <v>2</v>
      </c>
      <c r="AI282" s="146">
        <f>COUNTIF(E226:BV226,F282)</f>
        <v>0</v>
      </c>
      <c r="AJ282" s="146">
        <f>COUNTIF(E225:BV225,F282)</f>
        <v>1</v>
      </c>
      <c r="AK282" s="146">
        <f>COUNTIF(E224:BV224,F282)</f>
        <v>2</v>
      </c>
      <c r="AL282" s="146">
        <f>COUNTIF(E223:BV223,F282)</f>
        <v>1</v>
      </c>
      <c r="AM282" s="146">
        <f>COUNTIF(E222:BV222,F282)</f>
        <v>1</v>
      </c>
      <c r="AN282" s="146">
        <f>COUNTIF(E221:BV221,F282)</f>
        <v>1</v>
      </c>
      <c r="AO282" s="146">
        <f>COUNTIF(E220:BV220,F282)</f>
        <v>2</v>
      </c>
      <c r="AP282" s="146">
        <f>COUNTIF(E219:BV219,F282)</f>
        <v>0</v>
      </c>
      <c r="AQ282" s="146">
        <f>COUNTIF(E218:BV218,F282)</f>
        <v>0</v>
      </c>
      <c r="AR282" s="146">
        <f>COUNTIF(E217:BV217,F282)</f>
        <v>1</v>
      </c>
      <c r="AS282" s="146">
        <f>COUNTIF(E216:BV216,F282)</f>
        <v>0</v>
      </c>
      <c r="AT282" s="146">
        <f>COUNTIF(E215:BV215,F282)</f>
        <v>0</v>
      </c>
      <c r="AU282" s="146">
        <f>COUNTIF(E214:BV214,F282)</f>
        <v>6</v>
      </c>
      <c r="AV282" s="146">
        <f>COUNTIF(E213:BV213,F282)</f>
        <v>0</v>
      </c>
      <c r="AW282" s="146">
        <f>COUNTIF(E212:BV212,F282)</f>
        <v>2</v>
      </c>
      <c r="AX282" s="146">
        <f>COUNTIF(E211:BV211,F282)</f>
        <v>2</v>
      </c>
      <c r="AY282" s="146">
        <f>COUNTIF(E210:BV210,F282)</f>
        <v>1</v>
      </c>
      <c r="AZ282" s="146">
        <f>COUNTIF(E209:BV209,F282)</f>
        <v>2</v>
      </c>
      <c r="BA282" s="146">
        <f>COUNTIF(E208:BV208,F282)</f>
        <v>1</v>
      </c>
      <c r="BB282" s="146">
        <f>COUNTIF(E207:BV207,F282)</f>
        <v>3</v>
      </c>
      <c r="BC282" s="146">
        <f>COUNTIF(E206:BV206,F282)</f>
        <v>1</v>
      </c>
      <c r="BD282" s="146">
        <f>COUNTIF(E205:BV205,F282)</f>
        <v>1</v>
      </c>
      <c r="BE282" s="146">
        <f>COUNTIF(E204:BV204,F282)</f>
        <v>0</v>
      </c>
      <c r="BF282" s="146">
        <f>COUNTIF(E203:BV203,F282)</f>
        <v>2</v>
      </c>
      <c r="BG282" s="146">
        <f>COUNTIF(E202:BV202,F282)</f>
        <v>0</v>
      </c>
      <c r="BH282" s="146">
        <f>COUNTIF(E201:BV201,F282)</f>
        <v>0</v>
      </c>
      <c r="BI282" s="146">
        <f>COUNTIF(E200:BV200,F282)</f>
        <v>1</v>
      </c>
      <c r="BJ282" s="146">
        <f>COUNTIF(E199:BV199,F282)</f>
        <v>3</v>
      </c>
      <c r="BK282" s="146">
        <f>COUNTIF(E198:BV198,F282)</f>
        <v>0</v>
      </c>
      <c r="BL282" s="146">
        <f>COUNTIF(E197:BV197,F282)</f>
        <v>1</v>
      </c>
      <c r="BM282" s="146">
        <f>COUNTIF(E196:BV196,F282)</f>
        <v>1</v>
      </c>
      <c r="BN282" s="146">
        <f>COUNTIF(E195:BV195,F282)</f>
        <v>1</v>
      </c>
      <c r="BO282" s="146">
        <f>COUNTIF(E194:BV194,F282)</f>
        <v>3</v>
      </c>
      <c r="BP282" s="146">
        <f>COUNTIF(E193:BV193,F282)</f>
        <v>0</v>
      </c>
      <c r="BQ282" s="146">
        <f>COUNTIF(E192:BV192,F282)</f>
        <v>2</v>
      </c>
      <c r="BR282" s="146">
        <f>COUNTIF(E191:BV191,F282)</f>
        <v>4</v>
      </c>
      <c r="BS282" s="146">
        <f>COUNTIF(E190:BV190,F282)</f>
        <v>2</v>
      </c>
      <c r="BT282" s="146">
        <f>COUNTIF(E189:BV189,F282)</f>
        <v>1</v>
      </c>
      <c r="BU282" s="146">
        <f>COUNTIF(E188:BV188,F282)</f>
        <v>2</v>
      </c>
      <c r="BV282" s="146">
        <f>COUNTIF(E187:BV187,F282)</f>
        <v>2</v>
      </c>
      <c r="BW282" s="146">
        <f>COUNTIF(E186:BV186,F282)</f>
        <v>1</v>
      </c>
      <c r="BX282" s="146">
        <f>COUNTIF(E185:BV185,F282)</f>
        <v>1</v>
      </c>
      <c r="BY282" s="146">
        <f>COUNTIF(E184:BV184,F282)</f>
        <v>0</v>
      </c>
      <c r="BZ282" s="146">
        <f>COUNTIF(E183:BV183,F282)</f>
        <v>2</v>
      </c>
      <c r="CA282" s="146">
        <f>COUNTIF(E182:BV182,F282)</f>
        <v>1</v>
      </c>
      <c r="CB282" s="146">
        <f>COUNTIF(E181:BV181,F282)</f>
        <v>3</v>
      </c>
      <c r="CC282" s="146">
        <f>COUNTIF(E180:BV180,F282)</f>
        <v>2</v>
      </c>
      <c r="CD282" s="146">
        <f>COUNTIF(E179:BV179,F282)</f>
        <v>1</v>
      </c>
      <c r="CE282" s="146">
        <f>COUNTIF(E178:BV178,F282)</f>
        <v>3</v>
      </c>
      <c r="CF282" s="146">
        <f>COUNTIF(E177:BV177,F282)</f>
        <v>1</v>
      </c>
      <c r="CG282" s="146">
        <f>COUNTIF(E176:BV176,F282)</f>
        <v>1</v>
      </c>
      <c r="CH282" s="146">
        <f>COUNTIF(E175:BV175,F282)</f>
        <v>3</v>
      </c>
      <c r="CI282" s="146">
        <f>COUNTIF(E174:BV174,F282)</f>
        <v>0</v>
      </c>
      <c r="CJ282" s="146">
        <f>COUNTIF(E173:BV173,F282)</f>
        <v>0</v>
      </c>
      <c r="CK282" s="146">
        <f>COUNTIF(E172:BV172,F282)</f>
        <v>1</v>
      </c>
      <c r="CL282" s="146">
        <f>COUNTIF(E171:BV171,F282)</f>
        <v>2</v>
      </c>
      <c r="CM282" s="146">
        <f>COUNTIF(E170:BV170,F282)</f>
        <v>0</v>
      </c>
      <c r="CN282" s="146">
        <f>COUNTIF(E169:BV169,F282)</f>
        <v>2</v>
      </c>
      <c r="CO282" s="146">
        <f>COUNTIF(E168:BV168,F282)</f>
        <v>3</v>
      </c>
      <c r="CP282" s="146">
        <f>COUNTIF(E167:BV167,F282)</f>
        <v>5</v>
      </c>
      <c r="CQ282" s="146">
        <f>COUNTIF(E166:BV166,F282)</f>
        <v>5</v>
      </c>
      <c r="CR282" s="146">
        <f>COUNTIF(E165:BV165,F282)</f>
        <v>4</v>
      </c>
      <c r="CS282" s="146">
        <f>COUNTIF(E164:BV164,F282)</f>
        <v>1</v>
      </c>
      <c r="CT282" s="146">
        <f>COUNTIF(E163:BV163,F282)</f>
        <v>2</v>
      </c>
      <c r="CU282" s="146">
        <f>COUNTIF(E162:BV162,F282)</f>
        <v>5</v>
      </c>
      <c r="CV282" s="146">
        <f>COUNTIF(E161:BV161,F282)</f>
        <v>2</v>
      </c>
      <c r="CW282" s="146">
        <f>COUNTIF(E160:BV160,F282)</f>
        <v>3</v>
      </c>
      <c r="CX282" s="146">
        <f>COUNTIF(E159:BV159,F282)</f>
        <v>3</v>
      </c>
      <c r="CY282" s="146">
        <f>COUNTIF(E158:BV158,F282)</f>
        <v>2</v>
      </c>
      <c r="CZ282" s="146">
        <f>COUNTIF(E157:BV157,F282)</f>
        <v>3</v>
      </c>
      <c r="DA282" s="146">
        <f>COUNTIF(E156:BV156,F282)</f>
        <v>0</v>
      </c>
      <c r="DB282" s="146">
        <f>COUNTIF(E155:BV155,F282)</f>
        <v>2</v>
      </c>
      <c r="DC282" s="146">
        <f>COUNTIF(E154:BV154,F282)</f>
        <v>0</v>
      </c>
      <c r="DD282" s="146">
        <v>0</v>
      </c>
      <c r="DE282" s="146"/>
      <c r="DF282" s="146"/>
      <c r="DG282" s="146"/>
      <c r="DH282" s="146"/>
      <c r="DI282" s="146"/>
      <c r="DJ282" s="146"/>
      <c r="DK282" s="146"/>
      <c r="DL282" s="146"/>
      <c r="DM282" s="146"/>
      <c r="DN282" s="146"/>
      <c r="DO282" s="146"/>
      <c r="DP282" s="146"/>
      <c r="DQ282" s="146"/>
      <c r="DR282" s="146"/>
      <c r="DS282" s="146"/>
      <c r="DT282" s="146"/>
      <c r="DU282" s="2"/>
      <c r="DV282" s="18"/>
      <c r="DW282" s="129"/>
      <c r="DX282" s="129"/>
      <c r="DY282" s="128">
        <v>11</v>
      </c>
      <c r="DZ282" s="128">
        <v>11</v>
      </c>
      <c r="EA282" s="128">
        <v>11</v>
      </c>
      <c r="EB282" s="128">
        <v>11</v>
      </c>
      <c r="EC282" s="128">
        <v>11</v>
      </c>
      <c r="ED282" s="128">
        <v>11</v>
      </c>
      <c r="EE282" s="128">
        <v>11</v>
      </c>
      <c r="EF282" s="128">
        <v>11</v>
      </c>
      <c r="EG282" s="128">
        <v>11</v>
      </c>
      <c r="EJ282" s="129"/>
      <c r="EK282" s="128">
        <v>11</v>
      </c>
      <c r="EL282" s="128">
        <v>11</v>
      </c>
      <c r="EM282" s="128">
        <v>11</v>
      </c>
      <c r="EN282" s="128">
        <v>11</v>
      </c>
      <c r="EO282" s="128">
        <v>11</v>
      </c>
      <c r="EP282" s="128">
        <v>11</v>
      </c>
      <c r="EQ282" s="128">
        <v>11</v>
      </c>
      <c r="ER282" s="128">
        <v>11</v>
      </c>
      <c r="ES282" s="128">
        <v>11</v>
      </c>
      <c r="ET282" s="128">
        <v>11</v>
      </c>
      <c r="EU282" s="128">
        <v>11</v>
      </c>
      <c r="EV282" s="128">
        <v>11</v>
      </c>
      <c r="EW282" s="128">
        <v>11</v>
      </c>
      <c r="EX282" s="128">
        <v>11</v>
      </c>
      <c r="EZ282" s="52"/>
      <c r="FB282" s="128">
        <v>19</v>
      </c>
      <c r="FC282" s="128">
        <v>19</v>
      </c>
      <c r="FD282" s="128">
        <v>19</v>
      </c>
      <c r="FE282" s="128">
        <v>19</v>
      </c>
      <c r="FF282" s="128">
        <v>19</v>
      </c>
      <c r="FG282" s="128">
        <v>19</v>
      </c>
      <c r="FH282" s="128">
        <v>19</v>
      </c>
      <c r="FJ282" s="128">
        <v>19</v>
      </c>
      <c r="FL282" s="129"/>
      <c r="FN282" s="128">
        <v>19</v>
      </c>
      <c r="FP282" s="128">
        <v>19</v>
      </c>
      <c r="FQ282" s="128">
        <v>19</v>
      </c>
      <c r="FR282" s="128">
        <v>19</v>
      </c>
      <c r="FS282" s="128">
        <v>19</v>
      </c>
      <c r="FV282" s="128">
        <v>19</v>
      </c>
      <c r="FW282" s="128">
        <v>19</v>
      </c>
      <c r="FX282" s="128">
        <v>19</v>
      </c>
      <c r="FZ282" s="128">
        <v>19</v>
      </c>
      <c r="GA282" s="52"/>
      <c r="GB282" s="52"/>
      <c r="GC282" s="52"/>
      <c r="GD282" s="52"/>
      <c r="GE282" s="52"/>
      <c r="GF282" s="52"/>
      <c r="GG282" s="197"/>
      <c r="GH282" s="52"/>
      <c r="GI282" s="52"/>
      <c r="GJ282" s="52"/>
      <c r="GK282" s="52"/>
      <c r="GL282" s="52"/>
      <c r="GM282" s="52"/>
      <c r="GN282" s="52"/>
      <c r="GO282" s="52"/>
      <c r="GP282" s="52"/>
      <c r="GQ282" s="52"/>
      <c r="GR282" s="129"/>
      <c r="GS282" s="129"/>
      <c r="GT282" s="129"/>
      <c r="GU282" s="129"/>
      <c r="GV282" s="129"/>
      <c r="GW282" s="129"/>
      <c r="GX282" s="129"/>
      <c r="GY282" s="129"/>
      <c r="GZ282" s="129"/>
      <c r="HA282" s="129"/>
      <c r="HB282" s="79"/>
      <c r="HC282" s="129"/>
      <c r="HD282" s="129"/>
      <c r="HE282" s="129"/>
      <c r="HF282" s="129"/>
      <c r="HG282" s="129"/>
      <c r="HH282" s="129"/>
      <c r="HI282" s="129"/>
      <c r="HJ282" s="129"/>
      <c r="HK282" s="74"/>
      <c r="HL282" s="73"/>
      <c r="HM282" s="72"/>
      <c r="HN282" s="129"/>
      <c r="HO282" s="129"/>
      <c r="HP282" s="129"/>
      <c r="HQ282" s="129"/>
      <c r="HR282" s="129"/>
      <c r="HS282" s="129"/>
      <c r="HT282" s="129"/>
      <c r="HU282" s="129"/>
      <c r="HV282" s="129"/>
      <c r="HW282" s="129"/>
      <c r="HX282" s="129"/>
      <c r="HY282" s="129"/>
      <c r="HZ282" s="79"/>
      <c r="IA282" s="129"/>
      <c r="IB282" s="129"/>
      <c r="IC282" s="129"/>
      <c r="ID282" s="129"/>
      <c r="IE282" s="129"/>
      <c r="IF282" s="129"/>
      <c r="IG282" s="129"/>
      <c r="IH282" s="129"/>
      <c r="II282" s="129"/>
      <c r="IJ282" s="129"/>
      <c r="IK282" s="129"/>
      <c r="IL282" s="129"/>
      <c r="IM282" s="129"/>
      <c r="IN282" s="129"/>
      <c r="IO282" s="129"/>
      <c r="IP282" s="129"/>
      <c r="IQ282" s="129"/>
      <c r="IR282" s="129"/>
      <c r="IS282" s="129"/>
      <c r="IT282" s="129"/>
      <c r="IU282" s="129"/>
      <c r="IV282" s="129"/>
      <c r="IW282" s="129"/>
      <c r="IX282" s="129"/>
      <c r="IY282" s="129"/>
      <c r="IZ282" s="129"/>
      <c r="JA282" s="129"/>
      <c r="JB282" s="129"/>
      <c r="JC282" s="129"/>
      <c r="JD282" s="129"/>
      <c r="JE282" s="129"/>
      <c r="JF282" s="129"/>
      <c r="JG282" s="129"/>
      <c r="JH282" s="129"/>
      <c r="JI282" s="129"/>
      <c r="JJ282" s="129"/>
      <c r="JK282" s="129"/>
      <c r="JL282" s="129"/>
      <c r="JM282" s="129"/>
      <c r="JN282" s="129"/>
      <c r="JO282" s="129"/>
      <c r="JP282" s="129"/>
      <c r="JQ282" s="129"/>
      <c r="JR282" s="129"/>
      <c r="JS282" s="129"/>
      <c r="JT282" s="129"/>
      <c r="JU282" s="129"/>
      <c r="JV282" s="129"/>
      <c r="JW282" s="129"/>
      <c r="JX282" s="129"/>
      <c r="JY282" s="129"/>
      <c r="JZ282" s="129"/>
      <c r="KA282" s="129"/>
      <c r="KB282" s="129"/>
      <c r="KC282" s="129"/>
      <c r="KD282" s="129"/>
    </row>
    <row r="283" spans="4:290" ht="17.25">
      <c r="D283" s="128"/>
      <c r="E283" s="570">
        <v>26</v>
      </c>
      <c r="F283" s="145">
        <v>26</v>
      </c>
      <c r="G283" s="639"/>
      <c r="H283" s="453">
        <f>COUNTIF(E253:BV253,F283)</f>
        <v>2</v>
      </c>
      <c r="I283" s="453">
        <f>COUNTIF(E252:BV252,F283)</f>
        <v>2</v>
      </c>
      <c r="J283" s="453">
        <f>COUNTIF(E251:BV251,F283)</f>
        <v>1</v>
      </c>
      <c r="K283" s="453">
        <f>COUNTIF(E250:BV250,F283)</f>
        <v>1</v>
      </c>
      <c r="L283" s="453">
        <f>COUNTIF(E249:BV249,F283)</f>
        <v>1</v>
      </c>
      <c r="M283" s="453">
        <f>COUNTIF(E248:BV248,F283)</f>
        <v>3</v>
      </c>
      <c r="N283" s="453">
        <f>COUNTIF(E247:BV247,F283)</f>
        <v>0</v>
      </c>
      <c r="O283" s="453">
        <f>COUNTIF(E246:BV246,F283)</f>
        <v>1</v>
      </c>
      <c r="P283" s="453">
        <f>COUNTIF(E245:BV245,F283)</f>
        <v>0</v>
      </c>
      <c r="Q283" s="453">
        <f>COUNTIF(E244:BV244,F283)</f>
        <v>0</v>
      </c>
      <c r="R283" s="453">
        <f>COUNTIF(E243:BV243,F283)</f>
        <v>0</v>
      </c>
      <c r="S283" s="453">
        <f>COUNTIF(E242:BV242,F283)</f>
        <v>0</v>
      </c>
      <c r="T283" s="453">
        <f>COUNTIF(E241:BV241,F283)</f>
        <v>3</v>
      </c>
      <c r="U283" s="453">
        <f>COUNTIF(E240:BV240,F283)</f>
        <v>3</v>
      </c>
      <c r="V283" s="453">
        <f>COUNTIF(E239:BV239,F283)</f>
        <v>1</v>
      </c>
      <c r="W283" s="453">
        <f>COUNTIF(E238:BV238,F283)</f>
        <v>0</v>
      </c>
      <c r="X283" s="453">
        <f>COUNTIF(E237:BV237,F283)</f>
        <v>2</v>
      </c>
      <c r="Y283" s="453">
        <f>COUNTIF(E236:BV236,F283)</f>
        <v>2</v>
      </c>
      <c r="Z283" s="453">
        <f>COUNTIF(E235:BV235,F283)</f>
        <v>3</v>
      </c>
      <c r="AA283" s="453">
        <f>COUNTIF(E234:BV234,F283)</f>
        <v>2</v>
      </c>
      <c r="AB283" s="453">
        <f>COUNTIF(E233:BV233,F283)</f>
        <v>2</v>
      </c>
      <c r="AC283" s="453">
        <f>COUNTIF(E232:BV232,F283)</f>
        <v>3</v>
      </c>
      <c r="AD283" s="453">
        <f>COUNTIF(E231:BV231,F283)</f>
        <v>3</v>
      </c>
      <c r="AE283" s="453">
        <f>COUNTIF(E230:BV230,F283)</f>
        <v>1</v>
      </c>
      <c r="AF283" s="453">
        <f>COUNTIF(E229:BV229,F283)</f>
        <v>1</v>
      </c>
      <c r="AG283" s="453">
        <f>COUNTIF(E228:BV228,F283)</f>
        <v>1</v>
      </c>
      <c r="AH283" s="453">
        <f>COUNTIF(E227:BV227,F283)</f>
        <v>0</v>
      </c>
      <c r="AI283" s="146">
        <f>COUNTIF(E226:BV226,F283)</f>
        <v>3</v>
      </c>
      <c r="AJ283" s="146">
        <f>COUNTIF(E225:BV225,F283)</f>
        <v>2</v>
      </c>
      <c r="AK283" s="146">
        <f>COUNTIF(E224:BV224,F283)</f>
        <v>3</v>
      </c>
      <c r="AL283" s="146">
        <f>COUNTIF(E223:BV223,F283)</f>
        <v>1</v>
      </c>
      <c r="AM283" s="146">
        <f>COUNTIF(E222:BV222,F283)</f>
        <v>3</v>
      </c>
      <c r="AN283" s="146">
        <f>COUNTIF(E221:BV221,F283)</f>
        <v>1</v>
      </c>
      <c r="AO283" s="146">
        <f>COUNTIF(E220:BV220,F283)</f>
        <v>2</v>
      </c>
      <c r="AP283" s="146">
        <f>COUNTIF(E219:BV219,F283)</f>
        <v>1</v>
      </c>
      <c r="AQ283" s="146">
        <f>COUNTIF(E218:BV218,F283)</f>
        <v>2</v>
      </c>
      <c r="AR283" s="146">
        <f>COUNTIF(E217:BV217,F283)</f>
        <v>0</v>
      </c>
      <c r="AS283" s="146">
        <f>COUNTIF(E216:BV216,F283)</f>
        <v>3</v>
      </c>
      <c r="AT283" s="146">
        <f>COUNTIF(E215:BV215,F283)</f>
        <v>1</v>
      </c>
      <c r="AU283" s="146">
        <f>COUNTIF(E214:BV214,F283)</f>
        <v>3</v>
      </c>
      <c r="AV283" s="146">
        <f>COUNTIF(E213:BV213,F283)</f>
        <v>3</v>
      </c>
      <c r="AW283" s="146">
        <f>COUNTIF(E212:BV212,F283)</f>
        <v>1</v>
      </c>
      <c r="AX283" s="146">
        <f>COUNTIF(E211:BV211,F283)</f>
        <v>2</v>
      </c>
      <c r="AY283" s="146">
        <f>COUNTIF(E210:BV210,F283)</f>
        <v>1</v>
      </c>
      <c r="AZ283" s="146">
        <f>COUNTIF(E209:BV209,F283)</f>
        <v>2</v>
      </c>
      <c r="BA283" s="146">
        <f>COUNTIF(E208:BV208,F283)</f>
        <v>2</v>
      </c>
      <c r="BB283" s="146">
        <f>COUNTIF(E207:BV207,F283)</f>
        <v>2</v>
      </c>
      <c r="BC283" s="146">
        <f>COUNTIF(E206:BV206,F283)</f>
        <v>2</v>
      </c>
      <c r="BD283" s="146">
        <f>COUNTIF(E205:BV205,F283)</f>
        <v>1</v>
      </c>
      <c r="BE283" s="146">
        <f>COUNTIF(E204:BV204,F283)</f>
        <v>1</v>
      </c>
      <c r="BF283" s="146">
        <f>COUNTIF(E203:BV203,F283)</f>
        <v>0</v>
      </c>
      <c r="BG283" s="146">
        <f>COUNTIF(E202:BV202,F283)</f>
        <v>1</v>
      </c>
      <c r="BH283" s="146">
        <f>COUNTIF(E201:BV201,F283)</f>
        <v>2</v>
      </c>
      <c r="BI283" s="146">
        <f>COUNTIF(E200:BV200,F283)</f>
        <v>2</v>
      </c>
      <c r="BJ283" s="146">
        <f>COUNTIF(E199:BV199,F283)</f>
        <v>0</v>
      </c>
      <c r="BK283" s="146">
        <f>COUNTIF(E198:BV198,F283)</f>
        <v>5</v>
      </c>
      <c r="BL283" s="146">
        <f>COUNTIF(E197:BV197,F283)</f>
        <v>1</v>
      </c>
      <c r="BM283" s="146">
        <f>COUNTIF(E196:BV196,F283)</f>
        <v>1</v>
      </c>
      <c r="BN283" s="146">
        <f>COUNTIF(E195:BV195,F283)</f>
        <v>1</v>
      </c>
      <c r="BO283" s="146">
        <f>COUNTIF(E194:BV194,F283)</f>
        <v>4</v>
      </c>
      <c r="BP283" s="146">
        <f>COUNTIF(E193:BV193,F283)</f>
        <v>1</v>
      </c>
      <c r="BQ283" s="146">
        <f>COUNTIF(E192:BV192,F283)</f>
        <v>2</v>
      </c>
      <c r="BR283" s="146">
        <f>COUNTIF(E191:BV191,F283)</f>
        <v>0</v>
      </c>
      <c r="BS283" s="146">
        <f>COUNTIF(E190:BV190,F283)</f>
        <v>1</v>
      </c>
      <c r="BT283" s="146">
        <f>COUNTIF(E189:BV189,F283)</f>
        <v>1</v>
      </c>
      <c r="BU283" s="146">
        <f>COUNTIF(E188:BV188,F283)</f>
        <v>0</v>
      </c>
      <c r="BV283" s="146">
        <f>COUNTIF(E187:BV187,F283)</f>
        <v>0</v>
      </c>
      <c r="BW283" s="146">
        <f>COUNTIF(E186:BV186,F283)</f>
        <v>1</v>
      </c>
      <c r="BX283" s="146">
        <f>COUNTIF(E185:BV185,F283)</f>
        <v>0</v>
      </c>
      <c r="BY283" s="146">
        <f>COUNTIF(E184:BV184,F283)</f>
        <v>2</v>
      </c>
      <c r="BZ283" s="146">
        <f>COUNTIF(E183:BV183,F283)</f>
        <v>3</v>
      </c>
      <c r="CA283" s="146">
        <f>COUNTIF(E182:BV182,F283)</f>
        <v>2</v>
      </c>
      <c r="CB283" s="146">
        <f>COUNTIF(E181:BV181,F283)</f>
        <v>1</v>
      </c>
      <c r="CC283" s="146">
        <f>COUNTIF(E180:BV180,F283)</f>
        <v>3</v>
      </c>
      <c r="CD283" s="146">
        <f>COUNTIF(E179:BV179,F283)</f>
        <v>1</v>
      </c>
      <c r="CE283" s="146">
        <f>COUNTIF(E178:BV178,F283)</f>
        <v>0</v>
      </c>
      <c r="CF283" s="146">
        <f>COUNTIF(E177:BV177,F283)</f>
        <v>3</v>
      </c>
      <c r="CG283" s="146">
        <f>COUNTIF(E176:BV176,F283)</f>
        <v>1</v>
      </c>
      <c r="CH283" s="146">
        <f>COUNTIF(E175:BV175,F283)</f>
        <v>0</v>
      </c>
      <c r="CI283" s="146">
        <f>COUNTIF(E174:BV174,F283)</f>
        <v>0</v>
      </c>
      <c r="CJ283" s="146">
        <f>COUNTIF(E173:BV173,F283)</f>
        <v>0</v>
      </c>
      <c r="CK283" s="146">
        <f>COUNTIF(E172:BV172,F283)</f>
        <v>1</v>
      </c>
      <c r="CL283" s="146">
        <f>COUNTIF(E171:BV171,F283)</f>
        <v>0</v>
      </c>
      <c r="CM283" s="146">
        <f>COUNTIF(E170:BV170,F283)</f>
        <v>1</v>
      </c>
      <c r="CN283" s="146">
        <f>COUNTIF(E169:BV169,F283)</f>
        <v>3</v>
      </c>
      <c r="CO283" s="146">
        <f>COUNTIF(E168:BV168,F283)</f>
        <v>2</v>
      </c>
      <c r="CP283" s="146">
        <f>COUNTIF(E167:BV167,F283)</f>
        <v>2</v>
      </c>
      <c r="CQ283" s="146">
        <f>COUNTIF(E166:BV166,F283)</f>
        <v>2</v>
      </c>
      <c r="CR283" s="146">
        <f>COUNTIF(E165:BV165,F283)</f>
        <v>2</v>
      </c>
      <c r="CS283" s="146">
        <f>COUNTIF(E164:BV164,F283)</f>
        <v>3</v>
      </c>
      <c r="CT283" s="146">
        <f>COUNTIF(E163:BV163,F283)</f>
        <v>1</v>
      </c>
      <c r="CU283" s="146">
        <f>COUNTIF(E162:BV162,F283)</f>
        <v>0</v>
      </c>
      <c r="CV283" s="146">
        <f>COUNTIF(E161:BV161,F283)</f>
        <v>2</v>
      </c>
      <c r="CW283" s="146">
        <f>COUNTIF(E160:BV160,F283)</f>
        <v>3</v>
      </c>
      <c r="CX283" s="146">
        <f>COUNTIF(E159:BV159,F283)</f>
        <v>1</v>
      </c>
      <c r="CY283" s="146">
        <f>COUNTIF(E158:BV158,F283)</f>
        <v>2</v>
      </c>
      <c r="CZ283" s="146">
        <f>COUNTIF(E157:BV157,F283)</f>
        <v>1</v>
      </c>
      <c r="DA283" s="146">
        <f>COUNTIF(E156:BV156,F283)</f>
        <v>2</v>
      </c>
      <c r="DB283" s="146">
        <f>COUNTIF(E155:BV155,F283)</f>
        <v>3</v>
      </c>
      <c r="DC283" s="146">
        <f>COUNTIF(E154:BV154,F283)</f>
        <v>1</v>
      </c>
      <c r="DD283" s="146">
        <v>1</v>
      </c>
      <c r="DE283" s="146"/>
      <c r="DF283" s="146"/>
      <c r="DG283" s="146"/>
      <c r="DH283" s="146"/>
      <c r="DI283" s="146"/>
      <c r="DJ283" s="146"/>
      <c r="DK283" s="146"/>
      <c r="DL283" s="146"/>
      <c r="DM283" s="146"/>
      <c r="DN283" s="146"/>
      <c r="DO283" s="146"/>
      <c r="DP283" s="146"/>
      <c r="DQ283" s="146"/>
      <c r="DR283" s="146"/>
      <c r="DS283" s="146"/>
      <c r="DT283" s="146"/>
      <c r="DU283" s="2"/>
      <c r="DV283" s="18"/>
      <c r="DW283" s="129"/>
      <c r="DX283" s="129"/>
      <c r="DY283" s="128">
        <v>12</v>
      </c>
      <c r="DZ283" s="128">
        <v>12</v>
      </c>
      <c r="EA283" s="128">
        <v>12</v>
      </c>
      <c r="EB283" s="128">
        <v>12</v>
      </c>
      <c r="EC283" s="128">
        <v>12</v>
      </c>
      <c r="ED283" s="128">
        <v>12</v>
      </c>
      <c r="EF283" s="128">
        <v>12</v>
      </c>
      <c r="EG283" s="128">
        <v>12</v>
      </c>
      <c r="EH283" s="128">
        <v>12</v>
      </c>
      <c r="EJ283" s="129"/>
      <c r="EK283" s="128">
        <v>12</v>
      </c>
      <c r="EL283" s="128">
        <v>12</v>
      </c>
      <c r="EO283" s="128">
        <v>12</v>
      </c>
      <c r="EP283" s="128">
        <v>12</v>
      </c>
      <c r="ER283" s="128">
        <v>12</v>
      </c>
      <c r="ES283" s="128">
        <v>12</v>
      </c>
      <c r="EU283" s="128">
        <v>12</v>
      </c>
      <c r="EV283" s="128">
        <v>12</v>
      </c>
      <c r="EZ283" s="52"/>
      <c r="FB283" s="128">
        <v>20</v>
      </c>
      <c r="FC283" s="128">
        <v>20</v>
      </c>
      <c r="FF283" s="128">
        <v>20</v>
      </c>
      <c r="FG283" s="128">
        <v>20</v>
      </c>
      <c r="FI283" s="128">
        <v>20</v>
      </c>
      <c r="FJ283" s="128">
        <v>20</v>
      </c>
      <c r="FL283" s="129"/>
      <c r="FM283" s="128">
        <v>20</v>
      </c>
      <c r="FP283" s="128">
        <v>20</v>
      </c>
      <c r="FQ283" s="128">
        <v>20</v>
      </c>
      <c r="FS283" s="128">
        <v>20</v>
      </c>
      <c r="FU283" s="128">
        <v>20</v>
      </c>
      <c r="FW283" s="128">
        <v>20</v>
      </c>
      <c r="FX283" s="128">
        <v>20</v>
      </c>
      <c r="FY283" s="128">
        <v>20</v>
      </c>
      <c r="GA283" s="52"/>
      <c r="GB283" s="52"/>
      <c r="GC283" s="52"/>
      <c r="GD283" s="52"/>
      <c r="GE283" s="52"/>
      <c r="GF283" s="52"/>
      <c r="GG283" s="197"/>
      <c r="GH283" s="52"/>
      <c r="GI283" s="52"/>
      <c r="GJ283" s="52"/>
      <c r="GK283" s="52"/>
      <c r="GL283" s="52"/>
      <c r="GM283" s="52"/>
      <c r="GN283" s="52"/>
      <c r="GO283" s="52"/>
      <c r="GP283" s="52"/>
      <c r="GQ283" s="52"/>
      <c r="GR283" s="129"/>
      <c r="GS283" s="129"/>
      <c r="GT283" s="129"/>
      <c r="GU283" s="129"/>
      <c r="GV283" s="129"/>
      <c r="GW283" s="129"/>
      <c r="GX283" s="129"/>
      <c r="GY283" s="129"/>
      <c r="GZ283" s="129"/>
      <c r="HA283" s="129"/>
      <c r="HB283" s="79"/>
      <c r="HC283" s="129"/>
      <c r="HD283" s="129"/>
      <c r="HE283" s="129"/>
      <c r="HF283" s="129"/>
      <c r="HG283" s="129"/>
      <c r="HH283" s="129"/>
      <c r="HI283" s="129"/>
      <c r="HJ283" s="129"/>
      <c r="HK283" s="129"/>
      <c r="HL283" s="74"/>
      <c r="HM283" s="73"/>
      <c r="HN283" s="72"/>
      <c r="HO283" s="129"/>
      <c r="HP283" s="129"/>
      <c r="HQ283" s="129"/>
      <c r="HR283" s="129"/>
      <c r="HS283" s="129"/>
      <c r="HT283" s="129"/>
      <c r="HU283" s="129"/>
      <c r="HV283" s="129"/>
      <c r="HW283" s="129"/>
      <c r="HX283" s="129"/>
      <c r="HY283" s="129"/>
      <c r="HZ283" s="79"/>
      <c r="IA283" s="129"/>
      <c r="IB283" s="129"/>
      <c r="IC283" s="129"/>
      <c r="ID283" s="129"/>
      <c r="IE283" s="129"/>
      <c r="IF283" s="129"/>
      <c r="IG283" s="129"/>
      <c r="IH283" s="129"/>
      <c r="II283" s="129"/>
      <c r="IJ283" s="129"/>
      <c r="IK283" s="129"/>
      <c r="IL283" s="129"/>
      <c r="IM283" s="129"/>
      <c r="IN283" s="129"/>
      <c r="IO283" s="129"/>
      <c r="IP283" s="129"/>
      <c r="IQ283" s="129"/>
      <c r="IR283" s="129"/>
      <c r="IS283" s="129"/>
      <c r="IT283" s="129"/>
      <c r="IU283" s="129"/>
      <c r="IV283" s="129"/>
      <c r="IW283" s="129"/>
      <c r="IX283" s="129"/>
      <c r="IY283" s="129"/>
      <c r="IZ283" s="129"/>
      <c r="JA283" s="129"/>
      <c r="JB283" s="129"/>
      <c r="JC283" s="129"/>
      <c r="JD283" s="129"/>
      <c r="JE283" s="129"/>
      <c r="JF283" s="129"/>
      <c r="JG283" s="129"/>
      <c r="JH283" s="129"/>
      <c r="JI283" s="129"/>
      <c r="JJ283" s="129"/>
      <c r="JK283" s="129"/>
      <c r="JL283" s="129"/>
      <c r="JM283" s="129"/>
      <c r="JN283" s="129"/>
      <c r="JO283" s="129"/>
      <c r="JP283" s="129"/>
      <c r="JQ283" s="129"/>
      <c r="JR283" s="129"/>
      <c r="JS283" s="129"/>
      <c r="JT283" s="129"/>
      <c r="JU283" s="129"/>
      <c r="JV283" s="129"/>
      <c r="JW283" s="129"/>
      <c r="JX283" s="129"/>
      <c r="JY283" s="129"/>
      <c r="JZ283" s="129"/>
      <c r="KA283" s="129"/>
      <c r="KB283" s="129"/>
      <c r="KC283" s="129"/>
      <c r="KD283" s="129"/>
    </row>
    <row r="284" spans="4:290" ht="17.25">
      <c r="D284" s="128"/>
      <c r="E284" s="570">
        <v>27</v>
      </c>
      <c r="F284" s="145">
        <v>27</v>
      </c>
      <c r="G284" s="639"/>
      <c r="H284" s="453">
        <f>COUNTIF(E253:BV253,F284)</f>
        <v>3</v>
      </c>
      <c r="I284" s="453">
        <f>COUNTIF(E252:BV252,F284)</f>
        <v>1</v>
      </c>
      <c r="J284" s="453">
        <f>COUNTIF(E251:BV251,F284)</f>
        <v>1</v>
      </c>
      <c r="K284" s="453">
        <f>COUNTIF(E250:BV250,F284)</f>
        <v>3</v>
      </c>
      <c r="L284" s="453">
        <f>COUNTIF(E249:BV249,F284)</f>
        <v>0</v>
      </c>
      <c r="M284" s="453">
        <f>COUNTIF(E248:BV248,F284)</f>
        <v>2</v>
      </c>
      <c r="N284" s="453">
        <f>COUNTIF(E247:BV247,F284)</f>
        <v>3</v>
      </c>
      <c r="O284" s="453">
        <f>COUNTIF(E246:BV246,F284)</f>
        <v>0</v>
      </c>
      <c r="P284" s="453">
        <f>COUNTIF(E245:BV245,F284)</f>
        <v>1</v>
      </c>
      <c r="Q284" s="453">
        <f>COUNTIF(E244:BV244,F284)</f>
        <v>1</v>
      </c>
      <c r="R284" s="453">
        <f>COUNTIF(E243:BV243,F284)</f>
        <v>0</v>
      </c>
      <c r="S284" s="453">
        <f>COUNTIF(E242:BV242,F284)</f>
        <v>0</v>
      </c>
      <c r="T284" s="453">
        <f>COUNTIF(E241:BV241,F284)</f>
        <v>3</v>
      </c>
      <c r="U284" s="453">
        <f>COUNTIF(E240:BV240,F284)</f>
        <v>0</v>
      </c>
      <c r="V284" s="453">
        <f>COUNTIF(E239:BV239,F284)</f>
        <v>2</v>
      </c>
      <c r="W284" s="453">
        <f>COUNTIF(E238:BV238,F284)</f>
        <v>2</v>
      </c>
      <c r="X284" s="453">
        <f>COUNTIF(E237:BV237,F284)</f>
        <v>1</v>
      </c>
      <c r="Y284" s="453">
        <f>COUNTIF(E236:BV236,F284)</f>
        <v>0</v>
      </c>
      <c r="Z284" s="453">
        <f>COUNTIF(E235:BV235,F284)</f>
        <v>1</v>
      </c>
      <c r="AA284" s="453">
        <f>COUNTIF(E234:BV234,F284)</f>
        <v>2</v>
      </c>
      <c r="AB284" s="453">
        <f>COUNTIF(E233:BV233,F284)</f>
        <v>3</v>
      </c>
      <c r="AC284" s="453">
        <f>COUNTIF(E232:BV232,F284)</f>
        <v>0</v>
      </c>
      <c r="AD284" s="453">
        <f>COUNTIF(E231:BV231,F284)</f>
        <v>1</v>
      </c>
      <c r="AE284" s="453">
        <f>COUNTIF(E230:BV230,F284)</f>
        <v>1</v>
      </c>
      <c r="AF284" s="453">
        <f>COUNTIF(E229:BV229,F284)</f>
        <v>4</v>
      </c>
      <c r="AG284" s="453">
        <f>COUNTIF(E228:BV228,F284)</f>
        <v>3</v>
      </c>
      <c r="AH284" s="453">
        <f>COUNTIF(E227:BV227,F284)</f>
        <v>4</v>
      </c>
      <c r="AI284" s="146">
        <f>COUNTIF(E226:BV226,F284)</f>
        <v>0</v>
      </c>
      <c r="AJ284" s="146">
        <f>COUNTIF(E225:BV225,F284)</f>
        <v>2</v>
      </c>
      <c r="AK284" s="146">
        <f>COUNTIF(E224:BV224,F284)</f>
        <v>2</v>
      </c>
      <c r="AL284" s="146">
        <f>COUNTIF(E223:BV223,F284)</f>
        <v>2</v>
      </c>
      <c r="AM284" s="146">
        <f>COUNTIF(E222:BV222,F284)</f>
        <v>1</v>
      </c>
      <c r="AN284" s="146">
        <f>COUNTIF(E221:BV221,F284)</f>
        <v>0</v>
      </c>
      <c r="AO284" s="146">
        <f>COUNTIF(E220:BV220,F284)</f>
        <v>4</v>
      </c>
      <c r="AP284" s="146">
        <f>COUNTIF(E219:BV219,F284)</f>
        <v>1</v>
      </c>
      <c r="AQ284" s="146">
        <f>COUNTIF(E218:BV218,F284)</f>
        <v>1</v>
      </c>
      <c r="AR284" s="146">
        <f>COUNTIF(E217:BV217,F284)</f>
        <v>0</v>
      </c>
      <c r="AS284" s="146">
        <f>COUNTIF(E216:BV216,F284)</f>
        <v>1</v>
      </c>
      <c r="AT284" s="146">
        <f>COUNTIF(E215:BV215,F284)</f>
        <v>1</v>
      </c>
      <c r="AU284" s="146">
        <f>COUNTIF(E214:BV214,F284)</f>
        <v>2</v>
      </c>
      <c r="AV284" s="146">
        <f>COUNTIF(E213:BV213,F284)</f>
        <v>2</v>
      </c>
      <c r="AW284" s="146">
        <f>COUNTIF(E212:BV212,F284)</f>
        <v>2</v>
      </c>
      <c r="AX284" s="146">
        <f>COUNTIF(E211:BV211,F284)</f>
        <v>4</v>
      </c>
      <c r="AY284" s="146">
        <f>COUNTIF(E210:BV210,F284)</f>
        <v>1</v>
      </c>
      <c r="AZ284" s="146">
        <f>COUNTIF(E209:BV209,F284)</f>
        <v>0</v>
      </c>
      <c r="BA284" s="146">
        <f>COUNTIF(E208:BV208,F284)</f>
        <v>0</v>
      </c>
      <c r="BB284" s="146">
        <f>COUNTIF(E207:BV207,F284)</f>
        <v>3</v>
      </c>
      <c r="BC284" s="146">
        <f>COUNTIF(E206:BV206,F284)</f>
        <v>0</v>
      </c>
      <c r="BD284" s="146">
        <f>COUNTIF(E205:BV205,F284)</f>
        <v>3</v>
      </c>
      <c r="BE284" s="146">
        <f>COUNTIF(E204:BV204,F284)</f>
        <v>1</v>
      </c>
      <c r="BF284" s="146">
        <f>COUNTIF(E203:BV203,F284)</f>
        <v>3</v>
      </c>
      <c r="BG284" s="146">
        <f>COUNTIF(E202:BV202,F284)</f>
        <v>0</v>
      </c>
      <c r="BH284" s="146">
        <f>COUNTIF(E201:BV201,F284)</f>
        <v>0</v>
      </c>
      <c r="BI284" s="146">
        <f>COUNTIF(E200:BV200,F284)</f>
        <v>3</v>
      </c>
      <c r="BJ284" s="146">
        <f>COUNTIF(E199:BV199,F284)</f>
        <v>2</v>
      </c>
      <c r="BK284" s="146">
        <f>COUNTIF(E198:BV198,F284)</f>
        <v>1</v>
      </c>
      <c r="BL284" s="146">
        <f>COUNTIF(E197:BV197,F284)</f>
        <v>5</v>
      </c>
      <c r="BM284" s="146">
        <f>COUNTIF(E196:BV196,F284)</f>
        <v>0</v>
      </c>
      <c r="BN284" s="146">
        <f>COUNTIF(E195:BV195,F284)</f>
        <v>0</v>
      </c>
      <c r="BO284" s="146">
        <f>COUNTIF(E194:BV194,F284)</f>
        <v>2</v>
      </c>
      <c r="BP284" s="146">
        <f>COUNTIF(E193:BV193,F284)</f>
        <v>2</v>
      </c>
      <c r="BQ284" s="146">
        <f>COUNTIF(E192:BV192,F284)</f>
        <v>3</v>
      </c>
      <c r="BR284" s="146">
        <f>COUNTIF(E191:BV191,F284)</f>
        <v>0</v>
      </c>
      <c r="BS284" s="146">
        <f>COUNTIF(E190:BV190,F284)</f>
        <v>1</v>
      </c>
      <c r="BT284" s="146">
        <f>COUNTIF(E189:BV189,F284)</f>
        <v>1</v>
      </c>
      <c r="BU284" s="146">
        <f>COUNTIF(E188:BV188,F284)</f>
        <v>3</v>
      </c>
      <c r="BV284" s="146">
        <f>COUNTIF(E187:BV187,F284)</f>
        <v>3</v>
      </c>
      <c r="BW284" s="146">
        <f>COUNTIF(E186:BV186,F284)</f>
        <v>2</v>
      </c>
      <c r="BX284" s="146">
        <f>COUNTIF(E185:BV185,F284)</f>
        <v>2</v>
      </c>
      <c r="BY284" s="146">
        <f>COUNTIF(E184:BV184,F284)</f>
        <v>2</v>
      </c>
      <c r="BZ284" s="146">
        <f>COUNTIF(E183:BV183,F284)</f>
        <v>3</v>
      </c>
      <c r="CA284" s="146">
        <f>COUNTIF(E182:BV182,F284)</f>
        <v>1</v>
      </c>
      <c r="CB284" s="146">
        <f>COUNTIF(E181:BV181,F284)</f>
        <v>3</v>
      </c>
      <c r="CC284" s="146">
        <f>COUNTIF(E180:BV180,F284)</f>
        <v>1</v>
      </c>
      <c r="CD284" s="146">
        <f>COUNTIF(E179:BV179,F284)</f>
        <v>1</v>
      </c>
      <c r="CE284" s="146">
        <f>COUNTIF(E178:BV178,F284)</f>
        <v>0</v>
      </c>
      <c r="CF284" s="146">
        <f>COUNTIF(E177:BV177,F284)</f>
        <v>1</v>
      </c>
      <c r="CG284" s="146">
        <f>COUNTIF(E176:BV176,F284)</f>
        <v>0</v>
      </c>
      <c r="CH284" s="146">
        <f>COUNTIF(E175:BV175,F284)</f>
        <v>0</v>
      </c>
      <c r="CI284" s="146">
        <f>COUNTIF(E174:BV174,F284)</f>
        <v>0</v>
      </c>
      <c r="CJ284" s="146">
        <f>COUNTIF(E173:BV173,F284)</f>
        <v>3</v>
      </c>
      <c r="CK284" s="146">
        <f>COUNTIF(E172:BV172,F284)</f>
        <v>3</v>
      </c>
      <c r="CL284" s="146">
        <f>COUNTIF(E171:BV171,F284)</f>
        <v>0</v>
      </c>
      <c r="CM284" s="146">
        <f>COUNTIF(E170:BV170,F284)</f>
        <v>3</v>
      </c>
      <c r="CN284" s="146">
        <f>COUNTIF(E169:BV169,F284)</f>
        <v>4</v>
      </c>
      <c r="CO284" s="146">
        <f>COUNTIF(E168:BV168,F284)</f>
        <v>0</v>
      </c>
      <c r="CP284" s="146">
        <f>COUNTIF(E167:BV167,F284)</f>
        <v>0</v>
      </c>
      <c r="CQ284" s="146">
        <f>COUNTIF(E166:BV166,F284)</f>
        <v>1</v>
      </c>
      <c r="CR284" s="146">
        <f>COUNTIF(E165:BV165,F284)</f>
        <v>1</v>
      </c>
      <c r="CS284" s="146">
        <f>COUNTIF(E164:BV164,F284)</f>
        <v>1</v>
      </c>
      <c r="CT284" s="146">
        <f>COUNTIF(E163:BV163,F284)</f>
        <v>1</v>
      </c>
      <c r="CU284" s="146">
        <f>COUNTIF(E162:BV162,F284)</f>
        <v>1</v>
      </c>
      <c r="CV284" s="146">
        <f>COUNTIF(E161:BV161,F284)</f>
        <v>1</v>
      </c>
      <c r="CW284" s="146">
        <f>COUNTIF(E160:BV160,F284)</f>
        <v>1</v>
      </c>
      <c r="CX284" s="146">
        <f>COUNTIF(E159:BV159,F284)</f>
        <v>1</v>
      </c>
      <c r="CY284" s="146">
        <f>COUNTIF(E158:BV158,F284)</f>
        <v>1</v>
      </c>
      <c r="CZ284" s="146">
        <f>COUNTIF(E157:BV157,F284)</f>
        <v>2</v>
      </c>
      <c r="DA284" s="146">
        <f>COUNTIF(E156:BV156,F284)</f>
        <v>2</v>
      </c>
      <c r="DB284" s="146">
        <f>COUNTIF(E155:BV155,F284)</f>
        <v>1</v>
      </c>
      <c r="DC284" s="146">
        <f>COUNTIF(E154:BV154,F284)</f>
        <v>1</v>
      </c>
      <c r="DD284" s="146">
        <v>1</v>
      </c>
      <c r="DE284" s="146"/>
      <c r="DF284" s="146"/>
      <c r="DG284" s="146"/>
      <c r="DH284" s="146"/>
      <c r="DI284" s="146"/>
      <c r="DJ284" s="146"/>
      <c r="DK284" s="146"/>
      <c r="DL284" s="146"/>
      <c r="DM284" s="146"/>
      <c r="DN284" s="146"/>
      <c r="DO284" s="146"/>
      <c r="DP284" s="146"/>
      <c r="DQ284" s="146"/>
      <c r="DR284" s="146"/>
      <c r="DS284" s="146"/>
      <c r="DT284" s="146"/>
      <c r="DU284" s="2"/>
      <c r="DV284" s="18"/>
      <c r="DW284" s="129"/>
      <c r="DX284" s="129"/>
      <c r="DY284" s="128">
        <v>13</v>
      </c>
      <c r="DZ284" s="128">
        <v>13</v>
      </c>
      <c r="EA284" s="128">
        <v>13</v>
      </c>
      <c r="EB284" s="128">
        <v>13</v>
      </c>
      <c r="EC284" s="128">
        <v>13</v>
      </c>
      <c r="ED284" s="128">
        <v>13</v>
      </c>
      <c r="EE284" s="128">
        <v>13</v>
      </c>
      <c r="EF284" s="128">
        <v>13</v>
      </c>
      <c r="EG284" s="128">
        <v>13</v>
      </c>
      <c r="EJ284" s="129"/>
      <c r="EK284" s="128">
        <v>13</v>
      </c>
      <c r="EL284" s="128">
        <v>13</v>
      </c>
      <c r="EM284" s="128">
        <v>13</v>
      </c>
      <c r="EO284" s="128">
        <v>13</v>
      </c>
      <c r="EP284" s="128">
        <v>13</v>
      </c>
      <c r="EQ284" s="128">
        <v>13</v>
      </c>
      <c r="ES284" s="128">
        <v>13</v>
      </c>
      <c r="ET284" s="128">
        <v>13</v>
      </c>
      <c r="EU284" s="128">
        <v>13</v>
      </c>
      <c r="EX284" s="128">
        <v>13</v>
      </c>
      <c r="EZ284" s="52"/>
      <c r="FA284" s="128">
        <v>21</v>
      </c>
      <c r="FC284" s="128">
        <v>21</v>
      </c>
      <c r="FF284" s="128">
        <v>21</v>
      </c>
      <c r="FG284" s="128">
        <v>21</v>
      </c>
      <c r="FH284" s="128">
        <v>21</v>
      </c>
      <c r="FI284" s="128">
        <v>21</v>
      </c>
      <c r="FJ284" s="128">
        <v>21</v>
      </c>
      <c r="FL284" s="129"/>
      <c r="FM284" s="128">
        <v>21</v>
      </c>
      <c r="FO284" s="128">
        <v>21</v>
      </c>
      <c r="FP284" s="128">
        <v>21</v>
      </c>
      <c r="FQ284" s="128">
        <v>21</v>
      </c>
      <c r="FR284" s="128">
        <v>21</v>
      </c>
      <c r="FT284" s="128">
        <v>21</v>
      </c>
      <c r="FU284" s="128">
        <v>21</v>
      </c>
      <c r="FV284" s="128">
        <v>21</v>
      </c>
      <c r="FX284" s="128">
        <v>21</v>
      </c>
      <c r="FY284" s="128">
        <v>21</v>
      </c>
      <c r="FZ284" s="128">
        <v>21</v>
      </c>
      <c r="GA284" s="52"/>
      <c r="GB284" s="52"/>
      <c r="GC284" s="52"/>
      <c r="GD284" s="52"/>
      <c r="GE284" s="52"/>
      <c r="GF284" s="52"/>
      <c r="GG284" s="197"/>
      <c r="GH284" s="52"/>
      <c r="GI284" s="52"/>
      <c r="GJ284" s="52"/>
      <c r="GK284" s="52"/>
      <c r="GL284" s="52"/>
      <c r="GM284" s="52"/>
      <c r="GN284" s="52"/>
      <c r="GO284" s="52"/>
      <c r="GP284" s="52"/>
      <c r="GQ284" s="52"/>
      <c r="GR284" s="129"/>
      <c r="GS284" s="129"/>
      <c r="GT284" s="129"/>
      <c r="GU284" s="129"/>
      <c r="GV284" s="129"/>
      <c r="GW284" s="129"/>
      <c r="GX284" s="129"/>
      <c r="GY284" s="129"/>
      <c r="GZ284" s="129"/>
      <c r="HA284" s="129"/>
      <c r="HB284" s="79"/>
      <c r="HC284" s="129"/>
      <c r="HD284" s="129"/>
      <c r="HE284" s="129"/>
      <c r="HF284" s="129"/>
      <c r="HG284" s="129"/>
      <c r="HH284" s="129"/>
      <c r="HI284" s="129"/>
      <c r="HJ284" s="129"/>
      <c r="HK284" s="129"/>
      <c r="HL284" s="129"/>
      <c r="HM284" s="74"/>
      <c r="HN284" s="73"/>
      <c r="HO284" s="72"/>
      <c r="HP284" s="129"/>
      <c r="HQ284" s="129"/>
      <c r="HR284" s="129"/>
      <c r="HS284" s="129"/>
      <c r="HT284" s="129"/>
      <c r="HU284" s="129"/>
      <c r="HV284" s="129"/>
      <c r="HW284" s="129"/>
      <c r="HX284" s="129"/>
      <c r="HY284" s="129"/>
      <c r="HZ284" s="79"/>
      <c r="IA284" s="129"/>
      <c r="IB284" s="129"/>
      <c r="IC284" s="129"/>
      <c r="ID284" s="129"/>
      <c r="IE284" s="129"/>
      <c r="IF284" s="129"/>
      <c r="IG284" s="129"/>
      <c r="IH284" s="129"/>
      <c r="II284" s="129"/>
      <c r="IJ284" s="129"/>
      <c r="IK284" s="129"/>
      <c r="IL284" s="129"/>
      <c r="IM284" s="129"/>
      <c r="IN284" s="129"/>
      <c r="IO284" s="129"/>
      <c r="IP284" s="129"/>
      <c r="IQ284" s="129"/>
      <c r="IR284" s="129"/>
      <c r="IS284" s="129"/>
      <c r="IT284" s="129"/>
      <c r="IU284" s="129"/>
      <c r="IV284" s="129"/>
      <c r="IW284" s="129"/>
      <c r="IX284" s="129"/>
      <c r="IY284" s="129"/>
      <c r="IZ284" s="129"/>
      <c r="JA284" s="129"/>
      <c r="JB284" s="129"/>
      <c r="JC284" s="129"/>
      <c r="JD284" s="129"/>
      <c r="JE284" s="129"/>
      <c r="JF284" s="129"/>
      <c r="JG284" s="129"/>
      <c r="JH284" s="129"/>
      <c r="JI284" s="129"/>
      <c r="JJ284" s="129"/>
      <c r="JK284" s="129"/>
      <c r="JL284" s="129"/>
      <c r="JM284" s="129"/>
      <c r="JN284" s="129"/>
      <c r="JO284" s="129"/>
      <c r="JP284" s="129"/>
      <c r="JQ284" s="129"/>
      <c r="JR284" s="129"/>
      <c r="JS284" s="129"/>
      <c r="JT284" s="129"/>
      <c r="JU284" s="129"/>
      <c r="JV284" s="129"/>
      <c r="JW284" s="129"/>
      <c r="JX284" s="129"/>
      <c r="JY284" s="129"/>
      <c r="JZ284" s="129"/>
      <c r="KA284" s="129"/>
      <c r="KB284" s="129"/>
      <c r="KC284" s="129"/>
      <c r="KD284" s="129"/>
    </row>
    <row r="285" spans="4:290" ht="17.25">
      <c r="D285" s="128"/>
      <c r="E285" s="570">
        <v>28</v>
      </c>
      <c r="F285" s="145">
        <v>28</v>
      </c>
      <c r="G285" s="639"/>
      <c r="H285" s="453">
        <f>COUNTIF(E253:BV253,F285)</f>
        <v>6</v>
      </c>
      <c r="I285" s="453">
        <f>COUNTIF(E252:BV252,F285)</f>
        <v>0</v>
      </c>
      <c r="J285" s="453">
        <f>COUNTIF(E251:BV251,F285)</f>
        <v>3</v>
      </c>
      <c r="K285" s="453">
        <f>COUNTIF(E250:BV250,F285)</f>
        <v>1</v>
      </c>
      <c r="L285" s="453">
        <f>COUNTIF(E249:BV249,F285)</f>
        <v>3</v>
      </c>
      <c r="M285" s="453">
        <f>COUNTIF(E248:BV248,F285)</f>
        <v>1</v>
      </c>
      <c r="N285" s="453">
        <f>COUNTIF(E247:BV247,F285)</f>
        <v>2</v>
      </c>
      <c r="O285" s="453">
        <f>COUNTIF(E246:BV246,F285)</f>
        <v>2</v>
      </c>
      <c r="P285" s="453">
        <f>COUNTIF(E245:BV245,F285)</f>
        <v>3</v>
      </c>
      <c r="Q285" s="453">
        <f>COUNTIF(E244:BV244,F285)</f>
        <v>0</v>
      </c>
      <c r="R285" s="453">
        <f>COUNTIF(E243:BV243,F285)</f>
        <v>0</v>
      </c>
      <c r="S285" s="453">
        <f>COUNTIF(E242:BV242,F285)</f>
        <v>2</v>
      </c>
      <c r="T285" s="453">
        <f>COUNTIF(E241:BV241,F285)</f>
        <v>0</v>
      </c>
      <c r="U285" s="453">
        <f>COUNTIF(E240:BV240,F285)</f>
        <v>1</v>
      </c>
      <c r="V285" s="453">
        <f>COUNTIF(E239:BV239,F285)</f>
        <v>1</v>
      </c>
      <c r="W285" s="453">
        <f>COUNTIF(E238:BV238,F285)</f>
        <v>2</v>
      </c>
      <c r="X285" s="453">
        <f>COUNTIF(E237:BV237,F285)</f>
        <v>4</v>
      </c>
      <c r="Y285" s="453">
        <f>COUNTIF(E236:BV236,F285)</f>
        <v>1</v>
      </c>
      <c r="Z285" s="453">
        <f>COUNTIF(E235:BV235,F285)</f>
        <v>1</v>
      </c>
      <c r="AA285" s="453">
        <f>COUNTIF(E234:BV234,F285)</f>
        <v>1</v>
      </c>
      <c r="AB285" s="453">
        <f>COUNTIF(E233:BV233,F285)</f>
        <v>0</v>
      </c>
      <c r="AC285" s="453">
        <f>COUNTIF(E232:BV232,F285)</f>
        <v>0</v>
      </c>
      <c r="AD285" s="453">
        <f>COUNTIF(E231:BV231,F285)</f>
        <v>1</v>
      </c>
      <c r="AE285" s="453">
        <f>COUNTIF(E230:BV230,F285)</f>
        <v>0</v>
      </c>
      <c r="AF285" s="453">
        <f>COUNTIF(E229:BV229,F285)</f>
        <v>1</v>
      </c>
      <c r="AG285" s="453">
        <f>COUNTIF(E228:BV228,F285)</f>
        <v>0</v>
      </c>
      <c r="AH285" s="453">
        <f>COUNTIF(E227:BV227,F285)</f>
        <v>1</v>
      </c>
      <c r="AI285" s="146">
        <f>COUNTIF(E226:BV226,F285)</f>
        <v>1</v>
      </c>
      <c r="AJ285" s="146">
        <f>COUNTIF(E225:BV225,F285)</f>
        <v>2</v>
      </c>
      <c r="AK285" s="146">
        <f>COUNTIF(E224:BV224,F285)</f>
        <v>2</v>
      </c>
      <c r="AL285" s="146">
        <f>COUNTIF(E223:BV223,F285)</f>
        <v>1</v>
      </c>
      <c r="AM285" s="146">
        <f>COUNTIF(E222:BV222,F285)</f>
        <v>1</v>
      </c>
      <c r="AN285" s="146">
        <f>COUNTIF(E221:BV221,F285)</f>
        <v>1</v>
      </c>
      <c r="AO285" s="146">
        <f>COUNTIF(E220:BV220,F285)</f>
        <v>2</v>
      </c>
      <c r="AP285" s="146">
        <f>COUNTIF(E219:BV219,F285)</f>
        <v>1</v>
      </c>
      <c r="AQ285" s="146">
        <f>COUNTIF(E218:BV218,F285)</f>
        <v>2</v>
      </c>
      <c r="AR285" s="146">
        <f>COUNTIF(E217:BV217,F285)</f>
        <v>3</v>
      </c>
      <c r="AS285" s="146">
        <f>COUNTIF(E216:BV216,F285)</f>
        <v>1</v>
      </c>
      <c r="AT285" s="146">
        <f>COUNTIF(E215:BV215,F285)</f>
        <v>2</v>
      </c>
      <c r="AU285" s="146">
        <f>COUNTIF(E214:BV214,F285)</f>
        <v>2</v>
      </c>
      <c r="AV285" s="146">
        <f>COUNTIF(E213:BV213,F285)</f>
        <v>1</v>
      </c>
      <c r="AW285" s="146">
        <f>COUNTIF(E212:BV212,F285)</f>
        <v>4</v>
      </c>
      <c r="AX285" s="146">
        <f>COUNTIF(E211:BV211,F285)</f>
        <v>0</v>
      </c>
      <c r="AY285" s="146">
        <f>COUNTIF(E210:BV210,F285)</f>
        <v>1</v>
      </c>
      <c r="AZ285" s="146">
        <f>COUNTIF(E209:BV209,F285)</f>
        <v>2</v>
      </c>
      <c r="BA285" s="146">
        <f>COUNTIF(E208:BV208,F285)</f>
        <v>0</v>
      </c>
      <c r="BB285" s="146">
        <f>COUNTIF(E207:BV207,F285)</f>
        <v>2</v>
      </c>
      <c r="BC285" s="146">
        <f>COUNTIF(E206:BV206,F285)</f>
        <v>5</v>
      </c>
      <c r="BD285" s="146">
        <f>COUNTIF(E205:BV205,F285)</f>
        <v>1</v>
      </c>
      <c r="BE285" s="146">
        <f>COUNTIF(E204:BV204,F285)</f>
        <v>0</v>
      </c>
      <c r="BF285" s="146">
        <f>COUNTIF(E203:BV203,F285)</f>
        <v>1</v>
      </c>
      <c r="BG285" s="146">
        <f>COUNTIF(E202:BV202,F285)</f>
        <v>3</v>
      </c>
      <c r="BH285" s="146">
        <f>COUNTIF(E201:BV201,F285)</f>
        <v>0</v>
      </c>
      <c r="BI285" s="146">
        <f>COUNTIF(E200:BV200,F285)</f>
        <v>1</v>
      </c>
      <c r="BJ285" s="146">
        <f>COUNTIF(E199:BV199,F285)</f>
        <v>2</v>
      </c>
      <c r="BK285" s="146">
        <f>COUNTIF(E198:BV198,F285)</f>
        <v>2</v>
      </c>
      <c r="BL285" s="146">
        <f>COUNTIF(E197:BV197,F285)</f>
        <v>2</v>
      </c>
      <c r="BM285" s="146">
        <f>COUNTIF(E196:BV196,F285)</f>
        <v>0</v>
      </c>
      <c r="BN285" s="146">
        <f>COUNTIF(E195:BV195,F285)</f>
        <v>1</v>
      </c>
      <c r="BO285" s="146">
        <f>COUNTIF(E194:BV194,F285)</f>
        <v>1</v>
      </c>
      <c r="BP285" s="146">
        <f>COUNTIF(E193:BV193,F285)</f>
        <v>0</v>
      </c>
      <c r="BQ285" s="146">
        <f>COUNTIF(E192:BV192,F285)</f>
        <v>0</v>
      </c>
      <c r="BR285" s="146">
        <f>COUNTIF(E191:BV191,F285)</f>
        <v>3</v>
      </c>
      <c r="BS285" s="146">
        <f>COUNTIF(E190:BV190,F285)</f>
        <v>0</v>
      </c>
      <c r="BT285" s="146">
        <f>COUNTIF(E189:BV189,F285)</f>
        <v>1</v>
      </c>
      <c r="BU285" s="146">
        <f>COUNTIF(E188:BV188,F285)</f>
        <v>1</v>
      </c>
      <c r="BV285" s="146">
        <f>COUNTIF(E187:BV187,F285)</f>
        <v>0</v>
      </c>
      <c r="BW285" s="146">
        <f>COUNTIF(E186:BV186,F285)</f>
        <v>1</v>
      </c>
      <c r="BX285" s="146">
        <f>COUNTIF(E185:BV185,F285)</f>
        <v>3</v>
      </c>
      <c r="BY285" s="146">
        <f>COUNTIF(E184:BV184,F285)</f>
        <v>1</v>
      </c>
      <c r="BZ285" s="146">
        <f>COUNTIF(E183:BV183,F285)</f>
        <v>2</v>
      </c>
      <c r="CA285" s="146">
        <f>COUNTIF(E182:BV182,F285)</f>
        <v>3</v>
      </c>
      <c r="CB285" s="146">
        <f>COUNTIF(E181:BV181,F285)</f>
        <v>1</v>
      </c>
      <c r="CC285" s="146">
        <f>COUNTIF(E180:BV180,F285)</f>
        <v>1</v>
      </c>
      <c r="CD285" s="146">
        <f>COUNTIF(E179:BV179,F285)</f>
        <v>2</v>
      </c>
      <c r="CE285" s="146">
        <f>COUNTIF(E178:BV178,F285)</f>
        <v>1</v>
      </c>
      <c r="CF285" s="146">
        <f>COUNTIF(E177:BV177,F285)</f>
        <v>1</v>
      </c>
      <c r="CG285" s="146">
        <f>COUNTIF(E176:BV176,F285)</f>
        <v>2</v>
      </c>
      <c r="CH285" s="146">
        <f>COUNTIF(E175:BV175,F285)</f>
        <v>0</v>
      </c>
      <c r="CI285" s="146">
        <f>COUNTIF(E174:BV174,F285)</f>
        <v>1</v>
      </c>
      <c r="CJ285" s="146">
        <f>COUNTIF(E173:BV173,F285)</f>
        <v>0</v>
      </c>
      <c r="CK285" s="146">
        <f>COUNTIF(E172:BV172,F285)</f>
        <v>1</v>
      </c>
      <c r="CL285" s="146">
        <f>COUNTIF(E171:BV171,F285)</f>
        <v>0</v>
      </c>
      <c r="CM285" s="146">
        <f>COUNTIF(E170:BV170,F285)</f>
        <v>2</v>
      </c>
      <c r="CN285" s="146">
        <f>COUNTIF(E169:BV169,F285)</f>
        <v>0</v>
      </c>
      <c r="CO285" s="146">
        <f>COUNTIF(E168:BV168,F285)</f>
        <v>2</v>
      </c>
      <c r="CP285" s="146">
        <f>COUNTIF(E167:BV167,F285)</f>
        <v>1</v>
      </c>
      <c r="CQ285" s="146">
        <f>COUNTIF(E166:BV166,F285)</f>
        <v>1</v>
      </c>
      <c r="CR285" s="146">
        <f>COUNTIF(E165:BV165,F285)</f>
        <v>0</v>
      </c>
      <c r="CS285" s="146">
        <f>COUNTIF(E164:BV164,F285)</f>
        <v>2</v>
      </c>
      <c r="CT285" s="146">
        <f>COUNTIF(E163:BV163,F285)</f>
        <v>1</v>
      </c>
      <c r="CU285" s="146">
        <f>COUNTIF(E162:BV162,F285)</f>
        <v>4</v>
      </c>
      <c r="CV285" s="146">
        <f>COUNTIF(E161:BV161,F285)</f>
        <v>2</v>
      </c>
      <c r="CW285" s="146">
        <f>COUNTIF(E160:BV160,F285)</f>
        <v>1</v>
      </c>
      <c r="CX285" s="146">
        <f>COUNTIF(E159:BV159,F285)</f>
        <v>3</v>
      </c>
      <c r="CY285" s="146">
        <f>COUNTIF(E158:BV158,F285)</f>
        <v>1</v>
      </c>
      <c r="CZ285" s="146">
        <f>COUNTIF(E157:BV157,F285)</f>
        <v>1</v>
      </c>
      <c r="DA285" s="146">
        <f>COUNTIF(E156:BV156,F285)</f>
        <v>2</v>
      </c>
      <c r="DB285" s="146">
        <f>COUNTIF(E155:BV155,F285)</f>
        <v>1</v>
      </c>
      <c r="DC285" s="146">
        <f>COUNTIF(E154:BV154,F285)</f>
        <v>2</v>
      </c>
      <c r="DD285" s="146">
        <v>2</v>
      </c>
      <c r="DE285" s="146"/>
      <c r="DF285" s="146"/>
      <c r="DG285" s="146"/>
      <c r="DH285" s="146"/>
      <c r="DI285" s="146"/>
      <c r="DJ285" s="146"/>
      <c r="DK285" s="146"/>
      <c r="DL285" s="146"/>
      <c r="DM285" s="146"/>
      <c r="DN285" s="146"/>
      <c r="DO285" s="146"/>
      <c r="DP285" s="146"/>
      <c r="DQ285" s="146"/>
      <c r="DR285" s="146"/>
      <c r="DS285" s="146"/>
      <c r="DT285" s="146"/>
      <c r="DU285" s="2"/>
      <c r="DV285" s="18"/>
      <c r="DW285" s="129"/>
      <c r="DX285" s="129"/>
      <c r="DY285" s="128">
        <v>14</v>
      </c>
      <c r="DZ285" s="128">
        <v>14</v>
      </c>
      <c r="EA285" s="128">
        <v>14</v>
      </c>
      <c r="EB285" s="128">
        <v>14</v>
      </c>
      <c r="EC285" s="128">
        <v>14</v>
      </c>
      <c r="ED285" s="128">
        <v>14</v>
      </c>
      <c r="EE285" s="128">
        <v>14</v>
      </c>
      <c r="EF285" s="128">
        <v>14</v>
      </c>
      <c r="EG285" s="128">
        <v>14</v>
      </c>
      <c r="EH285" s="128">
        <v>14</v>
      </c>
      <c r="EJ285" s="129"/>
      <c r="EL285" s="128">
        <v>14</v>
      </c>
      <c r="EM285" s="128">
        <v>14</v>
      </c>
      <c r="EO285" s="128">
        <v>14</v>
      </c>
      <c r="EP285" s="128">
        <v>14</v>
      </c>
      <c r="EQ285" s="128">
        <v>14</v>
      </c>
      <c r="ER285" s="128">
        <v>14</v>
      </c>
      <c r="ES285" s="128">
        <v>14</v>
      </c>
      <c r="ET285" s="128">
        <v>14</v>
      </c>
      <c r="EU285" s="128">
        <v>14</v>
      </c>
      <c r="EW285" s="128">
        <v>14</v>
      </c>
      <c r="EX285" s="128">
        <v>14</v>
      </c>
      <c r="EZ285" s="52"/>
      <c r="FA285" s="128">
        <v>22</v>
      </c>
      <c r="FB285" s="128">
        <v>22</v>
      </c>
      <c r="FC285" s="128">
        <v>22</v>
      </c>
      <c r="FD285" s="128">
        <v>22</v>
      </c>
      <c r="FE285" s="128">
        <v>22</v>
      </c>
      <c r="FF285" s="128">
        <v>22</v>
      </c>
      <c r="FI285" s="128">
        <v>22</v>
      </c>
      <c r="FJ285" s="128">
        <v>22</v>
      </c>
      <c r="FL285" s="129"/>
      <c r="FM285" s="128">
        <v>22</v>
      </c>
      <c r="FO285" s="128">
        <v>22</v>
      </c>
      <c r="FP285" s="128">
        <v>22</v>
      </c>
      <c r="FQ285" s="128">
        <v>22</v>
      </c>
      <c r="FS285" s="128">
        <v>22</v>
      </c>
      <c r="FU285" s="128">
        <v>22</v>
      </c>
      <c r="FW285" s="128">
        <v>22</v>
      </c>
      <c r="FX285" s="128">
        <v>22</v>
      </c>
      <c r="FY285" s="128">
        <v>22</v>
      </c>
      <c r="FZ285" s="128">
        <v>22</v>
      </c>
      <c r="GA285" s="52"/>
      <c r="GB285" s="52"/>
      <c r="GC285" s="52"/>
      <c r="GD285" s="52"/>
      <c r="GE285" s="52"/>
      <c r="GF285" s="52"/>
      <c r="GG285" s="197"/>
      <c r="GH285" s="52"/>
      <c r="GI285" s="52"/>
      <c r="GJ285" s="52"/>
      <c r="GK285" s="52"/>
      <c r="GL285" s="52"/>
      <c r="GM285" s="52"/>
      <c r="GN285" s="52"/>
      <c r="GO285" s="52"/>
      <c r="GP285" s="52"/>
      <c r="GQ285" s="52"/>
      <c r="GR285" s="129"/>
      <c r="GS285" s="129"/>
      <c r="GT285" s="129"/>
      <c r="GU285" s="129"/>
      <c r="GV285" s="129"/>
      <c r="GW285" s="129"/>
      <c r="GX285" s="129"/>
      <c r="GY285" s="129"/>
      <c r="GZ285" s="129"/>
      <c r="HA285" s="129"/>
      <c r="HB285" s="79"/>
      <c r="HC285" s="129"/>
      <c r="HD285" s="129"/>
      <c r="HE285" s="129"/>
      <c r="HF285" s="129"/>
      <c r="HG285" s="129"/>
      <c r="HH285" s="129"/>
      <c r="HI285" s="129"/>
      <c r="HJ285" s="129"/>
      <c r="HK285" s="129"/>
      <c r="HL285" s="129"/>
      <c r="HM285" s="129"/>
      <c r="HN285" s="74"/>
      <c r="HO285" s="73"/>
      <c r="HP285" s="72"/>
      <c r="HQ285" s="129"/>
      <c r="HR285" s="129"/>
      <c r="HS285" s="129"/>
      <c r="HT285" s="129"/>
      <c r="HU285" s="129"/>
      <c r="HV285" s="129"/>
      <c r="HW285" s="129"/>
      <c r="HX285" s="129"/>
      <c r="HY285" s="129"/>
      <c r="HZ285" s="79"/>
      <c r="IA285" s="129"/>
      <c r="IB285" s="129"/>
      <c r="IC285" s="129"/>
      <c r="ID285" s="129"/>
      <c r="IE285" s="129"/>
      <c r="IF285" s="129"/>
      <c r="IG285" s="129"/>
      <c r="IH285" s="129"/>
      <c r="II285" s="129"/>
      <c r="IJ285" s="129"/>
      <c r="IK285" s="129"/>
      <c r="IL285" s="129"/>
      <c r="IM285" s="129"/>
      <c r="IN285" s="129"/>
      <c r="IO285" s="129"/>
      <c r="IP285" s="129"/>
      <c r="IQ285" s="129"/>
      <c r="IR285" s="129"/>
      <c r="IS285" s="129"/>
      <c r="IT285" s="129"/>
      <c r="IU285" s="129"/>
      <c r="IV285" s="129"/>
      <c r="IW285" s="129"/>
      <c r="IX285" s="129"/>
      <c r="IY285" s="129"/>
      <c r="IZ285" s="129"/>
      <c r="JA285" s="129"/>
      <c r="JB285" s="129"/>
      <c r="JC285" s="129"/>
      <c r="JD285" s="129"/>
      <c r="JE285" s="129"/>
      <c r="JF285" s="129"/>
      <c r="JG285" s="129"/>
      <c r="JH285" s="129"/>
      <c r="JI285" s="129"/>
      <c r="JJ285" s="129"/>
      <c r="JK285" s="129"/>
      <c r="JL285" s="129"/>
      <c r="JM285" s="129"/>
      <c r="JN285" s="129"/>
      <c r="JO285" s="129"/>
      <c r="JP285" s="129"/>
      <c r="JQ285" s="129"/>
      <c r="JR285" s="129"/>
      <c r="JS285" s="129"/>
      <c r="JT285" s="129"/>
      <c r="JU285" s="129"/>
      <c r="JV285" s="129"/>
      <c r="JW285" s="129"/>
      <c r="JX285" s="129"/>
      <c r="JY285" s="129"/>
      <c r="JZ285" s="129"/>
      <c r="KA285" s="129"/>
      <c r="KB285" s="129"/>
      <c r="KC285" s="129"/>
      <c r="KD285" s="129"/>
    </row>
    <row r="286" spans="4:290" ht="17.25">
      <c r="D286" s="128"/>
      <c r="E286" s="570">
        <v>29</v>
      </c>
      <c r="F286" s="145">
        <v>29</v>
      </c>
      <c r="G286" s="639"/>
      <c r="H286" s="453">
        <f>COUNTIF(E253:BV253,F286)</f>
        <v>3</v>
      </c>
      <c r="I286" s="453">
        <f>COUNTIF(E252:BV252,F286)</f>
        <v>0</v>
      </c>
      <c r="J286" s="453">
        <f>COUNTIF(E251:BV251,F286)</f>
        <v>1</v>
      </c>
      <c r="K286" s="453">
        <f>COUNTIF(E250:BV250,F286)</f>
        <v>1</v>
      </c>
      <c r="L286" s="453">
        <f>COUNTIF(E249:BV249,F286)</f>
        <v>1</v>
      </c>
      <c r="M286" s="453">
        <f>COUNTIF(E248:BV248,F286)</f>
        <v>1</v>
      </c>
      <c r="N286" s="453">
        <f>COUNTIF(E247:BV247,F286)</f>
        <v>1</v>
      </c>
      <c r="O286" s="453">
        <f>COUNTIF(E246:BV246,F286)</f>
        <v>0</v>
      </c>
      <c r="P286" s="453">
        <f>COUNTIF(E245:BV245,F286)</f>
        <v>2</v>
      </c>
      <c r="Q286" s="453">
        <f>COUNTIF(E244:BV244,F286)</f>
        <v>1</v>
      </c>
      <c r="R286" s="453">
        <f>COUNTIF(E243:BV243,F286)</f>
        <v>1</v>
      </c>
      <c r="S286" s="453">
        <f>COUNTIF(E242:BV242,F286)</f>
        <v>1</v>
      </c>
      <c r="T286" s="453">
        <f>COUNTIF(E241:BV241,F286)</f>
        <v>1</v>
      </c>
      <c r="U286" s="453">
        <f>COUNTIF(E240:BV240,F286)</f>
        <v>0</v>
      </c>
      <c r="V286" s="453">
        <f>COUNTIF(E239:BV239,F286)</f>
        <v>1</v>
      </c>
      <c r="W286" s="453">
        <f>COUNTIF(E238:BV238,F286)</f>
        <v>3</v>
      </c>
      <c r="X286" s="453">
        <f>COUNTIF(E237:BV237,F286)</f>
        <v>5</v>
      </c>
      <c r="Y286" s="453">
        <f>COUNTIF(E236:BV236,F286)</f>
        <v>3</v>
      </c>
      <c r="Z286" s="453">
        <f>COUNTIF(E235:BV235,F286)</f>
        <v>0</v>
      </c>
      <c r="AA286" s="453">
        <f>COUNTIF(E234:BV234,F286)</f>
        <v>3</v>
      </c>
      <c r="AB286" s="453">
        <f>COUNTIF(E233:BV233,F286)</f>
        <v>0</v>
      </c>
      <c r="AC286" s="453">
        <f>COUNTIF(E232:BV232,F286)</f>
        <v>4</v>
      </c>
      <c r="AD286" s="453">
        <f>COUNTIF(E231:BV231,F286)</f>
        <v>0</v>
      </c>
      <c r="AE286" s="453">
        <f>COUNTIF(E230:BV230,F286)</f>
        <v>3</v>
      </c>
      <c r="AF286" s="453">
        <f>COUNTIF(E229:BV229,F286)</f>
        <v>1</v>
      </c>
      <c r="AG286" s="453">
        <f>COUNTIF(E228:BV228,F286)</f>
        <v>1</v>
      </c>
      <c r="AH286" s="453">
        <f>COUNTIF(E227:BV227,F286)</f>
        <v>1</v>
      </c>
      <c r="AI286" s="146">
        <f>COUNTIF(E226:BV226,F286)</f>
        <v>4</v>
      </c>
      <c r="AJ286" s="146">
        <f>COUNTIF(E225:BV225,F286)</f>
        <v>4</v>
      </c>
      <c r="AK286" s="146">
        <f>COUNTIF(E224:BV224,F286)</f>
        <v>1</v>
      </c>
      <c r="AL286" s="146">
        <f>COUNTIF(E223:BV223,F286)</f>
        <v>2</v>
      </c>
      <c r="AM286" s="146">
        <f>COUNTIF(E222:BV222,F286)</f>
        <v>3</v>
      </c>
      <c r="AN286" s="146">
        <f>COUNTIF(E221:BV221,F286)</f>
        <v>2</v>
      </c>
      <c r="AO286" s="146">
        <f>COUNTIF(E220:BV220,F286)</f>
        <v>1</v>
      </c>
      <c r="AP286" s="146">
        <f>COUNTIF(E219:BV219,F286)</f>
        <v>1</v>
      </c>
      <c r="AQ286" s="146">
        <f>COUNTIF(E218:BV218,F286)</f>
        <v>1</v>
      </c>
      <c r="AR286" s="146">
        <f>COUNTIF(E217:BV217,F286)</f>
        <v>2</v>
      </c>
      <c r="AS286" s="146">
        <f>COUNTIF(E216:BV216,F286)</f>
        <v>3</v>
      </c>
      <c r="AT286" s="146">
        <f>COUNTIF(E215:BV215,F286)</f>
        <v>1</v>
      </c>
      <c r="AU286" s="146">
        <f>COUNTIF(E214:BV214,F286)</f>
        <v>1</v>
      </c>
      <c r="AV286" s="146">
        <f>COUNTIF(E213:BV213,F286)</f>
        <v>0</v>
      </c>
      <c r="AW286" s="146">
        <f>COUNTIF(E212:BV212,F286)</f>
        <v>2</v>
      </c>
      <c r="AX286" s="146">
        <f>COUNTIF(E211:BV211,F286)</f>
        <v>1</v>
      </c>
      <c r="AY286" s="146">
        <f>COUNTIF(E210:BV210,F286)</f>
        <v>1</v>
      </c>
      <c r="AZ286" s="146">
        <f>COUNTIF(E209:BV209,F286)</f>
        <v>1</v>
      </c>
      <c r="BA286" s="146">
        <f>COUNTIF(E208:BV208,F286)</f>
        <v>2</v>
      </c>
      <c r="BB286" s="146">
        <f>COUNTIF(E207:BV207,F286)</f>
        <v>2</v>
      </c>
      <c r="BC286" s="146">
        <f>COUNTIF(E206:BV206,F286)</f>
        <v>2</v>
      </c>
      <c r="BD286" s="146">
        <f>COUNTIF(E205:BV205,F286)</f>
        <v>0</v>
      </c>
      <c r="BE286" s="146">
        <f>COUNTIF(E204:BV204,F286)</f>
        <v>3</v>
      </c>
      <c r="BF286" s="146">
        <f>COUNTIF(E203:BV203,F286)</f>
        <v>2</v>
      </c>
      <c r="BG286" s="146">
        <f>COUNTIF(E202:BV202,F286)</f>
        <v>1</v>
      </c>
      <c r="BH286" s="146">
        <f>COUNTIF(E201:BV201,F286)</f>
        <v>2</v>
      </c>
      <c r="BI286" s="146">
        <f>COUNTIF(E200:BV200,F286)</f>
        <v>2</v>
      </c>
      <c r="BJ286" s="146">
        <f>COUNTIF(E199:BV199,F286)</f>
        <v>0</v>
      </c>
      <c r="BK286" s="146">
        <f>COUNTIF(E198:BV198,F286)</f>
        <v>0</v>
      </c>
      <c r="BL286" s="146">
        <f>COUNTIF(E197:BV197,F286)</f>
        <v>1</v>
      </c>
      <c r="BM286" s="146">
        <f>COUNTIF(E196:BV196,F286)</f>
        <v>2</v>
      </c>
      <c r="BN286" s="146">
        <f>COUNTIF(E195:BV195,F286)</f>
        <v>1</v>
      </c>
      <c r="BO286" s="146">
        <f>COUNTIF(E194:BV194,F286)</f>
        <v>0</v>
      </c>
      <c r="BP286" s="146">
        <f>COUNTIF(E193:BV193,F286)</f>
        <v>2</v>
      </c>
      <c r="BQ286" s="146">
        <f>COUNTIF(E192:BV192,F286)</f>
        <v>0</v>
      </c>
      <c r="BR286" s="146">
        <f>COUNTIF(E191:BV191,F286)</f>
        <v>2</v>
      </c>
      <c r="BS286" s="146">
        <f>COUNTIF(E190:BV190,F286)</f>
        <v>2</v>
      </c>
      <c r="BT286" s="146">
        <f>COUNTIF(E189:BV189,F286)</f>
        <v>2</v>
      </c>
      <c r="BU286" s="146">
        <f>COUNTIF(E188:BV188,F286)</f>
        <v>3</v>
      </c>
      <c r="BV286" s="146">
        <f>COUNTIF(E187:BV187,F286)</f>
        <v>3</v>
      </c>
      <c r="BW286" s="146">
        <f>COUNTIF(E186:BV186,F286)</f>
        <v>0</v>
      </c>
      <c r="BX286" s="146">
        <f>COUNTIF(E185:BV185,F286)</f>
        <v>0</v>
      </c>
      <c r="BY286" s="146">
        <f>COUNTIF(E184:BV184,F286)</f>
        <v>1</v>
      </c>
      <c r="BZ286" s="146">
        <f>COUNTIF(E183:BV183,F286)</f>
        <v>3</v>
      </c>
      <c r="CA286" s="146">
        <f>COUNTIF(E182:BV182,F286)</f>
        <v>2</v>
      </c>
      <c r="CB286" s="146">
        <f>COUNTIF(E181:BV181,F286)</f>
        <v>3</v>
      </c>
      <c r="CC286" s="146">
        <f>COUNTIF(E180:BV180,F286)</f>
        <v>1</v>
      </c>
      <c r="CD286" s="146">
        <f>COUNTIF(E179:BV179,F286)</f>
        <v>2</v>
      </c>
      <c r="CE286" s="146">
        <f>COUNTIF(E178:BV178,F286)</f>
        <v>5</v>
      </c>
      <c r="CF286" s="146">
        <f>COUNTIF(E177:BV177,F286)</f>
        <v>4</v>
      </c>
      <c r="CG286" s="146">
        <f>COUNTIF(E176:BV176,F286)</f>
        <v>0</v>
      </c>
      <c r="CH286" s="146">
        <f>COUNTIF(E175:BV175,F286)</f>
        <v>5</v>
      </c>
      <c r="CI286" s="146">
        <f>COUNTIF(E174:BV174,F286)</f>
        <v>1</v>
      </c>
      <c r="CJ286" s="146">
        <f>COUNTIF(E173:BV173,F286)</f>
        <v>0</v>
      </c>
      <c r="CK286" s="146">
        <f>COUNTIF(E172:BV172,F286)</f>
        <v>3</v>
      </c>
      <c r="CL286" s="146">
        <f>COUNTIF(E171:BV171,F286)</f>
        <v>1</v>
      </c>
      <c r="CM286" s="146">
        <f>COUNTIF(E170:BV170,F286)</f>
        <v>0</v>
      </c>
      <c r="CN286" s="146">
        <f>COUNTIF(E169:BV169,F286)</f>
        <v>1</v>
      </c>
      <c r="CO286" s="146">
        <f>COUNTIF(E168:BV168,F286)</f>
        <v>1</v>
      </c>
      <c r="CP286" s="146">
        <f>COUNTIF(E167:BV167,F286)</f>
        <v>2</v>
      </c>
      <c r="CQ286" s="146">
        <f>COUNTIF(E166:BV166,F286)</f>
        <v>1</v>
      </c>
      <c r="CR286" s="146">
        <f>COUNTIF(E165:BV165,F286)</f>
        <v>0</v>
      </c>
      <c r="CS286" s="146">
        <f>COUNTIF(E164:BV164,F286)</f>
        <v>0</v>
      </c>
      <c r="CT286" s="146">
        <f>COUNTIF(E163:BV163,F286)</f>
        <v>0</v>
      </c>
      <c r="CU286" s="146">
        <f>COUNTIF(E162:BV162,F286)</f>
        <v>3</v>
      </c>
      <c r="CV286" s="146">
        <f>COUNTIF(E161:BV161,F286)</f>
        <v>1</v>
      </c>
      <c r="CW286" s="146">
        <f>COUNTIF(E160:BV160,F286)</f>
        <v>0</v>
      </c>
      <c r="CX286" s="146">
        <f>COUNTIF(E159:BV159,F286)</f>
        <v>0</v>
      </c>
      <c r="CY286" s="146">
        <f>COUNTIF(E158:BV158,F286)</f>
        <v>0</v>
      </c>
      <c r="CZ286" s="146">
        <f>COUNTIF(E157:BV157,F286)</f>
        <v>3</v>
      </c>
      <c r="DA286" s="146">
        <f>COUNTIF(E156:BV156,F286)</f>
        <v>1</v>
      </c>
      <c r="DB286" s="146">
        <f>COUNTIF(E155:BV155,F286)</f>
        <v>0</v>
      </c>
      <c r="DC286" s="146">
        <f>COUNTIF(E154:BV154,F286)</f>
        <v>3</v>
      </c>
      <c r="DD286" s="146">
        <v>4</v>
      </c>
      <c r="DE286" s="146"/>
      <c r="DF286" s="146"/>
      <c r="DG286" s="146"/>
      <c r="DH286" s="146"/>
      <c r="DI286" s="146"/>
      <c r="DJ286" s="146"/>
      <c r="DK286" s="146"/>
      <c r="DL286" s="146"/>
      <c r="DM286" s="146"/>
      <c r="DN286" s="146"/>
      <c r="DO286" s="146"/>
      <c r="DP286" s="146"/>
      <c r="DQ286" s="146"/>
      <c r="DR286" s="146"/>
      <c r="DS286" s="146"/>
      <c r="DT286" s="146"/>
      <c r="DU286" s="2"/>
      <c r="DV286" s="18"/>
      <c r="DW286" s="129"/>
      <c r="DX286" s="129"/>
      <c r="DY286" s="128">
        <v>15</v>
      </c>
      <c r="DZ286" s="128">
        <v>15</v>
      </c>
      <c r="EA286" s="128">
        <v>15</v>
      </c>
      <c r="EB286" s="128">
        <v>15</v>
      </c>
      <c r="EC286" s="128">
        <v>15</v>
      </c>
      <c r="ED286" s="128">
        <v>15</v>
      </c>
      <c r="EE286" s="128">
        <v>15</v>
      </c>
      <c r="EG286" s="128">
        <v>15</v>
      </c>
      <c r="EH286" s="128">
        <v>15</v>
      </c>
      <c r="EJ286" s="129"/>
      <c r="EK286" s="128">
        <v>15</v>
      </c>
      <c r="EO286" s="128">
        <v>15</v>
      </c>
      <c r="EP286" s="128">
        <v>15</v>
      </c>
      <c r="EQ286" s="128">
        <v>15</v>
      </c>
      <c r="ER286" s="128">
        <v>15</v>
      </c>
      <c r="ES286" s="128">
        <v>15</v>
      </c>
      <c r="EU286" s="128">
        <v>15</v>
      </c>
      <c r="EW286" s="128">
        <v>15</v>
      </c>
      <c r="EX286" s="128">
        <v>15</v>
      </c>
      <c r="EZ286" s="52"/>
      <c r="FA286" s="128">
        <v>23</v>
      </c>
      <c r="FB286" s="128">
        <v>23</v>
      </c>
      <c r="FC286" s="128">
        <v>23</v>
      </c>
      <c r="FD286" s="128">
        <v>23</v>
      </c>
      <c r="FE286" s="128">
        <v>23</v>
      </c>
      <c r="FF286" s="128">
        <v>23</v>
      </c>
      <c r="FG286" s="128">
        <v>23</v>
      </c>
      <c r="FH286" s="128">
        <v>23</v>
      </c>
      <c r="FL286" s="129"/>
      <c r="FM286" s="128">
        <v>23</v>
      </c>
      <c r="FO286" s="128">
        <v>23</v>
      </c>
      <c r="FP286" s="128">
        <v>23</v>
      </c>
      <c r="FQ286" s="128">
        <v>23</v>
      </c>
      <c r="FR286" s="128">
        <v>23</v>
      </c>
      <c r="FS286" s="128">
        <v>23</v>
      </c>
      <c r="FV286" s="128">
        <v>23</v>
      </c>
      <c r="FX286" s="128">
        <v>23</v>
      </c>
      <c r="FY286" s="128">
        <v>23</v>
      </c>
      <c r="FZ286" s="128">
        <v>23</v>
      </c>
      <c r="GA286" s="52"/>
      <c r="GB286" s="52"/>
      <c r="GC286" s="52"/>
      <c r="GD286" s="52"/>
      <c r="GE286" s="52"/>
      <c r="GF286" s="52"/>
      <c r="GG286" s="52"/>
      <c r="GH286" s="52"/>
      <c r="GI286" s="139"/>
      <c r="GJ286" s="52"/>
      <c r="GK286" s="52"/>
      <c r="GL286" s="52"/>
      <c r="GM286" s="52"/>
      <c r="GN286" s="52"/>
      <c r="GO286" s="52"/>
      <c r="GP286" s="52"/>
      <c r="GQ286" s="52"/>
      <c r="GR286" s="129"/>
      <c r="GS286" s="129"/>
      <c r="GT286" s="129"/>
      <c r="GU286" s="129"/>
      <c r="GV286" s="129"/>
      <c r="GW286" s="129"/>
      <c r="GX286" s="129"/>
      <c r="GY286" s="129"/>
      <c r="GZ286" s="129"/>
      <c r="HA286" s="129"/>
      <c r="HB286" s="79"/>
      <c r="HC286" s="129"/>
      <c r="HD286" s="129"/>
      <c r="HE286" s="129"/>
      <c r="HF286" s="129"/>
      <c r="HG286" s="129"/>
      <c r="HH286" s="129"/>
      <c r="HI286" s="129"/>
      <c r="HJ286" s="129"/>
      <c r="HK286" s="129"/>
      <c r="HL286" s="129"/>
      <c r="HM286" s="129"/>
      <c r="HN286" s="129"/>
      <c r="HO286" s="74"/>
      <c r="HP286" s="73"/>
      <c r="HQ286" s="129"/>
      <c r="HR286" s="129"/>
      <c r="HS286" s="129"/>
      <c r="HT286" s="129"/>
      <c r="HU286" s="129"/>
      <c r="HV286" s="129"/>
      <c r="HW286" s="129"/>
      <c r="HX286" s="129"/>
      <c r="HY286" s="129"/>
      <c r="HZ286" s="79"/>
      <c r="IA286" s="129"/>
      <c r="IB286" s="129"/>
      <c r="IC286" s="129"/>
      <c r="ID286" s="129"/>
      <c r="IE286" s="129"/>
      <c r="IF286" s="129"/>
      <c r="IG286" s="129"/>
      <c r="IH286" s="129"/>
      <c r="II286" s="129"/>
      <c r="IJ286" s="129"/>
      <c r="IK286" s="129"/>
      <c r="IL286" s="129"/>
      <c r="IM286" s="129"/>
      <c r="IN286" s="129"/>
      <c r="IO286" s="129"/>
      <c r="IP286" s="129"/>
      <c r="IQ286" s="129"/>
      <c r="IR286" s="129"/>
      <c r="IS286" s="129"/>
      <c r="IT286" s="129"/>
      <c r="IU286" s="129"/>
      <c r="IV286" s="129"/>
      <c r="IW286" s="129"/>
      <c r="IX286" s="129"/>
      <c r="IY286" s="129"/>
      <c r="IZ286" s="129"/>
      <c r="JA286" s="129"/>
      <c r="JB286" s="129"/>
      <c r="JC286" s="129"/>
      <c r="JD286" s="129"/>
      <c r="JE286" s="129"/>
      <c r="JF286" s="129"/>
      <c r="JG286" s="129"/>
      <c r="JH286" s="129"/>
      <c r="JI286" s="129"/>
      <c r="JJ286" s="129"/>
      <c r="JK286" s="129"/>
      <c r="JL286" s="129"/>
      <c r="JM286" s="129"/>
      <c r="JN286" s="129"/>
      <c r="JO286" s="129"/>
      <c r="JP286" s="129"/>
      <c r="JQ286" s="129"/>
      <c r="JR286" s="129"/>
      <c r="JS286" s="129"/>
      <c r="JT286" s="129"/>
      <c r="JU286" s="129"/>
      <c r="JV286" s="129"/>
      <c r="JW286" s="129"/>
      <c r="JX286" s="129"/>
      <c r="JY286" s="129"/>
      <c r="JZ286" s="129"/>
      <c r="KA286" s="129"/>
      <c r="KB286" s="129"/>
      <c r="KC286" s="129"/>
      <c r="KD286" s="129"/>
    </row>
    <row r="287" spans="4:290" ht="17.25">
      <c r="D287" s="128"/>
      <c r="E287" s="570"/>
      <c r="F287" s="145">
        <v>30</v>
      </c>
      <c r="G287" s="639"/>
      <c r="H287" s="453">
        <f>COUNTIF(E253:BV253,F287)</f>
        <v>0</v>
      </c>
      <c r="I287" s="453">
        <f>COUNTIF(E252:BV252,F287)</f>
        <v>2</v>
      </c>
      <c r="J287" s="453">
        <f>COUNTIF(E251:BV251,F287)</f>
        <v>2</v>
      </c>
      <c r="K287" s="453">
        <f>COUNTIF(E250:BV250,F287)</f>
        <v>0</v>
      </c>
      <c r="L287" s="453">
        <f>COUNTIF(E249:BV249,F287)</f>
        <v>1</v>
      </c>
      <c r="M287" s="453">
        <f>COUNTIF(E248:BV248,F287)</f>
        <v>2</v>
      </c>
      <c r="N287" s="453">
        <f>COUNTIF(E247:BV247,F287)</f>
        <v>0</v>
      </c>
      <c r="O287" s="453">
        <f>COUNTIF(E246:BV246,F287)</f>
        <v>2</v>
      </c>
      <c r="P287" s="453">
        <f>COUNTIF(E245:BV245,F287)</f>
        <v>0</v>
      </c>
      <c r="Q287" s="453">
        <f>COUNTIF(E244:BV244,F287)</f>
        <v>5</v>
      </c>
      <c r="R287" s="453">
        <f>COUNTIF(E243:BV243,F287)</f>
        <v>7</v>
      </c>
      <c r="S287" s="453">
        <f>COUNTIF(E242:BV242,F287)</f>
        <v>0</v>
      </c>
      <c r="T287" s="453">
        <f>COUNTIF(E241:BV241,F287)</f>
        <v>6</v>
      </c>
      <c r="U287" s="453">
        <f>COUNTIF(E240:BV240,F287)</f>
        <v>0</v>
      </c>
      <c r="V287" s="453">
        <f>COUNTIF(E239:BV239,F287)</f>
        <v>1</v>
      </c>
      <c r="W287" s="453">
        <f>COUNTIF(E238:BV238,F287)</f>
        <v>2</v>
      </c>
      <c r="X287" s="453">
        <f>COUNTIF(E237:BV237,F287)</f>
        <v>0</v>
      </c>
      <c r="Y287" s="453">
        <f>COUNTIF(E236:BV236,F287)</f>
        <v>1</v>
      </c>
      <c r="Z287" s="453">
        <f>COUNTIF(E235:BV235,F287)</f>
        <v>0</v>
      </c>
      <c r="AA287" s="453">
        <f>COUNTIF(E234:BV234,F287)</f>
        <v>2</v>
      </c>
      <c r="AB287" s="453">
        <f>COUNTIF(E233:BV233,F287)</f>
        <v>1</v>
      </c>
      <c r="AC287" s="453">
        <f>COUNTIF(E232:BV232,F287)</f>
        <v>0</v>
      </c>
      <c r="AD287" s="453">
        <f>COUNTIF(E231:BV231,F287)</f>
        <v>3</v>
      </c>
      <c r="AE287" s="453">
        <f>COUNTIF(E230:BV230,F287)</f>
        <v>0</v>
      </c>
      <c r="AF287" s="453">
        <f>COUNTIF(E229:BV229,F287)</f>
        <v>1</v>
      </c>
      <c r="AG287" s="453">
        <f>COUNTIF(E228:BV228,F287)</f>
        <v>1</v>
      </c>
      <c r="AH287" s="453">
        <f>COUNTIF(E227:BV227,F287)</f>
        <v>0</v>
      </c>
      <c r="AI287" s="146">
        <f>COUNTIF(E226:BV226,F287)</f>
        <v>0</v>
      </c>
      <c r="AJ287" s="146">
        <f>COUNTIF(E225:BV225,F287)</f>
        <v>1</v>
      </c>
      <c r="AK287" s="146">
        <f>COUNTIF(E224:BV224,F287)</f>
        <v>1</v>
      </c>
      <c r="AL287" s="146">
        <f>COUNTIF(E223:BV223,F287)</f>
        <v>1</v>
      </c>
      <c r="AM287" s="146">
        <f>COUNTIF(E222:BV222,F287)</f>
        <v>1</v>
      </c>
      <c r="AN287" s="146">
        <f>COUNTIF(E221:BV221,F287)</f>
        <v>0</v>
      </c>
      <c r="AO287" s="146">
        <f>COUNTIF(E220:BV220,F287)</f>
        <v>2</v>
      </c>
      <c r="AP287" s="146">
        <f>COUNTIF(E219:BV219,F287)</f>
        <v>3</v>
      </c>
      <c r="AQ287" s="146">
        <f>COUNTIF(E218:BV218,F287)</f>
        <v>2</v>
      </c>
      <c r="AR287" s="146">
        <f>COUNTIF(E217:BV217,F287)</f>
        <v>0</v>
      </c>
      <c r="AS287" s="146">
        <f>COUNTIF(E216:BV216,F287)</f>
        <v>1</v>
      </c>
      <c r="AT287" s="146">
        <f>COUNTIF(E215:BV215,F287)</f>
        <v>2</v>
      </c>
      <c r="AU287" s="146">
        <f>COUNTIF(E214:BV214,F287)</f>
        <v>2</v>
      </c>
      <c r="AV287" s="146">
        <f>COUNTIF(E213:BV213,F287)</f>
        <v>0</v>
      </c>
      <c r="AW287" s="146">
        <f>COUNTIF(E212:BV212,F287)</f>
        <v>0</v>
      </c>
      <c r="AX287" s="146">
        <f>COUNTIF(E211:BV211,F287)</f>
        <v>0</v>
      </c>
      <c r="AY287" s="146">
        <f>COUNTIF(E210:BV210,F287)</f>
        <v>1</v>
      </c>
      <c r="AZ287" s="146">
        <f>COUNTIF(E209:BV209,F287)</f>
        <v>1</v>
      </c>
      <c r="BA287" s="146">
        <f>COUNTIF(E208:BV208,F287)</f>
        <v>3</v>
      </c>
      <c r="BB287" s="146">
        <f>COUNTIF(E207:BV207,F287)</f>
        <v>1</v>
      </c>
      <c r="BC287" s="146">
        <f>COUNTIF(E206:BV206,F287)</f>
        <v>2</v>
      </c>
      <c r="BD287" s="146">
        <f>COUNTIF(E205:BV205,F287)</f>
        <v>0</v>
      </c>
      <c r="BE287" s="146">
        <f>COUNTIF(E204:BV204,F287)</f>
        <v>0</v>
      </c>
      <c r="BF287" s="146">
        <f>COUNTIF(E203:BV203,F287)</f>
        <v>1</v>
      </c>
      <c r="BG287" s="146">
        <f>COUNTIF(E202:BV202,F287)</f>
        <v>3</v>
      </c>
      <c r="BH287" s="146">
        <f>COUNTIF(E201:BV201,F287)</f>
        <v>2</v>
      </c>
      <c r="BI287" s="146">
        <f>COUNTIF(E200:BV200,F287)</f>
        <v>1</v>
      </c>
      <c r="BJ287" s="146">
        <f>COUNTIF(E199:BV199,F287)</f>
        <v>2</v>
      </c>
      <c r="BK287" s="146">
        <f>COUNTIF(E198:BV198,F287)</f>
        <v>1</v>
      </c>
      <c r="BL287" s="146">
        <f>COUNTIF(E197:BV197,F287)</f>
        <v>2</v>
      </c>
      <c r="BM287" s="146">
        <f>COUNTIF(E196:BV196,F287)</f>
        <v>1</v>
      </c>
      <c r="BN287" s="146">
        <f>COUNTIF(E195:BV195,F287)</f>
        <v>2</v>
      </c>
      <c r="BO287" s="146">
        <f>COUNTIF(E194:BV194,F287)</f>
        <v>0</v>
      </c>
      <c r="BP287" s="146">
        <f>COUNTIF(E193:BV193,F287)</f>
        <v>1</v>
      </c>
      <c r="BQ287" s="146">
        <f>COUNTIF(E192:BV192,F287)</f>
        <v>3</v>
      </c>
      <c r="BR287" s="146">
        <f>COUNTIF(E191:BV191,F287)</f>
        <v>1</v>
      </c>
      <c r="BS287" s="146">
        <f>COUNTIF(E190:BV190,F287)</f>
        <v>0</v>
      </c>
      <c r="BT287" s="146">
        <f>COUNTIF(E189:BV189,F287)</f>
        <v>2</v>
      </c>
      <c r="BU287" s="146">
        <f>COUNTIF(E188:BV188,F287)</f>
        <v>1</v>
      </c>
      <c r="BV287" s="146">
        <f>COUNTIF(E187:BV187,F287)</f>
        <v>1</v>
      </c>
      <c r="BW287" s="146">
        <f>COUNTIF(E186:BV186,F287)</f>
        <v>2</v>
      </c>
      <c r="BX287" s="146">
        <f>COUNTIF(E185:BV185,F287)</f>
        <v>4</v>
      </c>
      <c r="BY287" s="146">
        <f>COUNTIF(E184:BV184,F287)</f>
        <v>1</v>
      </c>
      <c r="BZ287" s="146">
        <f>COUNTIF(E183:BV183,F287)</f>
        <v>2</v>
      </c>
      <c r="CA287" s="146">
        <f>COUNTIF(E182:BV182,F287)</f>
        <v>2</v>
      </c>
      <c r="CB287" s="146">
        <f>COUNTIF(E181:BV181,F287)</f>
        <v>0</v>
      </c>
      <c r="CC287" s="146">
        <f>COUNTIF(E180:BV180,F287)</f>
        <v>1</v>
      </c>
      <c r="CD287" s="146">
        <f>COUNTIF(E179:BV179,F287)</f>
        <v>2</v>
      </c>
      <c r="CE287" s="146">
        <f>COUNTIF(E178:BV178,F287)</f>
        <v>1</v>
      </c>
      <c r="CF287" s="146">
        <f>COUNTIF(E177:BV177,F287)</f>
        <v>1</v>
      </c>
      <c r="CG287" s="146">
        <f>COUNTIF(E176:BV176,F287)</f>
        <v>0</v>
      </c>
      <c r="CH287" s="146">
        <f>COUNTIF(E175:BV175,F287)</f>
        <v>3</v>
      </c>
      <c r="CI287" s="146">
        <f>COUNTIF(E174:BV174,F287)</f>
        <v>2</v>
      </c>
      <c r="CJ287" s="146">
        <f>COUNTIF(E173:BV173,F287)</f>
        <v>9</v>
      </c>
      <c r="CK287" s="146">
        <f>COUNTIF(E172:BV172,F287)</f>
        <v>5</v>
      </c>
      <c r="CL287" s="146">
        <f>COUNTIF(E171:BV171,F287)</f>
        <v>8</v>
      </c>
      <c r="CM287" s="146">
        <f>COUNTIF(E170:BV170,F287)</f>
        <v>2</v>
      </c>
      <c r="CN287" s="146">
        <f>COUNTIF(E169:BV169,F287)</f>
        <v>1</v>
      </c>
      <c r="CO287" s="146">
        <f>COUNTIF(E168:BV168,F287)</f>
        <v>1</v>
      </c>
      <c r="CP287" s="146">
        <f>COUNTIF(E167:BV167,F287)</f>
        <v>0</v>
      </c>
      <c r="CQ287" s="146">
        <f>COUNTIF(E166:BV166,F287)</f>
        <v>1</v>
      </c>
      <c r="CR287" s="146">
        <f>COUNTIF(E165:BV165,F287)</f>
        <v>1</v>
      </c>
      <c r="CS287" s="146">
        <f>COUNTIF(E164:BV164,F287)</f>
        <v>1</v>
      </c>
      <c r="CT287" s="146">
        <f>COUNTIF(E163:BV163,F287)</f>
        <v>2</v>
      </c>
      <c r="CU287" s="146">
        <f>COUNTIF(E162:BV162,F287)</f>
        <v>0</v>
      </c>
      <c r="CV287" s="146">
        <f>COUNTIF(E161:BV161,F287)</f>
        <v>4</v>
      </c>
      <c r="CW287" s="146">
        <f>COUNTIF(E160:BV160,F287)</f>
        <v>1</v>
      </c>
      <c r="CX287" s="146">
        <f>COUNTIF(E159:BV159,F287)</f>
        <v>1</v>
      </c>
      <c r="CY287" s="146">
        <f>COUNTIF(E158:BV158,F287)</f>
        <v>2</v>
      </c>
      <c r="CZ287" s="146">
        <f>COUNTIF(E157:BV157,F287)</f>
        <v>2</v>
      </c>
      <c r="DA287" s="146">
        <f>COUNTIF(E156:BV156,F287)</f>
        <v>2</v>
      </c>
      <c r="DB287" s="146">
        <f>COUNTIF(E155:BV155,F287)</f>
        <v>1</v>
      </c>
      <c r="DC287" s="146">
        <f>COUNTIF(E154:BV154,F287)</f>
        <v>0</v>
      </c>
      <c r="DD287" s="146">
        <v>1</v>
      </c>
      <c r="DE287" s="146"/>
      <c r="DF287" s="146"/>
      <c r="DG287" s="146"/>
      <c r="DH287" s="146"/>
      <c r="DI287" s="146"/>
      <c r="DJ287" s="146"/>
      <c r="DK287" s="146"/>
      <c r="DL287" s="146"/>
      <c r="DM287" s="146"/>
      <c r="DN287" s="146"/>
      <c r="DO287" s="146"/>
      <c r="DP287" s="146"/>
      <c r="DQ287" s="146"/>
      <c r="DR287" s="146"/>
      <c r="DS287" s="146"/>
      <c r="DT287" s="146"/>
      <c r="DU287" s="2"/>
      <c r="DV287" s="18"/>
      <c r="DW287" s="4"/>
      <c r="DX287" s="4"/>
      <c r="DY287" s="128">
        <v>16</v>
      </c>
      <c r="EA287" s="128">
        <v>16</v>
      </c>
      <c r="EC287" s="128">
        <v>16</v>
      </c>
      <c r="EE287" s="128">
        <v>16</v>
      </c>
      <c r="EG287" s="128">
        <v>16</v>
      </c>
      <c r="EH287" s="128">
        <v>16</v>
      </c>
      <c r="EJ287" s="129"/>
      <c r="EK287" s="128">
        <v>16</v>
      </c>
      <c r="EL287" s="128">
        <v>16</v>
      </c>
      <c r="EM287" s="128">
        <v>16</v>
      </c>
      <c r="EN287" s="128">
        <v>16</v>
      </c>
      <c r="EO287" s="128">
        <v>16</v>
      </c>
      <c r="EP287" s="128">
        <v>16</v>
      </c>
      <c r="EQ287" s="128">
        <v>16</v>
      </c>
      <c r="ER287" s="128">
        <v>16</v>
      </c>
      <c r="ES287" s="128">
        <v>16</v>
      </c>
      <c r="ET287" s="128">
        <v>16</v>
      </c>
      <c r="EU287" s="128">
        <v>16</v>
      </c>
      <c r="EV287" s="128">
        <v>16</v>
      </c>
      <c r="EW287" s="128">
        <v>16</v>
      </c>
      <c r="EX287" s="128">
        <v>16</v>
      </c>
      <c r="EZ287" s="52"/>
      <c r="FA287" s="128">
        <v>24</v>
      </c>
      <c r="FC287" s="128">
        <v>24</v>
      </c>
      <c r="FD287" s="128">
        <v>24</v>
      </c>
      <c r="FE287" s="128">
        <v>24</v>
      </c>
      <c r="FH287" s="128">
        <v>24</v>
      </c>
      <c r="FI287" s="128">
        <v>24</v>
      </c>
      <c r="FJ287" s="128">
        <v>24</v>
      </c>
      <c r="FL287" s="129"/>
      <c r="FM287" s="128">
        <v>24</v>
      </c>
      <c r="FP287" s="128">
        <v>24</v>
      </c>
      <c r="FQ287" s="128">
        <v>24</v>
      </c>
      <c r="FR287" s="128">
        <v>24</v>
      </c>
      <c r="FS287" s="128">
        <v>24</v>
      </c>
      <c r="FT287" s="128">
        <v>24</v>
      </c>
      <c r="FU287" s="128">
        <v>24</v>
      </c>
      <c r="FX287" s="128">
        <v>24</v>
      </c>
      <c r="FY287" s="128">
        <v>24</v>
      </c>
      <c r="FZ287" s="128">
        <v>24</v>
      </c>
      <c r="GA287" s="52"/>
      <c r="GB287" s="52"/>
      <c r="GC287" s="52"/>
      <c r="GD287" s="52"/>
      <c r="GE287" s="52"/>
      <c r="GF287" s="52"/>
      <c r="GG287" s="52"/>
      <c r="GH287" s="52"/>
      <c r="GI287" s="52"/>
      <c r="GJ287" s="52"/>
      <c r="GK287" s="52"/>
      <c r="GL287" s="52"/>
      <c r="GM287" s="52"/>
      <c r="GN287" s="52"/>
      <c r="GO287" s="52"/>
      <c r="GP287" s="52"/>
      <c r="GQ287" s="52"/>
      <c r="GR287" s="129"/>
      <c r="GS287" s="129"/>
      <c r="GT287" s="129"/>
      <c r="GU287" s="129"/>
      <c r="GV287" s="129"/>
      <c r="GW287" s="129"/>
      <c r="GX287" s="129"/>
      <c r="GY287" s="129"/>
      <c r="GZ287" s="129"/>
      <c r="HA287" s="129"/>
      <c r="HB287" s="79"/>
      <c r="HC287" s="129"/>
      <c r="HD287" s="129"/>
      <c r="HE287" s="4"/>
      <c r="HF287" s="129"/>
      <c r="HG287" s="129"/>
      <c r="HH287" s="129"/>
      <c r="HI287" s="129"/>
      <c r="HJ287" s="129"/>
      <c r="HK287" s="129"/>
      <c r="HL287" s="129"/>
      <c r="HM287" s="129"/>
      <c r="HN287" s="129"/>
      <c r="HO287" s="129"/>
      <c r="HP287" s="74"/>
      <c r="HQ287" s="129"/>
      <c r="HR287" s="129"/>
      <c r="HS287" s="129"/>
      <c r="HT287" s="129"/>
      <c r="HU287" s="129"/>
      <c r="HV287" s="129"/>
      <c r="HW287" s="129"/>
      <c r="HX287" s="129"/>
      <c r="HY287" s="129"/>
      <c r="HZ287" s="79"/>
      <c r="IA287" s="129"/>
      <c r="IB287" s="129"/>
      <c r="IC287" s="129"/>
      <c r="ID287" s="129"/>
      <c r="IE287" s="129"/>
      <c r="IF287" s="129"/>
      <c r="IG287" s="129"/>
      <c r="IH287" s="129"/>
      <c r="II287" s="129"/>
      <c r="IJ287" s="129"/>
      <c r="IK287" s="129"/>
      <c r="IL287" s="129"/>
      <c r="IM287" s="129"/>
      <c r="IN287" s="129"/>
      <c r="IO287" s="129"/>
      <c r="IP287" s="129"/>
      <c r="IQ287" s="129"/>
      <c r="IR287" s="129"/>
      <c r="IS287" s="129"/>
      <c r="IT287" s="129"/>
      <c r="IU287" s="129"/>
      <c r="IV287" s="129"/>
      <c r="IW287" s="129"/>
      <c r="IX287" s="129"/>
      <c r="IY287" s="129"/>
      <c r="IZ287" s="129"/>
      <c r="JA287" s="129"/>
      <c r="JB287" s="129"/>
      <c r="JC287" s="129"/>
      <c r="JD287" s="129"/>
      <c r="JE287" s="129"/>
      <c r="JF287" s="129"/>
      <c r="JG287" s="129"/>
      <c r="JH287" s="129"/>
      <c r="JI287" s="129"/>
      <c r="JJ287" s="129"/>
      <c r="JK287" s="129"/>
      <c r="JL287" s="129"/>
      <c r="JM287" s="129"/>
      <c r="JN287" s="129"/>
      <c r="JO287" s="129"/>
      <c r="JP287" s="129"/>
      <c r="JQ287" s="129"/>
      <c r="JR287" s="129"/>
      <c r="JS287" s="129"/>
      <c r="JT287" s="129"/>
      <c r="JU287" s="129"/>
      <c r="JV287" s="129"/>
      <c r="JW287" s="129"/>
      <c r="JX287" s="129"/>
      <c r="JY287" s="129"/>
      <c r="JZ287" s="129"/>
      <c r="KA287" s="129"/>
      <c r="KB287" s="129"/>
      <c r="KC287" s="129"/>
      <c r="KD287" s="129"/>
    </row>
    <row r="288" spans="4:290" ht="17.25">
      <c r="D288" s="128"/>
      <c r="E288" s="570">
        <v>31</v>
      </c>
      <c r="F288" s="145">
        <v>31</v>
      </c>
      <c r="G288" s="639"/>
      <c r="H288" s="453">
        <f>COUNTIF(E253:BV253,F288)</f>
        <v>2</v>
      </c>
      <c r="I288" s="453">
        <f>COUNTIF(E252:BV252,F288)</f>
        <v>1</v>
      </c>
      <c r="J288" s="453">
        <f>COUNTIF(E251:BV251,F288)</f>
        <v>3</v>
      </c>
      <c r="K288" s="453">
        <f>COUNTIF(E250:BV250,F288)</f>
        <v>4</v>
      </c>
      <c r="L288" s="453">
        <f>COUNTIF(E249:BV249,F288)</f>
        <v>0</v>
      </c>
      <c r="M288" s="453">
        <f>COUNTIF(E248:BV248,F288)</f>
        <v>2</v>
      </c>
      <c r="N288" s="453">
        <f>COUNTIF(E247:BV247,F288)</f>
        <v>5</v>
      </c>
      <c r="O288" s="453">
        <f>COUNTIF(E246:BV246,F288)</f>
        <v>2</v>
      </c>
      <c r="P288" s="453">
        <f>COUNTIF(E245:BV245,F288)</f>
        <v>2</v>
      </c>
      <c r="Q288" s="453">
        <f>COUNTIF(E244:BV244,F288)</f>
        <v>1</v>
      </c>
      <c r="R288" s="453">
        <f>COUNTIF(E243:BV243,F288)</f>
        <v>1</v>
      </c>
      <c r="S288" s="453">
        <f>COUNTIF(E242:BV242,F288)</f>
        <v>3</v>
      </c>
      <c r="T288" s="453">
        <f>COUNTIF(E241:BV241,F288)</f>
        <v>2</v>
      </c>
      <c r="U288" s="453">
        <f>COUNTIF(E240:BV240,F288)</f>
        <v>3</v>
      </c>
      <c r="V288" s="453">
        <f>COUNTIF(E239:BV239,F288)</f>
        <v>3</v>
      </c>
      <c r="W288" s="453">
        <f>COUNTIF(E238:BV238,F288)</f>
        <v>1</v>
      </c>
      <c r="X288" s="453">
        <f>COUNTIF(E237:BV237,F288)</f>
        <v>1</v>
      </c>
      <c r="Y288" s="453">
        <f>COUNTIF(E236:BV236,F288)</f>
        <v>2</v>
      </c>
      <c r="Z288" s="453">
        <f>COUNTIF(E235:BV235,F288)</f>
        <v>1</v>
      </c>
      <c r="AA288" s="453">
        <f>COUNTIF(E234:BV234,F288)</f>
        <v>1</v>
      </c>
      <c r="AB288" s="453">
        <f>COUNTIF(E233:BV233,F288)</f>
        <v>2</v>
      </c>
      <c r="AC288" s="453">
        <f>COUNTIF(E232:BV232,F288)</f>
        <v>1</v>
      </c>
      <c r="AD288" s="453">
        <f>COUNTIF(E231:BV231,F288)</f>
        <v>2</v>
      </c>
      <c r="AE288" s="453">
        <f>COUNTIF(E230:BV230,F288)</f>
        <v>2</v>
      </c>
      <c r="AF288" s="453">
        <f>COUNTIF(E229:BV229,F288)</f>
        <v>1</v>
      </c>
      <c r="AG288" s="453">
        <f>COUNTIF(E228:BV228,F288)</f>
        <v>2</v>
      </c>
      <c r="AH288" s="453">
        <f>COUNTIF(E227:BV227,F288)</f>
        <v>2</v>
      </c>
      <c r="AI288" s="146">
        <f>COUNTIF(E226:BV226,F288)</f>
        <v>1</v>
      </c>
      <c r="AJ288" s="146">
        <f>COUNTIF(E225:BV225,F288)</f>
        <v>1</v>
      </c>
      <c r="AK288" s="146">
        <f>COUNTIF(E224:BV224,F288)</f>
        <v>2</v>
      </c>
      <c r="AL288" s="146">
        <f>COUNTIF(E223:BV223,F288)</f>
        <v>1</v>
      </c>
      <c r="AM288" s="146">
        <f>COUNTIF(E222:BV222,F288)</f>
        <v>2</v>
      </c>
      <c r="AN288" s="146">
        <f>COUNTIF(E221:BV221,F288)</f>
        <v>2</v>
      </c>
      <c r="AO288" s="146">
        <f>COUNTIF(E220:BV220,F288)</f>
        <v>3</v>
      </c>
      <c r="AP288" s="146">
        <f>COUNTIF(E219:BV219,F288)</f>
        <v>2</v>
      </c>
      <c r="AQ288" s="146">
        <f>COUNTIF(E218:BV218,F288)</f>
        <v>3</v>
      </c>
      <c r="AR288" s="146">
        <f>COUNTIF(E217:BV217,F288)</f>
        <v>2</v>
      </c>
      <c r="AS288" s="146">
        <f>COUNTIF(E216:BV216,F288)</f>
        <v>0</v>
      </c>
      <c r="AT288" s="146">
        <f>COUNTIF(E215:BV215,F288)</f>
        <v>3</v>
      </c>
      <c r="AU288" s="146">
        <f>COUNTIF(E214:BV214,F288)</f>
        <v>0</v>
      </c>
      <c r="AV288" s="146">
        <f>COUNTIF(E213:BV213,F288)</f>
        <v>0</v>
      </c>
      <c r="AW288" s="146">
        <f>COUNTIF(E212:BV212,F288)</f>
        <v>2</v>
      </c>
      <c r="AX288" s="146">
        <f>COUNTIF(E211:BV211,F288)</f>
        <v>1</v>
      </c>
      <c r="AY288" s="146">
        <f>COUNTIF(E210:BV210,F288)</f>
        <v>3</v>
      </c>
      <c r="AZ288" s="146">
        <f>COUNTIF(E209:BV209,F288)</f>
        <v>0</v>
      </c>
      <c r="BA288" s="146">
        <f>COUNTIF(E208:BV208,F288)</f>
        <v>0</v>
      </c>
      <c r="BB288" s="146">
        <f>COUNTIF(E207:BV207,F288)</f>
        <v>3</v>
      </c>
      <c r="BC288" s="146">
        <f>COUNTIF(E206:BV206,F288)</f>
        <v>2</v>
      </c>
      <c r="BD288" s="146">
        <f>COUNTIF(E205:BV205,F288)</f>
        <v>3</v>
      </c>
      <c r="BE288" s="146">
        <f>COUNTIF(E204:BV204,F288)</f>
        <v>2</v>
      </c>
      <c r="BF288" s="146">
        <f>COUNTIF(E203:BV203,F288)</f>
        <v>2</v>
      </c>
      <c r="BG288" s="146">
        <f>COUNTIF(E202:BV202,F288)</f>
        <v>3</v>
      </c>
      <c r="BH288" s="146">
        <f>COUNTIF(E201:BV201,F288)</f>
        <v>0</v>
      </c>
      <c r="BI288" s="146">
        <f>COUNTIF(E200:BV200,F288)</f>
        <v>0</v>
      </c>
      <c r="BJ288" s="146">
        <f>COUNTIF(E199:BV199,F288)</f>
        <v>2</v>
      </c>
      <c r="BK288" s="146">
        <f>COUNTIF(E198:BV198,F288)</f>
        <v>1</v>
      </c>
      <c r="BL288" s="146">
        <f>COUNTIF(E197:BV197,F288)</f>
        <v>1</v>
      </c>
      <c r="BM288" s="146">
        <f>COUNTIF(E196:BV196,F288)</f>
        <v>2</v>
      </c>
      <c r="BN288" s="146">
        <f>COUNTIF(E195:BV195,F288)</f>
        <v>2</v>
      </c>
      <c r="BO288" s="146">
        <f>COUNTIF(E194:BV194,F288)</f>
        <v>2</v>
      </c>
      <c r="BP288" s="146">
        <f>COUNTIF(E193:BV193,F288)</f>
        <v>3</v>
      </c>
      <c r="BQ288" s="146">
        <f>COUNTIF(E192:BV192,F288)</f>
        <v>2</v>
      </c>
      <c r="BR288" s="146">
        <f>COUNTIF(E191:BV191,F288)</f>
        <v>0</v>
      </c>
      <c r="BS288" s="146">
        <f>COUNTIF(E190:BV190,F288)</f>
        <v>1</v>
      </c>
      <c r="BT288" s="146">
        <f>COUNTIF(E189:BV189,F288)</f>
        <v>4</v>
      </c>
      <c r="BU288" s="146">
        <f>COUNTIF(E188:BV188,F288)</f>
        <v>4</v>
      </c>
      <c r="BV288" s="146">
        <f>COUNTIF(E187:BV187,F288)</f>
        <v>1</v>
      </c>
      <c r="BW288" s="146">
        <f>COUNTIF(E186:BV186,F288)</f>
        <v>0</v>
      </c>
      <c r="BX288" s="146">
        <f>COUNTIF(E185:BV185,F288)</f>
        <v>1</v>
      </c>
      <c r="BY288" s="146">
        <f>COUNTIF(E184:BV184,F288)</f>
        <v>2</v>
      </c>
      <c r="BZ288" s="146">
        <f>COUNTIF(E183:BV183,F288)</f>
        <v>0</v>
      </c>
      <c r="CA288" s="146">
        <f>COUNTIF(E182:BV182,F288)</f>
        <v>1</v>
      </c>
      <c r="CB288" s="146">
        <f>COUNTIF(E181:BV181,F288)</f>
        <v>0</v>
      </c>
      <c r="CC288" s="146">
        <f>COUNTIF(E180:BV180,F288)</f>
        <v>0</v>
      </c>
      <c r="CD288" s="146">
        <f>COUNTIF(E179:BV179,F288)</f>
        <v>1</v>
      </c>
      <c r="CE288" s="146">
        <f>COUNTIF(E178:BV178,F288)</f>
        <v>1</v>
      </c>
      <c r="CF288" s="146">
        <f>COUNTIF(E177:BV177,F288)</f>
        <v>0</v>
      </c>
      <c r="CG288" s="146">
        <f>COUNTIF(E176:BV176,F288)</f>
        <v>0</v>
      </c>
      <c r="CH288" s="146">
        <f>COUNTIF(E175:BV175,F288)</f>
        <v>1</v>
      </c>
      <c r="CI288" s="146">
        <f>COUNTIF(E174:BV174,F288)</f>
        <v>2</v>
      </c>
      <c r="CJ288" s="146">
        <f>COUNTIF(E173:BV173,F288)</f>
        <v>0</v>
      </c>
      <c r="CK288" s="146">
        <f>COUNTIF(E172:BV172,F288)</f>
        <v>3</v>
      </c>
      <c r="CL288" s="146">
        <f>COUNTIF(E171:BV171,F288)</f>
        <v>0</v>
      </c>
      <c r="CM288" s="146">
        <f>COUNTIF(E170:BV170,F288)</f>
        <v>1</v>
      </c>
      <c r="CN288" s="146">
        <f>COUNTIF(E169:BV169,F288)</f>
        <v>2</v>
      </c>
      <c r="CO288" s="146">
        <f>COUNTIF(E168:BV168,F288)</f>
        <v>2</v>
      </c>
      <c r="CP288" s="146">
        <f>COUNTIF(E167:BV167,F288)</f>
        <v>4</v>
      </c>
      <c r="CQ288" s="146">
        <f>COUNTIF(E166:BV166,F288)</f>
        <v>4</v>
      </c>
      <c r="CR288" s="146">
        <f>COUNTIF(E165:BV165,F288)</f>
        <v>3</v>
      </c>
      <c r="CS288" s="146">
        <f>COUNTIF(E164:BV164,F288)</f>
        <v>3</v>
      </c>
      <c r="CT288" s="146">
        <f>COUNTIF(E163:BV163,F288)</f>
        <v>1</v>
      </c>
      <c r="CU288" s="146">
        <f>COUNTIF(E162:BV162,F288)</f>
        <v>2</v>
      </c>
      <c r="CV288" s="146">
        <f>COUNTIF(E161:BV161,F288)</f>
        <v>1</v>
      </c>
      <c r="CW288" s="146">
        <f>COUNTIF(E160:BV160,F288)</f>
        <v>1</v>
      </c>
      <c r="CX288" s="146">
        <f>COUNTIF(E159:BV159,F288)</f>
        <v>2</v>
      </c>
      <c r="CY288" s="146">
        <f>COUNTIF(E158:BV158,F288)</f>
        <v>2</v>
      </c>
      <c r="CZ288" s="146">
        <f>COUNTIF(E157:BV157,F288)</f>
        <v>0</v>
      </c>
      <c r="DA288" s="146">
        <f>COUNTIF(E156:BV156,F288)</f>
        <v>0</v>
      </c>
      <c r="DB288" s="146">
        <f>COUNTIF(E155:BV155,F288)</f>
        <v>2</v>
      </c>
      <c r="DC288" s="146">
        <f>COUNTIF(E154:BV154,F288)</f>
        <v>3</v>
      </c>
      <c r="DD288" s="146">
        <v>1</v>
      </c>
      <c r="DE288" s="146"/>
      <c r="DF288" s="146"/>
      <c r="DG288" s="146"/>
      <c r="DH288" s="146"/>
      <c r="DI288" s="146"/>
      <c r="DJ288" s="146"/>
      <c r="DK288" s="146"/>
      <c r="DL288" s="146"/>
      <c r="DM288" s="146"/>
      <c r="DN288" s="146"/>
      <c r="DO288" s="146"/>
      <c r="DP288" s="146"/>
      <c r="DQ288" s="146"/>
      <c r="DR288" s="146"/>
      <c r="DS288" s="146"/>
      <c r="DT288" s="146"/>
      <c r="DU288" s="2"/>
      <c r="DV288" s="18"/>
      <c r="DW288" s="4"/>
      <c r="DX288" s="129"/>
      <c r="DY288" s="128">
        <v>17</v>
      </c>
      <c r="EC288" s="128">
        <v>17</v>
      </c>
      <c r="ED288" s="128">
        <v>17</v>
      </c>
      <c r="EF288" s="128">
        <v>17</v>
      </c>
      <c r="EG288" s="128">
        <v>17</v>
      </c>
      <c r="EH288" s="128">
        <v>17</v>
      </c>
      <c r="EJ288" s="129"/>
      <c r="EL288" s="128">
        <v>17</v>
      </c>
      <c r="EN288" s="128">
        <v>17</v>
      </c>
      <c r="EO288" s="128">
        <v>17</v>
      </c>
      <c r="EP288" s="128">
        <v>17</v>
      </c>
      <c r="EQ288" s="128">
        <v>17</v>
      </c>
      <c r="ER288" s="128">
        <v>17</v>
      </c>
      <c r="ES288" s="128">
        <v>17</v>
      </c>
      <c r="ET288" s="128">
        <v>17</v>
      </c>
      <c r="EU288" s="128">
        <v>17</v>
      </c>
      <c r="EV288" s="128">
        <v>17</v>
      </c>
      <c r="EX288" s="128">
        <v>17</v>
      </c>
      <c r="EZ288" s="52"/>
      <c r="FA288" s="128">
        <v>25</v>
      </c>
      <c r="FB288" s="128">
        <v>25</v>
      </c>
      <c r="FC288" s="128">
        <v>25</v>
      </c>
      <c r="FE288" s="128">
        <v>25</v>
      </c>
      <c r="FF288" s="128">
        <v>25</v>
      </c>
      <c r="FH288" s="128">
        <v>25</v>
      </c>
      <c r="FJ288" s="128">
        <v>25</v>
      </c>
      <c r="FM288" s="128">
        <v>25</v>
      </c>
      <c r="FN288" s="128">
        <v>25</v>
      </c>
      <c r="FO288" s="128">
        <v>25</v>
      </c>
      <c r="FP288" s="128">
        <v>25</v>
      </c>
      <c r="FR288" s="128">
        <v>25</v>
      </c>
      <c r="FS288" s="128">
        <v>25</v>
      </c>
      <c r="FT288" s="128">
        <v>25</v>
      </c>
      <c r="FU288" s="128">
        <v>25</v>
      </c>
      <c r="FV288" s="128">
        <v>25</v>
      </c>
      <c r="FX288" s="128">
        <v>25</v>
      </c>
      <c r="FY288" s="128">
        <v>25</v>
      </c>
      <c r="GA288" s="52"/>
      <c r="GB288" s="52"/>
      <c r="GC288" s="52"/>
      <c r="GD288" s="52"/>
      <c r="GE288" s="52"/>
      <c r="GF288" s="52"/>
      <c r="GG288" s="52"/>
      <c r="GH288" s="52"/>
      <c r="GI288" s="52"/>
      <c r="GJ288" s="52"/>
      <c r="GK288" s="139"/>
      <c r="GL288" s="52"/>
      <c r="GM288" s="52"/>
      <c r="GN288" s="52"/>
      <c r="GO288" s="52"/>
      <c r="GP288" s="52"/>
      <c r="GQ288" s="52"/>
      <c r="GR288" s="129"/>
      <c r="GS288" s="129"/>
      <c r="GT288" s="129"/>
      <c r="GU288" s="129"/>
      <c r="GV288" s="129"/>
      <c r="GW288" s="129"/>
      <c r="GX288" s="129"/>
      <c r="GY288" s="129"/>
      <c r="GZ288" s="129"/>
      <c r="HA288" s="129"/>
      <c r="HB288" s="79"/>
      <c r="HC288" s="129"/>
      <c r="HD288" s="129"/>
      <c r="HE288" s="4"/>
      <c r="HF288" s="4"/>
      <c r="HG288" s="129"/>
      <c r="HH288" s="129"/>
      <c r="HI288" s="129"/>
      <c r="HJ288" s="129"/>
      <c r="HK288" s="129"/>
      <c r="HL288" s="129"/>
      <c r="HM288" s="129"/>
      <c r="HN288" s="129"/>
      <c r="HO288" s="129"/>
      <c r="HP288" s="129"/>
      <c r="HQ288" s="129"/>
      <c r="HR288" s="129"/>
      <c r="HS288" s="129"/>
      <c r="HT288" s="129"/>
      <c r="HU288" s="129"/>
      <c r="HV288" s="129"/>
      <c r="HW288" s="129"/>
      <c r="HX288" s="129"/>
      <c r="HY288" s="129"/>
      <c r="HZ288" s="79"/>
      <c r="IA288" s="129"/>
      <c r="IB288" s="129"/>
      <c r="IC288" s="129"/>
      <c r="ID288" s="129"/>
      <c r="IE288" s="129"/>
      <c r="IF288" s="129"/>
      <c r="IG288" s="129"/>
      <c r="IH288" s="129"/>
      <c r="II288" s="129"/>
      <c r="IJ288" s="129"/>
      <c r="IK288" s="129"/>
      <c r="IL288" s="129"/>
      <c r="IM288" s="129"/>
      <c r="IN288" s="129"/>
      <c r="IO288" s="129"/>
      <c r="IP288" s="129"/>
      <c r="IQ288" s="129"/>
      <c r="IR288" s="129"/>
      <c r="IS288" s="129"/>
      <c r="IT288" s="129"/>
      <c r="IU288" s="129"/>
      <c r="IV288" s="129"/>
      <c r="IW288" s="129"/>
      <c r="IX288" s="129"/>
      <c r="IY288" s="129"/>
      <c r="IZ288" s="129"/>
      <c r="JA288" s="129"/>
      <c r="JB288" s="129"/>
      <c r="JC288" s="129"/>
      <c r="JD288" s="129"/>
      <c r="JE288" s="129"/>
      <c r="JF288" s="129"/>
      <c r="JG288" s="129"/>
      <c r="JH288" s="129"/>
      <c r="JI288" s="129"/>
      <c r="JJ288" s="129"/>
      <c r="JK288" s="129"/>
      <c r="JL288" s="129"/>
      <c r="JM288" s="129"/>
      <c r="JN288" s="129"/>
      <c r="JO288" s="129"/>
      <c r="JP288" s="129"/>
      <c r="JQ288" s="129"/>
      <c r="JR288" s="129"/>
      <c r="JS288" s="129"/>
      <c r="JT288" s="129"/>
      <c r="JU288" s="129"/>
      <c r="JV288" s="129"/>
      <c r="JW288" s="129"/>
      <c r="JX288" s="129"/>
      <c r="JY288" s="129"/>
      <c r="JZ288" s="129"/>
      <c r="KA288" s="129"/>
      <c r="KB288" s="129"/>
      <c r="KC288" s="129"/>
      <c r="KD288" s="129"/>
    </row>
    <row r="289" spans="4:293" ht="17.25">
      <c r="D289" s="128"/>
      <c r="E289" s="570">
        <v>32</v>
      </c>
      <c r="F289" s="145">
        <v>32</v>
      </c>
      <c r="G289" s="639"/>
      <c r="H289" s="453">
        <f>COUNTIF(E253:BV253,F289)</f>
        <v>1</v>
      </c>
      <c r="I289" s="453">
        <f>COUNTIF(E252:BV252,F289)</f>
        <v>1</v>
      </c>
      <c r="J289" s="453">
        <f>COUNTIF(E251:BV251,F289)</f>
        <v>4</v>
      </c>
      <c r="K289" s="453">
        <f>COUNTIF(E250:BV250,F289)</f>
        <v>1</v>
      </c>
      <c r="L289" s="453">
        <f>COUNTIF(E249:BV249,F289)</f>
        <v>4</v>
      </c>
      <c r="M289" s="453">
        <f>COUNTIF(E248:BV248,F289)</f>
        <v>3</v>
      </c>
      <c r="N289" s="453">
        <f>COUNTIF(E247:BV247,F289)</f>
        <v>2</v>
      </c>
      <c r="O289" s="453">
        <f>COUNTIF(E246:BV246,F289)</f>
        <v>2</v>
      </c>
      <c r="P289" s="453">
        <f>COUNTIF(E245:BV245,F289)</f>
        <v>2</v>
      </c>
      <c r="Q289" s="453">
        <f>COUNTIF(E244:BV244,F289)</f>
        <v>0</v>
      </c>
      <c r="R289" s="453">
        <f>COUNTIF(E243:BV243,F289)</f>
        <v>2</v>
      </c>
      <c r="S289" s="453">
        <f>COUNTIF(E242:BV242,F289)</f>
        <v>3</v>
      </c>
      <c r="T289" s="453">
        <f>COUNTIF(E241:BV241,F289)</f>
        <v>0</v>
      </c>
      <c r="U289" s="453">
        <f>COUNTIF(E240:BV240,F289)</f>
        <v>2</v>
      </c>
      <c r="V289" s="453">
        <f>COUNTIF(E239:BV239,F289)</f>
        <v>0</v>
      </c>
      <c r="W289" s="453">
        <f>COUNTIF(E238:BV238,F289)</f>
        <v>1</v>
      </c>
      <c r="X289" s="453">
        <f>COUNTIF(E237:BV237,F289)</f>
        <v>3</v>
      </c>
      <c r="Y289" s="453">
        <f>COUNTIF(E236:BV236,F289)</f>
        <v>1</v>
      </c>
      <c r="Z289" s="453">
        <f>COUNTIF(E235:BV235,F289)</f>
        <v>6</v>
      </c>
      <c r="AA289" s="453">
        <f>COUNTIF(E234:BV234,F289)</f>
        <v>1</v>
      </c>
      <c r="AB289" s="453">
        <f>COUNTIF(E233:BV233,F289)</f>
        <v>4</v>
      </c>
      <c r="AC289" s="453">
        <f>COUNTIF(E232:BV232,F289)</f>
        <v>2</v>
      </c>
      <c r="AD289" s="453">
        <f>COUNTIF(E231:BV231,F289)</f>
        <v>1</v>
      </c>
      <c r="AE289" s="453">
        <f>COUNTIF(E230:BV230,F289)</f>
        <v>2</v>
      </c>
      <c r="AF289" s="453">
        <f>COUNTIF(E229:BV229,F289)</f>
        <v>2</v>
      </c>
      <c r="AG289" s="453">
        <f>COUNTIF(E228:BV228,F289)</f>
        <v>2</v>
      </c>
      <c r="AH289" s="453">
        <f>COUNTIF(E227:BV227,F289)</f>
        <v>1</v>
      </c>
      <c r="AI289" s="146">
        <f>COUNTIF(E226:BV226,F289)</f>
        <v>1</v>
      </c>
      <c r="AJ289" s="146">
        <f>COUNTIF(E225:BV225,F289)</f>
        <v>0</v>
      </c>
      <c r="AK289" s="146">
        <f>COUNTIF(E224:BV224,F289)</f>
        <v>1</v>
      </c>
      <c r="AL289" s="146">
        <f>COUNTIF(E223:BV223,F289)</f>
        <v>2</v>
      </c>
      <c r="AM289" s="146">
        <f>COUNTIF(E222:BV222,F289)</f>
        <v>0</v>
      </c>
      <c r="AN289" s="146">
        <f>COUNTIF(E221:BV221,F289)</f>
        <v>3</v>
      </c>
      <c r="AO289" s="146">
        <f>COUNTIF(E220:BV220,F289)</f>
        <v>6</v>
      </c>
      <c r="AP289" s="146">
        <f>COUNTIF(E219:BV219,F289)</f>
        <v>3</v>
      </c>
      <c r="AQ289" s="146">
        <f>COUNTIF(E218:BV218,F289)</f>
        <v>0</v>
      </c>
      <c r="AR289" s="146">
        <f>COUNTIF(E217:BV217,F289)</f>
        <v>3</v>
      </c>
      <c r="AS289" s="146">
        <f>COUNTIF(E216:BV216,F289)</f>
        <v>0</v>
      </c>
      <c r="AT289" s="146">
        <f>COUNTIF(E215:BV215,F289)</f>
        <v>3</v>
      </c>
      <c r="AU289" s="146">
        <f>COUNTIF(E214:BV214,F289)</f>
        <v>3</v>
      </c>
      <c r="AV289" s="146">
        <f>COUNTIF(E213:BV213,F289)</f>
        <v>3</v>
      </c>
      <c r="AW289" s="146">
        <f>COUNTIF(E212:BV212,F289)</f>
        <v>1</v>
      </c>
      <c r="AX289" s="146">
        <f>COUNTIF(E211:BV211,F289)</f>
        <v>2</v>
      </c>
      <c r="AY289" s="146">
        <f>COUNTIF(E210:BV210,F289)</f>
        <v>1</v>
      </c>
      <c r="AZ289" s="146">
        <f>COUNTIF(E209:BV209,F289)</f>
        <v>2</v>
      </c>
      <c r="BA289" s="146">
        <f>COUNTIF(E208:BV208,F289)</f>
        <v>2</v>
      </c>
      <c r="BB289" s="146">
        <f>COUNTIF(E207:BV207,F289)</f>
        <v>2</v>
      </c>
      <c r="BC289" s="146">
        <f>COUNTIF(E206:BV206,F289)</f>
        <v>3</v>
      </c>
      <c r="BD289" s="146">
        <f>COUNTIF(E205:BV205,F289)</f>
        <v>1</v>
      </c>
      <c r="BE289" s="146">
        <f>COUNTIF(E204:BV204,F289)</f>
        <v>3</v>
      </c>
      <c r="BF289" s="146">
        <f>COUNTIF(E203:BV203,F289)</f>
        <v>1</v>
      </c>
      <c r="BG289" s="146">
        <f>COUNTIF(E202:BV202,F289)</f>
        <v>2</v>
      </c>
      <c r="BH289" s="146">
        <f>COUNTIF(E201:BV201,F289)</f>
        <v>2</v>
      </c>
      <c r="BI289" s="146">
        <f>COUNTIF(E200:BV200,F289)</f>
        <v>1</v>
      </c>
      <c r="BJ289" s="146">
        <f>COUNTIF(E199:BV199,F289)</f>
        <v>1</v>
      </c>
      <c r="BK289" s="146">
        <f>COUNTIF(E198:BV198,F289)</f>
        <v>0</v>
      </c>
      <c r="BL289" s="146">
        <f>COUNTIF(E197:BV197,F289)</f>
        <v>1</v>
      </c>
      <c r="BM289" s="146">
        <f>COUNTIF(E196:BV196,F289)</f>
        <v>3</v>
      </c>
      <c r="BN289" s="146">
        <f>COUNTIF(E195:BV195,F289)</f>
        <v>2</v>
      </c>
      <c r="BO289" s="146">
        <f>COUNTIF(E194:BV194,F289)</f>
        <v>2</v>
      </c>
      <c r="BP289" s="146">
        <f>COUNTIF(E193:BV193,F289)</f>
        <v>1</v>
      </c>
      <c r="BQ289" s="146">
        <f>COUNTIF(E192:BV192,F289)</f>
        <v>1</v>
      </c>
      <c r="BR289" s="146">
        <f>COUNTIF(E191:BV191,F289)</f>
        <v>3</v>
      </c>
      <c r="BS289" s="146">
        <f>COUNTIF(E190:BV190,F289)</f>
        <v>1</v>
      </c>
      <c r="BT289" s="146">
        <f>COUNTIF(E189:BV189,F289)</f>
        <v>0</v>
      </c>
      <c r="BU289" s="146">
        <f>COUNTIF(E188:BV188,F289)</f>
        <v>2</v>
      </c>
      <c r="BV289" s="146">
        <f>COUNTIF(E187:BV187,F289)</f>
        <v>1</v>
      </c>
      <c r="BW289" s="146">
        <f>COUNTIF(E186:BV186,F289)</f>
        <v>1</v>
      </c>
      <c r="BX289" s="146">
        <f>COUNTIF(E185:BV185,F289)</f>
        <v>3</v>
      </c>
      <c r="BY289" s="146">
        <f>COUNTIF(E184:BV184,F289)</f>
        <v>0</v>
      </c>
      <c r="BZ289" s="146">
        <f>COUNTIF(E183:BV183,F289)</f>
        <v>1</v>
      </c>
      <c r="CA289" s="146">
        <f>COUNTIF(E182:BV182,F289)</f>
        <v>1</v>
      </c>
      <c r="CB289" s="146">
        <f>COUNTIF(E181:BV181,F289)</f>
        <v>3</v>
      </c>
      <c r="CC289" s="146">
        <f>COUNTIF(E180:BV180,F289)</f>
        <v>1</v>
      </c>
      <c r="CD289" s="146">
        <f>COUNTIF(E179:BV179,F289)</f>
        <v>0</v>
      </c>
      <c r="CE289" s="146">
        <f>COUNTIF(E178:BV178,F289)</f>
        <v>0</v>
      </c>
      <c r="CF289" s="146">
        <f>COUNTIF(E177:BV177,F289)</f>
        <v>1</v>
      </c>
      <c r="CG289" s="146">
        <f>COUNTIF(E176:BV176,F289)</f>
        <v>1</v>
      </c>
      <c r="CH289" s="146">
        <f>COUNTIF(E175:BV175,F289)</f>
        <v>2</v>
      </c>
      <c r="CI289" s="146">
        <f>COUNTIF(E174:BV174,F289)</f>
        <v>0</v>
      </c>
      <c r="CJ289" s="146">
        <f>COUNTIF(E173:BV173,F289)</f>
        <v>0</v>
      </c>
      <c r="CK289" s="146">
        <f>COUNTIF(E172:BV172,F289)</f>
        <v>1</v>
      </c>
      <c r="CL289" s="146">
        <f>COUNTIF(E171:BV171,F289)</f>
        <v>0</v>
      </c>
      <c r="CM289" s="146">
        <f>COUNTIF(E170:BV170,F289)</f>
        <v>3</v>
      </c>
      <c r="CN289" s="146">
        <f>COUNTIF(E169:BV169,F289)</f>
        <v>1</v>
      </c>
      <c r="CO289" s="146">
        <f>COUNTIF(E168:BV168,F289)</f>
        <v>0</v>
      </c>
      <c r="CP289" s="146">
        <f>COUNTIF(E167:BV167,F289)</f>
        <v>2</v>
      </c>
      <c r="CQ289" s="146">
        <f>COUNTIF(E166:BV166,F289)</f>
        <v>3</v>
      </c>
      <c r="CR289" s="146">
        <f>COUNTIF(E165:BV165,F289)</f>
        <v>2</v>
      </c>
      <c r="CS289" s="146">
        <f>COUNTIF(E164:BV164,F289)</f>
        <v>1</v>
      </c>
      <c r="CT289" s="146">
        <f>COUNTIF(E163:BV163,F289)</f>
        <v>0</v>
      </c>
      <c r="CU289" s="146">
        <f>COUNTIF(E162:BV162,F289)</f>
        <v>2</v>
      </c>
      <c r="CV289" s="146">
        <f>COUNTIF(E161:BV161,F289)</f>
        <v>3</v>
      </c>
      <c r="CW289" s="146">
        <f>COUNTIF(E160:BV160,F289)</f>
        <v>2</v>
      </c>
      <c r="CX289" s="146">
        <f>COUNTIF(E159:BV159,F289)</f>
        <v>3</v>
      </c>
      <c r="CY289" s="146">
        <f>COUNTIF(E158:BV158,F289)</f>
        <v>2</v>
      </c>
      <c r="CZ289" s="146">
        <f>COUNTIF(E157:BV157,F289)</f>
        <v>1</v>
      </c>
      <c r="DA289" s="146">
        <f>COUNTIF(E156:BV156,F289)</f>
        <v>3</v>
      </c>
      <c r="DB289" s="146">
        <f>COUNTIF(E155:BV155,F289)</f>
        <v>0</v>
      </c>
      <c r="DC289" s="146">
        <f>COUNTIF(E154:BV154,F289)</f>
        <v>3</v>
      </c>
      <c r="DD289" s="146">
        <v>2</v>
      </c>
      <c r="DE289" s="146"/>
      <c r="DF289" s="146"/>
      <c r="DG289" s="146"/>
      <c r="DH289" s="146"/>
      <c r="DI289" s="146"/>
      <c r="DJ289" s="146"/>
      <c r="DK289" s="146"/>
      <c r="DL289" s="146"/>
      <c r="DM289" s="146"/>
      <c r="DN289" s="146"/>
      <c r="DO289" s="146"/>
      <c r="DP289" s="146"/>
      <c r="DQ289" s="146"/>
      <c r="DR289" s="146"/>
      <c r="DS289" s="146"/>
      <c r="DT289" s="146"/>
      <c r="DU289" s="2"/>
      <c r="DV289" s="18"/>
      <c r="DW289" s="4"/>
      <c r="DX289" s="129"/>
      <c r="DY289" s="128">
        <v>18</v>
      </c>
      <c r="DZ289" s="128">
        <v>18</v>
      </c>
      <c r="EB289" s="128">
        <v>18</v>
      </c>
      <c r="EC289" s="128">
        <v>18</v>
      </c>
      <c r="ED289" s="128">
        <v>18</v>
      </c>
      <c r="EE289" s="128">
        <v>18</v>
      </c>
      <c r="EF289" s="128">
        <v>18</v>
      </c>
      <c r="EH289" s="128">
        <v>18</v>
      </c>
      <c r="EJ289" s="129"/>
      <c r="EK289" s="128">
        <v>18</v>
      </c>
      <c r="EL289" s="128">
        <v>18</v>
      </c>
      <c r="EM289" s="128">
        <v>18</v>
      </c>
      <c r="EN289" s="128">
        <v>18</v>
      </c>
      <c r="EO289" s="128">
        <v>18</v>
      </c>
      <c r="EP289" s="128">
        <v>18</v>
      </c>
      <c r="ER289" s="128">
        <v>18</v>
      </c>
      <c r="EU289" s="128">
        <v>18</v>
      </c>
      <c r="EV289" s="128">
        <v>18</v>
      </c>
      <c r="EW289" s="128">
        <v>18</v>
      </c>
      <c r="EX289" s="128">
        <v>18</v>
      </c>
      <c r="EZ289" s="52"/>
      <c r="FA289" s="128">
        <v>26</v>
      </c>
      <c r="FB289" s="128">
        <v>26</v>
      </c>
      <c r="FC289" s="128">
        <v>26</v>
      </c>
      <c r="FD289" s="128">
        <v>26</v>
      </c>
      <c r="FE289" s="128">
        <v>26</v>
      </c>
      <c r="FF289" s="128">
        <v>26</v>
      </c>
      <c r="FG289" s="128">
        <v>26</v>
      </c>
      <c r="FH289" s="128">
        <v>26</v>
      </c>
      <c r="FI289" s="128">
        <v>26</v>
      </c>
      <c r="FM289" s="128">
        <v>26</v>
      </c>
      <c r="FN289" s="128">
        <v>26</v>
      </c>
      <c r="FO289" s="128">
        <v>26</v>
      </c>
      <c r="FQ289" s="128">
        <v>26</v>
      </c>
      <c r="FR289" s="128">
        <v>26</v>
      </c>
      <c r="FS289" s="128">
        <v>26</v>
      </c>
      <c r="FT289" s="128">
        <v>26</v>
      </c>
      <c r="FU289" s="128">
        <v>26</v>
      </c>
      <c r="FV289" s="128">
        <v>26</v>
      </c>
      <c r="FX289" s="128">
        <v>26</v>
      </c>
      <c r="FZ289" s="128">
        <v>26</v>
      </c>
      <c r="GA289" s="52"/>
      <c r="GB289" s="52"/>
      <c r="GC289" s="52"/>
      <c r="GD289" s="52"/>
      <c r="GE289" s="52"/>
      <c r="GF289" s="52"/>
      <c r="GG289" s="52"/>
      <c r="GH289" s="52"/>
      <c r="GI289" s="52"/>
      <c r="GJ289" s="52"/>
      <c r="GK289" s="52"/>
      <c r="GL289" s="139"/>
      <c r="GM289" s="52"/>
      <c r="GN289" s="52"/>
      <c r="GO289" s="52"/>
      <c r="GP289" s="52"/>
      <c r="GQ289" s="52"/>
      <c r="GR289" s="129"/>
      <c r="GS289" s="129"/>
      <c r="GT289" s="129"/>
      <c r="GU289" s="129"/>
      <c r="GV289" s="129"/>
      <c r="GW289" s="129"/>
      <c r="GX289" s="129"/>
      <c r="GY289" s="129"/>
      <c r="GZ289" s="129"/>
      <c r="HA289" s="129"/>
      <c r="HB289" s="79"/>
      <c r="HC289" s="129"/>
      <c r="HD289" s="129"/>
      <c r="HE289" s="4"/>
      <c r="HF289" s="4"/>
      <c r="HG289" s="4"/>
      <c r="HH289" s="129"/>
      <c r="HI289" s="129"/>
      <c r="HJ289" s="129"/>
      <c r="HK289" s="129"/>
      <c r="HL289" s="129"/>
      <c r="HM289" s="129"/>
      <c r="HN289" s="129"/>
      <c r="HO289" s="129"/>
      <c r="HP289" s="129"/>
      <c r="HQ289" s="129"/>
      <c r="HR289" s="129"/>
      <c r="HS289" s="129"/>
      <c r="HT289" s="129"/>
      <c r="HU289" s="129"/>
      <c r="HV289" s="129"/>
      <c r="HW289" s="129"/>
      <c r="HX289" s="129"/>
      <c r="HY289" s="129"/>
      <c r="HZ289" s="79"/>
      <c r="IA289" s="129"/>
      <c r="IB289" s="129"/>
      <c r="IC289" s="129"/>
      <c r="ID289" s="129"/>
      <c r="IE289" s="129"/>
      <c r="IF289" s="129"/>
      <c r="IG289" s="129"/>
      <c r="IH289" s="129"/>
      <c r="II289" s="129"/>
      <c r="IJ289" s="129"/>
      <c r="IK289" s="129"/>
      <c r="IL289" s="129"/>
      <c r="IM289" s="129"/>
      <c r="IN289" s="129"/>
      <c r="IO289" s="129"/>
      <c r="IP289" s="129"/>
      <c r="IQ289" s="129"/>
      <c r="IR289" s="129"/>
      <c r="IS289" s="129"/>
      <c r="IT289" s="129"/>
      <c r="IU289" s="129"/>
      <c r="IV289" s="129"/>
      <c r="IW289" s="129"/>
      <c r="IX289" s="129"/>
      <c r="IY289" s="129"/>
      <c r="IZ289" s="129"/>
      <c r="JA289" s="129"/>
      <c r="JB289" s="129"/>
      <c r="JC289" s="129"/>
      <c r="JD289" s="129"/>
      <c r="JE289" s="129"/>
      <c r="JF289" s="129"/>
      <c r="JG289" s="129"/>
      <c r="JH289" s="129"/>
      <c r="JI289" s="129"/>
      <c r="JJ289" s="129"/>
      <c r="JK289" s="129"/>
      <c r="JL289" s="129"/>
      <c r="JM289" s="129"/>
      <c r="JN289" s="129"/>
      <c r="JO289" s="129"/>
      <c r="JP289" s="129"/>
      <c r="JQ289" s="129"/>
      <c r="JR289" s="129"/>
      <c r="JS289" s="129"/>
      <c r="JT289" s="129"/>
      <c r="JU289" s="129"/>
      <c r="JV289" s="129"/>
      <c r="JW289" s="129"/>
      <c r="JX289" s="129"/>
      <c r="JY289" s="129"/>
      <c r="JZ289" s="129"/>
      <c r="KA289" s="129"/>
      <c r="KB289" s="129"/>
      <c r="KC289" s="129"/>
      <c r="KD289" s="129"/>
    </row>
    <row r="290" spans="4:293" ht="17.25">
      <c r="D290" s="128"/>
      <c r="E290" s="570">
        <v>33</v>
      </c>
      <c r="F290" s="145">
        <v>33</v>
      </c>
      <c r="G290" s="639"/>
      <c r="H290" s="453">
        <f>COUNTIF(E253:BV253,F290)</f>
        <v>2</v>
      </c>
      <c r="I290" s="453">
        <f>COUNTIF(E252:BV252,F290)</f>
        <v>3</v>
      </c>
      <c r="J290" s="453">
        <f>COUNTIF(E251:BV251,F290)</f>
        <v>1</v>
      </c>
      <c r="K290" s="453">
        <f>COUNTIF(E250:BV250,F290)</f>
        <v>3</v>
      </c>
      <c r="L290" s="453">
        <f>COUNTIF(E249:BV249,F290)</f>
        <v>1</v>
      </c>
      <c r="M290" s="453">
        <f>COUNTIF(E248:BV248,F290)</f>
        <v>3</v>
      </c>
      <c r="N290" s="453">
        <f>COUNTIF(E247:BV247,F290)</f>
        <v>0</v>
      </c>
      <c r="O290" s="453">
        <f>COUNTIF(E246:BV246,F290)</f>
        <v>2</v>
      </c>
      <c r="P290" s="453">
        <f>COUNTIF(E245:BV245,F290)</f>
        <v>2</v>
      </c>
      <c r="Q290" s="453">
        <f>COUNTIF(E244:BV244,F290)</f>
        <v>3</v>
      </c>
      <c r="R290" s="453">
        <f>COUNTIF(E243:BV243,F290)</f>
        <v>0</v>
      </c>
      <c r="S290" s="453">
        <f>COUNTIF(E242:BV242,F290)</f>
        <v>2</v>
      </c>
      <c r="T290" s="453">
        <f>COUNTIF(E241:BV241,F290)</f>
        <v>0</v>
      </c>
      <c r="U290" s="453">
        <f>COUNTIF(E240:BV240,F290)</f>
        <v>3</v>
      </c>
      <c r="V290" s="453">
        <f>COUNTIF(E239:BV239,F290)</f>
        <v>1</v>
      </c>
      <c r="W290" s="453">
        <f>COUNTIF(E238:BV238,F290)</f>
        <v>1</v>
      </c>
      <c r="X290" s="453">
        <f>COUNTIF(E237:BV237,F290)</f>
        <v>0</v>
      </c>
      <c r="Y290" s="453">
        <f>COUNTIF(E236:BV236,F290)</f>
        <v>2</v>
      </c>
      <c r="Z290" s="453">
        <f>COUNTIF(E235:BV235,F290)</f>
        <v>3</v>
      </c>
      <c r="AA290" s="453">
        <f>COUNTIF(E234:BV234,F290)</f>
        <v>1</v>
      </c>
      <c r="AB290" s="453">
        <f>COUNTIF(E233:BV233,F290)</f>
        <v>4</v>
      </c>
      <c r="AC290" s="453">
        <f>COUNTIF(E232:BV232,F290)</f>
        <v>1</v>
      </c>
      <c r="AD290" s="453">
        <f>COUNTIF(E231:BV231,F290)</f>
        <v>4</v>
      </c>
      <c r="AE290" s="453">
        <f>COUNTIF(E230:BV230,F290)</f>
        <v>0</v>
      </c>
      <c r="AF290" s="453">
        <f>COUNTIF(E229:BV229,F290)</f>
        <v>2</v>
      </c>
      <c r="AG290" s="453">
        <f>COUNTIF(E228:BV228,F290)</f>
        <v>0</v>
      </c>
      <c r="AH290" s="453">
        <f>COUNTIF(E227:BV227,F290)</f>
        <v>2</v>
      </c>
      <c r="AI290" s="146">
        <f>COUNTIF(E226:BV226,F290)</f>
        <v>2</v>
      </c>
      <c r="AJ290" s="146">
        <f>COUNTIF(E225:BV225,F290)</f>
        <v>0</v>
      </c>
      <c r="AK290" s="146">
        <f>COUNTIF(E224:BV224,F290)</f>
        <v>0</v>
      </c>
      <c r="AL290" s="146">
        <f>COUNTIF(E223:BV223,F290)</f>
        <v>1</v>
      </c>
      <c r="AM290" s="146">
        <f>COUNTIF(E222:BV222,F290)</f>
        <v>6</v>
      </c>
      <c r="AN290" s="146">
        <f>COUNTIF(E221:BV221,F290)</f>
        <v>0</v>
      </c>
      <c r="AO290" s="146">
        <f>COUNTIF(E220:BV220,F290)</f>
        <v>1</v>
      </c>
      <c r="AP290" s="146">
        <f>COUNTIF(E219:BV219,F290)</f>
        <v>2</v>
      </c>
      <c r="AQ290" s="146">
        <f>COUNTIF(E218:BV218,F290)</f>
        <v>1</v>
      </c>
      <c r="AR290" s="146">
        <f>COUNTIF(E217:BV217,F290)</f>
        <v>3</v>
      </c>
      <c r="AS290" s="146">
        <f>COUNTIF(E216:BV216,F290)</f>
        <v>4</v>
      </c>
      <c r="AT290" s="146">
        <f>COUNTIF(E215:BV215,F290)</f>
        <v>1</v>
      </c>
      <c r="AU290" s="146">
        <f>COUNTIF(E214:BV214,F290)</f>
        <v>1</v>
      </c>
      <c r="AV290" s="146">
        <f>COUNTIF(E213:BV213,F290)</f>
        <v>3</v>
      </c>
      <c r="AW290" s="146">
        <f>COUNTIF(E212:BV212,F290)</f>
        <v>1</v>
      </c>
      <c r="AX290" s="146">
        <f>COUNTIF(E211:BV211,F290)</f>
        <v>0</v>
      </c>
      <c r="AY290" s="146">
        <f>COUNTIF(E210:BV210,F290)</f>
        <v>1</v>
      </c>
      <c r="AZ290" s="146">
        <f>COUNTIF(E209:BV209,F290)</f>
        <v>1</v>
      </c>
      <c r="BA290" s="146">
        <f>COUNTIF(E208:BV208,F290)</f>
        <v>2</v>
      </c>
      <c r="BB290" s="146">
        <f>COUNTIF(E207:BV207,F290)</f>
        <v>0</v>
      </c>
      <c r="BC290" s="146">
        <f>COUNTIF(E206:BV206,F290)</f>
        <v>0</v>
      </c>
      <c r="BD290" s="146">
        <f>COUNTIF(E205:BV205,F290)</f>
        <v>0</v>
      </c>
      <c r="BE290" s="146">
        <f>COUNTIF(E204:BV204,F290)</f>
        <v>3</v>
      </c>
      <c r="BF290" s="146">
        <f>COUNTIF(E203:BV203,F290)</f>
        <v>0</v>
      </c>
      <c r="BG290" s="146">
        <f>COUNTIF(E202:BV202,F290)</f>
        <v>0</v>
      </c>
      <c r="BH290" s="146">
        <f>COUNTIF(E201:BV201,F290)</f>
        <v>1</v>
      </c>
      <c r="BI290" s="146">
        <f>COUNTIF(E200:BV200,F290)</f>
        <v>1</v>
      </c>
      <c r="BJ290" s="146">
        <f>COUNTIF(E199:BV199,F290)</f>
        <v>1</v>
      </c>
      <c r="BK290" s="146">
        <f>COUNTIF(E198:BV198,F290)</f>
        <v>3</v>
      </c>
      <c r="BL290" s="146">
        <f>COUNTIF(E197:BV197,F290)</f>
        <v>2</v>
      </c>
      <c r="BM290" s="146">
        <f>COUNTIF(E196:BV196,F290)</f>
        <v>1</v>
      </c>
      <c r="BN290" s="146">
        <f>COUNTIF(E195:BV195,F290)</f>
        <v>5</v>
      </c>
      <c r="BO290" s="146">
        <f>COUNTIF(E194:BV194,F290)</f>
        <v>1</v>
      </c>
      <c r="BP290" s="146">
        <f>COUNTIF(E193:BV193,F290)</f>
        <v>2</v>
      </c>
      <c r="BQ290" s="146">
        <f>COUNTIF(E192:BV192,F290)</f>
        <v>2</v>
      </c>
      <c r="BR290" s="146">
        <f>COUNTIF(E191:BV191,F290)</f>
        <v>3</v>
      </c>
      <c r="BS290" s="146">
        <f>COUNTIF(E190:BV190,F290)</f>
        <v>2</v>
      </c>
      <c r="BT290" s="146">
        <f>COUNTIF(E189:BV189,F290)</f>
        <v>1</v>
      </c>
      <c r="BU290" s="146">
        <f>COUNTIF(E188:BV188,F290)</f>
        <v>1</v>
      </c>
      <c r="BV290" s="146">
        <f>COUNTIF(E187:BV187,F290)</f>
        <v>4</v>
      </c>
      <c r="BW290" s="146">
        <f>COUNTIF(E186:BV186,F290)</f>
        <v>4</v>
      </c>
      <c r="BX290" s="146">
        <f>COUNTIF(E185:BV185,F290)</f>
        <v>1</v>
      </c>
      <c r="BY290" s="146">
        <f>COUNTIF(E184:BV184,F290)</f>
        <v>1</v>
      </c>
      <c r="BZ290" s="146">
        <f>COUNTIF(E183:BV183,F290)</f>
        <v>1</v>
      </c>
      <c r="CA290" s="146">
        <f>COUNTIF(E182:BV182,F290)</f>
        <v>1</v>
      </c>
      <c r="CB290" s="146">
        <f>COUNTIF(E181:BV181,F290)</f>
        <v>3</v>
      </c>
      <c r="CC290" s="146">
        <f>COUNTIF(E180:BV180,F290)</f>
        <v>2</v>
      </c>
      <c r="CD290" s="146">
        <f>COUNTIF(E179:BV179,F290)</f>
        <v>1</v>
      </c>
      <c r="CE290" s="146">
        <f>COUNTIF(E178:BV178,F290)</f>
        <v>3</v>
      </c>
      <c r="CF290" s="146">
        <f>COUNTIF(E177:BV177,F290)</f>
        <v>0</v>
      </c>
      <c r="CG290" s="146">
        <f>COUNTIF(E176:BV176,F290)</f>
        <v>5</v>
      </c>
      <c r="CH290" s="146">
        <f>COUNTIF(E175:BV175,F290)</f>
        <v>3</v>
      </c>
      <c r="CI290" s="146">
        <f>COUNTIF(E174:BV174,F290)</f>
        <v>1</v>
      </c>
      <c r="CJ290" s="146">
        <f>COUNTIF(E173:BV173,F290)</f>
        <v>2</v>
      </c>
      <c r="CK290" s="146">
        <f>COUNTIF(E172:BV172,F290)</f>
        <v>1</v>
      </c>
      <c r="CL290" s="146">
        <f>COUNTIF(E171:BV171,F290)</f>
        <v>0</v>
      </c>
      <c r="CM290" s="146">
        <f>COUNTIF(E170:BV170,F290)</f>
        <v>4</v>
      </c>
      <c r="CN290" s="146">
        <f>COUNTIF(E169:BV169,F290)</f>
        <v>1</v>
      </c>
      <c r="CO290" s="146">
        <f>COUNTIF(E168:BV168,F290)</f>
        <v>2</v>
      </c>
      <c r="CP290" s="146">
        <f>COUNTIF(E167:BV167,F290)</f>
        <v>4</v>
      </c>
      <c r="CQ290" s="146">
        <f>COUNTIF(E166:BV166,F290)</f>
        <v>2</v>
      </c>
      <c r="CR290" s="146">
        <f>COUNTIF(E165:BV165,F290)</f>
        <v>1</v>
      </c>
      <c r="CS290" s="146">
        <f>COUNTIF(E164:BV164,F290)</f>
        <v>3</v>
      </c>
      <c r="CT290" s="146">
        <f>COUNTIF(E163:BV163,F290)</f>
        <v>3</v>
      </c>
      <c r="CU290" s="146">
        <f>COUNTIF(E162:BV162,F290)</f>
        <v>0</v>
      </c>
      <c r="CV290" s="146">
        <f>COUNTIF(E161:BV161,F290)</f>
        <v>0</v>
      </c>
      <c r="CW290" s="146">
        <f>COUNTIF(E160:BV160,F290)</f>
        <v>1</v>
      </c>
      <c r="CX290" s="146">
        <f>COUNTIF(E159:BV159,F290)</f>
        <v>2</v>
      </c>
      <c r="CY290" s="146">
        <f>COUNTIF(E158:BV158,F290)</f>
        <v>1</v>
      </c>
      <c r="CZ290" s="146">
        <f>COUNTIF(E157:BV157,F290)</f>
        <v>2</v>
      </c>
      <c r="DA290" s="146">
        <f>COUNTIF(E156:BV156,F290)</f>
        <v>1</v>
      </c>
      <c r="DB290" s="146">
        <f>COUNTIF(E155:BV155,F290)</f>
        <v>0</v>
      </c>
      <c r="DC290" s="146">
        <f>COUNTIF(E154:BV154,F290)</f>
        <v>2</v>
      </c>
      <c r="DD290" s="146">
        <v>0</v>
      </c>
      <c r="DE290" s="146"/>
      <c r="DF290" s="146"/>
      <c r="DG290" s="146"/>
      <c r="DH290" s="146"/>
      <c r="DI290" s="146"/>
      <c r="DJ290" s="146"/>
      <c r="DK290" s="146"/>
      <c r="DL290" s="146"/>
      <c r="DM290" s="146"/>
      <c r="DN290" s="146"/>
      <c r="DO290" s="146"/>
      <c r="DP290" s="146"/>
      <c r="DQ290" s="146"/>
      <c r="DR290" s="146"/>
      <c r="DS290" s="146"/>
      <c r="DT290" s="146"/>
      <c r="DU290" s="2"/>
      <c r="DV290" s="18"/>
      <c r="DW290" s="3"/>
      <c r="DX290" s="129"/>
      <c r="DZ290" s="128">
        <v>19</v>
      </c>
      <c r="EA290" s="128">
        <v>19</v>
      </c>
      <c r="EB290" s="128">
        <v>19</v>
      </c>
      <c r="EC290" s="128">
        <v>19</v>
      </c>
      <c r="ED290" s="128">
        <v>19</v>
      </c>
      <c r="EE290" s="128">
        <v>19</v>
      </c>
      <c r="EF290" s="128">
        <v>19</v>
      </c>
      <c r="EH290" s="128">
        <v>19</v>
      </c>
      <c r="EJ290" s="129"/>
      <c r="EL290" s="128">
        <v>19</v>
      </c>
      <c r="EN290" s="128">
        <v>19</v>
      </c>
      <c r="EO290" s="128">
        <v>19</v>
      </c>
      <c r="EP290" s="128">
        <v>19</v>
      </c>
      <c r="EQ290" s="128">
        <v>19</v>
      </c>
      <c r="ET290" s="128">
        <v>19</v>
      </c>
      <c r="EU290" s="128">
        <v>19</v>
      </c>
      <c r="EV290" s="128">
        <v>19</v>
      </c>
      <c r="EX290" s="128">
        <v>19</v>
      </c>
      <c r="EZ290" s="52"/>
      <c r="FA290" s="128">
        <v>27</v>
      </c>
      <c r="FB290" s="128">
        <v>27</v>
      </c>
      <c r="FC290" s="128">
        <v>27</v>
      </c>
      <c r="FF290" s="128">
        <v>27</v>
      </c>
      <c r="FG290" s="128">
        <v>27</v>
      </c>
      <c r="FH290" s="128">
        <v>27</v>
      </c>
      <c r="FI290" s="128">
        <v>27</v>
      </c>
      <c r="FJ290" s="128">
        <v>27</v>
      </c>
      <c r="FM290" s="128">
        <v>27</v>
      </c>
      <c r="FN290" s="128">
        <v>27</v>
      </c>
      <c r="FQ290" s="128">
        <v>27</v>
      </c>
      <c r="FS290" s="128">
        <v>27</v>
      </c>
      <c r="FU290" s="128">
        <v>27</v>
      </c>
      <c r="FW290" s="128">
        <v>27</v>
      </c>
      <c r="FX290" s="128">
        <v>27</v>
      </c>
      <c r="FY290" s="128">
        <v>27</v>
      </c>
      <c r="GA290" s="52"/>
      <c r="GB290" s="52"/>
      <c r="GC290" s="52"/>
      <c r="GD290" s="52"/>
      <c r="GE290" s="52"/>
      <c r="GF290" s="52"/>
      <c r="GG290" s="52"/>
      <c r="GH290" s="52"/>
      <c r="GI290" s="52"/>
      <c r="GJ290" s="52"/>
      <c r="GK290" s="52"/>
      <c r="GL290" s="52"/>
      <c r="GM290" s="139"/>
      <c r="GN290" s="52"/>
      <c r="GO290" s="52"/>
      <c r="GP290" s="52"/>
      <c r="GQ290" s="52"/>
      <c r="GR290" s="129"/>
      <c r="GS290" s="129"/>
      <c r="GT290" s="129"/>
      <c r="GU290" s="129"/>
      <c r="GV290" s="129"/>
      <c r="GW290" s="129"/>
      <c r="GX290" s="129"/>
      <c r="GY290" s="129"/>
      <c r="GZ290" s="129"/>
      <c r="HA290" s="129"/>
      <c r="HB290" s="79"/>
      <c r="HC290" s="129"/>
      <c r="HD290" s="129"/>
      <c r="HE290" s="3"/>
      <c r="HF290" s="4"/>
      <c r="HG290" s="4"/>
      <c r="HH290" s="4"/>
      <c r="HI290" s="129"/>
      <c r="HJ290" s="129"/>
      <c r="HK290" s="129"/>
      <c r="HL290" s="129"/>
      <c r="HM290" s="129"/>
      <c r="HN290" s="129"/>
      <c r="HO290" s="129"/>
      <c r="HP290" s="129"/>
      <c r="HQ290" s="129"/>
      <c r="HR290" s="129"/>
      <c r="HS290" s="129"/>
      <c r="HT290" s="129"/>
      <c r="HU290" s="129"/>
      <c r="HV290" s="129"/>
      <c r="HW290" s="129"/>
      <c r="HX290" s="129"/>
      <c r="HY290" s="129"/>
      <c r="HZ290" s="79"/>
      <c r="IA290" s="129"/>
      <c r="IB290" s="129"/>
      <c r="IC290" s="129"/>
      <c r="ID290" s="129"/>
      <c r="IE290" s="129"/>
      <c r="IF290" s="129"/>
      <c r="IG290" s="129"/>
      <c r="IH290" s="129"/>
      <c r="II290" s="129"/>
      <c r="IJ290" s="129"/>
      <c r="IK290" s="129"/>
      <c r="IL290" s="129"/>
      <c r="IM290" s="129"/>
      <c r="IN290" s="129"/>
      <c r="IO290" s="129"/>
      <c r="IP290" s="129"/>
      <c r="IQ290" s="129"/>
      <c r="IR290" s="129"/>
      <c r="IS290" s="129"/>
      <c r="IT290" s="129"/>
      <c r="IU290" s="129"/>
      <c r="IV290" s="129"/>
      <c r="IW290" s="129"/>
      <c r="IX290" s="129"/>
      <c r="IY290" s="129"/>
      <c r="IZ290" s="129"/>
      <c r="JA290" s="129"/>
      <c r="JB290" s="129"/>
      <c r="JC290" s="129"/>
      <c r="JD290" s="129"/>
      <c r="JE290" s="129"/>
      <c r="JF290" s="129"/>
      <c r="JG290" s="129"/>
      <c r="JH290" s="129"/>
      <c r="JI290" s="129"/>
      <c r="JJ290" s="129"/>
      <c r="JK290" s="129"/>
      <c r="JL290" s="129"/>
      <c r="JM290" s="129"/>
      <c r="JN290" s="129"/>
      <c r="JO290" s="129"/>
      <c r="JP290" s="129"/>
      <c r="JQ290" s="129"/>
      <c r="JR290" s="129"/>
      <c r="JS290" s="129"/>
      <c r="JT290" s="129"/>
      <c r="JU290" s="129"/>
      <c r="JV290" s="129"/>
      <c r="JW290" s="129"/>
      <c r="JX290" s="129"/>
      <c r="JY290" s="129"/>
      <c r="JZ290" s="129"/>
      <c r="KA290" s="129"/>
      <c r="KB290" s="129"/>
      <c r="KC290" s="129"/>
      <c r="KD290" s="129"/>
    </row>
    <row r="291" spans="4:293" ht="17.25">
      <c r="D291" s="128"/>
      <c r="E291" s="570">
        <v>34</v>
      </c>
      <c r="F291" s="145">
        <v>34</v>
      </c>
      <c r="G291" s="639"/>
      <c r="H291" s="453">
        <f>COUNTIF(E253:BV253,F291)</f>
        <v>2</v>
      </c>
      <c r="I291" s="453">
        <f>COUNTIF(E252:BV252,F291)</f>
        <v>3</v>
      </c>
      <c r="J291" s="453">
        <f>COUNTIF(E251:BV251,F291)</f>
        <v>0</v>
      </c>
      <c r="K291" s="453">
        <f>COUNTIF(E250:BV250,F291)</f>
        <v>1</v>
      </c>
      <c r="L291" s="453">
        <f>COUNTIF(E249:BV249,F291)</f>
        <v>2</v>
      </c>
      <c r="M291" s="453">
        <f>COUNTIF(E248:BV248,F291)</f>
        <v>1</v>
      </c>
      <c r="N291" s="453">
        <f>COUNTIF(E247:BV247,F291)</f>
        <v>0</v>
      </c>
      <c r="O291" s="453">
        <f>COUNTIF(E246:BV246,F291)</f>
        <v>3</v>
      </c>
      <c r="P291" s="453">
        <f>COUNTIF(E245:BV245,F291)</f>
        <v>0</v>
      </c>
      <c r="Q291" s="453">
        <f>COUNTIF(E244:BV244,F291)</f>
        <v>3</v>
      </c>
      <c r="R291" s="453">
        <f>COUNTIF(E243:BV243,F291)</f>
        <v>2</v>
      </c>
      <c r="S291" s="453">
        <f>COUNTIF(E242:BV242,F291)</f>
        <v>1</v>
      </c>
      <c r="T291" s="453">
        <f>COUNTIF(E241:BV241,F291)</f>
        <v>0</v>
      </c>
      <c r="U291" s="453">
        <f>COUNTIF(E240:BV240,F291)</f>
        <v>2</v>
      </c>
      <c r="V291" s="453">
        <f>COUNTIF(E239:BV239,F291)</f>
        <v>0</v>
      </c>
      <c r="W291" s="453">
        <f>COUNTIF(E238:BV238,F291)</f>
        <v>0</v>
      </c>
      <c r="X291" s="453">
        <f>COUNTIF(E237:BV237,F291)</f>
        <v>1</v>
      </c>
      <c r="Y291" s="453">
        <f>COUNTIF(E236:BV236,F291)</f>
        <v>0</v>
      </c>
      <c r="Z291" s="453">
        <f>COUNTIF(E235:BV235,F291)</f>
        <v>0</v>
      </c>
      <c r="AA291" s="453">
        <f>COUNTIF(E234:BV234,F291)</f>
        <v>2</v>
      </c>
      <c r="AB291" s="453">
        <f>COUNTIF(E233:BV233,F291)</f>
        <v>1</v>
      </c>
      <c r="AC291" s="453">
        <f>COUNTIF(E232:BV232,F291)</f>
        <v>0</v>
      </c>
      <c r="AD291" s="453">
        <f>COUNTIF(E231:BV231,F291)</f>
        <v>3</v>
      </c>
      <c r="AE291" s="453">
        <f>COUNTIF(E230:BV230,F291)</f>
        <v>4</v>
      </c>
      <c r="AF291" s="453">
        <f>COUNTIF(E229:BV229,F291)</f>
        <v>1</v>
      </c>
      <c r="AG291" s="453">
        <f>COUNTIF(E228:BV228,F291)</f>
        <v>2</v>
      </c>
      <c r="AH291" s="453">
        <f>COUNTIF(E227:BV227,F291)</f>
        <v>2</v>
      </c>
      <c r="AI291" s="146">
        <f>COUNTIF(E226:BV226,F291)</f>
        <v>0</v>
      </c>
      <c r="AJ291" s="146">
        <f>COUNTIF(E225:BV225,F291)</f>
        <v>1</v>
      </c>
      <c r="AK291" s="146">
        <f>COUNTIF(E224:BV224,F291)</f>
        <v>3</v>
      </c>
      <c r="AL291" s="146">
        <f>COUNTIF(E223:BV223,F291)</f>
        <v>2</v>
      </c>
      <c r="AM291" s="146">
        <f>COUNTIF(E222:BV222,F291)</f>
        <v>2</v>
      </c>
      <c r="AN291" s="146">
        <f>COUNTIF(E221:BV221,F291)</f>
        <v>2</v>
      </c>
      <c r="AO291" s="146">
        <f>COUNTIF(E220:BV220,F291)</f>
        <v>1</v>
      </c>
      <c r="AP291" s="146">
        <f>COUNTIF(E219:BV219,F291)</f>
        <v>1</v>
      </c>
      <c r="AQ291" s="146">
        <f>COUNTIF(E218:BV218,F291)</f>
        <v>3</v>
      </c>
      <c r="AR291" s="146">
        <f>COUNTIF(E217:BV217,F291)</f>
        <v>0</v>
      </c>
      <c r="AS291" s="146">
        <f>COUNTIF(E216:BV216,F291)</f>
        <v>2</v>
      </c>
      <c r="AT291" s="146">
        <f>COUNTIF(E215:BV215,F291)</f>
        <v>0</v>
      </c>
      <c r="AU291" s="146">
        <f>COUNTIF(E214:BV214,F291)</f>
        <v>2</v>
      </c>
      <c r="AV291" s="146">
        <f>COUNTIF(E213:BV213,F291)</f>
        <v>2</v>
      </c>
      <c r="AW291" s="146">
        <f>COUNTIF(E212:BV212,F291)</f>
        <v>3</v>
      </c>
      <c r="AX291" s="146">
        <f>COUNTIF(E211:BV211,F291)</f>
        <v>1</v>
      </c>
      <c r="AY291" s="146">
        <f>COUNTIF(E210:BV210,F291)</f>
        <v>1</v>
      </c>
      <c r="AZ291" s="146">
        <f>COUNTIF(E209:BV209,F291)</f>
        <v>1</v>
      </c>
      <c r="BA291" s="146">
        <f>COUNTIF(E208:BV208,F291)</f>
        <v>2</v>
      </c>
      <c r="BB291" s="146">
        <f>COUNTIF(E207:BV207,F291)</f>
        <v>1</v>
      </c>
      <c r="BC291" s="146">
        <f>COUNTIF(E206:BV206,F291)</f>
        <v>0</v>
      </c>
      <c r="BD291" s="146">
        <f>COUNTIF(E205:BV205,F291)</f>
        <v>4</v>
      </c>
      <c r="BE291" s="146">
        <f>COUNTIF(E204:BV204,F291)</f>
        <v>3</v>
      </c>
      <c r="BF291" s="146">
        <f>COUNTIF(E203:BV203,F291)</f>
        <v>1</v>
      </c>
      <c r="BG291" s="146">
        <f>COUNTIF(E202:BV202,F291)</f>
        <v>2</v>
      </c>
      <c r="BH291" s="146">
        <f>COUNTIF(E201:BV201,F291)</f>
        <v>3</v>
      </c>
      <c r="BI291" s="146">
        <f>COUNTIF(E200:BV200,F291)</f>
        <v>1</v>
      </c>
      <c r="BJ291" s="146">
        <f>COUNTIF(E199:BV199,F291)</f>
        <v>3</v>
      </c>
      <c r="BK291" s="146">
        <f>COUNTIF(E198:BV198,F291)</f>
        <v>2</v>
      </c>
      <c r="BL291" s="146">
        <f>COUNTIF(E197:BV197,F291)</f>
        <v>2</v>
      </c>
      <c r="BM291" s="146">
        <f>COUNTIF(E196:BV196,F291)</f>
        <v>2</v>
      </c>
      <c r="BN291" s="146">
        <f>COUNTIF(E195:BV195,F291)</f>
        <v>3</v>
      </c>
      <c r="BO291" s="146">
        <f>COUNTIF(E194:BV194,F291)</f>
        <v>2</v>
      </c>
      <c r="BP291" s="146">
        <f>COUNTIF(E193:BV193,F291)</f>
        <v>2</v>
      </c>
      <c r="BQ291" s="146">
        <f>COUNTIF(E192:BV192,F291)</f>
        <v>4</v>
      </c>
      <c r="BR291" s="146">
        <f>COUNTIF(E191:BV191,F291)</f>
        <v>0</v>
      </c>
      <c r="BS291" s="146">
        <f>COUNTIF(E190:BV190,F291)</f>
        <v>2</v>
      </c>
      <c r="BT291" s="146">
        <f>COUNTIF(E189:BV189,F291)</f>
        <v>3</v>
      </c>
      <c r="BU291" s="146">
        <f>COUNTIF(E188:BV188,F291)</f>
        <v>1</v>
      </c>
      <c r="BV291" s="146">
        <f>COUNTIF(E187:BV187,F291)</f>
        <v>2</v>
      </c>
      <c r="BW291" s="146">
        <f>COUNTIF(E186:BV186,F291)</f>
        <v>1</v>
      </c>
      <c r="BX291" s="146">
        <f>COUNTIF(E185:BV185,F291)</f>
        <v>0</v>
      </c>
      <c r="BY291" s="146">
        <f>COUNTIF(E184:BV184,F291)</f>
        <v>1</v>
      </c>
      <c r="BZ291" s="146">
        <f>COUNTIF(E183:BV183,F291)</f>
        <v>1</v>
      </c>
      <c r="CA291" s="146">
        <f>COUNTIF(E182:BV182,F291)</f>
        <v>1</v>
      </c>
      <c r="CB291" s="146">
        <f>COUNTIF(E181:BV181,F291)</f>
        <v>0</v>
      </c>
      <c r="CC291" s="146">
        <f>COUNTIF(E180:BV180,F291)</f>
        <v>1</v>
      </c>
      <c r="CD291" s="146">
        <f>COUNTIF(E179:BV179,F291)</f>
        <v>4</v>
      </c>
      <c r="CE291" s="146">
        <f>COUNTIF(E178:BV178,F291)</f>
        <v>1</v>
      </c>
      <c r="CF291" s="146">
        <f>COUNTIF(E177:BV177,F291)</f>
        <v>2</v>
      </c>
      <c r="CG291" s="146">
        <f>COUNTIF(E176:BV176,F291)</f>
        <v>0</v>
      </c>
      <c r="CH291" s="146">
        <f>COUNTIF(E175:BV175,F291)</f>
        <v>3</v>
      </c>
      <c r="CI291" s="146">
        <f>COUNTIF(E174:BV174,F291)</f>
        <v>2</v>
      </c>
      <c r="CJ291" s="146">
        <f>COUNTIF(E173:BV173,F291)</f>
        <v>0</v>
      </c>
      <c r="CK291" s="146">
        <f>COUNTIF(E172:BV172,F291)</f>
        <v>0</v>
      </c>
      <c r="CL291" s="146">
        <f>COUNTIF(E171:BV171,F291)</f>
        <v>1</v>
      </c>
      <c r="CM291" s="146">
        <f>COUNTIF(E170:BV170,F291)</f>
        <v>5</v>
      </c>
      <c r="CN291" s="146">
        <f>COUNTIF(E169:BV169,F291)</f>
        <v>3</v>
      </c>
      <c r="CO291" s="146">
        <f>COUNTIF(E168:BV168,F291)</f>
        <v>1</v>
      </c>
      <c r="CP291" s="146">
        <f>COUNTIF(E167:BV167,F291)</f>
        <v>0</v>
      </c>
      <c r="CQ291" s="146">
        <f>COUNTIF(E166:BV166,F291)</f>
        <v>2</v>
      </c>
      <c r="CR291" s="146">
        <f>COUNTIF(E165:BV165,F291)</f>
        <v>1</v>
      </c>
      <c r="CS291" s="146">
        <f>COUNTIF(E164:BV164,F291)</f>
        <v>2</v>
      </c>
      <c r="CT291" s="146">
        <f>COUNTIF(E163:BV163,F291)</f>
        <v>2</v>
      </c>
      <c r="CU291" s="146">
        <f>COUNTIF(E162:BV162,F291)</f>
        <v>1</v>
      </c>
      <c r="CV291" s="146">
        <f>COUNTIF(E161:BV161,F291)</f>
        <v>0</v>
      </c>
      <c r="CW291" s="146">
        <f>COUNTIF(E160:BV160,F291)</f>
        <v>3</v>
      </c>
      <c r="CX291" s="146">
        <f>COUNTIF(E159:BV159,F291)</f>
        <v>1</v>
      </c>
      <c r="CY291" s="146">
        <f>COUNTIF(E158:BV158,F291)</f>
        <v>3</v>
      </c>
      <c r="CZ291" s="146">
        <f>COUNTIF(E157:BV157,F291)</f>
        <v>1</v>
      </c>
      <c r="DA291" s="146">
        <f>COUNTIF(E156:BV156,F291)</f>
        <v>1</v>
      </c>
      <c r="DB291" s="146">
        <f>COUNTIF(E155:BV155,F291)</f>
        <v>0</v>
      </c>
      <c r="DC291" s="146">
        <f>COUNTIF(E154:BV154,F291)</f>
        <v>2</v>
      </c>
      <c r="DD291" s="146">
        <v>1</v>
      </c>
      <c r="DE291" s="146"/>
      <c r="DF291" s="146"/>
      <c r="DG291" s="146"/>
      <c r="DH291" s="146"/>
      <c r="DI291" s="146"/>
      <c r="DJ291" s="146"/>
      <c r="DK291" s="146"/>
      <c r="DL291" s="146"/>
      <c r="DM291" s="146"/>
      <c r="DN291" s="146"/>
      <c r="DO291" s="146"/>
      <c r="DP291" s="146"/>
      <c r="DQ291" s="146"/>
      <c r="DR291" s="146"/>
      <c r="DS291" s="146"/>
      <c r="DT291" s="146"/>
      <c r="DU291" s="2"/>
      <c r="DV291" s="18"/>
      <c r="DW291" s="4"/>
      <c r="DX291" s="4"/>
      <c r="DZ291" s="128">
        <v>20</v>
      </c>
      <c r="EA291" s="128">
        <v>20</v>
      </c>
      <c r="EB291" s="128">
        <v>20</v>
      </c>
      <c r="ED291" s="128">
        <v>20</v>
      </c>
      <c r="EE291" s="128">
        <v>20</v>
      </c>
      <c r="EG291" s="128">
        <v>20</v>
      </c>
      <c r="EH291" s="128">
        <v>20</v>
      </c>
      <c r="EJ291" s="129"/>
      <c r="EK291" s="128">
        <v>20</v>
      </c>
      <c r="EN291" s="128">
        <v>20</v>
      </c>
      <c r="EO291" s="128">
        <v>20</v>
      </c>
      <c r="EQ291" s="128">
        <v>20</v>
      </c>
      <c r="ER291" s="128">
        <v>20</v>
      </c>
      <c r="ES291" s="128">
        <v>20</v>
      </c>
      <c r="EU291" s="128">
        <v>20</v>
      </c>
      <c r="EV291" s="128">
        <v>20</v>
      </c>
      <c r="EW291" s="128">
        <v>20</v>
      </c>
      <c r="EZ291" s="52"/>
      <c r="FA291" s="128">
        <v>28</v>
      </c>
      <c r="FB291" s="128">
        <v>28</v>
      </c>
      <c r="FC291" s="128">
        <v>28</v>
      </c>
      <c r="FE291" s="128">
        <v>28</v>
      </c>
      <c r="FG291" s="128">
        <v>28</v>
      </c>
      <c r="FH291" s="128">
        <v>28</v>
      </c>
      <c r="FI291" s="128">
        <v>28</v>
      </c>
      <c r="FJ291" s="128">
        <v>28</v>
      </c>
      <c r="FM291" s="128">
        <v>28</v>
      </c>
      <c r="FO291" s="128">
        <v>28</v>
      </c>
      <c r="FP291" s="128">
        <v>28</v>
      </c>
      <c r="FQ291" s="128">
        <v>28</v>
      </c>
      <c r="FR291" s="128">
        <v>28</v>
      </c>
      <c r="FS291" s="128">
        <v>28</v>
      </c>
      <c r="FV291" s="128">
        <v>28</v>
      </c>
      <c r="FW291" s="128">
        <v>28</v>
      </c>
      <c r="FX291" s="128">
        <v>28</v>
      </c>
      <c r="FY291" s="128">
        <v>28</v>
      </c>
      <c r="FZ291" s="128">
        <v>28</v>
      </c>
      <c r="GA291" s="52"/>
      <c r="GB291" s="52"/>
      <c r="GC291" s="52"/>
      <c r="GD291" s="52"/>
      <c r="GE291" s="52"/>
      <c r="GF291" s="52"/>
      <c r="GG291" s="52"/>
      <c r="GH291" s="52"/>
      <c r="GI291" s="52"/>
      <c r="GJ291" s="52"/>
      <c r="GK291" s="52"/>
      <c r="GL291" s="52"/>
      <c r="GM291" s="52"/>
      <c r="GN291" s="139"/>
      <c r="GO291" s="52"/>
      <c r="GP291" s="52"/>
      <c r="GQ291" s="52"/>
      <c r="GR291" s="129"/>
      <c r="GS291" s="129"/>
      <c r="GT291" s="129"/>
      <c r="GU291" s="129"/>
      <c r="GV291" s="129"/>
      <c r="GW291" s="129"/>
      <c r="GX291" s="129"/>
      <c r="GY291" s="129"/>
      <c r="GZ291" s="129"/>
      <c r="HA291" s="129"/>
      <c r="HB291" s="129"/>
      <c r="HC291" s="129"/>
      <c r="HD291" s="129"/>
      <c r="HE291" s="4"/>
      <c r="HF291" s="3"/>
      <c r="HG291" s="4"/>
      <c r="HH291" s="4"/>
      <c r="HI291" s="4"/>
      <c r="HJ291" s="129"/>
      <c r="HK291" s="129"/>
      <c r="HL291" s="129"/>
      <c r="HM291" s="129"/>
      <c r="HN291" s="129"/>
      <c r="HO291" s="129"/>
      <c r="HP291" s="129"/>
      <c r="HQ291" s="129"/>
      <c r="HR291" s="129"/>
      <c r="HS291" s="129"/>
      <c r="HT291" s="129"/>
      <c r="HU291" s="129"/>
      <c r="HV291" s="129"/>
      <c r="HW291" s="129"/>
      <c r="HX291" s="129"/>
      <c r="HY291" s="129"/>
      <c r="HZ291" s="79"/>
      <c r="IA291" s="129"/>
      <c r="IB291" s="129"/>
      <c r="IC291" s="129"/>
      <c r="ID291" s="129"/>
      <c r="IE291" s="129"/>
      <c r="IF291" s="129"/>
      <c r="IG291" s="129"/>
      <c r="IH291" s="129"/>
      <c r="II291" s="129"/>
      <c r="IJ291" s="129"/>
      <c r="IK291" s="129"/>
      <c r="IL291" s="129"/>
      <c r="IM291" s="129"/>
      <c r="IN291" s="129"/>
      <c r="IO291" s="129"/>
      <c r="IP291" s="129"/>
      <c r="IQ291" s="129"/>
      <c r="IR291" s="129"/>
      <c r="IS291" s="129"/>
      <c r="IT291" s="129"/>
      <c r="IU291" s="129"/>
      <c r="IV291" s="129"/>
      <c r="IW291" s="129"/>
      <c r="IX291" s="129"/>
      <c r="IY291" s="129"/>
      <c r="IZ291" s="129"/>
      <c r="JA291" s="129"/>
      <c r="JB291" s="129"/>
      <c r="JC291" s="129"/>
      <c r="JD291" s="129"/>
      <c r="JE291" s="129"/>
      <c r="JF291" s="129"/>
      <c r="JG291" s="129"/>
      <c r="JH291" s="129"/>
      <c r="JI291" s="129"/>
      <c r="JJ291" s="129"/>
      <c r="JK291" s="129"/>
      <c r="JL291" s="129"/>
      <c r="JM291" s="129"/>
      <c r="JN291" s="129"/>
      <c r="JO291" s="129"/>
      <c r="JP291" s="129"/>
      <c r="JQ291" s="129"/>
      <c r="JR291" s="129"/>
      <c r="JS291" s="129"/>
      <c r="JT291" s="129"/>
      <c r="JU291" s="129"/>
      <c r="JV291" s="129"/>
      <c r="JW291" s="129"/>
      <c r="JX291" s="129"/>
      <c r="JY291" s="129"/>
      <c r="JZ291" s="129"/>
      <c r="KA291" s="129"/>
      <c r="KB291" s="129"/>
      <c r="KC291" s="129"/>
      <c r="KD291" s="129"/>
    </row>
    <row r="292" spans="4:293" ht="17.25">
      <c r="D292" s="128"/>
      <c r="E292" s="570">
        <v>35</v>
      </c>
      <c r="F292" s="145">
        <v>35</v>
      </c>
      <c r="G292" s="639"/>
      <c r="H292" s="453">
        <f>COUNTIF(E253:BV253,F292)</f>
        <v>1</v>
      </c>
      <c r="I292" s="453">
        <f>COUNTIF(E252:BV252,F292)</f>
        <v>1</v>
      </c>
      <c r="J292" s="453">
        <f>COUNTIF(E251:BV251,F292)</f>
        <v>1</v>
      </c>
      <c r="K292" s="453">
        <f>COUNTIF(E250:BV250,F292)</f>
        <v>1</v>
      </c>
      <c r="L292" s="453">
        <f>COUNTIF(E249:BV249,F292)</f>
        <v>1</v>
      </c>
      <c r="M292" s="453">
        <f>COUNTIF(E248:BV248,F292)</f>
        <v>1</v>
      </c>
      <c r="N292" s="453">
        <f>COUNTIF(E247:BV247,F292)</f>
        <v>2</v>
      </c>
      <c r="O292" s="453">
        <f>COUNTIF(E246:BV246,F292)</f>
        <v>1</v>
      </c>
      <c r="P292" s="453">
        <f>COUNTIF(E245:BV245,F292)</f>
        <v>0</v>
      </c>
      <c r="Q292" s="453">
        <f>COUNTIF(E244:BV244,F292)</f>
        <v>0</v>
      </c>
      <c r="R292" s="453">
        <f>COUNTIF(E243:BV243,F292)</f>
        <v>2</v>
      </c>
      <c r="S292" s="453">
        <f>COUNTIF(E242:BV242,F292)</f>
        <v>1</v>
      </c>
      <c r="T292" s="453">
        <f>COUNTIF(E241:BV241,F292)</f>
        <v>1</v>
      </c>
      <c r="U292" s="453">
        <f>COUNTIF(E240:BV240,F292)</f>
        <v>3</v>
      </c>
      <c r="V292" s="453">
        <f>COUNTIF(E239:BV239,F292)</f>
        <v>3</v>
      </c>
      <c r="W292" s="453">
        <f>COUNTIF(E238:BV238,F292)</f>
        <v>4</v>
      </c>
      <c r="X292" s="453">
        <f>COUNTIF(E237:BV237,F292)</f>
        <v>3</v>
      </c>
      <c r="Y292" s="453">
        <f>COUNTIF(E236:BV236,F292)</f>
        <v>1</v>
      </c>
      <c r="Z292" s="453">
        <f>COUNTIF(E235:BV235,F292)</f>
        <v>1</v>
      </c>
      <c r="AA292" s="453">
        <f>COUNTIF(E234:BV234,F292)</f>
        <v>0</v>
      </c>
      <c r="AB292" s="453">
        <f>COUNTIF(E233:BV233,F292)</f>
        <v>2</v>
      </c>
      <c r="AC292" s="453">
        <f>COUNTIF(E232:BV232,F292)</f>
        <v>2</v>
      </c>
      <c r="AD292" s="453">
        <f>COUNTIF(E231:BV231,F292)</f>
        <v>2</v>
      </c>
      <c r="AE292" s="453">
        <f>COUNTIF(E230:BV230,F292)</f>
        <v>0</v>
      </c>
      <c r="AF292" s="453">
        <f>COUNTIF(E229:BV229,F292)</f>
        <v>1</v>
      </c>
      <c r="AG292" s="453">
        <f>COUNTIF(E228:BV228,F292)</f>
        <v>0</v>
      </c>
      <c r="AH292" s="453">
        <f>COUNTIF(E227:BV227,F292)</f>
        <v>0</v>
      </c>
      <c r="AI292" s="146">
        <f>COUNTIF(E226:BV226,F292)</f>
        <v>0</v>
      </c>
      <c r="AJ292" s="146">
        <f>COUNTIF(E225:BV225,F292)</f>
        <v>1</v>
      </c>
      <c r="AK292" s="146">
        <f>COUNTIF(E224:BV224,F292)</f>
        <v>0</v>
      </c>
      <c r="AL292" s="146">
        <f>COUNTIF(E223:BV223,F292)</f>
        <v>0</v>
      </c>
      <c r="AM292" s="146">
        <f>COUNTIF(E222:BV222,F292)</f>
        <v>1</v>
      </c>
      <c r="AN292" s="146">
        <f>COUNTIF(E221:BV221,F292)</f>
        <v>2</v>
      </c>
      <c r="AO292" s="146">
        <f>COUNTIF(E220:BV220,F292)</f>
        <v>1</v>
      </c>
      <c r="AP292" s="146">
        <f>COUNTIF(E219:BV219,F292)</f>
        <v>1</v>
      </c>
      <c r="AQ292" s="146">
        <f>COUNTIF(E218:BV218,F292)</f>
        <v>2</v>
      </c>
      <c r="AR292" s="146">
        <f>COUNTIF(E217:BV217,F292)</f>
        <v>2</v>
      </c>
      <c r="AS292" s="146">
        <f>COUNTIF(E216:BV216,F292)</f>
        <v>2</v>
      </c>
      <c r="AT292" s="146">
        <f>COUNTIF(E215:BV215,F292)</f>
        <v>1</v>
      </c>
      <c r="AU292" s="146">
        <f>COUNTIF(E214:BV214,F292)</f>
        <v>2</v>
      </c>
      <c r="AV292" s="146">
        <f>COUNTIF(E213:BV213,F292)</f>
        <v>0</v>
      </c>
      <c r="AW292" s="146">
        <f>COUNTIF(E212:BV212,F292)</f>
        <v>1</v>
      </c>
      <c r="AX292" s="146">
        <f>COUNTIF(E211:BV211,F292)</f>
        <v>0</v>
      </c>
      <c r="AY292" s="146">
        <f>COUNTIF(E210:BV210,F292)</f>
        <v>1</v>
      </c>
      <c r="AZ292" s="146">
        <f>COUNTIF(E209:BV209,F292)</f>
        <v>1</v>
      </c>
      <c r="BA292" s="146">
        <f>COUNTIF(E208:BV208,F292)</f>
        <v>0</v>
      </c>
      <c r="BB292" s="146">
        <f>COUNTIF(E207:BV207,F292)</f>
        <v>0</v>
      </c>
      <c r="BC292" s="146">
        <f>COUNTIF(E206:BV206,F292)</f>
        <v>1</v>
      </c>
      <c r="BD292" s="146">
        <f>COUNTIF(E205:BV205,F292)</f>
        <v>1</v>
      </c>
      <c r="BE292" s="146">
        <f>COUNTIF(E204:BV204,F292)</f>
        <v>1</v>
      </c>
      <c r="BF292" s="146">
        <f>COUNTIF(E203:BV203,F292)</f>
        <v>3</v>
      </c>
      <c r="BG292" s="146">
        <f>COUNTIF(E202:BV202,F292)</f>
        <v>0</v>
      </c>
      <c r="BH292" s="146">
        <f>COUNTIF(E201:BV201,F292)</f>
        <v>2</v>
      </c>
      <c r="BI292" s="146">
        <f>COUNTIF(E200:BV200,F292)</f>
        <v>2</v>
      </c>
      <c r="BJ292" s="146">
        <f>COUNTIF(E199:BV199,F292)</f>
        <v>0</v>
      </c>
      <c r="BK292" s="146">
        <f>COUNTIF(E198:BV198,F292)</f>
        <v>0</v>
      </c>
      <c r="BL292" s="146">
        <f>COUNTIF(E197:BV197,F292)</f>
        <v>0</v>
      </c>
      <c r="BM292" s="146">
        <f>COUNTIF(E196:BV196,F292)</f>
        <v>1</v>
      </c>
      <c r="BN292" s="146">
        <f>COUNTIF(E195:BV195,F292)</f>
        <v>3</v>
      </c>
      <c r="BO292" s="146">
        <f>COUNTIF(E194:BV194,F292)</f>
        <v>1</v>
      </c>
      <c r="BP292" s="146">
        <f>COUNTIF(E193:BV193,F292)</f>
        <v>2</v>
      </c>
      <c r="BQ292" s="146">
        <f>COUNTIF(E192:BV192,F292)</f>
        <v>3</v>
      </c>
      <c r="BR292" s="146">
        <f>COUNTIF(E191:BV191,F292)</f>
        <v>1</v>
      </c>
      <c r="BS292" s="146">
        <f>COUNTIF(E190:BV190,F292)</f>
        <v>2</v>
      </c>
      <c r="BT292" s="146">
        <f>COUNTIF(E189:BV189,F292)</f>
        <v>1</v>
      </c>
      <c r="BU292" s="146">
        <f>COUNTIF(E188:BV188,F292)</f>
        <v>0</v>
      </c>
      <c r="BV292" s="146">
        <f>COUNTIF(E187:BV187,F292)</f>
        <v>1</v>
      </c>
      <c r="BW292" s="146">
        <f>COUNTIF(E186:BV186,F292)</f>
        <v>2</v>
      </c>
      <c r="BX292" s="146">
        <f>COUNTIF(E185:BV185,F292)</f>
        <v>4</v>
      </c>
      <c r="BY292" s="146">
        <f>COUNTIF(E184:BV184,F292)</f>
        <v>2</v>
      </c>
      <c r="BZ292" s="146">
        <f>COUNTIF(E183:BV183,F292)</f>
        <v>2</v>
      </c>
      <c r="CA292" s="146">
        <f>COUNTIF(E182:BV182,F292)</f>
        <v>4</v>
      </c>
      <c r="CB292" s="146">
        <f>COUNTIF(E181:BV181,F292)</f>
        <v>3</v>
      </c>
      <c r="CC292" s="146">
        <f>COUNTIF(E180:BV180,F292)</f>
        <v>2</v>
      </c>
      <c r="CD292" s="146">
        <f>COUNTIF(E179:BV179,F292)</f>
        <v>2</v>
      </c>
      <c r="CE292" s="146">
        <f>COUNTIF(E178:BV178,F292)</f>
        <v>0</v>
      </c>
      <c r="CF292" s="146">
        <f>COUNTIF(E177:BV177,F292)</f>
        <v>2</v>
      </c>
      <c r="CG292" s="146">
        <f>COUNTIF(E176:BV176,F292)</f>
        <v>1</v>
      </c>
      <c r="CH292" s="146">
        <f>COUNTIF(E175:BV175,F292)</f>
        <v>2</v>
      </c>
      <c r="CI292" s="146">
        <f>COUNTIF(E174:BV174,F292)</f>
        <v>2</v>
      </c>
      <c r="CJ292" s="146">
        <f>COUNTIF(E173:BV173,F292)</f>
        <v>0</v>
      </c>
      <c r="CK292" s="146">
        <f>COUNTIF(E172:BV172,F292)</f>
        <v>1</v>
      </c>
      <c r="CL292" s="146">
        <f>COUNTIF(E171:BV171,F292)</f>
        <v>3</v>
      </c>
      <c r="CM292" s="146">
        <f>COUNTIF(E170:BV170,F292)</f>
        <v>0</v>
      </c>
      <c r="CN292" s="146">
        <f>COUNTIF(E169:BV169,F292)</f>
        <v>1</v>
      </c>
      <c r="CO292" s="146">
        <f>COUNTIF(E168:BV168,F292)</f>
        <v>2</v>
      </c>
      <c r="CP292" s="146">
        <f>COUNTIF(E167:BV167,F292)</f>
        <v>0</v>
      </c>
      <c r="CQ292" s="146">
        <f>COUNTIF(E166:BV166,F292)</f>
        <v>2</v>
      </c>
      <c r="CR292" s="146">
        <f>COUNTIF(E165:BV165,F292)</f>
        <v>2</v>
      </c>
      <c r="CS292" s="146">
        <f>COUNTIF(E164:BV164,F292)</f>
        <v>2</v>
      </c>
      <c r="CT292" s="146">
        <f>COUNTIF(E163:BV163,F292)</f>
        <v>1</v>
      </c>
      <c r="CU292" s="146">
        <f>COUNTIF(E162:BV162,F292)</f>
        <v>4</v>
      </c>
      <c r="CV292" s="146">
        <f>COUNTIF(E161:BV161,F292)</f>
        <v>2</v>
      </c>
      <c r="CW292" s="146">
        <f>COUNTIF(E160:BV160,F292)</f>
        <v>1</v>
      </c>
      <c r="CX292" s="146">
        <f>COUNTIF(E159:BV159,F292)</f>
        <v>0</v>
      </c>
      <c r="CY292" s="146">
        <f>COUNTIF(E158:BV158,F292)</f>
        <v>1</v>
      </c>
      <c r="CZ292" s="146">
        <f>COUNTIF(E157:BV157,F292)</f>
        <v>1</v>
      </c>
      <c r="DA292" s="146">
        <f>COUNTIF(E156:BV156,F292)</f>
        <v>2</v>
      </c>
      <c r="DB292" s="146">
        <f>COUNTIF(E155:BV155,F292)</f>
        <v>1</v>
      </c>
      <c r="DC292" s="146">
        <f>COUNTIF(E154:BV154,F292)</f>
        <v>0</v>
      </c>
      <c r="DD292" s="146">
        <v>0</v>
      </c>
      <c r="DE292" s="146"/>
      <c r="DF292" s="146"/>
      <c r="DG292" s="146"/>
      <c r="DH292" s="146"/>
      <c r="DI292" s="146"/>
      <c r="DJ292" s="146"/>
      <c r="DK292" s="146"/>
      <c r="DL292" s="146"/>
      <c r="DM292" s="146"/>
      <c r="DN292" s="146"/>
      <c r="DO292" s="146"/>
      <c r="DP292" s="146"/>
      <c r="DQ292" s="146"/>
      <c r="DR292" s="146"/>
      <c r="DS292" s="146"/>
      <c r="DT292" s="146"/>
      <c r="DU292" s="2"/>
      <c r="DV292" s="18"/>
      <c r="DW292" s="4"/>
      <c r="DX292" s="129"/>
      <c r="DY292" s="128">
        <v>21</v>
      </c>
      <c r="EA292" s="128">
        <v>21</v>
      </c>
      <c r="ED292" s="128">
        <v>21</v>
      </c>
      <c r="EE292" s="128">
        <v>21</v>
      </c>
      <c r="EF292" s="128">
        <v>21</v>
      </c>
      <c r="EG292" s="128">
        <v>21</v>
      </c>
      <c r="EH292" s="128">
        <v>21</v>
      </c>
      <c r="EJ292" s="129"/>
      <c r="EK292" s="128">
        <v>21</v>
      </c>
      <c r="EM292" s="128">
        <v>21</v>
      </c>
      <c r="EN292" s="128">
        <v>21</v>
      </c>
      <c r="EO292" s="128">
        <v>21</v>
      </c>
      <c r="EP292" s="128">
        <v>21</v>
      </c>
      <c r="ER292" s="128">
        <v>21</v>
      </c>
      <c r="ES292" s="128">
        <v>21</v>
      </c>
      <c r="ET292" s="128">
        <v>21</v>
      </c>
      <c r="EV292" s="128">
        <v>21</v>
      </c>
      <c r="EW292" s="128">
        <v>21</v>
      </c>
      <c r="EX292" s="128">
        <v>21</v>
      </c>
      <c r="EZ292" s="52"/>
      <c r="FA292" s="128">
        <v>29</v>
      </c>
      <c r="FB292" s="128">
        <v>29</v>
      </c>
      <c r="FC292" s="128">
        <v>29</v>
      </c>
      <c r="FD292" s="128">
        <v>29</v>
      </c>
      <c r="FE292" s="128">
        <v>29</v>
      </c>
      <c r="FF292" s="128">
        <v>29</v>
      </c>
      <c r="FH292" s="128">
        <v>29</v>
      </c>
      <c r="FI292" s="128">
        <v>29</v>
      </c>
      <c r="FJ292" s="128">
        <v>29</v>
      </c>
      <c r="FM292" s="128">
        <v>29</v>
      </c>
      <c r="FN292" s="128">
        <v>29</v>
      </c>
      <c r="FO292" s="128">
        <v>29</v>
      </c>
      <c r="FP292" s="128">
        <v>29</v>
      </c>
      <c r="FQ292" s="128">
        <v>29</v>
      </c>
      <c r="FS292" s="128">
        <v>29</v>
      </c>
      <c r="FT292" s="128">
        <v>29</v>
      </c>
      <c r="FU292" s="128">
        <v>29</v>
      </c>
      <c r="FV292" s="128">
        <v>29</v>
      </c>
      <c r="FW292" s="128">
        <v>29</v>
      </c>
      <c r="FY292" s="128">
        <v>29</v>
      </c>
      <c r="FZ292" s="128">
        <v>29</v>
      </c>
      <c r="GA292" s="52"/>
      <c r="GB292" s="52"/>
      <c r="GC292" s="52"/>
      <c r="GD292" s="52"/>
      <c r="GE292" s="52"/>
      <c r="GF292" s="52"/>
      <c r="GG292" s="52"/>
      <c r="GH292" s="52"/>
      <c r="GI292" s="52"/>
      <c r="GJ292" s="52"/>
      <c r="GK292" s="52"/>
      <c r="GL292" s="52"/>
      <c r="GM292" s="52"/>
      <c r="GN292" s="52"/>
      <c r="GO292" s="139"/>
      <c r="GP292" s="52"/>
      <c r="GQ292" s="52"/>
      <c r="GR292" s="129"/>
      <c r="GS292" s="129"/>
      <c r="GT292" s="129"/>
      <c r="GU292" s="129"/>
      <c r="GV292" s="129"/>
      <c r="GW292" s="129"/>
      <c r="GX292" s="129"/>
      <c r="GY292" s="129"/>
      <c r="GZ292" s="129"/>
      <c r="HA292" s="129"/>
      <c r="HB292" s="129"/>
      <c r="HC292" s="129"/>
      <c r="HD292" s="129"/>
      <c r="HE292" s="4"/>
      <c r="HF292" s="4"/>
      <c r="HG292" s="3"/>
      <c r="HH292" s="4"/>
      <c r="HI292" s="4"/>
      <c r="HJ292" s="4"/>
      <c r="HK292" s="129"/>
      <c r="HL292" s="129"/>
      <c r="HM292" s="129"/>
      <c r="HN292" s="129"/>
      <c r="HO292" s="129"/>
      <c r="HP292" s="129"/>
      <c r="HQ292" s="129"/>
      <c r="HR292" s="129"/>
      <c r="HS292" s="129"/>
      <c r="HT292" s="129"/>
      <c r="HU292" s="129"/>
      <c r="HV292" s="129"/>
      <c r="HW292" s="129"/>
      <c r="HX292" s="129"/>
      <c r="HY292" s="129"/>
      <c r="HZ292" s="79"/>
      <c r="IA292" s="129"/>
      <c r="IB292" s="129"/>
      <c r="IC292" s="129"/>
      <c r="ID292" s="129"/>
      <c r="IE292" s="129"/>
      <c r="IF292" s="129"/>
      <c r="IG292" s="129"/>
      <c r="IH292" s="129"/>
      <c r="II292" s="129"/>
      <c r="IJ292" s="129"/>
      <c r="IK292" s="129"/>
      <c r="IL292" s="129"/>
      <c r="IM292" s="129"/>
      <c r="IN292" s="129"/>
      <c r="IO292" s="129"/>
      <c r="IP292" s="129"/>
      <c r="IQ292" s="129"/>
      <c r="IR292" s="129"/>
      <c r="IS292" s="129"/>
      <c r="IT292" s="129"/>
      <c r="IU292" s="129"/>
      <c r="IV292" s="129"/>
      <c r="IW292" s="129"/>
      <c r="IX292" s="129"/>
      <c r="IY292" s="129"/>
      <c r="IZ292" s="129"/>
      <c r="JA292" s="129"/>
      <c r="JB292" s="129"/>
      <c r="JC292" s="129"/>
      <c r="JD292" s="129"/>
      <c r="JE292" s="129"/>
      <c r="JF292" s="129"/>
      <c r="JG292" s="129"/>
      <c r="JH292" s="129"/>
      <c r="JI292" s="129"/>
      <c r="JJ292" s="129"/>
      <c r="JK292" s="129"/>
      <c r="JL292" s="129"/>
      <c r="JM292" s="129"/>
      <c r="JN292" s="129"/>
      <c r="JO292" s="129"/>
      <c r="JP292" s="129"/>
      <c r="JQ292" s="129"/>
      <c r="JR292" s="129"/>
      <c r="JS292" s="129"/>
      <c r="JT292" s="129"/>
      <c r="JU292" s="129"/>
      <c r="JV292" s="129"/>
      <c r="JW292" s="129"/>
      <c r="JX292" s="129"/>
      <c r="JY292" s="129"/>
      <c r="JZ292" s="129"/>
      <c r="KA292" s="129"/>
      <c r="KB292" s="129"/>
      <c r="KC292" s="129"/>
      <c r="KD292" s="129"/>
    </row>
    <row r="293" spans="4:293" ht="17.25">
      <c r="D293" s="128"/>
      <c r="E293" s="570">
        <v>36</v>
      </c>
      <c r="F293" s="145">
        <v>36</v>
      </c>
      <c r="G293" s="639"/>
      <c r="H293" s="453">
        <f>COUNTIF(E253:BV253,F293)</f>
        <v>2</v>
      </c>
      <c r="I293" s="453">
        <f>COUNTIF(E252:BV252,F293)</f>
        <v>2</v>
      </c>
      <c r="J293" s="453">
        <f>COUNTIF(E251:BV251,F293)</f>
        <v>1</v>
      </c>
      <c r="K293" s="453">
        <f>COUNTIF(E250:BV250,F293)</f>
        <v>1</v>
      </c>
      <c r="L293" s="453">
        <f>COUNTIF(E249:BV249,F293)</f>
        <v>1</v>
      </c>
      <c r="M293" s="453">
        <f>COUNTIF(E248:BV248,F293)</f>
        <v>1</v>
      </c>
      <c r="N293" s="453">
        <f>COUNTIF(E247:BV247,F293)</f>
        <v>2</v>
      </c>
      <c r="O293" s="453">
        <f>COUNTIF(E246:BV246,F293)</f>
        <v>1</v>
      </c>
      <c r="P293" s="453">
        <f>COUNTIF(E245:BV245,F293)</f>
        <v>2</v>
      </c>
      <c r="Q293" s="453">
        <f>COUNTIF(E244:BV244,F293)</f>
        <v>0</v>
      </c>
      <c r="R293" s="453">
        <f>COUNTIF(E243:BV243,F293)</f>
        <v>0</v>
      </c>
      <c r="S293" s="453">
        <f>COUNTIF(E242:BV242,F293)</f>
        <v>1</v>
      </c>
      <c r="T293" s="453">
        <f>COUNTIF(E241:BV241,F293)</f>
        <v>0</v>
      </c>
      <c r="U293" s="453">
        <f>COUNTIF(E240:BV240,F293)</f>
        <v>2</v>
      </c>
      <c r="V293" s="453">
        <f>COUNTIF(E239:BV239,F293)</f>
        <v>2</v>
      </c>
      <c r="W293" s="453">
        <f>COUNTIF(E238:BV238,F293)</f>
        <v>4</v>
      </c>
      <c r="X293" s="453">
        <f>COUNTIF(E237:BV237,F293)</f>
        <v>0</v>
      </c>
      <c r="Y293" s="453">
        <f>COUNTIF(E236:BV236,F293)</f>
        <v>3</v>
      </c>
      <c r="Z293" s="453">
        <f>COUNTIF(E235:BV235,F293)</f>
        <v>2</v>
      </c>
      <c r="AA293" s="453">
        <f>COUNTIF(E234:BV234,F293)</f>
        <v>0</v>
      </c>
      <c r="AB293" s="453">
        <f>COUNTIF(E233:BV233,F293)</f>
        <v>1</v>
      </c>
      <c r="AC293" s="453">
        <f>COUNTIF(E232:BV232,F293)</f>
        <v>2</v>
      </c>
      <c r="AD293" s="453">
        <f>COUNTIF(E231:BV231,F293)</f>
        <v>1</v>
      </c>
      <c r="AE293" s="453">
        <f>COUNTIF(E230:BV230,F293)</f>
        <v>0</v>
      </c>
      <c r="AF293" s="453">
        <f>COUNTIF(E229:BV229,F293)</f>
        <v>1</v>
      </c>
      <c r="AG293" s="453">
        <f>COUNTIF(E228:BV228,F293)</f>
        <v>3</v>
      </c>
      <c r="AH293" s="453">
        <f>COUNTIF(E227:BV227,F293)</f>
        <v>2</v>
      </c>
      <c r="AI293" s="146">
        <f>COUNTIF(E226:BV226,F293)</f>
        <v>2</v>
      </c>
      <c r="AJ293" s="146">
        <f>COUNTIF(E225:BV225,F293)</f>
        <v>0</v>
      </c>
      <c r="AK293" s="146">
        <f>COUNTIF(E224:BV224,F293)</f>
        <v>1</v>
      </c>
      <c r="AL293" s="146">
        <f>COUNTIF(E223:BV223,F293)</f>
        <v>2</v>
      </c>
      <c r="AM293" s="146">
        <f>COUNTIF(E222:BV222,F293)</f>
        <v>1</v>
      </c>
      <c r="AN293" s="146">
        <f>COUNTIF(E221:BV221,F293)</f>
        <v>2</v>
      </c>
      <c r="AO293" s="146">
        <f>COUNTIF(E220:BV220,F293)</f>
        <v>3</v>
      </c>
      <c r="AP293" s="146">
        <f>COUNTIF(E219:BV219,F293)</f>
        <v>0</v>
      </c>
      <c r="AQ293" s="146">
        <f>COUNTIF(E218:BV218,F293)</f>
        <v>2</v>
      </c>
      <c r="AR293" s="146">
        <f>COUNTIF(E217:BV217,F293)</f>
        <v>0</v>
      </c>
      <c r="AS293" s="146">
        <f>COUNTIF(E216:BV216,F293)</f>
        <v>2</v>
      </c>
      <c r="AT293" s="146">
        <f>COUNTIF(E215:BV215,F293)</f>
        <v>1</v>
      </c>
      <c r="AU293" s="146">
        <f>COUNTIF(E214:BV214,F293)</f>
        <v>0</v>
      </c>
      <c r="AV293" s="146">
        <f>COUNTIF(E213:BV213,F293)</f>
        <v>0</v>
      </c>
      <c r="AW293" s="146">
        <f>COUNTIF(E212:BV212,F293)</f>
        <v>2</v>
      </c>
      <c r="AX293" s="146">
        <f>COUNTIF(E211:BV211,F293)</f>
        <v>1</v>
      </c>
      <c r="AY293" s="146">
        <f>COUNTIF(E210:BV210,F293)</f>
        <v>1</v>
      </c>
      <c r="AZ293" s="146">
        <f>COUNTIF(E209:BV209,F293)</f>
        <v>2</v>
      </c>
      <c r="BA293" s="146">
        <f>COUNTIF(E208:BV208,F293)</f>
        <v>1</v>
      </c>
      <c r="BB293" s="146">
        <f>COUNTIF(E207:BV207,F293)</f>
        <v>2</v>
      </c>
      <c r="BC293" s="146">
        <f>COUNTIF(E206:BV206,F293)</f>
        <v>2</v>
      </c>
      <c r="BD293" s="146">
        <f>COUNTIF(E205:BV205,F293)</f>
        <v>2</v>
      </c>
      <c r="BE293" s="146">
        <f>COUNTIF(E204:BV204,F293)</f>
        <v>1</v>
      </c>
      <c r="BF293" s="146">
        <f>COUNTIF(E203:BV203,F293)</f>
        <v>0</v>
      </c>
      <c r="BG293" s="146">
        <f>COUNTIF(E202:BV202,F293)</f>
        <v>0</v>
      </c>
      <c r="BH293" s="146">
        <f>COUNTIF(E201:BV201,F293)</f>
        <v>1</v>
      </c>
      <c r="BI293" s="146">
        <f>COUNTIF(E200:BV200,F293)</f>
        <v>1</v>
      </c>
      <c r="BJ293" s="146">
        <f>COUNTIF(E199:BV199,F293)</f>
        <v>2</v>
      </c>
      <c r="BK293" s="146">
        <f>COUNTIF(E198:BV198,F293)</f>
        <v>1</v>
      </c>
      <c r="BL293" s="146">
        <f>COUNTIF(E197:BV197,F293)</f>
        <v>2</v>
      </c>
      <c r="BM293" s="146">
        <f>COUNTIF(E196:BV196,F293)</f>
        <v>1</v>
      </c>
      <c r="BN293" s="146">
        <f>COUNTIF(E195:BV195,F293)</f>
        <v>1</v>
      </c>
      <c r="BO293" s="146">
        <f>COUNTIF(E194:BV194,F293)</f>
        <v>2</v>
      </c>
      <c r="BP293" s="146">
        <f>COUNTIF(E193:BV193,F293)</f>
        <v>2</v>
      </c>
      <c r="BQ293" s="146">
        <f>COUNTIF(E192:BV192,F293)</f>
        <v>1</v>
      </c>
      <c r="BR293" s="146">
        <f>COUNTIF(E191:BV191,F293)</f>
        <v>4</v>
      </c>
      <c r="BS293" s="146">
        <f>COUNTIF(E190:BV190,F293)</f>
        <v>0</v>
      </c>
      <c r="BT293" s="146">
        <f>COUNTIF(E189:BV189,F293)</f>
        <v>0</v>
      </c>
      <c r="BU293" s="146">
        <f>COUNTIF(E188:BV188,F293)</f>
        <v>1</v>
      </c>
      <c r="BV293" s="146">
        <f>COUNTIF(E187:BV187,F293)</f>
        <v>0</v>
      </c>
      <c r="BW293" s="146">
        <f>COUNTIF(E186:BV186,F293)</f>
        <v>2</v>
      </c>
      <c r="BX293" s="146">
        <f>COUNTIF(E185:BV185,F293)</f>
        <v>3</v>
      </c>
      <c r="BY293" s="146">
        <f>COUNTIF(E184:BV184,F293)</f>
        <v>2</v>
      </c>
      <c r="BZ293" s="146">
        <f>COUNTIF(E183:BV183,F293)</f>
        <v>0</v>
      </c>
      <c r="CA293" s="146">
        <f>COUNTIF(E182:BV182,F293)</f>
        <v>1</v>
      </c>
      <c r="CB293" s="146">
        <f>COUNTIF(E181:BV181,F293)</f>
        <v>1</v>
      </c>
      <c r="CC293" s="146">
        <f>COUNTIF(E180:BV180,F293)</f>
        <v>0</v>
      </c>
      <c r="CD293" s="146">
        <f>COUNTIF(E179:BV179,F293)</f>
        <v>1</v>
      </c>
      <c r="CE293" s="146">
        <f>COUNTIF(E178:BV178,F293)</f>
        <v>0</v>
      </c>
      <c r="CF293" s="146">
        <f>COUNTIF(E177:BV177,F293)</f>
        <v>2</v>
      </c>
      <c r="CG293" s="146">
        <f>COUNTIF(E176:BV176,F293)</f>
        <v>1</v>
      </c>
      <c r="CH293" s="146">
        <f>COUNTIF(E175:BV175,F293)</f>
        <v>0</v>
      </c>
      <c r="CI293" s="146">
        <f>COUNTIF(E174:BV174,F293)</f>
        <v>0</v>
      </c>
      <c r="CJ293" s="146">
        <f>COUNTIF(E173:BV173,F293)</f>
        <v>2</v>
      </c>
      <c r="CK293" s="146">
        <f>COUNTIF(E172:BV172,F293)</f>
        <v>0</v>
      </c>
      <c r="CL293" s="146">
        <f>COUNTIF(E171:BV171,F293)</f>
        <v>0</v>
      </c>
      <c r="CM293" s="146">
        <f>COUNTIF(E170:BV170,F293)</f>
        <v>0</v>
      </c>
      <c r="CN293" s="146">
        <f>COUNTIF(E169:BV169,F293)</f>
        <v>2</v>
      </c>
      <c r="CO293" s="146">
        <f>COUNTIF(E168:BV168,F293)</f>
        <v>1</v>
      </c>
      <c r="CP293" s="146">
        <f>COUNTIF(E167:BV167,F293)</f>
        <v>2</v>
      </c>
      <c r="CQ293" s="146">
        <f>COUNTIF(E166:BV166,F293)</f>
        <v>1</v>
      </c>
      <c r="CR293" s="146">
        <f>COUNTIF(E165:BV165,F293)</f>
        <v>0</v>
      </c>
      <c r="CS293" s="146">
        <f>COUNTIF(E164:BV164,F293)</f>
        <v>1</v>
      </c>
      <c r="CT293" s="146">
        <f>COUNTIF(E163:BV163,F293)</f>
        <v>1</v>
      </c>
      <c r="CU293" s="146">
        <f>COUNTIF(E162:BV162,F293)</f>
        <v>2</v>
      </c>
      <c r="CV293" s="146">
        <f>COUNTIF(E161:BV161,F293)</f>
        <v>0</v>
      </c>
      <c r="CW293" s="146">
        <f>COUNTIF(E160:BV160,F293)</f>
        <v>0</v>
      </c>
      <c r="CX293" s="146">
        <f>COUNTIF(E159:BV159,F293)</f>
        <v>1</v>
      </c>
      <c r="CY293" s="146">
        <f>COUNTIF(E158:BV158,F293)</f>
        <v>1</v>
      </c>
      <c r="CZ293" s="146">
        <f>COUNTIF(E157:BV157,F293)</f>
        <v>2</v>
      </c>
      <c r="DA293" s="146">
        <f>COUNTIF(E156:BV156,F293)</f>
        <v>0</v>
      </c>
      <c r="DB293" s="146">
        <f>COUNTIF(E155:BV155,F293)</f>
        <v>1</v>
      </c>
      <c r="DC293" s="146">
        <f>COUNTIF(E154:BV154,F293)</f>
        <v>0</v>
      </c>
      <c r="DD293" s="146">
        <v>1</v>
      </c>
      <c r="DE293" s="146"/>
      <c r="DF293" s="146"/>
      <c r="DG293" s="146"/>
      <c r="DH293" s="146"/>
      <c r="DI293" s="146"/>
      <c r="DJ293" s="146"/>
      <c r="DK293" s="146"/>
      <c r="DL293" s="146"/>
      <c r="DM293" s="146"/>
      <c r="DN293" s="146"/>
      <c r="DO293" s="146"/>
      <c r="DP293" s="146"/>
      <c r="DQ293" s="146"/>
      <c r="DR293" s="146"/>
      <c r="DS293" s="146"/>
      <c r="DT293" s="146"/>
      <c r="DU293" s="2"/>
      <c r="DV293" s="18"/>
      <c r="DW293" s="4"/>
      <c r="DX293" s="129"/>
      <c r="DY293" s="128">
        <v>22</v>
      </c>
      <c r="DZ293" s="128">
        <v>22</v>
      </c>
      <c r="EA293" s="128">
        <v>22</v>
      </c>
      <c r="EB293" s="128">
        <v>22</v>
      </c>
      <c r="EC293" s="128">
        <v>22</v>
      </c>
      <c r="ED293" s="128">
        <v>22</v>
      </c>
      <c r="EE293" s="128">
        <v>22</v>
      </c>
      <c r="EF293" s="128">
        <v>22</v>
      </c>
      <c r="EG293" s="128">
        <v>22</v>
      </c>
      <c r="EH293" s="128">
        <v>22</v>
      </c>
      <c r="EJ293" s="129"/>
      <c r="EK293" s="128">
        <v>22</v>
      </c>
      <c r="EL293" s="128">
        <v>22</v>
      </c>
      <c r="EM293" s="128">
        <v>22</v>
      </c>
      <c r="EN293" s="128">
        <v>22</v>
      </c>
      <c r="EO293" s="128">
        <v>22</v>
      </c>
      <c r="EQ293" s="128">
        <v>22</v>
      </c>
      <c r="ES293" s="128">
        <v>22</v>
      </c>
      <c r="ET293" s="128">
        <v>22</v>
      </c>
      <c r="EU293" s="128">
        <v>22</v>
      </c>
      <c r="EV293" s="128">
        <v>22</v>
      </c>
      <c r="EW293" s="128">
        <v>22</v>
      </c>
      <c r="EX293" s="128">
        <v>22</v>
      </c>
      <c r="EZ293" s="52"/>
      <c r="FA293" s="128">
        <v>30</v>
      </c>
      <c r="FB293" s="128">
        <v>30</v>
      </c>
      <c r="FC293" s="128">
        <v>30</v>
      </c>
      <c r="FD293" s="128">
        <v>30</v>
      </c>
      <c r="FF293" s="128">
        <v>30</v>
      </c>
      <c r="FG293" s="128">
        <v>30</v>
      </c>
      <c r="FI293" s="128">
        <v>30</v>
      </c>
      <c r="FK293" s="2"/>
      <c r="FN293" s="128">
        <v>30</v>
      </c>
      <c r="FP293" s="128">
        <v>30</v>
      </c>
      <c r="FR293" s="128">
        <v>30</v>
      </c>
      <c r="FS293" s="128">
        <v>30</v>
      </c>
      <c r="FT293" s="128">
        <v>30</v>
      </c>
      <c r="FU293" s="128">
        <v>30</v>
      </c>
      <c r="FV293" s="128">
        <v>30</v>
      </c>
      <c r="FX293" s="128">
        <v>30</v>
      </c>
      <c r="FZ293" s="128">
        <v>30</v>
      </c>
      <c r="GA293" s="52"/>
      <c r="GB293" s="52"/>
      <c r="GC293" s="52"/>
      <c r="GD293" s="52"/>
      <c r="GE293" s="52"/>
      <c r="GF293" s="52"/>
      <c r="GG293" s="52"/>
      <c r="GH293" s="52"/>
      <c r="GI293" s="52"/>
      <c r="GJ293" s="52"/>
      <c r="GK293" s="52"/>
      <c r="GL293" s="52"/>
      <c r="GM293" s="52"/>
      <c r="GN293" s="52"/>
      <c r="GO293" s="52"/>
      <c r="GP293" s="139"/>
      <c r="GQ293" s="52"/>
      <c r="GR293" s="129"/>
      <c r="GS293" s="129"/>
      <c r="GT293" s="129"/>
      <c r="GU293" s="129"/>
      <c r="GV293" s="129"/>
      <c r="GW293" s="129"/>
      <c r="GX293" s="129"/>
      <c r="GY293" s="129"/>
      <c r="GZ293" s="129"/>
      <c r="HA293" s="129"/>
      <c r="HB293" s="129"/>
      <c r="HC293" s="129"/>
      <c r="HD293" s="129"/>
      <c r="HE293" s="4"/>
      <c r="HF293" s="4"/>
      <c r="HG293" s="4"/>
      <c r="HH293" s="3"/>
      <c r="HI293" s="4"/>
      <c r="HJ293" s="4"/>
      <c r="HK293" s="4"/>
      <c r="HL293" s="129"/>
      <c r="HM293" s="129"/>
      <c r="HN293" s="129"/>
      <c r="HO293" s="129"/>
      <c r="HP293" s="129"/>
      <c r="HQ293" s="129"/>
      <c r="HR293" s="129"/>
      <c r="HS293" s="129"/>
      <c r="HT293" s="129"/>
      <c r="HU293" s="129"/>
      <c r="HV293" s="129"/>
      <c r="HW293" s="129"/>
      <c r="HX293" s="129"/>
      <c r="HY293" s="129"/>
      <c r="HZ293" s="79"/>
      <c r="IA293" s="129"/>
      <c r="IB293" s="129"/>
      <c r="IC293" s="129"/>
      <c r="ID293" s="129"/>
      <c r="IE293" s="129"/>
      <c r="IF293" s="129"/>
      <c r="IG293" s="129"/>
      <c r="IH293" s="129"/>
      <c r="II293" s="129"/>
      <c r="IJ293" s="129"/>
      <c r="IK293" s="129"/>
      <c r="IL293" s="129"/>
      <c r="IM293" s="129"/>
      <c r="IN293" s="129"/>
      <c r="IO293" s="129"/>
      <c r="IP293" s="129"/>
      <c r="IQ293" s="129"/>
      <c r="IR293" s="129"/>
      <c r="IS293" s="129"/>
      <c r="IT293" s="129"/>
      <c r="IU293" s="129"/>
      <c r="IV293" s="129"/>
      <c r="IW293" s="129"/>
      <c r="IX293" s="129"/>
      <c r="IY293" s="129"/>
      <c r="IZ293" s="129"/>
      <c r="JA293" s="129"/>
      <c r="JB293" s="129"/>
      <c r="JC293" s="129"/>
      <c r="JD293" s="129"/>
      <c r="JE293" s="129"/>
      <c r="JF293" s="129"/>
      <c r="JG293" s="129"/>
      <c r="JH293" s="129"/>
      <c r="JI293" s="129"/>
      <c r="JJ293" s="129"/>
      <c r="JK293" s="129"/>
      <c r="JL293" s="129"/>
      <c r="JM293" s="129"/>
      <c r="JN293" s="129"/>
      <c r="JO293" s="129"/>
      <c r="JP293" s="129"/>
      <c r="JQ293" s="129"/>
      <c r="JR293" s="129"/>
      <c r="JS293" s="129"/>
      <c r="JT293" s="129"/>
      <c r="JU293" s="129"/>
      <c r="JV293" s="129"/>
      <c r="JW293" s="129"/>
      <c r="JX293" s="129"/>
      <c r="JY293" s="129"/>
      <c r="JZ293" s="129"/>
      <c r="KA293" s="129"/>
      <c r="KB293" s="129"/>
      <c r="KC293" s="129"/>
      <c r="KD293" s="129"/>
    </row>
    <row r="294" spans="4:293" ht="17.25">
      <c r="D294" s="128"/>
      <c r="E294" s="570"/>
      <c r="F294" s="145">
        <v>37</v>
      </c>
      <c r="G294" s="639"/>
      <c r="H294" s="453">
        <f>COUNTIF(E253:BV253,F294)</f>
        <v>0</v>
      </c>
      <c r="I294" s="453">
        <f>COUNTIF(E252:BV252,F294)</f>
        <v>1</v>
      </c>
      <c r="J294" s="453">
        <f>COUNTIF(E251:BV251,F294)</f>
        <v>1</v>
      </c>
      <c r="K294" s="453">
        <f>COUNTIF(E250:BV250,F294)</f>
        <v>1</v>
      </c>
      <c r="L294" s="453">
        <f>COUNTIF(E249:BV249,F294)</f>
        <v>2</v>
      </c>
      <c r="M294" s="453">
        <f>COUNTIF(E248:BV248,F294)</f>
        <v>2</v>
      </c>
      <c r="N294" s="453">
        <f>COUNTIF(E247:BV247,F294)</f>
        <v>1</v>
      </c>
      <c r="O294" s="453">
        <f>COUNTIF(E246:BV246,F294)</f>
        <v>0</v>
      </c>
      <c r="P294" s="453">
        <f>COUNTIF(E245:BV245,F294)</f>
        <v>0</v>
      </c>
      <c r="Q294" s="453">
        <f>COUNTIF(E244:BV244,F294)</f>
        <v>2</v>
      </c>
      <c r="R294" s="453">
        <f>COUNTIF(E243:BV243,F294)</f>
        <v>2</v>
      </c>
      <c r="S294" s="453">
        <f>COUNTIF(E242:BV242,F294)</f>
        <v>0</v>
      </c>
      <c r="T294" s="453">
        <f>COUNTIF(E241:BV241,F294)</f>
        <v>1</v>
      </c>
      <c r="U294" s="453">
        <f>COUNTIF(E240:BV240,F294)</f>
        <v>1</v>
      </c>
      <c r="V294" s="453">
        <f>COUNTIF(E239:BV239,F294)</f>
        <v>1</v>
      </c>
      <c r="W294" s="453">
        <f>COUNTIF(E238:BV238,F294)</f>
        <v>4</v>
      </c>
      <c r="X294" s="453">
        <f>COUNTIF(E237:BV237,F294)</f>
        <v>2</v>
      </c>
      <c r="Y294" s="453">
        <f>COUNTIF(E236:BV236,F294)</f>
        <v>2</v>
      </c>
      <c r="Z294" s="453">
        <f>COUNTIF(E235:BV235,F294)</f>
        <v>1</v>
      </c>
      <c r="AA294" s="453">
        <f>COUNTIF(E234:BV234,F294)</f>
        <v>1</v>
      </c>
      <c r="AB294" s="453">
        <f>COUNTIF(E233:BV233,F294)</f>
        <v>0</v>
      </c>
      <c r="AC294" s="453">
        <f>COUNTIF(E232:BV232,F294)</f>
        <v>1</v>
      </c>
      <c r="AD294" s="453">
        <f>COUNTIF(E231:BV231,F294)</f>
        <v>0</v>
      </c>
      <c r="AE294" s="453">
        <f>COUNTIF(E230:BV230,F294)</f>
        <v>2</v>
      </c>
      <c r="AF294" s="453">
        <f>COUNTIF(E229:BV229,F294)</f>
        <v>0</v>
      </c>
      <c r="AG294" s="453">
        <f>COUNTIF(E228:BV228,F294)</f>
        <v>2</v>
      </c>
      <c r="AH294" s="453">
        <f>COUNTIF(E227:BV227,F294)</f>
        <v>2</v>
      </c>
      <c r="AI294" s="146">
        <f>COUNTIF(E226:BV226,F294)</f>
        <v>1</v>
      </c>
      <c r="AJ294" s="146">
        <f>COUNTIF(E225:BV225,F294)</f>
        <v>1</v>
      </c>
      <c r="AK294" s="146">
        <f>COUNTIF(E224:BV224,F294)</f>
        <v>0</v>
      </c>
      <c r="AL294" s="146">
        <f>COUNTIF(E223:BV223,F294)</f>
        <v>3</v>
      </c>
      <c r="AM294" s="146">
        <f>COUNTIF(E222:BV222,F294)</f>
        <v>1</v>
      </c>
      <c r="AN294" s="146">
        <f>COUNTIF(E221:BV221,F294)</f>
        <v>0</v>
      </c>
      <c r="AO294" s="146">
        <f>COUNTIF(E220:BV220,F294)</f>
        <v>2</v>
      </c>
      <c r="AP294" s="146">
        <f>COUNTIF(E219:BV219,F294)</f>
        <v>0</v>
      </c>
      <c r="AQ294" s="146">
        <f>COUNTIF(E218:BV218,F294)</f>
        <v>3</v>
      </c>
      <c r="AR294" s="146">
        <f>COUNTIF(E217:BV217,F294)</f>
        <v>1</v>
      </c>
      <c r="AS294" s="146">
        <f>COUNTIF(E216:BV216,F294)</f>
        <v>3</v>
      </c>
      <c r="AT294" s="146">
        <f>COUNTIF(E215:BV215,F294)</f>
        <v>3</v>
      </c>
      <c r="AU294" s="146">
        <f>COUNTIF(E214:BV214,F294)</f>
        <v>1</v>
      </c>
      <c r="AV294" s="146">
        <f>COUNTIF(E213:BV213,F294)</f>
        <v>2</v>
      </c>
      <c r="AW294" s="146">
        <f>COUNTIF(E212:BV212,F294)</f>
        <v>2</v>
      </c>
      <c r="AX294" s="146">
        <f>COUNTIF(E211:BV211,F294)</f>
        <v>2</v>
      </c>
      <c r="AY294" s="146">
        <f>COUNTIF(E210:BV210,F294)</f>
        <v>1</v>
      </c>
      <c r="AZ294" s="146">
        <f>COUNTIF(E209:BV209,F294)</f>
        <v>2</v>
      </c>
      <c r="BA294" s="146">
        <f>COUNTIF(E208:BV208,F294)</f>
        <v>1</v>
      </c>
      <c r="BB294" s="146">
        <f>COUNTIF(E207:BV207,F294)</f>
        <v>0</v>
      </c>
      <c r="BC294" s="146">
        <f>COUNTIF(E206:BV206,F294)</f>
        <v>2</v>
      </c>
      <c r="BD294" s="146">
        <f>COUNTIF(E205:BV205,F294)</f>
        <v>1</v>
      </c>
      <c r="BE294" s="146">
        <f>COUNTIF(E204:BV204,F294)</f>
        <v>0</v>
      </c>
      <c r="BF294" s="146">
        <f>COUNTIF(E203:BV203,F294)</f>
        <v>2</v>
      </c>
      <c r="BG294" s="146">
        <f>COUNTIF(E202:BV202,F294)</f>
        <v>2</v>
      </c>
      <c r="BH294" s="146">
        <f>COUNTIF(E201:BV201,F294)</f>
        <v>1</v>
      </c>
      <c r="BI294" s="146">
        <f>COUNTIF(E200:BV200,F294)</f>
        <v>1</v>
      </c>
      <c r="BJ294" s="146">
        <f>COUNTIF(E199:BV199,F294)</f>
        <v>0</v>
      </c>
      <c r="BK294" s="146">
        <f>COUNTIF(E198:BV198,F294)</f>
        <v>3</v>
      </c>
      <c r="BL294" s="146">
        <f>COUNTIF(E197:BV197,F294)</f>
        <v>0</v>
      </c>
      <c r="BM294" s="146">
        <f>COUNTIF(E196:BV196,F294)</f>
        <v>2</v>
      </c>
      <c r="BN294" s="146">
        <f>COUNTIF(E195:BV195,F294)</f>
        <v>2</v>
      </c>
      <c r="BO294" s="146">
        <f>COUNTIF(E194:BV194,F294)</f>
        <v>1</v>
      </c>
      <c r="BP294" s="146">
        <f>COUNTIF(E193:BV193,F294)</f>
        <v>1</v>
      </c>
      <c r="BQ294" s="146">
        <f>COUNTIF(E192:BV192,F294)</f>
        <v>1</v>
      </c>
      <c r="BR294" s="146">
        <f>COUNTIF(E191:BV191,F294)</f>
        <v>1</v>
      </c>
      <c r="BS294" s="146">
        <f>COUNTIF(E190:BV190,F294)</f>
        <v>2</v>
      </c>
      <c r="BT294" s="146">
        <f>COUNTIF(E189:BV189,F294)</f>
        <v>0</v>
      </c>
      <c r="BU294" s="146">
        <f>COUNTIF(E188:BV188,F294)</f>
        <v>1</v>
      </c>
      <c r="BV294" s="146">
        <f>COUNTIF(E187:BV187,F294)</f>
        <v>0</v>
      </c>
      <c r="BW294" s="146">
        <f>COUNTIF(E186:BV186,F294)</f>
        <v>2</v>
      </c>
      <c r="BX294" s="146">
        <f>COUNTIF(E185:BV185,F294)</f>
        <v>0</v>
      </c>
      <c r="BY294" s="146">
        <f>COUNTIF(E184:BV184,F294)</f>
        <v>2</v>
      </c>
      <c r="BZ294" s="146">
        <f>COUNTIF(E183:BV183,F294)</f>
        <v>0</v>
      </c>
      <c r="CA294" s="146">
        <f>COUNTIF(E182:BV182,F294)</f>
        <v>1</v>
      </c>
      <c r="CB294" s="146">
        <f>COUNTIF(E181:BV181,F294)</f>
        <v>7</v>
      </c>
      <c r="CC294" s="146">
        <f>COUNTIF(E180:BV180,F294)</f>
        <v>2</v>
      </c>
      <c r="CD294" s="146">
        <f>COUNTIF(E179:BV179,F294)</f>
        <v>2</v>
      </c>
      <c r="CE294" s="146">
        <f>COUNTIF(E178:BV178,F294)</f>
        <v>2</v>
      </c>
      <c r="CF294" s="146">
        <f>COUNTIF(E177:BV177,F294)</f>
        <v>3</v>
      </c>
      <c r="CG294" s="146">
        <f>COUNTIF(E176:BV176,F294)</f>
        <v>1</v>
      </c>
      <c r="CH294" s="146">
        <f>COUNTIF(E175:BV175,F294)</f>
        <v>2</v>
      </c>
      <c r="CI294" s="146">
        <f>COUNTIF(E174:BV174,F294)</f>
        <v>1</v>
      </c>
      <c r="CJ294" s="146">
        <f>COUNTIF(E173:BV173,F294)</f>
        <v>0</v>
      </c>
      <c r="CK294" s="146">
        <f>COUNTIF(E172:BV172,F294)</f>
        <v>1</v>
      </c>
      <c r="CL294" s="146">
        <f>COUNTIF(E171:BV171,F294)</f>
        <v>1</v>
      </c>
      <c r="CM294" s="146">
        <f>COUNTIF(E170:BV170,F294)</f>
        <v>1</v>
      </c>
      <c r="CN294" s="146">
        <f>COUNTIF(E169:BV169,F294)</f>
        <v>2</v>
      </c>
      <c r="CO294" s="146">
        <f>COUNTIF(E168:BV168,F294)</f>
        <v>1</v>
      </c>
      <c r="CP294" s="146">
        <f>COUNTIF(E167:BV167,F294)</f>
        <v>2</v>
      </c>
      <c r="CQ294" s="146">
        <f>COUNTIF(E166:BV166,F294)</f>
        <v>1</v>
      </c>
      <c r="CR294" s="146">
        <f>COUNTIF(E165:BV165,F294)</f>
        <v>1</v>
      </c>
      <c r="CS294" s="146">
        <f>COUNTIF(E164:BV164,F294)</f>
        <v>2</v>
      </c>
      <c r="CT294" s="146">
        <f>COUNTIF(E163:BV163,F294)</f>
        <v>0</v>
      </c>
      <c r="CU294" s="146">
        <f>COUNTIF(E162:BV162,F294)</f>
        <v>1</v>
      </c>
      <c r="CV294" s="146">
        <f>COUNTIF(E161:BV161,F294)</f>
        <v>2</v>
      </c>
      <c r="CW294" s="146">
        <f>COUNTIF(E160:BV160,F294)</f>
        <v>1</v>
      </c>
      <c r="CX294" s="146">
        <f>COUNTIF(E159:BV159,F294)</f>
        <v>2</v>
      </c>
      <c r="CY294" s="146">
        <f>COUNTIF(E158:BV158,F294)</f>
        <v>3</v>
      </c>
      <c r="CZ294" s="146">
        <f>COUNTIF(E157:BV157,F294)</f>
        <v>1</v>
      </c>
      <c r="DA294" s="146">
        <f>COUNTIF(E156:BV156,F294)</f>
        <v>5</v>
      </c>
      <c r="DB294" s="146">
        <f>COUNTIF(E155:BV155,F294)</f>
        <v>0</v>
      </c>
      <c r="DC294" s="146">
        <f>COUNTIF(E154:BV154,F294)</f>
        <v>2</v>
      </c>
      <c r="DD294" s="146">
        <v>1</v>
      </c>
      <c r="DE294" s="146"/>
      <c r="DF294" s="146"/>
      <c r="DG294" s="146"/>
      <c r="DH294" s="146"/>
      <c r="DI294" s="146"/>
      <c r="DJ294" s="146"/>
      <c r="DK294" s="146"/>
      <c r="DL294" s="146"/>
      <c r="DM294" s="146"/>
      <c r="DN294" s="146"/>
      <c r="DO294" s="146"/>
      <c r="DP294" s="146"/>
      <c r="DQ294" s="146"/>
      <c r="DR294" s="146"/>
      <c r="DS294" s="146"/>
      <c r="DT294" s="146"/>
      <c r="DU294" s="2"/>
      <c r="DV294" s="18"/>
      <c r="DW294" s="4"/>
      <c r="DX294" s="129"/>
      <c r="DY294" s="128">
        <v>23</v>
      </c>
      <c r="DZ294" s="128">
        <v>23</v>
      </c>
      <c r="EA294" s="128">
        <v>23</v>
      </c>
      <c r="EB294" s="128">
        <v>23</v>
      </c>
      <c r="EC294" s="128">
        <v>23</v>
      </c>
      <c r="ED294" s="128">
        <v>23</v>
      </c>
      <c r="EE294" s="128">
        <v>23</v>
      </c>
      <c r="EF294" s="128">
        <v>23</v>
      </c>
      <c r="EK294" s="128">
        <v>23</v>
      </c>
      <c r="EM294" s="128">
        <v>23</v>
      </c>
      <c r="EN294" s="128">
        <v>23</v>
      </c>
      <c r="EO294" s="128">
        <v>23</v>
      </c>
      <c r="EP294" s="128">
        <v>23</v>
      </c>
      <c r="EQ294" s="128">
        <v>23</v>
      </c>
      <c r="ET294" s="128">
        <v>23</v>
      </c>
      <c r="EU294" s="128">
        <v>23</v>
      </c>
      <c r="EV294" s="128">
        <v>23</v>
      </c>
      <c r="EW294" s="128">
        <v>23</v>
      </c>
      <c r="EX294" s="128">
        <v>23</v>
      </c>
      <c r="EZ294" s="52"/>
      <c r="FA294" s="128">
        <v>31</v>
      </c>
      <c r="FB294" s="128">
        <v>31</v>
      </c>
      <c r="FC294" s="128">
        <v>31</v>
      </c>
      <c r="FE294" s="128">
        <v>31</v>
      </c>
      <c r="FF294" s="128">
        <v>31</v>
      </c>
      <c r="FG294" s="128">
        <v>31</v>
      </c>
      <c r="FH294" s="128">
        <v>31</v>
      </c>
      <c r="FJ294" s="128">
        <v>31</v>
      </c>
      <c r="FK294" s="152"/>
      <c r="FM294" s="128">
        <v>31</v>
      </c>
      <c r="FN294" s="128">
        <v>31</v>
      </c>
      <c r="FO294" s="128">
        <v>31</v>
      </c>
      <c r="FP294" s="128">
        <v>31</v>
      </c>
      <c r="FQ294" s="128">
        <v>31</v>
      </c>
      <c r="FR294" s="128">
        <v>31</v>
      </c>
      <c r="FS294" s="128">
        <v>31</v>
      </c>
      <c r="FT294" s="128">
        <v>31</v>
      </c>
      <c r="FU294" s="128">
        <v>31</v>
      </c>
      <c r="FV294" s="128">
        <v>31</v>
      </c>
      <c r="FW294" s="128">
        <v>31</v>
      </c>
      <c r="FX294" s="128">
        <v>31</v>
      </c>
      <c r="FY294" s="128">
        <v>31</v>
      </c>
      <c r="FZ294" s="128">
        <v>31</v>
      </c>
      <c r="GA294" s="52"/>
      <c r="GB294" s="52"/>
      <c r="GC294" s="52"/>
      <c r="GD294" s="52"/>
      <c r="GE294" s="52"/>
      <c r="GF294" s="52"/>
      <c r="GG294" s="52"/>
      <c r="GH294" s="52"/>
      <c r="GI294" s="52"/>
      <c r="GJ294" s="52"/>
      <c r="GK294" s="52"/>
      <c r="GL294" s="52"/>
      <c r="GM294" s="52"/>
      <c r="GN294" s="52"/>
      <c r="GO294" s="52"/>
      <c r="GP294" s="52"/>
      <c r="GQ294" s="139"/>
      <c r="GR294" s="129"/>
      <c r="GS294" s="129"/>
      <c r="GT294" s="129"/>
      <c r="GU294" s="129"/>
      <c r="GV294" s="129"/>
      <c r="GW294" s="129"/>
      <c r="GX294" s="129"/>
      <c r="GY294" s="129"/>
      <c r="GZ294" s="129"/>
      <c r="HA294" s="129"/>
      <c r="HB294" s="129"/>
      <c r="HC294" s="129"/>
      <c r="HD294" s="129"/>
      <c r="HE294" s="4"/>
      <c r="HF294" s="4"/>
      <c r="HG294" s="4"/>
      <c r="HH294" s="4"/>
      <c r="HI294" s="3"/>
      <c r="HJ294" s="4"/>
      <c r="HK294" s="4"/>
      <c r="HL294" s="4"/>
      <c r="HM294" s="129"/>
      <c r="HN294" s="129"/>
      <c r="HO294" s="129"/>
      <c r="HP294" s="129"/>
      <c r="HQ294" s="129"/>
      <c r="HR294" s="129"/>
      <c r="HS294" s="129"/>
      <c r="HT294" s="129"/>
      <c r="HU294" s="129"/>
      <c r="HV294" s="129"/>
      <c r="HW294" s="129"/>
      <c r="HX294" s="129"/>
      <c r="HY294" s="129"/>
      <c r="HZ294" s="79"/>
      <c r="IA294" s="129"/>
      <c r="IB294" s="129"/>
      <c r="IC294" s="129"/>
      <c r="ID294" s="129"/>
      <c r="IE294" s="129"/>
      <c r="IF294" s="129"/>
      <c r="IG294" s="129"/>
      <c r="IH294" s="129"/>
      <c r="II294" s="129"/>
      <c r="IJ294" s="129"/>
      <c r="IK294" s="129"/>
      <c r="IL294" s="129"/>
      <c r="IM294" s="129"/>
      <c r="IN294" s="129"/>
      <c r="IO294" s="129"/>
      <c r="IP294" s="129"/>
      <c r="IQ294" s="129"/>
      <c r="IR294" s="129"/>
      <c r="IS294" s="129"/>
      <c r="IT294" s="129"/>
      <c r="IU294" s="129"/>
      <c r="IV294" s="129"/>
      <c r="IW294" s="129"/>
      <c r="IX294" s="129"/>
      <c r="IY294" s="129"/>
      <c r="IZ294" s="129"/>
      <c r="JA294" s="129"/>
      <c r="JB294" s="129"/>
      <c r="JC294" s="129"/>
      <c r="JD294" s="129"/>
      <c r="JE294" s="129"/>
      <c r="JF294" s="129"/>
      <c r="JG294" s="129"/>
      <c r="JH294" s="129"/>
      <c r="JI294" s="129"/>
      <c r="JJ294" s="129"/>
      <c r="JK294" s="129"/>
      <c r="JL294" s="129"/>
      <c r="JM294" s="129"/>
      <c r="JN294" s="129"/>
      <c r="JO294" s="129"/>
      <c r="JP294" s="129"/>
      <c r="JQ294" s="129"/>
      <c r="JR294" s="129"/>
      <c r="JS294" s="129"/>
      <c r="JT294" s="129"/>
      <c r="JU294" s="129"/>
      <c r="JV294" s="129"/>
      <c r="JW294" s="129"/>
      <c r="JX294" s="129"/>
      <c r="JY294" s="129"/>
      <c r="JZ294" s="129"/>
      <c r="KA294" s="129"/>
      <c r="KB294" s="129"/>
      <c r="KC294" s="129"/>
      <c r="KD294" s="129"/>
    </row>
    <row r="295" spans="4:293" ht="17.25">
      <c r="D295" s="128"/>
      <c r="E295" s="570">
        <v>38</v>
      </c>
      <c r="F295" s="145">
        <v>38</v>
      </c>
      <c r="G295" s="639"/>
      <c r="H295" s="453">
        <f>COUNTIF(E253:BV253,F295)</f>
        <v>1</v>
      </c>
      <c r="I295" s="453">
        <f>COUNTIF(E252:BV252,F295)</f>
        <v>1</v>
      </c>
      <c r="J295" s="453">
        <f>COUNTIF(E251:BV251,F295)</f>
        <v>2</v>
      </c>
      <c r="K295" s="453">
        <f>COUNTIF(E250:BV250,F295)</f>
        <v>1</v>
      </c>
      <c r="L295" s="453">
        <f>COUNTIF(E249:BV249,F295)</f>
        <v>2</v>
      </c>
      <c r="M295" s="453">
        <f>COUNTIF(E248:BV248,F295)</f>
        <v>1</v>
      </c>
      <c r="N295" s="453">
        <f>COUNTIF(E247:BV247,F295)</f>
        <v>1</v>
      </c>
      <c r="O295" s="453">
        <f>COUNTIF(E246:BV246,F295)</f>
        <v>2</v>
      </c>
      <c r="P295" s="453">
        <f>COUNTIF(E245:BV245,F295)</f>
        <v>4</v>
      </c>
      <c r="Q295" s="453">
        <f>COUNTIF(E244:BV244,F295)</f>
        <v>3</v>
      </c>
      <c r="R295" s="453">
        <f>COUNTIF(E243:BV243,F295)</f>
        <v>2</v>
      </c>
      <c r="S295" s="453">
        <f>COUNTIF(E242:BV242,F295)</f>
        <v>3</v>
      </c>
      <c r="T295" s="453">
        <f>COUNTIF(E241:BV241,F295)</f>
        <v>2</v>
      </c>
      <c r="U295" s="453">
        <f>COUNTIF(E240:BV240,F295)</f>
        <v>2</v>
      </c>
      <c r="V295" s="453">
        <f>COUNTIF(E239:BV239,F295)</f>
        <v>3</v>
      </c>
      <c r="W295" s="453">
        <f>COUNTIF(E238:BV238,F295)</f>
        <v>1</v>
      </c>
      <c r="X295" s="453">
        <f>COUNTIF(E237:BV237,F295)</f>
        <v>0</v>
      </c>
      <c r="Y295" s="453">
        <f>COUNTIF(E236:BV236,F295)</f>
        <v>3</v>
      </c>
      <c r="Z295" s="453">
        <f>COUNTIF(E235:BV235,F295)</f>
        <v>5</v>
      </c>
      <c r="AA295" s="453">
        <f>COUNTIF(E234:BV234,F295)</f>
        <v>1</v>
      </c>
      <c r="AB295" s="453">
        <f>COUNTIF(E233:BV233,F295)</f>
        <v>3</v>
      </c>
      <c r="AC295" s="453">
        <f>COUNTIF(E232:BV232,F295)</f>
        <v>3</v>
      </c>
      <c r="AD295" s="453">
        <f>COUNTIF(E231:BV231,F295)</f>
        <v>1</v>
      </c>
      <c r="AE295" s="453">
        <f>COUNTIF(E230:BV230,F295)</f>
        <v>1</v>
      </c>
      <c r="AF295" s="453">
        <f>COUNTIF(E229:BV229,F295)</f>
        <v>3</v>
      </c>
      <c r="AG295" s="453">
        <f>COUNTIF(E228:BV228,F295)</f>
        <v>1</v>
      </c>
      <c r="AH295" s="453">
        <f>COUNTIF(E227:BV227,F295)</f>
        <v>2</v>
      </c>
      <c r="AI295" s="146">
        <f>COUNTIF(E226:BV226,F295)</f>
        <v>2</v>
      </c>
      <c r="AJ295" s="146">
        <f>COUNTIF(E225:BV225,F295)</f>
        <v>5</v>
      </c>
      <c r="AK295" s="146">
        <f>COUNTIF(E224:BV224,F295)</f>
        <v>1</v>
      </c>
      <c r="AL295" s="146">
        <f>COUNTIF(E223:BV223,F295)</f>
        <v>3</v>
      </c>
      <c r="AM295" s="146">
        <f>COUNTIF(E222:BV222,F295)</f>
        <v>1</v>
      </c>
      <c r="AN295" s="146">
        <f>COUNTIF(E221:BV221,F295)</f>
        <v>2</v>
      </c>
      <c r="AO295" s="146">
        <f>COUNTIF(E220:BV220,F295)</f>
        <v>1</v>
      </c>
      <c r="AP295" s="146">
        <f>COUNTIF(E219:BV219,F295)</f>
        <v>2</v>
      </c>
      <c r="AQ295" s="146">
        <f>COUNTIF(E218:BV218,F295)</f>
        <v>1</v>
      </c>
      <c r="AR295" s="146">
        <f>COUNTIF(E217:BV217,F295)</f>
        <v>2</v>
      </c>
      <c r="AS295" s="146">
        <f>COUNTIF(E216:BV216,F295)</f>
        <v>2</v>
      </c>
      <c r="AT295" s="146">
        <f>COUNTIF(E215:BV215,F295)</f>
        <v>2</v>
      </c>
      <c r="AU295" s="146">
        <f>COUNTIF(E214:BV214,F295)</f>
        <v>1</v>
      </c>
      <c r="AV295" s="146">
        <f>COUNTIF(E213:BV213,F295)</f>
        <v>2</v>
      </c>
      <c r="AW295" s="146">
        <f>COUNTIF(E212:BV212,F295)</f>
        <v>0</v>
      </c>
      <c r="AX295" s="146">
        <f>COUNTIF(E211:BV211,F295)</f>
        <v>3</v>
      </c>
      <c r="AY295" s="146">
        <f>COUNTIF(E210:BV210,F295)</f>
        <v>1</v>
      </c>
      <c r="AZ295" s="146">
        <f>COUNTIF(E209:BV209,F295)</f>
        <v>0</v>
      </c>
      <c r="BA295" s="146">
        <f>COUNTIF(E208:BV208,F295)</f>
        <v>2</v>
      </c>
      <c r="BB295" s="146">
        <f>COUNTIF(E207:BV207,F295)</f>
        <v>3</v>
      </c>
      <c r="BC295" s="146">
        <f>COUNTIF(E206:BV206,F295)</f>
        <v>2</v>
      </c>
      <c r="BD295" s="146">
        <f>COUNTIF(E205:BV205,F295)</f>
        <v>0</v>
      </c>
      <c r="BE295" s="146">
        <f>COUNTIF(E204:BV204,F295)</f>
        <v>2</v>
      </c>
      <c r="BF295" s="146">
        <f>COUNTIF(E203:BV203,F295)</f>
        <v>2</v>
      </c>
      <c r="BG295" s="146">
        <f>COUNTIF(E202:BV202,F295)</f>
        <v>1</v>
      </c>
      <c r="BH295" s="146">
        <f>COUNTIF(E201:BV201,F295)</f>
        <v>0</v>
      </c>
      <c r="BI295" s="146">
        <f>COUNTIF(E200:BV200,F295)</f>
        <v>0</v>
      </c>
      <c r="BJ295" s="146">
        <f>COUNTIF(E199:BV199,F295)</f>
        <v>1</v>
      </c>
      <c r="BK295" s="146">
        <f>COUNTIF(E198:BV198,F295)</f>
        <v>0</v>
      </c>
      <c r="BL295" s="146">
        <f>COUNTIF(E197:BV197,F295)</f>
        <v>1</v>
      </c>
      <c r="BM295" s="146">
        <f>COUNTIF(E196:BV196,F295)</f>
        <v>4</v>
      </c>
      <c r="BN295" s="146">
        <f>COUNTIF(E195:BV195,F295)</f>
        <v>1</v>
      </c>
      <c r="BO295" s="146">
        <f>COUNTIF(E194:BV194,F295)</f>
        <v>4</v>
      </c>
      <c r="BP295" s="146">
        <f>COUNTIF(E193:BV193,F295)</f>
        <v>2</v>
      </c>
      <c r="BQ295" s="146">
        <f>COUNTIF(E192:BV192,F295)</f>
        <v>0</v>
      </c>
      <c r="BR295" s="146">
        <f>COUNTIF(E191:BV191,F295)</f>
        <v>2</v>
      </c>
      <c r="BS295" s="146">
        <f>COUNTIF(E190:BV190,F295)</f>
        <v>5</v>
      </c>
      <c r="BT295" s="146">
        <f>COUNTIF(E189:BV189,F295)</f>
        <v>1</v>
      </c>
      <c r="BU295" s="146">
        <f>COUNTIF(E188:BV188,F295)</f>
        <v>2</v>
      </c>
      <c r="BV295" s="146">
        <f>COUNTIF(E187:BV187,F295)</f>
        <v>0</v>
      </c>
      <c r="BW295" s="146">
        <f>COUNTIF(E186:BV186,F295)</f>
        <v>3</v>
      </c>
      <c r="BX295" s="146">
        <f>COUNTIF(E185:BV185,F295)</f>
        <v>0</v>
      </c>
      <c r="BY295" s="146">
        <f>COUNTIF(E184:BV184,F295)</f>
        <v>1</v>
      </c>
      <c r="BZ295" s="146">
        <f>COUNTIF(E183:BV183,F295)</f>
        <v>1</v>
      </c>
      <c r="CA295" s="146">
        <f>COUNTIF(E182:BV182,F295)</f>
        <v>1</v>
      </c>
      <c r="CB295" s="146">
        <f>COUNTIF(E181:BV181,F295)</f>
        <v>2</v>
      </c>
      <c r="CC295" s="146">
        <f>COUNTIF(E180:BV180,F295)</f>
        <v>2</v>
      </c>
      <c r="CD295" s="146">
        <f>COUNTIF(E179:BV179,F295)</f>
        <v>0</v>
      </c>
      <c r="CE295" s="146">
        <f>COUNTIF(E178:BV178,F295)</f>
        <v>3</v>
      </c>
      <c r="CF295" s="146">
        <f>COUNTIF(E177:BV177,F295)</f>
        <v>0</v>
      </c>
      <c r="CG295" s="146">
        <f>COUNTIF(E176:BV176,F295)</f>
        <v>2</v>
      </c>
      <c r="CH295" s="146">
        <f>COUNTIF(E175:BV175,F295)</f>
        <v>4</v>
      </c>
      <c r="CI295" s="146">
        <f>COUNTIF(E174:BV174,F295)</f>
        <v>0</v>
      </c>
      <c r="CJ295" s="146">
        <f>COUNTIF(E173:BV173,F295)</f>
        <v>0</v>
      </c>
      <c r="CK295" s="146">
        <f>COUNTIF(E172:BV172,F295)</f>
        <v>1</v>
      </c>
      <c r="CL295" s="146">
        <f>COUNTIF(E171:BV171,F295)</f>
        <v>2</v>
      </c>
      <c r="CM295" s="146">
        <f>COUNTIF(E170:BV170,F295)</f>
        <v>0</v>
      </c>
      <c r="CN295" s="146">
        <f>COUNTIF(E169:BV169,F295)</f>
        <v>1</v>
      </c>
      <c r="CO295" s="146">
        <f>COUNTIF(E168:BV168,F295)</f>
        <v>2</v>
      </c>
      <c r="CP295" s="146">
        <f>COUNTIF(E167:BV167,F295)</f>
        <v>2</v>
      </c>
      <c r="CQ295" s="146">
        <f>COUNTIF(E166:BV166,F295)</f>
        <v>2</v>
      </c>
      <c r="CR295" s="146">
        <f>COUNTIF(E165:BV165,F295)</f>
        <v>2</v>
      </c>
      <c r="CS295" s="146">
        <f>COUNTIF(E164:BV164,F295)</f>
        <v>1</v>
      </c>
      <c r="CT295" s="146">
        <f>COUNTIF(E163:BV163,F295)</f>
        <v>0</v>
      </c>
      <c r="CU295" s="146">
        <f>COUNTIF(E162:BV162,F295)</f>
        <v>0</v>
      </c>
      <c r="CV295" s="146">
        <f>COUNTIF(E161:BV161,F295)</f>
        <v>6</v>
      </c>
      <c r="CW295" s="146">
        <f>COUNTIF(E160:BV160,F295)</f>
        <v>2</v>
      </c>
      <c r="CX295" s="146">
        <f>COUNTIF(E159:BV159,F295)</f>
        <v>2</v>
      </c>
      <c r="CY295" s="146">
        <f>COUNTIF(E158:BV158,F295)</f>
        <v>1</v>
      </c>
      <c r="CZ295" s="146">
        <f>COUNTIF(E157:BV157,F295)</f>
        <v>4</v>
      </c>
      <c r="DA295" s="146">
        <f>COUNTIF(E156:BV156,F295)</f>
        <v>0</v>
      </c>
      <c r="DB295" s="146">
        <f>COUNTIF(E155:BV155,F295)</f>
        <v>2</v>
      </c>
      <c r="DC295" s="146">
        <f>COUNTIF(E154:BV154,F295)</f>
        <v>1</v>
      </c>
      <c r="DD295" s="146">
        <v>1</v>
      </c>
      <c r="DE295" s="146"/>
      <c r="DF295" s="146"/>
      <c r="DG295" s="146"/>
      <c r="DH295" s="146"/>
      <c r="DI295" s="146"/>
      <c r="DJ295" s="146"/>
      <c r="DK295" s="146"/>
      <c r="DL295" s="146"/>
      <c r="DM295" s="146"/>
      <c r="DN295" s="146"/>
      <c r="DO295" s="146"/>
      <c r="DP295" s="146"/>
      <c r="DQ295" s="146"/>
      <c r="DR295" s="146"/>
      <c r="DS295" s="146"/>
      <c r="DT295" s="146"/>
      <c r="DU295" s="2"/>
      <c r="DV295" s="18"/>
      <c r="DW295" s="4"/>
      <c r="DX295" s="129"/>
      <c r="DY295" s="128">
        <v>24</v>
      </c>
      <c r="EA295" s="128">
        <v>24</v>
      </c>
      <c r="EB295" s="128">
        <v>24</v>
      </c>
      <c r="EC295" s="128">
        <v>24</v>
      </c>
      <c r="ED295" s="128">
        <v>24</v>
      </c>
      <c r="EF295" s="128">
        <v>24</v>
      </c>
      <c r="EG295" s="128">
        <v>24</v>
      </c>
      <c r="EH295" s="128">
        <v>24</v>
      </c>
      <c r="EK295" s="128">
        <v>24</v>
      </c>
      <c r="EM295" s="128">
        <v>24</v>
      </c>
      <c r="EN295" s="128">
        <v>24</v>
      </c>
      <c r="EO295" s="128">
        <v>24</v>
      </c>
      <c r="EP295" s="128">
        <v>24</v>
      </c>
      <c r="EQ295" s="128">
        <v>24</v>
      </c>
      <c r="ER295" s="128">
        <v>24</v>
      </c>
      <c r="ES295" s="128">
        <v>24</v>
      </c>
      <c r="EV295" s="128">
        <v>24</v>
      </c>
      <c r="EW295" s="128">
        <v>24</v>
      </c>
      <c r="EX295" s="128">
        <v>24</v>
      </c>
      <c r="EZ295" s="52"/>
      <c r="FB295" s="128">
        <v>32</v>
      </c>
      <c r="FD295" s="128">
        <v>32</v>
      </c>
      <c r="FF295" s="128">
        <v>32</v>
      </c>
      <c r="FH295" s="128">
        <v>32</v>
      </c>
      <c r="FI295" s="128">
        <v>32</v>
      </c>
      <c r="FJ295" s="128">
        <v>32</v>
      </c>
      <c r="FK295" s="152"/>
      <c r="FN295" s="128">
        <v>32</v>
      </c>
      <c r="FO295" s="128">
        <v>32</v>
      </c>
      <c r="FP295" s="128">
        <v>32</v>
      </c>
      <c r="FQ295" s="128">
        <v>32</v>
      </c>
      <c r="FR295" s="128">
        <v>32</v>
      </c>
      <c r="FT295" s="128">
        <v>32</v>
      </c>
      <c r="FV295" s="128">
        <v>32</v>
      </c>
      <c r="FW295" s="128">
        <v>32</v>
      </c>
      <c r="FX295" s="128">
        <v>32</v>
      </c>
      <c r="FY295" s="128">
        <v>32</v>
      </c>
      <c r="FZ295" s="128">
        <v>32</v>
      </c>
      <c r="GA295" s="52"/>
      <c r="GB295" s="52"/>
      <c r="GC295" s="52"/>
      <c r="GD295" s="52"/>
      <c r="GE295" s="52"/>
      <c r="GF295" s="52"/>
      <c r="GG295" s="52"/>
      <c r="GH295" s="52"/>
      <c r="GI295" s="52"/>
      <c r="GJ295" s="52"/>
      <c r="GK295" s="52"/>
      <c r="GL295" s="52"/>
      <c r="GM295" s="52"/>
      <c r="GN295" s="52"/>
      <c r="GO295" s="52"/>
      <c r="GP295" s="52"/>
      <c r="GQ295" s="52"/>
      <c r="GR295" s="3"/>
      <c r="GS295" s="129"/>
      <c r="GT295" s="129"/>
      <c r="GU295" s="129"/>
      <c r="GV295" s="129"/>
      <c r="GW295" s="129"/>
      <c r="GX295" s="129"/>
      <c r="GY295" s="129"/>
      <c r="GZ295" s="129"/>
      <c r="HA295" s="129"/>
      <c r="HB295" s="129"/>
      <c r="HC295" s="129"/>
      <c r="HD295" s="129"/>
      <c r="HE295" s="4"/>
      <c r="HF295" s="4"/>
      <c r="HG295" s="4"/>
      <c r="HH295" s="4"/>
      <c r="HI295" s="4"/>
      <c r="HJ295" s="3"/>
      <c r="HK295" s="4"/>
      <c r="HL295" s="4"/>
      <c r="HM295" s="4"/>
      <c r="HN295" s="129"/>
      <c r="HO295" s="129"/>
      <c r="HP295" s="129"/>
      <c r="HQ295" s="129"/>
      <c r="HR295" s="129"/>
      <c r="HS295" s="129"/>
      <c r="HT295" s="129"/>
      <c r="HU295" s="129"/>
      <c r="HV295" s="129"/>
      <c r="HW295" s="129"/>
      <c r="HX295" s="129"/>
      <c r="HY295" s="129"/>
      <c r="HZ295" s="79"/>
      <c r="IA295" s="129"/>
      <c r="IB295" s="129"/>
      <c r="IC295" s="129"/>
      <c r="ID295" s="129"/>
      <c r="IE295" s="129"/>
      <c r="IF295" s="129"/>
      <c r="IG295" s="129"/>
      <c r="IH295" s="129"/>
      <c r="II295" s="129"/>
      <c r="IJ295" s="129"/>
      <c r="IK295" s="129"/>
      <c r="IL295" s="129"/>
      <c r="IM295" s="129"/>
      <c r="IN295" s="129"/>
      <c r="IO295" s="129"/>
      <c r="IP295" s="129"/>
      <c r="IQ295" s="129"/>
      <c r="IR295" s="129"/>
      <c r="IS295" s="129"/>
      <c r="IT295" s="129"/>
      <c r="IU295" s="129"/>
      <c r="IV295" s="129"/>
      <c r="IW295" s="129"/>
      <c r="IX295" s="129"/>
      <c r="IY295" s="129"/>
      <c r="IZ295" s="129"/>
      <c r="JA295" s="129"/>
      <c r="JB295" s="129"/>
      <c r="JC295" s="129"/>
      <c r="JD295" s="129"/>
      <c r="JE295" s="129"/>
      <c r="JF295" s="129"/>
      <c r="JG295" s="129"/>
      <c r="JH295" s="129"/>
      <c r="JI295" s="129"/>
      <c r="JJ295" s="129"/>
      <c r="JK295" s="129"/>
      <c r="JL295" s="129"/>
      <c r="JM295" s="129"/>
      <c r="JN295" s="129"/>
      <c r="JO295" s="129"/>
      <c r="JP295" s="129"/>
      <c r="JQ295" s="129"/>
      <c r="JR295" s="129"/>
      <c r="JS295" s="129"/>
      <c r="JT295" s="129"/>
      <c r="JU295" s="129"/>
      <c r="JV295" s="129"/>
      <c r="JW295" s="129"/>
      <c r="JX295" s="129"/>
      <c r="JY295" s="129"/>
      <c r="JZ295" s="129"/>
      <c r="KA295" s="129"/>
      <c r="KB295" s="129"/>
      <c r="KC295" s="129"/>
      <c r="KD295" s="129"/>
    </row>
    <row r="296" spans="4:293" ht="17.25">
      <c r="D296" s="128"/>
      <c r="E296" s="570">
        <v>39</v>
      </c>
      <c r="F296" s="145">
        <v>39</v>
      </c>
      <c r="G296" s="639"/>
      <c r="H296" s="453">
        <f>COUNTIF(E253:BV253,F296)</f>
        <v>2</v>
      </c>
      <c r="I296" s="453">
        <f>COUNTIF(E252:BV252,F296)</f>
        <v>2</v>
      </c>
      <c r="J296" s="453">
        <f>COUNTIF(E251:BV251,F296)</f>
        <v>0</v>
      </c>
      <c r="K296" s="453">
        <f>COUNTIF(E250:BV250,F296)</f>
        <v>0</v>
      </c>
      <c r="L296" s="453">
        <f>COUNTIF(E249:BV249,F296)</f>
        <v>0</v>
      </c>
      <c r="M296" s="453">
        <f>COUNTIF(E248:BV248,F296)</f>
        <v>0</v>
      </c>
      <c r="N296" s="453">
        <f>COUNTIF(E247:BV247,F296)</f>
        <v>2</v>
      </c>
      <c r="O296" s="453">
        <f>COUNTIF(E246:BV246,F296)</f>
        <v>0</v>
      </c>
      <c r="P296" s="453">
        <f>COUNTIF(E245:BV245,F296)</f>
        <v>2</v>
      </c>
      <c r="Q296" s="453">
        <f>COUNTIF(E244:BV244,F296)</f>
        <v>3</v>
      </c>
      <c r="R296" s="453">
        <f>COUNTIF(E243:BV243,F296)</f>
        <v>1</v>
      </c>
      <c r="S296" s="453">
        <f>COUNTIF(E242:BV242,F296)</f>
        <v>3</v>
      </c>
      <c r="T296" s="453">
        <f>COUNTIF(E241:BV241,F296)</f>
        <v>0</v>
      </c>
      <c r="U296" s="453">
        <f>COUNTIF(E240:BV240,F296)</f>
        <v>2</v>
      </c>
      <c r="V296" s="453">
        <f>COUNTIF(E239:BV239,F296)</f>
        <v>1</v>
      </c>
      <c r="W296" s="453">
        <f>COUNTIF(E238:BV238,F296)</f>
        <v>0</v>
      </c>
      <c r="X296" s="453">
        <f>COUNTIF(E237:BV237,F296)</f>
        <v>2</v>
      </c>
      <c r="Y296" s="453">
        <f>COUNTIF(E236:BV236,F296)</f>
        <v>0</v>
      </c>
      <c r="Z296" s="453">
        <f>COUNTIF(E235:BV235,F296)</f>
        <v>2</v>
      </c>
      <c r="AA296" s="453">
        <f>COUNTIF(E234:BV234,F296)</f>
        <v>1</v>
      </c>
      <c r="AB296" s="453">
        <f>COUNTIF(E233:BV233,F296)</f>
        <v>3</v>
      </c>
      <c r="AC296" s="453">
        <f>COUNTIF(E232:BV232,F296)</f>
        <v>1</v>
      </c>
      <c r="AD296" s="453">
        <f>COUNTIF(E231:BV231,F296)</f>
        <v>2</v>
      </c>
      <c r="AE296" s="453">
        <f>COUNTIF(E230:BV230,F296)</f>
        <v>1</v>
      </c>
      <c r="AF296" s="453">
        <f>COUNTIF(E229:BV229,F296)</f>
        <v>1</v>
      </c>
      <c r="AG296" s="453">
        <f>COUNTIF(E228:BV228,F296)</f>
        <v>1</v>
      </c>
      <c r="AH296" s="453">
        <f>COUNTIF(E227:BV227,F296)</f>
        <v>0</v>
      </c>
      <c r="AI296" s="146">
        <f>COUNTIF(E226:BV226,F296)</f>
        <v>0</v>
      </c>
      <c r="AJ296" s="146">
        <f>COUNTIF(E225:BV225,F296)</f>
        <v>1</v>
      </c>
      <c r="AK296" s="146">
        <f>COUNTIF(E224:BV224,F296)</f>
        <v>2</v>
      </c>
      <c r="AL296" s="146">
        <f>COUNTIF(E223:BV223,F296)</f>
        <v>3</v>
      </c>
      <c r="AM296" s="146">
        <f>COUNTIF(E222:BV222,F296)</f>
        <v>4</v>
      </c>
      <c r="AN296" s="146">
        <f>COUNTIF(E221:BV221,F296)</f>
        <v>1</v>
      </c>
      <c r="AO296" s="146">
        <f>COUNTIF(E220:BV220,F296)</f>
        <v>1</v>
      </c>
      <c r="AP296" s="146">
        <f>COUNTIF(E219:BV219,F296)</f>
        <v>1</v>
      </c>
      <c r="AQ296" s="146">
        <f>COUNTIF(E218:BV218,F296)</f>
        <v>2</v>
      </c>
      <c r="AR296" s="146">
        <f>COUNTIF(E217:BV217,F296)</f>
        <v>0</v>
      </c>
      <c r="AS296" s="146">
        <f>COUNTIF(E216:BV216,F296)</f>
        <v>1</v>
      </c>
      <c r="AT296" s="146">
        <f>COUNTIF(E215:BV215,F296)</f>
        <v>1</v>
      </c>
      <c r="AU296" s="146">
        <f>COUNTIF(E214:BV214,F296)</f>
        <v>1</v>
      </c>
      <c r="AV296" s="146">
        <f>COUNTIF(E213:BV213,F296)</f>
        <v>2</v>
      </c>
      <c r="AW296" s="146">
        <f>COUNTIF(E212:BV212,F296)</f>
        <v>2</v>
      </c>
      <c r="AX296" s="146">
        <f>COUNTIF(E211:BV211,F296)</f>
        <v>1</v>
      </c>
      <c r="AY296" s="146">
        <f>COUNTIF(E210:BV210,F296)</f>
        <v>2</v>
      </c>
      <c r="AZ296" s="146">
        <f>COUNTIF(E209:BV209,F296)</f>
        <v>2</v>
      </c>
      <c r="BA296" s="146">
        <f>COUNTIF(E208:BV208,F296)</f>
        <v>4</v>
      </c>
      <c r="BB296" s="146">
        <f>COUNTIF(E207:BV207,F296)</f>
        <v>2</v>
      </c>
      <c r="BC296" s="146">
        <f>COUNTIF(E206:BV206,F296)</f>
        <v>0</v>
      </c>
      <c r="BD296" s="146">
        <f>COUNTIF(E205:BV205,F296)</f>
        <v>4</v>
      </c>
      <c r="BE296" s="146">
        <f>COUNTIF(E204:BV204,F296)</f>
        <v>2</v>
      </c>
      <c r="BF296" s="146">
        <f>COUNTIF(E203:BV203,F296)</f>
        <v>2</v>
      </c>
      <c r="BG296" s="146">
        <f>COUNTIF(E202:BV202,F296)</f>
        <v>1</v>
      </c>
      <c r="BH296" s="146">
        <f>COUNTIF(E201:BV201,F296)</f>
        <v>0</v>
      </c>
      <c r="BI296" s="146">
        <f>COUNTIF(E200:BV200,F296)</f>
        <v>4</v>
      </c>
      <c r="BJ296" s="146">
        <f>COUNTIF(E199:BV199,F296)</f>
        <v>3</v>
      </c>
      <c r="BK296" s="146">
        <f>COUNTIF(E198:BV198,F296)</f>
        <v>4</v>
      </c>
      <c r="BL296" s="146">
        <f>COUNTIF(E197:BV197,F296)</f>
        <v>3</v>
      </c>
      <c r="BM296" s="146">
        <f>COUNTIF(E196:BV196,F296)</f>
        <v>1</v>
      </c>
      <c r="BN296" s="146">
        <f>COUNTIF(E195:BV195,F296)</f>
        <v>1</v>
      </c>
      <c r="BO296" s="146">
        <f>COUNTIF(E194:BV194,F296)</f>
        <v>0</v>
      </c>
      <c r="BP296" s="146">
        <f>COUNTIF(E193:BV193,F296)</f>
        <v>1</v>
      </c>
      <c r="BQ296" s="146">
        <f>COUNTIF(E192:BV192,F296)</f>
        <v>2</v>
      </c>
      <c r="BR296" s="146">
        <f>COUNTIF(E191:BV191,F296)</f>
        <v>2</v>
      </c>
      <c r="BS296" s="146">
        <f>COUNTIF(E190:BV190,F296)</f>
        <v>1</v>
      </c>
      <c r="BT296" s="146">
        <f>COUNTIF(E189:BV189,F296)</f>
        <v>3</v>
      </c>
      <c r="BU296" s="146">
        <f>COUNTIF(E188:BV188,F296)</f>
        <v>2</v>
      </c>
      <c r="BV296" s="146">
        <f>COUNTIF(E187:BV187,F296)</f>
        <v>3</v>
      </c>
      <c r="BW296" s="146">
        <f>COUNTIF(E186:BV186,F296)</f>
        <v>3</v>
      </c>
      <c r="BX296" s="146">
        <f>COUNTIF(E185:BV185,F296)</f>
        <v>3</v>
      </c>
      <c r="BY296" s="146">
        <f>COUNTIF(E184:BV184,F296)</f>
        <v>1</v>
      </c>
      <c r="BZ296" s="146">
        <f>COUNTIF(E183:BV183,F296)</f>
        <v>1</v>
      </c>
      <c r="CA296" s="146">
        <f>COUNTIF(E182:BV182,F296)</f>
        <v>3</v>
      </c>
      <c r="CB296" s="146">
        <f>COUNTIF(E181:BV181,F296)</f>
        <v>1</v>
      </c>
      <c r="CC296" s="146">
        <f>COUNTIF(E180:BV180,F296)</f>
        <v>1</v>
      </c>
      <c r="CD296" s="146">
        <f>COUNTIF(E179:BV179,F296)</f>
        <v>2</v>
      </c>
      <c r="CE296" s="146">
        <f>COUNTIF(E178:BV178,F296)</f>
        <v>2</v>
      </c>
      <c r="CF296" s="146">
        <f>COUNTIF(E177:BV177,F296)</f>
        <v>2</v>
      </c>
      <c r="CG296" s="146">
        <f>COUNTIF(E176:BV176,F296)</f>
        <v>1</v>
      </c>
      <c r="CH296" s="146">
        <f>COUNTIF(E175:BV175,F296)</f>
        <v>3</v>
      </c>
      <c r="CI296" s="146">
        <f>COUNTIF(E174:BV174,F296)</f>
        <v>2</v>
      </c>
      <c r="CJ296" s="146">
        <f>COUNTIF(E173:BV173,F296)</f>
        <v>5</v>
      </c>
      <c r="CK296" s="146">
        <f>COUNTIF(E172:BV172,F296)</f>
        <v>1</v>
      </c>
      <c r="CL296" s="146">
        <f>COUNTIF(E171:BV171,F296)</f>
        <v>1</v>
      </c>
      <c r="CM296" s="146">
        <f>COUNTIF(E170:BV170,F296)</f>
        <v>1</v>
      </c>
      <c r="CN296" s="146">
        <f>COUNTIF(E169:BV169,F296)</f>
        <v>1</v>
      </c>
      <c r="CO296" s="146">
        <f>COUNTIF(E168:BV168,F296)</f>
        <v>1</v>
      </c>
      <c r="CP296" s="146">
        <f>COUNTIF(E167:BV167,F296)</f>
        <v>0</v>
      </c>
      <c r="CQ296" s="146">
        <f>COUNTIF(E166:BV166,F296)</f>
        <v>0</v>
      </c>
      <c r="CR296" s="146">
        <f>COUNTIF(E165:BV165,F296)</f>
        <v>1</v>
      </c>
      <c r="CS296" s="146">
        <f>COUNTIF(E164:BV164,F296)</f>
        <v>3</v>
      </c>
      <c r="CT296" s="146">
        <f>COUNTIF(E163:BV163,F296)</f>
        <v>0</v>
      </c>
      <c r="CU296" s="146">
        <f>COUNTIF(E162:BV162,F296)</f>
        <v>4</v>
      </c>
      <c r="CV296" s="146">
        <f>COUNTIF(E161:BV161,F296)</f>
        <v>2</v>
      </c>
      <c r="CW296" s="146">
        <f>COUNTIF(E160:BV160,F296)</f>
        <v>1</v>
      </c>
      <c r="CX296" s="146">
        <f>COUNTIF(E159:BV159,F296)</f>
        <v>2</v>
      </c>
      <c r="CY296" s="146">
        <f>COUNTIF(E158:BV158,F296)</f>
        <v>1</v>
      </c>
      <c r="CZ296" s="146">
        <f>COUNTIF(E157:BV157,F296)</f>
        <v>2</v>
      </c>
      <c r="DA296" s="146">
        <f>COUNTIF(E156:BV156,F296)</f>
        <v>2</v>
      </c>
      <c r="DB296" s="146">
        <f>COUNTIF(E155:BV155,F296)</f>
        <v>1</v>
      </c>
      <c r="DC296" s="146">
        <f>COUNTIF(E154:BV154,F296)</f>
        <v>1</v>
      </c>
      <c r="DD296" s="146">
        <v>0</v>
      </c>
      <c r="DE296" s="146"/>
      <c r="DF296" s="146"/>
      <c r="DG296" s="146"/>
      <c r="DH296" s="146"/>
      <c r="DI296" s="146"/>
      <c r="DJ296" s="146"/>
      <c r="DK296" s="146"/>
      <c r="DL296" s="146"/>
      <c r="DM296" s="146"/>
      <c r="DN296" s="146"/>
      <c r="DO296" s="146"/>
      <c r="DP296" s="146"/>
      <c r="DQ296" s="146"/>
      <c r="DR296" s="146"/>
      <c r="DS296" s="146"/>
      <c r="DT296" s="146"/>
      <c r="DU296" s="2"/>
      <c r="DV296" s="18"/>
      <c r="DW296" s="4"/>
      <c r="DX296" s="129"/>
      <c r="DY296" s="128">
        <v>25</v>
      </c>
      <c r="DZ296" s="128">
        <v>25</v>
      </c>
      <c r="EA296" s="128">
        <v>25</v>
      </c>
      <c r="EC296" s="128">
        <v>25</v>
      </c>
      <c r="ED296" s="128">
        <v>25</v>
      </c>
      <c r="EF296" s="128">
        <v>25</v>
      </c>
      <c r="EH296" s="128">
        <v>25</v>
      </c>
      <c r="EK296" s="128">
        <v>25</v>
      </c>
      <c r="EL296" s="128">
        <v>25</v>
      </c>
      <c r="EM296" s="128">
        <v>25</v>
      </c>
      <c r="EN296" s="128">
        <v>25</v>
      </c>
      <c r="EP296" s="128">
        <v>25</v>
      </c>
      <c r="EQ296" s="128">
        <v>25</v>
      </c>
      <c r="ER296" s="128">
        <v>25</v>
      </c>
      <c r="ES296" s="128">
        <v>25</v>
      </c>
      <c r="ET296" s="128">
        <v>25</v>
      </c>
      <c r="EV296" s="128">
        <v>25</v>
      </c>
      <c r="EW296" s="128">
        <v>25</v>
      </c>
      <c r="EZ296" s="52"/>
      <c r="FA296" s="128">
        <v>33</v>
      </c>
      <c r="FB296" s="128">
        <v>33</v>
      </c>
      <c r="FE296" s="128">
        <v>33</v>
      </c>
      <c r="FG296" s="128">
        <v>33</v>
      </c>
      <c r="FH296" s="128">
        <v>33</v>
      </c>
      <c r="FI296" s="128">
        <v>33</v>
      </c>
      <c r="FJ296" s="128">
        <v>33</v>
      </c>
      <c r="FK296" s="152"/>
      <c r="FM296" s="128">
        <v>33</v>
      </c>
      <c r="FN296" s="128">
        <v>33</v>
      </c>
      <c r="FO296" s="128">
        <v>33</v>
      </c>
      <c r="FP296" s="128">
        <v>33</v>
      </c>
      <c r="FQ296" s="128">
        <v>33</v>
      </c>
      <c r="FT296" s="128">
        <v>33</v>
      </c>
      <c r="FU296" s="128">
        <v>33</v>
      </c>
      <c r="FV296" s="128">
        <v>33</v>
      </c>
      <c r="FW296" s="128">
        <v>33</v>
      </c>
      <c r="FX296" s="128">
        <v>33</v>
      </c>
      <c r="FY296" s="128">
        <v>33</v>
      </c>
      <c r="GA296" s="52"/>
      <c r="GB296" s="52"/>
      <c r="GC296" s="52"/>
      <c r="GD296" s="52"/>
      <c r="GE296" s="52"/>
      <c r="GF296" s="52"/>
      <c r="GG296" s="52"/>
      <c r="GH296" s="52"/>
      <c r="GI296" s="52"/>
      <c r="GJ296" s="52"/>
      <c r="GK296" s="52"/>
      <c r="GL296" s="52"/>
      <c r="GM296" s="52"/>
      <c r="GN296" s="52"/>
      <c r="GO296" s="52"/>
      <c r="GP296" s="52"/>
      <c r="GQ296" s="52"/>
      <c r="GR296" s="129"/>
      <c r="GS296" s="3"/>
      <c r="GT296" s="129"/>
      <c r="GU296" s="129"/>
      <c r="GV296" s="129"/>
      <c r="GW296" s="129"/>
      <c r="GX296" s="129"/>
      <c r="GY296" s="129"/>
      <c r="GZ296" s="129"/>
      <c r="HA296" s="129"/>
      <c r="HB296" s="129"/>
      <c r="HC296" s="129"/>
      <c r="HD296" s="129"/>
      <c r="HE296" s="4"/>
      <c r="HF296" s="4"/>
      <c r="HG296" s="4"/>
      <c r="HH296" s="4"/>
      <c r="HI296" s="4"/>
      <c r="HJ296" s="4"/>
      <c r="HK296" s="4"/>
      <c r="HL296" s="4"/>
      <c r="HM296" s="4"/>
      <c r="HN296" s="4"/>
      <c r="HO296" s="129"/>
      <c r="HP296" s="129"/>
      <c r="HQ296" s="129"/>
      <c r="HR296" s="129"/>
      <c r="HS296" s="129"/>
      <c r="HT296" s="129"/>
      <c r="HU296" s="129"/>
      <c r="HV296" s="129"/>
      <c r="HW296" s="129"/>
      <c r="HX296" s="129"/>
      <c r="HY296" s="129"/>
      <c r="HZ296" s="129"/>
      <c r="IA296" s="129"/>
      <c r="IB296" s="129"/>
      <c r="IC296" s="129"/>
      <c r="ID296" s="129"/>
      <c r="IE296" s="129"/>
      <c r="IF296" s="129"/>
      <c r="IG296" s="129"/>
      <c r="IH296" s="129"/>
      <c r="II296" s="129"/>
      <c r="IJ296" s="129"/>
      <c r="IK296" s="129"/>
      <c r="IL296" s="129"/>
      <c r="IM296" s="129"/>
      <c r="IN296" s="129"/>
      <c r="IO296" s="129"/>
      <c r="IP296" s="129"/>
      <c r="IQ296" s="129"/>
      <c r="IR296" s="129"/>
      <c r="IS296" s="129"/>
      <c r="IT296" s="129"/>
      <c r="IU296" s="129"/>
      <c r="IV296" s="129"/>
      <c r="IW296" s="129"/>
      <c r="IX296" s="129"/>
      <c r="IY296" s="129"/>
      <c r="IZ296" s="129"/>
      <c r="JA296" s="129"/>
      <c r="JB296" s="129"/>
      <c r="JC296" s="129"/>
      <c r="JD296" s="129"/>
      <c r="JE296" s="129"/>
      <c r="JF296" s="129"/>
      <c r="JG296" s="129"/>
      <c r="JH296" s="129"/>
      <c r="JI296" s="129"/>
      <c r="JJ296" s="129"/>
      <c r="JK296" s="129"/>
      <c r="JL296" s="129"/>
      <c r="JM296" s="129"/>
      <c r="JN296" s="129"/>
      <c r="JO296" s="129"/>
      <c r="JP296" s="129"/>
      <c r="JQ296" s="129"/>
      <c r="JR296" s="129"/>
      <c r="JS296" s="129"/>
      <c r="JT296" s="129"/>
      <c r="JU296" s="129"/>
      <c r="JV296" s="129"/>
      <c r="JW296" s="129"/>
      <c r="JX296" s="129"/>
      <c r="JY296" s="129"/>
      <c r="JZ296" s="129"/>
      <c r="KA296" s="129"/>
      <c r="KB296" s="129"/>
      <c r="KC296" s="129"/>
      <c r="KD296" s="129"/>
    </row>
    <row r="297" spans="4:293" ht="17.25">
      <c r="D297" s="128"/>
      <c r="E297" s="570"/>
      <c r="F297" s="145">
        <v>40</v>
      </c>
      <c r="G297" s="639"/>
      <c r="H297" s="453">
        <f>COUNTIF(E253:BV253,F297)</f>
        <v>0</v>
      </c>
      <c r="I297" s="453">
        <f>COUNTIF(E252:BV252,F297)</f>
        <v>1</v>
      </c>
      <c r="J297" s="453">
        <f>COUNTIF(E251:BV251,F297)</f>
        <v>0</v>
      </c>
      <c r="K297" s="453">
        <f>COUNTIF(E250:BV250,F297)</f>
        <v>1</v>
      </c>
      <c r="L297" s="453">
        <f>COUNTIF(E249:BV249,F297)</f>
        <v>1</v>
      </c>
      <c r="M297" s="453">
        <f>COUNTIF(E248:BV248,F297)</f>
        <v>2</v>
      </c>
      <c r="N297" s="453">
        <f>COUNTIF(E247:BV247,F297)</f>
        <v>2</v>
      </c>
      <c r="O297" s="453">
        <f>COUNTIF(E246:BV246,F297)</f>
        <v>1</v>
      </c>
      <c r="P297" s="453">
        <f>COUNTIF(E245:BV245,F297)</f>
        <v>2</v>
      </c>
      <c r="Q297" s="453">
        <f>COUNTIF(E244:BV244,F297)</f>
        <v>1</v>
      </c>
      <c r="R297" s="453">
        <f>COUNTIF(E243:BV243,F297)</f>
        <v>7</v>
      </c>
      <c r="S297" s="453">
        <f>COUNTIF(E242:BV242,F297)</f>
        <v>0</v>
      </c>
      <c r="T297" s="453">
        <f>COUNTIF(E241:BV241,F297)</f>
        <v>2</v>
      </c>
      <c r="U297" s="453">
        <f>COUNTIF(E240:BV240,F297)</f>
        <v>2</v>
      </c>
      <c r="V297" s="453">
        <f>COUNTIF(E239:BV239,F297)</f>
        <v>1</v>
      </c>
      <c r="W297" s="453">
        <f>COUNTIF(E238:BV238,F297)</f>
        <v>2</v>
      </c>
      <c r="X297" s="453">
        <f>COUNTIF(E237:BV237,F297)</f>
        <v>0</v>
      </c>
      <c r="Y297" s="453">
        <f>COUNTIF(E236:BV236,F297)</f>
        <v>2</v>
      </c>
      <c r="Z297" s="453">
        <f>COUNTIF(E235:BV235,F297)</f>
        <v>2</v>
      </c>
      <c r="AA297" s="453">
        <f>COUNTIF(E234:BV234,F297)</f>
        <v>3</v>
      </c>
      <c r="AB297" s="453">
        <f>COUNTIF(E233:BV233,F297)</f>
        <v>2</v>
      </c>
      <c r="AC297" s="453">
        <f>COUNTIF(E232:BV232,F297)</f>
        <v>3</v>
      </c>
      <c r="AD297" s="453">
        <f>COUNTIF(E231:BV231,F297)</f>
        <v>1</v>
      </c>
      <c r="AE297" s="453">
        <f>COUNTIF(E230:BV230,F297)</f>
        <v>2</v>
      </c>
      <c r="AF297" s="453">
        <f>COUNTIF(E229:BV229,F297)</f>
        <v>0</v>
      </c>
      <c r="AG297" s="453">
        <f>COUNTIF(E228:BV228,F297)</f>
        <v>2</v>
      </c>
      <c r="AH297" s="453">
        <f>COUNTIF(E227:BV227,F297)</f>
        <v>1</v>
      </c>
      <c r="AI297" s="146">
        <f>COUNTIF(E226:BV226,F297)</f>
        <v>2</v>
      </c>
      <c r="AJ297" s="146">
        <f>COUNTIF(E225:BV225,F297)</f>
        <v>1</v>
      </c>
      <c r="AK297" s="146">
        <f>COUNTIF(E224:BV224,F297)</f>
        <v>1</v>
      </c>
      <c r="AL297" s="146">
        <f>COUNTIF(E223:BV223,F297)</f>
        <v>1</v>
      </c>
      <c r="AM297" s="146">
        <f>COUNTIF(E222:BV222,F297)</f>
        <v>1</v>
      </c>
      <c r="AN297" s="146">
        <f>COUNTIF(E221:BV221,F297)</f>
        <v>2</v>
      </c>
      <c r="AO297" s="146">
        <f>COUNTIF(E220:BV220,F297)</f>
        <v>4</v>
      </c>
      <c r="AP297" s="146">
        <f>COUNTIF(E219:BV219,F297)</f>
        <v>1</v>
      </c>
      <c r="AQ297" s="146">
        <f>COUNTIF(E218:BV218,F297)</f>
        <v>1</v>
      </c>
      <c r="AR297" s="146">
        <f>COUNTIF(E217:BV217,F297)</f>
        <v>2</v>
      </c>
      <c r="AS297" s="146">
        <f>COUNTIF(E216:BV216,F297)</f>
        <v>1</v>
      </c>
      <c r="AT297" s="146">
        <f>COUNTIF(E215:BV215,F297)</f>
        <v>2</v>
      </c>
      <c r="AU297" s="146">
        <f>COUNTIF(E214:BV214,F297)</f>
        <v>2</v>
      </c>
      <c r="AV297" s="146">
        <f>COUNTIF(E213:BV213,F297)</f>
        <v>2</v>
      </c>
      <c r="AW297" s="146">
        <f>COUNTIF(E212:BV212,F297)</f>
        <v>1</v>
      </c>
      <c r="AX297" s="146">
        <f>COUNTIF(E211:BV211,F297)</f>
        <v>1</v>
      </c>
      <c r="AY297" s="146">
        <f>COUNTIF(E210:BV210,F297)</f>
        <v>1</v>
      </c>
      <c r="AZ297" s="146">
        <f>COUNTIF(E209:BV209,F297)</f>
        <v>0</v>
      </c>
      <c r="BA297" s="146">
        <f>COUNTIF(E208:BV208,F297)</f>
        <v>2</v>
      </c>
      <c r="BB297" s="146">
        <f>COUNTIF(E207:BV207,F297)</f>
        <v>1</v>
      </c>
      <c r="BC297" s="146">
        <f>COUNTIF(E206:BV206,F297)</f>
        <v>1</v>
      </c>
      <c r="BD297" s="146">
        <f>COUNTIF(E205:BV205,F297)</f>
        <v>1</v>
      </c>
      <c r="BE297" s="146">
        <f>COUNTIF(E204:BV204,F297)</f>
        <v>1</v>
      </c>
      <c r="BF297" s="146">
        <f>COUNTIF(E203:BV203,F297)</f>
        <v>1</v>
      </c>
      <c r="BG297" s="146">
        <f>COUNTIF(E202:BV202,F297)</f>
        <v>2</v>
      </c>
      <c r="BH297" s="146">
        <f>COUNTIF(E201:BV201,F297)</f>
        <v>0</v>
      </c>
      <c r="BI297" s="146">
        <f>COUNTIF(E200:BV200,F297)</f>
        <v>1</v>
      </c>
      <c r="BJ297" s="146">
        <f>COUNTIF(E199:BV199,F297)</f>
        <v>1</v>
      </c>
      <c r="BK297" s="146">
        <f>COUNTIF(E198:BV198,F297)</f>
        <v>0</v>
      </c>
      <c r="BL297" s="146">
        <f>COUNTIF(E197:BV197,F297)</f>
        <v>0</v>
      </c>
      <c r="BM297" s="146">
        <f>COUNTIF(E196:BV196,F297)</f>
        <v>3</v>
      </c>
      <c r="BN297" s="146">
        <f>COUNTIF(E195:BV195,F297)</f>
        <v>2</v>
      </c>
      <c r="BO297" s="146">
        <f>COUNTIF(E194:BV194,F297)</f>
        <v>0</v>
      </c>
      <c r="BP297" s="146">
        <f>COUNTIF(E193:BV193,F297)</f>
        <v>2</v>
      </c>
      <c r="BQ297" s="146">
        <f>COUNTIF(E192:BV192,F297)</f>
        <v>0</v>
      </c>
      <c r="BR297" s="146">
        <f>COUNTIF(E191:BV191,F297)</f>
        <v>4</v>
      </c>
      <c r="BS297" s="146">
        <f>COUNTIF(E190:BV190,F297)</f>
        <v>2</v>
      </c>
      <c r="BT297" s="146">
        <f>COUNTIF(E189:BV189,F297)</f>
        <v>1</v>
      </c>
      <c r="BU297" s="146">
        <f>COUNTIF(E188:BV188,F297)</f>
        <v>1</v>
      </c>
      <c r="BV297" s="146">
        <f>COUNTIF(E187:BV187,F297)</f>
        <v>0</v>
      </c>
      <c r="BW297" s="146">
        <f>COUNTIF(E186:BV186,F297)</f>
        <v>0</v>
      </c>
      <c r="BX297" s="146">
        <f>COUNTIF(E185:BV185,F297)</f>
        <v>3</v>
      </c>
      <c r="BY297" s="146">
        <f>COUNTIF(E184:BV184,F297)</f>
        <v>1</v>
      </c>
      <c r="BZ297" s="146">
        <f>COUNTIF(E183:BV183,F297)</f>
        <v>2</v>
      </c>
      <c r="CA297" s="146">
        <f>COUNTIF(E182:BV182,F297)</f>
        <v>1</v>
      </c>
      <c r="CB297" s="146">
        <f>COUNTIF(E181:BV181,F297)</f>
        <v>1</v>
      </c>
      <c r="CC297" s="146">
        <f>COUNTIF(E180:BV180,F297)</f>
        <v>0</v>
      </c>
      <c r="CD297" s="146">
        <f>COUNTIF(E179:BV179,F297)</f>
        <v>1</v>
      </c>
      <c r="CE297" s="146">
        <f>COUNTIF(E178:BV178,F297)</f>
        <v>3</v>
      </c>
      <c r="CF297" s="146">
        <f>COUNTIF(E177:BV177,F297)</f>
        <v>2</v>
      </c>
      <c r="CG297" s="146">
        <f>COUNTIF(E176:BV176,F297)</f>
        <v>2</v>
      </c>
      <c r="CH297" s="146">
        <f>COUNTIF(E175:BV175,F297)</f>
        <v>2</v>
      </c>
      <c r="CI297" s="146">
        <f>COUNTIF(E174:BV174,F297)</f>
        <v>0</v>
      </c>
      <c r="CJ297" s="146">
        <f>COUNTIF(E173:BV173,F297)</f>
        <v>0</v>
      </c>
      <c r="CK297" s="146">
        <f>COUNTIF(E172:BV172,F297)</f>
        <v>1</v>
      </c>
      <c r="CL297" s="146">
        <f>COUNTIF(E171:BV171,F297)</f>
        <v>4</v>
      </c>
      <c r="CM297" s="146">
        <f>COUNTIF(E170:BV170,F297)</f>
        <v>2</v>
      </c>
      <c r="CN297" s="146">
        <f>COUNTIF(E169:BV169,F297)</f>
        <v>0</v>
      </c>
      <c r="CO297" s="146">
        <f>COUNTIF(E168:BV168,F297)</f>
        <v>0</v>
      </c>
      <c r="CP297" s="146">
        <f>COUNTIF(E167:BV167,F297)</f>
        <v>2</v>
      </c>
      <c r="CQ297" s="146">
        <f>COUNTIF(E166:BV166,F297)</f>
        <v>2</v>
      </c>
      <c r="CR297" s="146">
        <f>COUNTIF(E165:BV165,F297)</f>
        <v>3</v>
      </c>
      <c r="CS297" s="146">
        <f>COUNTIF(E164:BV164,F297)</f>
        <v>3</v>
      </c>
      <c r="CT297" s="146">
        <f>COUNTIF(E163:BV163,F297)</f>
        <v>1</v>
      </c>
      <c r="CU297" s="146">
        <f>COUNTIF(E162:BV162,F297)</f>
        <v>1</v>
      </c>
      <c r="CV297" s="146">
        <f>COUNTIF(E161:BV161,F297)</f>
        <v>1</v>
      </c>
      <c r="CW297" s="146">
        <f>COUNTIF(E160:BV160,F297)</f>
        <v>3</v>
      </c>
      <c r="CX297" s="146">
        <f>COUNTIF(E159:BV159,F297)</f>
        <v>1</v>
      </c>
      <c r="CY297" s="146">
        <f>COUNTIF(E158:BV158,F297)</f>
        <v>2</v>
      </c>
      <c r="CZ297" s="146">
        <f>COUNTIF(E157:BV157,F297)</f>
        <v>2</v>
      </c>
      <c r="DA297" s="146">
        <f>COUNTIF(E156:BV156,F297)</f>
        <v>1</v>
      </c>
      <c r="DB297" s="146">
        <f>COUNTIF(E155:BV155,F297)</f>
        <v>0</v>
      </c>
      <c r="DC297" s="146">
        <f>COUNTIF(E154:BV154,F297)</f>
        <v>0</v>
      </c>
      <c r="DD297" s="146">
        <v>1</v>
      </c>
      <c r="DE297" s="146"/>
      <c r="DF297" s="146"/>
      <c r="DG297" s="146"/>
      <c r="DH297" s="146"/>
      <c r="DI297" s="146"/>
      <c r="DJ297" s="146"/>
      <c r="DK297" s="146"/>
      <c r="DL297" s="146"/>
      <c r="DM297" s="146"/>
      <c r="DN297" s="146"/>
      <c r="DO297" s="146"/>
      <c r="DP297" s="146"/>
      <c r="DQ297" s="146"/>
      <c r="DR297" s="146"/>
      <c r="DS297" s="146"/>
      <c r="DT297" s="146"/>
      <c r="DU297" s="2"/>
      <c r="DV297" s="18"/>
      <c r="DW297" s="4"/>
      <c r="DX297" s="129"/>
      <c r="DY297" s="128">
        <v>26</v>
      </c>
      <c r="DZ297" s="128">
        <v>26</v>
      </c>
      <c r="EA297" s="128">
        <v>26</v>
      </c>
      <c r="EB297" s="128">
        <v>26</v>
      </c>
      <c r="EC297" s="128">
        <v>26</v>
      </c>
      <c r="ED297" s="128">
        <v>26</v>
      </c>
      <c r="EE297" s="128">
        <v>26</v>
      </c>
      <c r="EF297" s="128">
        <v>26</v>
      </c>
      <c r="EG297" s="128">
        <v>26</v>
      </c>
      <c r="EK297" s="128">
        <v>26</v>
      </c>
      <c r="EL297" s="128">
        <v>26</v>
      </c>
      <c r="EM297" s="128">
        <v>26</v>
      </c>
      <c r="EO297" s="128">
        <v>26</v>
      </c>
      <c r="EP297" s="128">
        <v>26</v>
      </c>
      <c r="EQ297" s="128">
        <v>26</v>
      </c>
      <c r="ER297" s="128">
        <v>26</v>
      </c>
      <c r="ES297" s="128">
        <v>26</v>
      </c>
      <c r="ET297" s="128">
        <v>26</v>
      </c>
      <c r="EV297" s="128">
        <v>26</v>
      </c>
      <c r="EX297" s="128">
        <v>26</v>
      </c>
      <c r="EZ297" s="52"/>
      <c r="FD297" s="128">
        <v>34</v>
      </c>
      <c r="FE297" s="128">
        <v>34</v>
      </c>
      <c r="FH297" s="128">
        <v>34</v>
      </c>
      <c r="FI297" s="128">
        <v>34</v>
      </c>
      <c r="FK297" s="152"/>
      <c r="FM297" s="128">
        <v>34</v>
      </c>
      <c r="FN297" s="128">
        <v>34</v>
      </c>
      <c r="FO297" s="128">
        <v>34</v>
      </c>
      <c r="FQ297" s="128">
        <v>34</v>
      </c>
      <c r="FR297" s="128">
        <v>34</v>
      </c>
      <c r="FS297" s="128">
        <v>34</v>
      </c>
      <c r="FT297" s="128">
        <v>34</v>
      </c>
      <c r="FW297" s="128">
        <v>34</v>
      </c>
      <c r="FX297" s="128">
        <v>34</v>
      </c>
      <c r="FY297" s="128">
        <v>34</v>
      </c>
      <c r="FZ297" s="128">
        <v>34</v>
      </c>
      <c r="GA297" s="52"/>
      <c r="GB297" s="52"/>
      <c r="GC297" s="52"/>
      <c r="GD297" s="52"/>
      <c r="GE297" s="52"/>
      <c r="GF297" s="52"/>
      <c r="GG297" s="52"/>
      <c r="GH297" s="52"/>
      <c r="GI297" s="52"/>
      <c r="GJ297" s="52"/>
      <c r="GK297" s="52"/>
      <c r="GL297" s="51"/>
      <c r="GM297" s="52"/>
      <c r="GN297" s="52"/>
      <c r="GO297" s="52"/>
      <c r="GP297" s="52"/>
      <c r="GQ297" s="52"/>
      <c r="GR297" s="129"/>
      <c r="GS297" s="129"/>
      <c r="GT297" s="3"/>
      <c r="GU297" s="129"/>
      <c r="GV297" s="129"/>
      <c r="GW297" s="129"/>
      <c r="GX297" s="129"/>
      <c r="GY297" s="129"/>
      <c r="GZ297" s="129"/>
      <c r="HA297" s="129"/>
      <c r="HB297" s="129"/>
      <c r="HC297" s="129"/>
      <c r="HD297" s="129"/>
      <c r="HE297" s="4"/>
      <c r="HF297" s="4"/>
      <c r="HG297" s="4"/>
      <c r="HH297" s="4"/>
      <c r="HI297" s="4"/>
      <c r="HJ297" s="4"/>
      <c r="HK297" s="4"/>
      <c r="HL297" s="4"/>
      <c r="HM297" s="4"/>
      <c r="HN297" s="4"/>
      <c r="HO297" s="4"/>
      <c r="HP297" s="129"/>
      <c r="HQ297" s="129"/>
      <c r="HR297" s="129"/>
      <c r="HS297" s="129"/>
      <c r="HT297" s="129"/>
      <c r="HU297" s="129"/>
      <c r="HV297" s="129"/>
      <c r="HW297" s="129"/>
      <c r="HX297" s="129"/>
      <c r="HY297" s="129"/>
      <c r="HZ297" s="129"/>
      <c r="IA297" s="129"/>
      <c r="IB297" s="129"/>
      <c r="IC297" s="129"/>
      <c r="ID297" s="129"/>
      <c r="IE297" s="129"/>
      <c r="IF297" s="129"/>
      <c r="IG297" s="129"/>
      <c r="IH297" s="129"/>
      <c r="II297" s="129"/>
      <c r="IJ297" s="129"/>
      <c r="IK297" s="129"/>
      <c r="IL297" s="129"/>
      <c r="IM297" s="129"/>
      <c r="IN297" s="129"/>
      <c r="IO297" s="129"/>
      <c r="IP297" s="129"/>
      <c r="IQ297" s="129"/>
      <c r="IR297" s="129"/>
      <c r="IS297" s="129"/>
      <c r="IT297" s="129"/>
      <c r="IU297" s="129"/>
      <c r="IV297" s="129"/>
      <c r="IW297" s="129"/>
      <c r="IX297" s="129"/>
      <c r="IY297" s="129"/>
      <c r="IZ297" s="129"/>
      <c r="JA297" s="129"/>
      <c r="JB297" s="129"/>
      <c r="JC297" s="129"/>
      <c r="JD297" s="129"/>
      <c r="JE297" s="129"/>
      <c r="JF297" s="129"/>
      <c r="JG297" s="129"/>
      <c r="JH297" s="129"/>
      <c r="JI297" s="129"/>
      <c r="JJ297" s="129"/>
      <c r="JK297" s="129"/>
      <c r="JL297" s="129"/>
      <c r="JM297" s="129"/>
      <c r="JN297" s="129"/>
      <c r="JO297" s="129"/>
      <c r="JP297" s="129"/>
      <c r="JQ297" s="129"/>
      <c r="JR297" s="129"/>
      <c r="JS297" s="129"/>
      <c r="JT297" s="129"/>
      <c r="JU297" s="129"/>
      <c r="JV297" s="129"/>
      <c r="JW297" s="129"/>
      <c r="JX297" s="129"/>
      <c r="JY297" s="129"/>
      <c r="JZ297" s="129"/>
      <c r="KA297" s="129"/>
      <c r="KB297" s="129"/>
      <c r="KC297" s="129"/>
      <c r="KD297" s="129"/>
    </row>
    <row r="298" spans="4:293" ht="17.25">
      <c r="D298" s="128"/>
      <c r="E298" s="570">
        <v>41</v>
      </c>
      <c r="F298" s="145">
        <v>41</v>
      </c>
      <c r="G298" s="639"/>
      <c r="H298" s="453">
        <f>COUNTIF(E253:BV253,F298)</f>
        <v>2</v>
      </c>
      <c r="I298" s="453">
        <f>COUNTIF(E252:BV252,F298)</f>
        <v>2</v>
      </c>
      <c r="J298" s="453">
        <f>COUNTIF(E251:BV251,F298)</f>
        <v>3</v>
      </c>
      <c r="K298" s="453">
        <f>COUNTIF(E250:BV250,F298)</f>
        <v>5</v>
      </c>
      <c r="L298" s="453">
        <f>COUNTIF(E249:BV249,F298)</f>
        <v>0</v>
      </c>
      <c r="M298" s="453">
        <f>COUNTIF(E248:BV248,F298)</f>
        <v>1</v>
      </c>
      <c r="N298" s="453">
        <f>COUNTIF(E247:BV247,F298)</f>
        <v>5</v>
      </c>
      <c r="O298" s="453">
        <f>COUNTIF(E246:BV246,F298)</f>
        <v>1</v>
      </c>
      <c r="P298" s="453">
        <f>COUNTIF(E245:BV245,F298)</f>
        <v>0</v>
      </c>
      <c r="Q298" s="453">
        <f>COUNTIF(E244:BV244,F298)</f>
        <v>1</v>
      </c>
      <c r="R298" s="453">
        <f>COUNTIF(E243:BV243,F298)</f>
        <v>0</v>
      </c>
      <c r="S298" s="453">
        <f>COUNTIF(E242:BV242,F298)</f>
        <v>1</v>
      </c>
      <c r="T298" s="453">
        <f>COUNTIF(E241:BV241,F298)</f>
        <v>2</v>
      </c>
      <c r="U298" s="453">
        <f>COUNTIF(E240:BV240,F298)</f>
        <v>2</v>
      </c>
      <c r="V298" s="453">
        <f>COUNTIF(E239:BV239,F298)</f>
        <v>2</v>
      </c>
      <c r="W298" s="453">
        <f>COUNTIF(E238:BV238,F298)</f>
        <v>4</v>
      </c>
      <c r="X298" s="453">
        <f>COUNTIF(E237:BV237,F298)</f>
        <v>1</v>
      </c>
      <c r="Y298" s="453">
        <f>COUNTIF(E236:BV236,F298)</f>
        <v>4</v>
      </c>
      <c r="Z298" s="453">
        <f>COUNTIF(E235:BV235,F298)</f>
        <v>4</v>
      </c>
      <c r="AA298" s="453">
        <f>COUNTIF(E234:BV234,F298)</f>
        <v>0</v>
      </c>
      <c r="AB298" s="453">
        <f>COUNTIF(E233:BV233,F298)</f>
        <v>0</v>
      </c>
      <c r="AC298" s="453">
        <f>COUNTIF(E232:BV232,F298)</f>
        <v>2</v>
      </c>
      <c r="AD298" s="453">
        <f>COUNTIF(E231:BV231,F298)</f>
        <v>2</v>
      </c>
      <c r="AE298" s="453">
        <f>COUNTIF(E230:BV230,F298)</f>
        <v>2</v>
      </c>
      <c r="AF298" s="453">
        <f>COUNTIF(E229:BV229,F298)</f>
        <v>1</v>
      </c>
      <c r="AG298" s="453">
        <f>COUNTIF(E228:BV228,F298)</f>
        <v>1</v>
      </c>
      <c r="AH298" s="453">
        <f>COUNTIF(E227:BV227,F298)</f>
        <v>3</v>
      </c>
      <c r="AI298" s="146">
        <f>COUNTIF(E226:BV226,F298)</f>
        <v>1</v>
      </c>
      <c r="AJ298" s="146">
        <f>COUNTIF(E225:BV225,F298)</f>
        <v>2</v>
      </c>
      <c r="AK298" s="146">
        <f>COUNTIF(E224:BV224,F298)</f>
        <v>0</v>
      </c>
      <c r="AL298" s="146">
        <f>COUNTIF(E223:BV223,F298)</f>
        <v>4</v>
      </c>
      <c r="AM298" s="146">
        <f>COUNTIF(E222:BV222,F298)</f>
        <v>0</v>
      </c>
      <c r="AN298" s="146">
        <f>COUNTIF(E221:BV221,F298)</f>
        <v>2</v>
      </c>
      <c r="AO298" s="146">
        <f>COUNTIF(E220:BV220,F298)</f>
        <v>1</v>
      </c>
      <c r="AP298" s="146">
        <f>COUNTIF(E219:BV219,F298)</f>
        <v>1</v>
      </c>
      <c r="AQ298" s="146">
        <f>COUNTIF(E218:BV218,F298)</f>
        <v>2</v>
      </c>
      <c r="AR298" s="146">
        <f>COUNTIF(E217:BV217,F298)</f>
        <v>2</v>
      </c>
      <c r="AS298" s="146">
        <f>COUNTIF(E216:BV216,F298)</f>
        <v>1</v>
      </c>
      <c r="AT298" s="146">
        <f>COUNTIF(E215:BV215,F298)</f>
        <v>0</v>
      </c>
      <c r="AU298" s="146">
        <f>COUNTIF(E214:BV214,F298)</f>
        <v>2</v>
      </c>
      <c r="AV298" s="146">
        <f>COUNTIF(E213:BV213,F298)</f>
        <v>0</v>
      </c>
      <c r="AW298" s="146">
        <f>COUNTIF(E212:BV212,F298)</f>
        <v>1</v>
      </c>
      <c r="AX298" s="146">
        <f>COUNTIF(E211:BV211,F298)</f>
        <v>4</v>
      </c>
      <c r="AY298" s="146">
        <f>COUNTIF(E210:BV210,F298)</f>
        <v>3</v>
      </c>
      <c r="AZ298" s="146">
        <f>COUNTIF(E209:BV209,F298)</f>
        <v>0</v>
      </c>
      <c r="BA298" s="146">
        <f>COUNTIF(E208:BV208,F298)</f>
        <v>0</v>
      </c>
      <c r="BB298" s="146">
        <f>COUNTIF(E207:BV207,F298)</f>
        <v>0</v>
      </c>
      <c r="BC298" s="146">
        <f>COUNTIF(E206:BV206,F298)</f>
        <v>1</v>
      </c>
      <c r="BD298" s="146">
        <f>COUNTIF(E205:BV205,F298)</f>
        <v>3</v>
      </c>
      <c r="BE298" s="146">
        <f>COUNTIF(E204:BV204,F298)</f>
        <v>1</v>
      </c>
      <c r="BF298" s="146">
        <f>COUNTIF(E203:BV203,F298)</f>
        <v>0</v>
      </c>
      <c r="BG298" s="146">
        <f>COUNTIF(E202:BV202,F298)</f>
        <v>1</v>
      </c>
      <c r="BH298" s="146">
        <f>COUNTIF(E201:BV201,F298)</f>
        <v>0</v>
      </c>
      <c r="BI298" s="146">
        <f>COUNTIF(E200:BV200,F298)</f>
        <v>0</v>
      </c>
      <c r="BJ298" s="146">
        <f>COUNTIF(E199:BV199,F298)</f>
        <v>1</v>
      </c>
      <c r="BK298" s="146">
        <f>COUNTIF(E198:BV198,F298)</f>
        <v>1</v>
      </c>
      <c r="BL298" s="146">
        <f>COUNTIF(E197:BV197,F298)</f>
        <v>1</v>
      </c>
      <c r="BM298" s="146">
        <f>COUNTIF(E196:BV196,F298)</f>
        <v>0</v>
      </c>
      <c r="BN298" s="146">
        <f>COUNTIF(E195:BV195,F298)</f>
        <v>1</v>
      </c>
      <c r="BO298" s="146">
        <f>COUNTIF(E194:BV194,F298)</f>
        <v>2</v>
      </c>
      <c r="BP298" s="146">
        <f>COUNTIF(E193:BV193,F298)</f>
        <v>0</v>
      </c>
      <c r="BQ298" s="146">
        <f>COUNTIF(E192:BV192,F298)</f>
        <v>2</v>
      </c>
      <c r="BR298" s="146">
        <f>COUNTIF(E191:BV191,F298)</f>
        <v>1</v>
      </c>
      <c r="BS298" s="146">
        <f>COUNTIF(E190:BV190,F298)</f>
        <v>1</v>
      </c>
      <c r="BT298" s="146">
        <f>COUNTIF(E189:BV189,F298)</f>
        <v>0</v>
      </c>
      <c r="BU298" s="146">
        <f>COUNTIF(E188:BV188,F298)</f>
        <v>1</v>
      </c>
      <c r="BV298" s="146">
        <f>COUNTIF(E187:BV187,F298)</f>
        <v>1</v>
      </c>
      <c r="BW298" s="146">
        <f>COUNTIF(E186:BV186,F298)</f>
        <v>1</v>
      </c>
      <c r="BX298" s="146">
        <f>COUNTIF(E185:BV185,F298)</f>
        <v>2</v>
      </c>
      <c r="BY298" s="146">
        <f>COUNTIF(E184:BV184,F298)</f>
        <v>1</v>
      </c>
      <c r="BZ298" s="146">
        <f>COUNTIF(E183:BV183,F298)</f>
        <v>3</v>
      </c>
      <c r="CA298" s="146">
        <f>COUNTIF(E182:BV182,F298)</f>
        <v>3</v>
      </c>
      <c r="CB298" s="146">
        <f>COUNTIF(E181:BV181,F298)</f>
        <v>2</v>
      </c>
      <c r="CC298" s="146">
        <f>COUNTIF(E180:BV180,F298)</f>
        <v>3</v>
      </c>
      <c r="CD298" s="146">
        <f>COUNTIF(E179:BV179,F298)</f>
        <v>0</v>
      </c>
      <c r="CE298" s="146">
        <f>COUNTIF(E178:BV178,F298)</f>
        <v>1</v>
      </c>
      <c r="CF298" s="146">
        <f>COUNTIF(E177:BV177,F298)</f>
        <v>2</v>
      </c>
      <c r="CG298" s="146">
        <f>COUNTIF(E176:BV176,F298)</f>
        <v>3</v>
      </c>
      <c r="CH298" s="146">
        <f>COUNTIF(E175:BV175,F298)</f>
        <v>1</v>
      </c>
      <c r="CI298" s="146">
        <f>COUNTIF(E174:BV174,F298)</f>
        <v>1</v>
      </c>
      <c r="CJ298" s="146">
        <f>COUNTIF(E173:BV173,F298)</f>
        <v>0</v>
      </c>
      <c r="CK298" s="146">
        <f>COUNTIF(E172:BV172,F298)</f>
        <v>1</v>
      </c>
      <c r="CL298" s="146">
        <f>COUNTIF(E171:BV171,F298)</f>
        <v>2</v>
      </c>
      <c r="CM298" s="146">
        <f>COUNTIF(E170:BV170,F298)</f>
        <v>3</v>
      </c>
      <c r="CN298" s="146">
        <f>COUNTIF(E169:BV169,F298)</f>
        <v>2</v>
      </c>
      <c r="CO298" s="146">
        <f>COUNTIF(E168:BV168,F298)</f>
        <v>1</v>
      </c>
      <c r="CP298" s="146">
        <f>COUNTIF(E167:BV167,F298)</f>
        <v>2</v>
      </c>
      <c r="CQ298" s="146">
        <f>COUNTIF(E166:BV166,F298)</f>
        <v>0</v>
      </c>
      <c r="CR298" s="146">
        <f>COUNTIF(E165:BV165,F298)</f>
        <v>2</v>
      </c>
      <c r="CS298" s="146">
        <f>COUNTIF(E164:BV164,F298)</f>
        <v>1</v>
      </c>
      <c r="CT298" s="146">
        <f>COUNTIF(E163:BV163,F298)</f>
        <v>0</v>
      </c>
      <c r="CU298" s="146">
        <f>COUNTIF(E162:BV162,F298)</f>
        <v>0</v>
      </c>
      <c r="CV298" s="146">
        <f>COUNTIF(E161:BV161,F298)</f>
        <v>0</v>
      </c>
      <c r="CW298" s="146">
        <f>COUNTIF(E160:BV160,F298)</f>
        <v>2</v>
      </c>
      <c r="CX298" s="146">
        <f>COUNTIF(E159:BV159,F298)</f>
        <v>0</v>
      </c>
      <c r="CY298" s="146">
        <f>COUNTIF(E158:BV158,F298)</f>
        <v>2</v>
      </c>
      <c r="CZ298" s="146">
        <f>COUNTIF(E157:BV157,F298)</f>
        <v>2</v>
      </c>
      <c r="DA298" s="146">
        <f>COUNTIF(E156:BV156,F298)</f>
        <v>3</v>
      </c>
      <c r="DB298" s="146">
        <f>COUNTIF(E155:BV155,F298)</f>
        <v>1</v>
      </c>
      <c r="DC298" s="146">
        <f>COUNTIF(E154:BV154,F298)</f>
        <v>2</v>
      </c>
      <c r="DD298" s="146">
        <v>2</v>
      </c>
      <c r="DE298" s="146"/>
      <c r="DF298" s="146"/>
      <c r="DG298" s="146"/>
      <c r="DH298" s="146"/>
      <c r="DI298" s="146"/>
      <c r="DJ298" s="146"/>
      <c r="DK298" s="146"/>
      <c r="DL298" s="146"/>
      <c r="DM298" s="146"/>
      <c r="DN298" s="146"/>
      <c r="DO298" s="146"/>
      <c r="DP298" s="146"/>
      <c r="DQ298" s="146"/>
      <c r="DR298" s="146"/>
      <c r="DS298" s="146"/>
      <c r="DT298" s="146"/>
      <c r="DU298" s="2"/>
      <c r="DV298" s="18"/>
      <c r="DW298" s="4"/>
      <c r="DX298" s="129"/>
      <c r="DY298" s="128">
        <v>27</v>
      </c>
      <c r="DZ298" s="128">
        <v>27</v>
      </c>
      <c r="EA298" s="128">
        <v>27</v>
      </c>
      <c r="EB298" s="128">
        <v>27</v>
      </c>
      <c r="ED298" s="128">
        <v>27</v>
      </c>
      <c r="EE298" s="128">
        <v>27</v>
      </c>
      <c r="EF298" s="128">
        <v>27</v>
      </c>
      <c r="EG298" s="128">
        <v>27</v>
      </c>
      <c r="EH298" s="128">
        <v>27</v>
      </c>
      <c r="EK298" s="128">
        <v>27</v>
      </c>
      <c r="EL298" s="128">
        <v>27</v>
      </c>
      <c r="EO298" s="128">
        <v>27</v>
      </c>
      <c r="EQ298" s="128">
        <v>27</v>
      </c>
      <c r="ER298" s="128">
        <v>27</v>
      </c>
      <c r="ES298" s="128">
        <v>27</v>
      </c>
      <c r="EU298" s="128">
        <v>27</v>
      </c>
      <c r="EV298" s="128">
        <v>27</v>
      </c>
      <c r="EW298" s="128">
        <v>27</v>
      </c>
      <c r="EX298" s="128">
        <v>27</v>
      </c>
      <c r="EZ298" s="52"/>
      <c r="FA298" s="128">
        <v>35</v>
      </c>
      <c r="FB298" s="128">
        <v>35</v>
      </c>
      <c r="FG298" s="128">
        <v>35</v>
      </c>
      <c r="FH298" s="128">
        <v>35</v>
      </c>
      <c r="FI298" s="128">
        <v>35</v>
      </c>
      <c r="FJ298" s="128">
        <v>35</v>
      </c>
      <c r="FK298" s="152"/>
      <c r="FM298" s="128">
        <v>35</v>
      </c>
      <c r="FN298" s="128">
        <v>35</v>
      </c>
      <c r="FO298" s="128">
        <v>35</v>
      </c>
      <c r="FP298" s="128">
        <v>35</v>
      </c>
      <c r="FQ298" s="128">
        <v>35</v>
      </c>
      <c r="FR298" s="128">
        <v>35</v>
      </c>
      <c r="FS298" s="128">
        <v>35</v>
      </c>
      <c r="FT298" s="128">
        <v>35</v>
      </c>
      <c r="FU298" s="128">
        <v>35</v>
      </c>
      <c r="FW298" s="128">
        <v>35</v>
      </c>
      <c r="FX298" s="128">
        <v>35</v>
      </c>
      <c r="FY298" s="128">
        <v>35</v>
      </c>
      <c r="FZ298" s="128">
        <v>35</v>
      </c>
      <c r="GA298" s="52"/>
      <c r="GB298" s="52"/>
      <c r="GC298" s="52"/>
      <c r="GD298" s="52"/>
      <c r="GE298" s="52"/>
      <c r="GF298" s="52"/>
      <c r="GG298" s="52"/>
      <c r="GH298" s="52"/>
      <c r="GI298" s="52"/>
      <c r="GJ298" s="52"/>
      <c r="GK298" s="52"/>
      <c r="GL298" s="52"/>
      <c r="GM298" s="52"/>
      <c r="GN298" s="52"/>
      <c r="GO298" s="52"/>
      <c r="GP298" s="52"/>
      <c r="GQ298" s="52"/>
      <c r="GR298" s="129"/>
      <c r="GS298" s="129"/>
      <c r="GT298" s="129"/>
      <c r="GU298" s="3"/>
      <c r="GV298" s="129"/>
      <c r="GW298" s="129"/>
      <c r="GX298" s="129"/>
      <c r="GY298" s="129"/>
      <c r="GZ298" s="129"/>
      <c r="HA298" s="129"/>
      <c r="HB298" s="129"/>
      <c r="HC298" s="129"/>
      <c r="HD298" s="129"/>
      <c r="HE298" s="4"/>
      <c r="HF298" s="4"/>
      <c r="HG298" s="4"/>
      <c r="HH298" s="4"/>
      <c r="HI298" s="4"/>
      <c r="HJ298" s="4"/>
      <c r="HK298" s="4"/>
      <c r="HL298" s="4"/>
      <c r="HM298" s="3"/>
      <c r="HN298" s="4"/>
      <c r="HO298" s="4"/>
      <c r="HP298" s="4"/>
      <c r="HQ298" s="129"/>
      <c r="HR298" s="129"/>
      <c r="HS298" s="129"/>
      <c r="HT298" s="129"/>
      <c r="HU298" s="129"/>
      <c r="HV298" s="129"/>
      <c r="HW298" s="129"/>
      <c r="HX298" s="129"/>
      <c r="HY298" s="129"/>
      <c r="HZ298" s="129"/>
      <c r="IA298" s="129"/>
      <c r="IB298" s="129"/>
      <c r="IC298" s="129"/>
      <c r="ID298" s="129"/>
      <c r="IE298" s="129"/>
      <c r="IF298" s="129"/>
      <c r="IG298" s="129"/>
      <c r="IH298" s="129"/>
      <c r="II298" s="129"/>
      <c r="IJ298" s="129"/>
      <c r="IK298" s="129"/>
      <c r="IL298" s="129"/>
      <c r="IM298" s="129"/>
      <c r="IN298" s="129"/>
      <c r="IO298" s="129"/>
      <c r="IP298" s="129"/>
      <c r="IQ298" s="129"/>
      <c r="IR298" s="129"/>
      <c r="IS298" s="129"/>
      <c r="IT298" s="129"/>
      <c r="IU298" s="129"/>
      <c r="IV298" s="129"/>
      <c r="IW298" s="129"/>
      <c r="IX298" s="129"/>
      <c r="IY298" s="129"/>
      <c r="IZ298" s="129"/>
      <c r="JA298" s="129"/>
      <c r="JB298" s="129"/>
      <c r="JC298" s="129"/>
      <c r="JD298" s="129"/>
      <c r="JE298" s="129"/>
      <c r="JF298" s="129"/>
      <c r="JG298" s="129"/>
      <c r="JH298" s="129"/>
      <c r="JI298" s="129"/>
      <c r="JJ298" s="129"/>
      <c r="JK298" s="129"/>
      <c r="JL298" s="129"/>
      <c r="JM298" s="129"/>
      <c r="JN298" s="129"/>
      <c r="JO298" s="129"/>
      <c r="JP298" s="129"/>
      <c r="JQ298" s="129"/>
      <c r="JR298" s="129"/>
      <c r="JS298" s="129"/>
      <c r="JT298" s="129"/>
      <c r="JU298" s="129"/>
      <c r="JV298" s="129"/>
      <c r="JW298" s="129"/>
      <c r="JX298" s="129"/>
      <c r="JY298" s="129"/>
      <c r="JZ298" s="129"/>
      <c r="KA298" s="129"/>
      <c r="KB298" s="129"/>
      <c r="KC298" s="129"/>
      <c r="KD298" s="129"/>
    </row>
    <row r="299" spans="4:293" ht="17.25">
      <c r="D299" s="128"/>
      <c r="E299" s="570"/>
      <c r="F299" s="145">
        <v>42</v>
      </c>
      <c r="G299" s="639"/>
      <c r="H299" s="453">
        <f>COUNTIF(E253:BV253,F299)</f>
        <v>0</v>
      </c>
      <c r="I299" s="453">
        <f>COUNTIF(E252:BV252,F299)</f>
        <v>1</v>
      </c>
      <c r="J299" s="453">
        <f>COUNTIF(E251:BV251,F299)</f>
        <v>0</v>
      </c>
      <c r="K299" s="453">
        <f>COUNTIF(E250:BV250,F299)</f>
        <v>0</v>
      </c>
      <c r="L299" s="453">
        <f>COUNTIF(E249:BV249,F299)</f>
        <v>1</v>
      </c>
      <c r="M299" s="453">
        <f>COUNTIF(E248:BV248,F299)</f>
        <v>1</v>
      </c>
      <c r="N299" s="453">
        <f>COUNTIF(E247:BV247,F299)</f>
        <v>3</v>
      </c>
      <c r="O299" s="453">
        <f>COUNTIF(E246:BV246,F299)</f>
        <v>0</v>
      </c>
      <c r="P299" s="453">
        <f>COUNTIF(E245:BV245,F299)</f>
        <v>3</v>
      </c>
      <c r="Q299" s="453">
        <f>COUNTIF(E244:BV244,F299)</f>
        <v>1</v>
      </c>
      <c r="R299" s="453">
        <f>COUNTIF(E243:BV243,F299)</f>
        <v>1</v>
      </c>
      <c r="S299" s="453">
        <f>COUNTIF(E242:BV242,F299)</f>
        <v>1</v>
      </c>
      <c r="T299" s="453">
        <f>COUNTIF(E241:BV241,F299)</f>
        <v>2</v>
      </c>
      <c r="U299" s="453">
        <f>COUNTIF(E240:BV240,F299)</f>
        <v>1</v>
      </c>
      <c r="V299" s="453">
        <f>COUNTIF(E239:BV239,F299)</f>
        <v>1</v>
      </c>
      <c r="W299" s="453">
        <f>COUNTIF(E238:BV238,F299)</f>
        <v>3</v>
      </c>
      <c r="X299" s="453">
        <f>COUNTIF(E237:BV237,F299)</f>
        <v>1</v>
      </c>
      <c r="Y299" s="453">
        <f>COUNTIF(E236:BV236,F299)</f>
        <v>1</v>
      </c>
      <c r="Z299" s="453">
        <f>COUNTIF(E235:BV235,F299)</f>
        <v>0</v>
      </c>
      <c r="AA299" s="453">
        <f>COUNTIF(E234:BV234,F299)</f>
        <v>0</v>
      </c>
      <c r="AB299" s="453">
        <f>COUNTIF(E233:BV233,F299)</f>
        <v>0</v>
      </c>
      <c r="AC299" s="453">
        <f>COUNTIF(E232:BV232,F299)</f>
        <v>1</v>
      </c>
      <c r="AD299" s="453">
        <f>COUNTIF(E231:BV231,F299)</f>
        <v>1</v>
      </c>
      <c r="AE299" s="453">
        <f>COUNTIF(E230:BV230,F299)</f>
        <v>2</v>
      </c>
      <c r="AF299" s="453">
        <f>COUNTIF(E229:BV229,F299)</f>
        <v>1</v>
      </c>
      <c r="AG299" s="453">
        <f>COUNTIF(E228:BV228,F299)</f>
        <v>1</v>
      </c>
      <c r="AH299" s="453">
        <f>COUNTIF(E227:BV227,F299)</f>
        <v>3</v>
      </c>
      <c r="AI299" s="146">
        <f>COUNTIF(E226:BV226,F299)</f>
        <v>2</v>
      </c>
      <c r="AJ299" s="146">
        <f>COUNTIF(E225:BV225,F299)</f>
        <v>0</v>
      </c>
      <c r="AK299" s="146">
        <f>COUNTIF(E224:BV224,F299)</f>
        <v>1</v>
      </c>
      <c r="AL299" s="146">
        <f>COUNTIF(E223:BV223,F299)</f>
        <v>2</v>
      </c>
      <c r="AM299" s="146">
        <f>COUNTIF(E222:BV222,F299)</f>
        <v>3</v>
      </c>
      <c r="AN299" s="146">
        <f>COUNTIF(E221:BV221,F299)</f>
        <v>2</v>
      </c>
      <c r="AO299" s="146">
        <f>COUNTIF(E220:BV220,F299)</f>
        <v>0</v>
      </c>
      <c r="AP299" s="146">
        <f>COUNTIF(E219:BV219,F299)</f>
        <v>3</v>
      </c>
      <c r="AQ299" s="146">
        <f>COUNTIF(E218:BV218,F299)</f>
        <v>3</v>
      </c>
      <c r="AR299" s="146">
        <f>COUNTIF(E217:BV217,F299)</f>
        <v>0</v>
      </c>
      <c r="AS299" s="146">
        <f>COUNTIF(E216:BV216,F299)</f>
        <v>3</v>
      </c>
      <c r="AT299" s="146">
        <f>COUNTIF(E215:BV215,F299)</f>
        <v>1</v>
      </c>
      <c r="AU299" s="146">
        <f>COUNTIF(E214:BV214,F299)</f>
        <v>0</v>
      </c>
      <c r="AV299" s="146">
        <f>COUNTIF(E213:BV213,F299)</f>
        <v>0</v>
      </c>
      <c r="AW299" s="146">
        <f>COUNTIF(E212:BV212,F299)</f>
        <v>0</v>
      </c>
      <c r="AX299" s="146">
        <f>COUNTIF(E211:BV211,F299)</f>
        <v>3</v>
      </c>
      <c r="AY299" s="146">
        <f>COUNTIF(E210:BV210,F299)</f>
        <v>0</v>
      </c>
      <c r="AZ299" s="146">
        <f>COUNTIF(E209:BV209,F299)</f>
        <v>2</v>
      </c>
      <c r="BA299" s="146">
        <f>COUNTIF(E208:BV208,F299)</f>
        <v>1</v>
      </c>
      <c r="BB299" s="146">
        <f>COUNTIF(E207:BV207,F299)</f>
        <v>1</v>
      </c>
      <c r="BC299" s="146">
        <f>COUNTIF(E206:BV206,F299)</f>
        <v>0</v>
      </c>
      <c r="BD299" s="146">
        <f>COUNTIF(E205:BV205,F299)</f>
        <v>1</v>
      </c>
      <c r="BE299" s="146">
        <f>COUNTIF(E204:BV204,F299)</f>
        <v>1</v>
      </c>
      <c r="BF299" s="146">
        <f>COUNTIF(E203:BV203,F299)</f>
        <v>2</v>
      </c>
      <c r="BG299" s="146">
        <f>COUNTIF(E202:BV202,F299)</f>
        <v>1</v>
      </c>
      <c r="BH299" s="146">
        <f>COUNTIF(E201:BV201,F299)</f>
        <v>3</v>
      </c>
      <c r="BI299" s="146">
        <f>COUNTIF(E200:BV200,F299)</f>
        <v>2</v>
      </c>
      <c r="BJ299" s="146">
        <f>COUNTIF(E199:BV199,F299)</f>
        <v>2</v>
      </c>
      <c r="BK299" s="146">
        <f>COUNTIF(E198:BV198,F299)</f>
        <v>4</v>
      </c>
      <c r="BL299" s="146">
        <f>COUNTIF(E197:BV197,F299)</f>
        <v>1</v>
      </c>
      <c r="BM299" s="146">
        <f>COUNTIF(E196:BV196,F299)</f>
        <v>3</v>
      </c>
      <c r="BN299" s="146">
        <f>COUNTIF(E195:BV195,F299)</f>
        <v>2</v>
      </c>
      <c r="BO299" s="146">
        <f>COUNTIF(E194:BV194,F299)</f>
        <v>2</v>
      </c>
      <c r="BP299" s="146">
        <f>COUNTIF(E193:BV193,F299)</f>
        <v>1</v>
      </c>
      <c r="BQ299" s="146">
        <f>COUNTIF(E192:BV192,F299)</f>
        <v>0</v>
      </c>
      <c r="BR299" s="146">
        <f>COUNTIF(E191:BV191,F299)</f>
        <v>3</v>
      </c>
      <c r="BS299" s="146">
        <f>COUNTIF(E190:BV190,F299)</f>
        <v>3</v>
      </c>
      <c r="BT299" s="146">
        <f>COUNTIF(E189:BV189,F299)</f>
        <v>1</v>
      </c>
      <c r="BU299" s="146">
        <f>COUNTIF(E188:BV188,F299)</f>
        <v>3</v>
      </c>
      <c r="BV299" s="146">
        <f>COUNTIF(E187:BV187,F299)</f>
        <v>2</v>
      </c>
      <c r="BW299" s="146">
        <f>COUNTIF(E186:BV186,F299)</f>
        <v>3</v>
      </c>
      <c r="BX299" s="146">
        <f>COUNTIF(E185:BV185,F299)</f>
        <v>2</v>
      </c>
      <c r="BY299" s="146">
        <f>COUNTIF(E184:BV184,F299)</f>
        <v>1</v>
      </c>
      <c r="BZ299" s="146">
        <f>COUNTIF(E183:BV183,F299)</f>
        <v>1</v>
      </c>
      <c r="CA299" s="146">
        <f>COUNTIF(E182:BV182,F299)</f>
        <v>0</v>
      </c>
      <c r="CB299" s="146">
        <f>COUNTIF(E181:BV181,F299)</f>
        <v>0</v>
      </c>
      <c r="CC299" s="146">
        <f>COUNTIF(E180:BV180,F299)</f>
        <v>3</v>
      </c>
      <c r="CD299" s="146">
        <f>COUNTIF(E179:BV179,F299)</f>
        <v>0</v>
      </c>
      <c r="CE299" s="146">
        <f>COUNTIF(E178:BV178,F299)</f>
        <v>2</v>
      </c>
      <c r="CF299" s="146">
        <f>COUNTIF(E177:BV177,F299)</f>
        <v>0</v>
      </c>
      <c r="CG299" s="146">
        <f>COUNTIF(E176:BV176,F299)</f>
        <v>1</v>
      </c>
      <c r="CH299" s="146">
        <f>COUNTIF(E175:BV175,F299)</f>
        <v>1</v>
      </c>
      <c r="CI299" s="146">
        <f>COUNTIF(E174:BV174,F299)</f>
        <v>1</v>
      </c>
      <c r="CJ299" s="146">
        <f>COUNTIF(E173:BV173,F299)</f>
        <v>4</v>
      </c>
      <c r="CK299" s="146">
        <f>COUNTIF(E172:BV172,F299)</f>
        <v>2</v>
      </c>
      <c r="CL299" s="146">
        <f>COUNTIF(E171:BV171,F299)</f>
        <v>1</v>
      </c>
      <c r="CM299" s="146">
        <f>COUNTIF(E170:BV170,F299)</f>
        <v>0</v>
      </c>
      <c r="CN299" s="146">
        <f>COUNTIF(E169:BV169,F299)</f>
        <v>1</v>
      </c>
      <c r="CO299" s="146">
        <f>COUNTIF(E168:BV168,F299)</f>
        <v>3</v>
      </c>
      <c r="CP299" s="146">
        <f>COUNTIF(E167:BV167,F299)</f>
        <v>1</v>
      </c>
      <c r="CQ299" s="146">
        <f>COUNTIF(E166:BV166,F299)</f>
        <v>1</v>
      </c>
      <c r="CR299" s="146">
        <f>COUNTIF(E165:BV165,F299)</f>
        <v>1</v>
      </c>
      <c r="CS299" s="146">
        <f>COUNTIF(E164:BV164,F299)</f>
        <v>2</v>
      </c>
      <c r="CT299" s="146">
        <f>COUNTIF(E163:BV163,F299)</f>
        <v>1</v>
      </c>
      <c r="CU299" s="146">
        <f>COUNTIF(E162:BV162,F299)</f>
        <v>1</v>
      </c>
      <c r="CV299" s="146">
        <f>COUNTIF(E161:BV161,F299)</f>
        <v>0</v>
      </c>
      <c r="CW299" s="146">
        <f>COUNTIF(E160:BV160,F299)</f>
        <v>0</v>
      </c>
      <c r="CX299" s="146">
        <f>COUNTIF(E159:BV159,F299)</f>
        <v>3</v>
      </c>
      <c r="CY299" s="146">
        <f>COUNTIF(E158:BV158,F299)</f>
        <v>0</v>
      </c>
      <c r="CZ299" s="146">
        <f>COUNTIF(E157:BV157,F299)</f>
        <v>2</v>
      </c>
      <c r="DA299" s="146">
        <f>COUNTIF(E156:BV156,F299)</f>
        <v>2</v>
      </c>
      <c r="DB299" s="146">
        <f>COUNTIF(E155:BV155,F299)</f>
        <v>0</v>
      </c>
      <c r="DC299" s="146">
        <f>COUNTIF(E154:BV154,F299)</f>
        <v>2</v>
      </c>
      <c r="DD299" s="146">
        <v>1</v>
      </c>
      <c r="DE299" s="146"/>
      <c r="DF299" s="146"/>
      <c r="DG299" s="146"/>
      <c r="DH299" s="146"/>
      <c r="DI299" s="146"/>
      <c r="DJ299" s="146"/>
      <c r="DK299" s="146"/>
      <c r="DL299" s="146"/>
      <c r="DM299" s="146"/>
      <c r="DN299" s="146"/>
      <c r="DO299" s="146"/>
      <c r="DP299" s="146"/>
      <c r="DQ299" s="146"/>
      <c r="DR299" s="146"/>
      <c r="DS299" s="146"/>
      <c r="DT299" s="146"/>
      <c r="DU299" s="2"/>
      <c r="DV299" s="18"/>
      <c r="DW299" s="4"/>
      <c r="DX299" s="129"/>
      <c r="DY299" s="128">
        <v>28</v>
      </c>
      <c r="DZ299" s="128">
        <v>28</v>
      </c>
      <c r="EA299" s="128">
        <v>28</v>
      </c>
      <c r="EB299" s="128">
        <v>28</v>
      </c>
      <c r="EC299" s="128">
        <v>28</v>
      </c>
      <c r="ED299" s="128">
        <v>28</v>
      </c>
      <c r="EE299" s="128">
        <v>28</v>
      </c>
      <c r="EF299" s="128">
        <v>28</v>
      </c>
      <c r="EG299" s="128">
        <v>28</v>
      </c>
      <c r="EH299" s="128">
        <v>28</v>
      </c>
      <c r="EK299" s="128">
        <v>28</v>
      </c>
      <c r="EL299" s="128">
        <v>28</v>
      </c>
      <c r="EM299" s="128">
        <v>28</v>
      </c>
      <c r="EN299" s="128">
        <v>28</v>
      </c>
      <c r="EO299" s="128">
        <v>28</v>
      </c>
      <c r="EP299" s="128">
        <v>28</v>
      </c>
      <c r="EQ299" s="128">
        <v>28</v>
      </c>
      <c r="ES299" s="128">
        <v>28</v>
      </c>
      <c r="ET299" s="128">
        <v>28</v>
      </c>
      <c r="EU299" s="128">
        <v>28</v>
      </c>
      <c r="EV299" s="128">
        <v>28</v>
      </c>
      <c r="EW299" s="128">
        <v>28</v>
      </c>
      <c r="EX299" s="128">
        <v>28</v>
      </c>
      <c r="EZ299" s="52"/>
      <c r="FA299" s="128">
        <v>36</v>
      </c>
      <c r="FC299" s="128">
        <v>36</v>
      </c>
      <c r="FD299" s="128">
        <v>36</v>
      </c>
      <c r="FF299" s="128">
        <v>36</v>
      </c>
      <c r="FG299" s="128">
        <v>36</v>
      </c>
      <c r="FJ299" s="128">
        <v>36</v>
      </c>
      <c r="FK299" s="152"/>
      <c r="FL299" s="2"/>
      <c r="FM299" s="128">
        <v>36</v>
      </c>
      <c r="FN299" s="128">
        <v>36</v>
      </c>
      <c r="FO299" s="128">
        <v>36</v>
      </c>
      <c r="FS299" s="128">
        <v>36</v>
      </c>
      <c r="FT299" s="128">
        <v>36</v>
      </c>
      <c r="FU299" s="128">
        <v>36</v>
      </c>
      <c r="FW299" s="128">
        <v>36</v>
      </c>
      <c r="FX299" s="128">
        <v>36</v>
      </c>
      <c r="FY299" s="128">
        <v>36</v>
      </c>
      <c r="FZ299" s="128">
        <v>36</v>
      </c>
      <c r="GA299" s="52"/>
      <c r="GB299" s="52"/>
      <c r="GC299" s="52"/>
      <c r="GD299" s="52"/>
      <c r="GE299" s="52"/>
      <c r="GF299" s="52"/>
      <c r="GG299" s="52"/>
      <c r="GH299" s="51"/>
      <c r="GI299" s="52"/>
      <c r="GJ299" s="52"/>
      <c r="GK299" s="52"/>
      <c r="GL299" s="52"/>
      <c r="GM299" s="52"/>
      <c r="GN299" s="51"/>
      <c r="GO299" s="52"/>
      <c r="GP299" s="52"/>
      <c r="GQ299" s="52"/>
      <c r="GR299" s="129"/>
      <c r="GS299" s="129"/>
      <c r="GT299" s="129"/>
      <c r="GU299" s="129"/>
      <c r="GV299" s="129"/>
      <c r="GW299" s="129"/>
      <c r="GX299" s="129"/>
      <c r="GY299" s="129"/>
      <c r="GZ299" s="129"/>
      <c r="HA299" s="129"/>
      <c r="HB299" s="129"/>
      <c r="HC299" s="129"/>
      <c r="HD299" s="129"/>
      <c r="HE299" s="4"/>
      <c r="HF299" s="4"/>
      <c r="HG299" s="4"/>
      <c r="HH299" s="4"/>
      <c r="HI299" s="4"/>
      <c r="HJ299" s="4"/>
      <c r="HK299" s="4"/>
      <c r="HL299" s="4"/>
      <c r="HM299" s="4"/>
      <c r="HN299" s="3"/>
      <c r="HO299" s="4"/>
      <c r="HP299" s="4"/>
      <c r="HQ299" s="129"/>
      <c r="HR299" s="129"/>
      <c r="HS299" s="129"/>
      <c r="HT299" s="129"/>
      <c r="HU299" s="129"/>
      <c r="HV299" s="129"/>
      <c r="HW299" s="129"/>
      <c r="HX299" s="129"/>
      <c r="HY299" s="129"/>
      <c r="HZ299" s="129"/>
      <c r="IA299" s="129"/>
      <c r="IB299" s="129"/>
      <c r="IC299" s="129"/>
      <c r="ID299" s="129"/>
      <c r="IE299" s="129"/>
      <c r="IF299" s="129"/>
      <c r="IG299" s="129"/>
      <c r="IH299" s="129"/>
      <c r="II299" s="129"/>
      <c r="IJ299" s="129"/>
      <c r="IK299" s="129"/>
      <c r="IL299" s="129"/>
      <c r="IM299" s="129"/>
      <c r="IN299" s="129"/>
      <c r="IO299" s="129"/>
      <c r="IP299" s="129"/>
      <c r="IQ299" s="129"/>
      <c r="IR299" s="129"/>
      <c r="IS299" s="129"/>
      <c r="IT299" s="129"/>
      <c r="IU299" s="129"/>
      <c r="IV299" s="129"/>
      <c r="IW299" s="129"/>
      <c r="IX299" s="129"/>
      <c r="IY299" s="129"/>
      <c r="IZ299" s="129"/>
      <c r="JA299" s="129"/>
      <c r="JB299" s="129"/>
      <c r="JC299" s="129"/>
      <c r="JD299" s="129"/>
      <c r="JE299" s="129"/>
      <c r="JF299" s="129"/>
      <c r="JG299" s="129"/>
      <c r="JH299" s="129"/>
      <c r="JI299" s="129"/>
      <c r="JJ299" s="129"/>
      <c r="JK299" s="129"/>
      <c r="JL299" s="129"/>
      <c r="JM299" s="129"/>
      <c r="JN299" s="129"/>
      <c r="JO299" s="129"/>
      <c r="JP299" s="129"/>
      <c r="JQ299" s="129"/>
      <c r="JR299" s="129"/>
      <c r="JS299" s="129"/>
      <c r="JT299" s="129"/>
      <c r="JU299" s="129"/>
      <c r="JV299" s="129"/>
      <c r="JW299" s="129"/>
      <c r="JX299" s="129"/>
      <c r="JY299" s="129"/>
      <c r="JZ299" s="129"/>
      <c r="KA299" s="129"/>
      <c r="KB299" s="129"/>
      <c r="KC299" s="129"/>
      <c r="KD299" s="129"/>
    </row>
    <row r="300" spans="4:293" ht="17.25">
      <c r="D300" s="128"/>
      <c r="E300" s="570">
        <v>43</v>
      </c>
      <c r="F300" s="145">
        <v>43</v>
      </c>
      <c r="G300" s="639"/>
      <c r="H300" s="453">
        <f>COUNTIF(E253:BV253,F300)</f>
        <v>2</v>
      </c>
      <c r="I300" s="453">
        <f>COUNTIF(E252:BV252,F300)</f>
        <v>3</v>
      </c>
      <c r="J300" s="453">
        <f>COUNTIF(E251:BV251,F300)</f>
        <v>2</v>
      </c>
      <c r="K300" s="453">
        <f>COUNTIF(E250:BV250,F300)</f>
        <v>2</v>
      </c>
      <c r="L300" s="453">
        <f>COUNTIF(E249:BV249,F300)</f>
        <v>2</v>
      </c>
      <c r="M300" s="453">
        <f>COUNTIF(E248:BV248,F300)</f>
        <v>0</v>
      </c>
      <c r="N300" s="453">
        <f>COUNTIF(E247:BV247,F300)</f>
        <v>2</v>
      </c>
      <c r="O300" s="453">
        <f>COUNTIF(E246:BV246,F300)</f>
        <v>1</v>
      </c>
      <c r="P300" s="453">
        <f>COUNTIF(E245:BV245,F300)</f>
        <v>1</v>
      </c>
      <c r="Q300" s="453">
        <f>COUNTIF(E244:BV244,F300)</f>
        <v>0</v>
      </c>
      <c r="R300" s="453">
        <f>COUNTIF(E243:BV243,F300)</f>
        <v>1</v>
      </c>
      <c r="S300" s="453">
        <f>COUNTIF(E242:BV242,F300)</f>
        <v>0</v>
      </c>
      <c r="T300" s="453">
        <f>COUNTIF(E241:BV241,F300)</f>
        <v>4</v>
      </c>
      <c r="U300" s="453">
        <f>COUNTIF(E240:BV240,F300)</f>
        <v>2</v>
      </c>
      <c r="V300" s="453">
        <f>COUNTIF(E239:BV239,F300)</f>
        <v>0</v>
      </c>
      <c r="W300" s="453">
        <f>COUNTIF(E238:BV238,F300)</f>
        <v>2</v>
      </c>
      <c r="X300" s="453">
        <f>COUNTIF(E237:BV237,F300)</f>
        <v>2</v>
      </c>
      <c r="Y300" s="453">
        <f>COUNTIF(E236:BV236,F300)</f>
        <v>2</v>
      </c>
      <c r="Z300" s="453">
        <f>COUNTIF(E235:BV235,F300)</f>
        <v>1</v>
      </c>
      <c r="AA300" s="453">
        <f>COUNTIF(E234:BV234,F300)</f>
        <v>3</v>
      </c>
      <c r="AB300" s="453">
        <f>COUNTIF(E233:BV233,F300)</f>
        <v>2</v>
      </c>
      <c r="AC300" s="453">
        <f>COUNTIF(E232:BV232,F300)</f>
        <v>2</v>
      </c>
      <c r="AD300" s="453">
        <f>COUNTIF(E231:BV231,F300)</f>
        <v>0</v>
      </c>
      <c r="AE300" s="453">
        <f>COUNTIF(E230:BV230,F300)</f>
        <v>2</v>
      </c>
      <c r="AF300" s="453">
        <f>COUNTIF(E229:BV229,F300)</f>
        <v>0</v>
      </c>
      <c r="AG300" s="453">
        <f>COUNTIF(E228:BV228,F300)</f>
        <v>1</v>
      </c>
      <c r="AH300" s="453">
        <f>COUNTIF(E227:BV227,F300)</f>
        <v>1</v>
      </c>
      <c r="AI300" s="146">
        <f>COUNTIF(E226:BV226,F300)</f>
        <v>1</v>
      </c>
      <c r="AJ300" s="146">
        <f>COUNTIF(E225:BV225,F300)</f>
        <v>2</v>
      </c>
      <c r="AK300" s="146">
        <f>COUNTIF(E224:BV224,F300)</f>
        <v>1</v>
      </c>
      <c r="AL300" s="146">
        <f>COUNTIF(E223:BV223,F300)</f>
        <v>3</v>
      </c>
      <c r="AM300" s="146">
        <f>COUNTIF(E222:BV222,F300)</f>
        <v>0</v>
      </c>
      <c r="AN300" s="146">
        <f>COUNTIF(E221:BV221,F300)</f>
        <v>3</v>
      </c>
      <c r="AO300" s="146">
        <f>COUNTIF(E220:BV220,F300)</f>
        <v>0</v>
      </c>
      <c r="AP300" s="146">
        <f>COUNTIF(E219:BV219,F300)</f>
        <v>1</v>
      </c>
      <c r="AQ300" s="146">
        <f>COUNTIF(E218:BV218,F300)</f>
        <v>1</v>
      </c>
      <c r="AR300" s="146">
        <f>COUNTIF(E217:BV217,F300)</f>
        <v>3</v>
      </c>
      <c r="AS300" s="146">
        <f>COUNTIF(E216:BV216,F300)</f>
        <v>3</v>
      </c>
      <c r="AT300" s="146">
        <f>COUNTIF(E215:BV215,F300)</f>
        <v>1</v>
      </c>
      <c r="AU300" s="146">
        <f>COUNTIF(E214:BV214,F300)</f>
        <v>1</v>
      </c>
      <c r="AV300" s="146">
        <f>COUNTIF(E213:BV213,F300)</f>
        <v>4</v>
      </c>
      <c r="AW300" s="146">
        <f>COUNTIF(E212:BV212,F300)</f>
        <v>2</v>
      </c>
      <c r="AX300" s="146">
        <f>COUNTIF(E211:BV211,F300)</f>
        <v>1</v>
      </c>
      <c r="AY300" s="146">
        <f>COUNTIF(E210:BV210,F300)</f>
        <v>2</v>
      </c>
      <c r="AZ300" s="146">
        <f>COUNTIF(E209:BV209,F300)</f>
        <v>1</v>
      </c>
      <c r="BA300" s="146">
        <f>COUNTIF(E208:BV208,F300)</f>
        <v>2</v>
      </c>
      <c r="BB300" s="146">
        <f>COUNTIF(E207:BV207,F300)</f>
        <v>1</v>
      </c>
      <c r="BC300" s="146">
        <f>COUNTIF(E206:BV206,F300)</f>
        <v>0</v>
      </c>
      <c r="BD300" s="146">
        <f>COUNTIF(E205:BV205,F300)</f>
        <v>0</v>
      </c>
      <c r="BE300" s="146">
        <f>COUNTIF(E204:BV204,F300)</f>
        <v>1</v>
      </c>
      <c r="BF300" s="146">
        <f>COUNTIF(E203:BV203,F300)</f>
        <v>1</v>
      </c>
      <c r="BG300" s="146">
        <f>COUNTIF(E202:BV202,F300)</f>
        <v>1</v>
      </c>
      <c r="BH300" s="146">
        <f>COUNTIF(E201:BV201,F300)</f>
        <v>1</v>
      </c>
      <c r="BI300" s="146">
        <f>COUNTIF(E200:BV200,F300)</f>
        <v>1</v>
      </c>
      <c r="BJ300" s="146">
        <f>COUNTIF(E199:BV199,F300)</f>
        <v>2</v>
      </c>
      <c r="BK300" s="146">
        <f>COUNTIF(E198:BV198,F300)</f>
        <v>1</v>
      </c>
      <c r="BL300" s="146">
        <f>COUNTIF(E197:BV197,F300)</f>
        <v>0</v>
      </c>
      <c r="BM300" s="146">
        <f>COUNTIF(E196:BV196,F300)</f>
        <v>0</v>
      </c>
      <c r="BN300" s="146">
        <f>COUNTIF(E195:BV195,F300)</f>
        <v>1</v>
      </c>
      <c r="BO300" s="146">
        <f>COUNTIF(E194:BV194,F300)</f>
        <v>1</v>
      </c>
      <c r="BP300" s="146">
        <f>COUNTIF(E193:BV193,F300)</f>
        <v>2</v>
      </c>
      <c r="BQ300" s="146">
        <f>COUNTIF(E192:BV192,F300)</f>
        <v>1</v>
      </c>
      <c r="BR300" s="146">
        <f>COUNTIF(E191:BV191,F300)</f>
        <v>1</v>
      </c>
      <c r="BS300" s="146">
        <f>COUNTIF(E190:BV190,F300)</f>
        <v>2</v>
      </c>
      <c r="BT300" s="146">
        <f>COUNTIF(E189:BV189,F300)</f>
        <v>2</v>
      </c>
      <c r="BU300" s="146">
        <f>COUNTIF(E188:BV188,F300)</f>
        <v>1</v>
      </c>
      <c r="BV300" s="146">
        <f>COUNTIF(E187:BV187,F300)</f>
        <v>3</v>
      </c>
      <c r="BW300" s="146">
        <f>COUNTIF(E186:BV186,F300)</f>
        <v>2</v>
      </c>
      <c r="BX300" s="146">
        <f>COUNTIF(E185:BV185,F300)</f>
        <v>0</v>
      </c>
      <c r="BY300" s="146">
        <f>COUNTIF(E184:BV184,F300)</f>
        <v>1</v>
      </c>
      <c r="BZ300" s="146">
        <f>COUNTIF(E183:BV183,F300)</f>
        <v>1</v>
      </c>
      <c r="CA300" s="146">
        <f>COUNTIF(E182:BV182,F300)</f>
        <v>3</v>
      </c>
      <c r="CB300" s="146">
        <f>COUNTIF(E181:BV181,F300)</f>
        <v>5</v>
      </c>
      <c r="CC300" s="146">
        <f>COUNTIF(E180:BV180,F300)</f>
        <v>3</v>
      </c>
      <c r="CD300" s="146">
        <f>COUNTIF(E179:BV179,F300)</f>
        <v>2</v>
      </c>
      <c r="CE300" s="146">
        <f>COUNTIF(E178:BV178,F300)</f>
        <v>2</v>
      </c>
      <c r="CF300" s="146">
        <f>COUNTIF(E177:BV177,F300)</f>
        <v>1</v>
      </c>
      <c r="CG300" s="146">
        <f>COUNTIF(E176:BV176,F300)</f>
        <v>1</v>
      </c>
      <c r="CH300" s="146">
        <f>COUNTIF(E175:BV175,F300)</f>
        <v>2</v>
      </c>
      <c r="CI300" s="146">
        <f>COUNTIF(E174:BV174,F300)</f>
        <v>2</v>
      </c>
      <c r="CJ300" s="146">
        <f>COUNTIF(E173:BV173,F300)</f>
        <v>0</v>
      </c>
      <c r="CK300" s="146">
        <f>COUNTIF(E172:BV172,F300)</f>
        <v>1</v>
      </c>
      <c r="CL300" s="146">
        <f>COUNTIF(E171:BV171,F300)</f>
        <v>1</v>
      </c>
      <c r="CM300" s="146">
        <f>COUNTIF(E170:BV170,F300)</f>
        <v>1</v>
      </c>
      <c r="CN300" s="146">
        <f>COUNTIF(E169:BV169,F300)</f>
        <v>3</v>
      </c>
      <c r="CO300" s="146">
        <f>COUNTIF(E168:BV168,F300)</f>
        <v>2</v>
      </c>
      <c r="CP300" s="146">
        <f>COUNTIF(E167:BV167,F300)</f>
        <v>1</v>
      </c>
      <c r="CQ300" s="146">
        <f>COUNTIF(E166:BV166,F300)</f>
        <v>0</v>
      </c>
      <c r="CR300" s="146">
        <f>COUNTIF(E165:BV165,F300)</f>
        <v>3</v>
      </c>
      <c r="CS300" s="146">
        <f>COUNTIF(E164:BV164,F300)</f>
        <v>1</v>
      </c>
      <c r="CT300" s="146">
        <f>COUNTIF(E163:BV163,F300)</f>
        <v>0</v>
      </c>
      <c r="CU300" s="146">
        <f>COUNTIF(E162:BV162,F300)</f>
        <v>0</v>
      </c>
      <c r="CV300" s="146">
        <f>COUNTIF(E161:BV161,F300)</f>
        <v>1</v>
      </c>
      <c r="CW300" s="146">
        <f>COUNTIF(E160:BV160,F300)</f>
        <v>1</v>
      </c>
      <c r="CX300" s="146">
        <f>COUNTIF(E159:BV159,F300)</f>
        <v>0</v>
      </c>
      <c r="CY300" s="146">
        <f>COUNTIF(E158:BV158,F300)</f>
        <v>0</v>
      </c>
      <c r="CZ300" s="146">
        <f>COUNTIF(E157:BV157,F300)</f>
        <v>2</v>
      </c>
      <c r="DA300" s="146">
        <f>COUNTIF(E156:BV156,F300)</f>
        <v>2</v>
      </c>
      <c r="DB300" s="146">
        <f>COUNTIF(E155:BV155,F300)</f>
        <v>1</v>
      </c>
      <c r="DC300" s="146">
        <f>COUNTIF(E154:BV154,F300)</f>
        <v>1</v>
      </c>
      <c r="DD300" s="146">
        <v>1</v>
      </c>
      <c r="DE300" s="146"/>
      <c r="DF300" s="146"/>
      <c r="DG300" s="146"/>
      <c r="DH300" s="146"/>
      <c r="DI300" s="146"/>
      <c r="DJ300" s="146"/>
      <c r="DK300" s="146"/>
      <c r="DL300" s="146"/>
      <c r="DM300" s="146"/>
      <c r="DN300" s="146"/>
      <c r="DO300" s="146"/>
      <c r="DP300" s="146"/>
      <c r="DQ300" s="146"/>
      <c r="DR300" s="146"/>
      <c r="DS300" s="146"/>
      <c r="DT300" s="146"/>
      <c r="DU300" s="2"/>
      <c r="DV300" s="21"/>
      <c r="DW300" s="21"/>
      <c r="DX300" s="21"/>
      <c r="DY300" s="128">
        <v>29</v>
      </c>
      <c r="DZ300" s="128">
        <v>29</v>
      </c>
      <c r="EA300" s="128">
        <v>29</v>
      </c>
      <c r="EB300" s="128">
        <v>29</v>
      </c>
      <c r="EC300" s="128">
        <v>29</v>
      </c>
      <c r="ED300" s="128">
        <v>29</v>
      </c>
      <c r="EE300" s="128">
        <v>29</v>
      </c>
      <c r="EF300" s="128">
        <v>29</v>
      </c>
      <c r="EG300" s="128">
        <v>29</v>
      </c>
      <c r="EH300" s="128">
        <v>29</v>
      </c>
      <c r="EK300" s="128">
        <v>29</v>
      </c>
      <c r="EL300" s="128">
        <v>29</v>
      </c>
      <c r="EM300" s="128">
        <v>29</v>
      </c>
      <c r="EN300" s="128">
        <v>29</v>
      </c>
      <c r="EO300" s="128">
        <v>29</v>
      </c>
      <c r="EQ300" s="128">
        <v>29</v>
      </c>
      <c r="ER300" s="128">
        <v>29</v>
      </c>
      <c r="ES300" s="128">
        <v>29</v>
      </c>
      <c r="ET300" s="128">
        <v>29</v>
      </c>
      <c r="EU300" s="128">
        <v>29</v>
      </c>
      <c r="EW300" s="128">
        <v>29</v>
      </c>
      <c r="EX300" s="128">
        <v>29</v>
      </c>
      <c r="EZ300" s="52"/>
      <c r="FA300" s="128">
        <v>37</v>
      </c>
      <c r="FB300" s="128">
        <v>37</v>
      </c>
      <c r="FC300" s="128">
        <v>37</v>
      </c>
      <c r="FD300" s="128">
        <v>37</v>
      </c>
      <c r="FE300" s="128">
        <v>37</v>
      </c>
      <c r="FF300" s="128">
        <v>37</v>
      </c>
      <c r="FG300" s="128">
        <v>37</v>
      </c>
      <c r="FH300" s="128">
        <v>37</v>
      </c>
      <c r="FI300" s="128">
        <v>37</v>
      </c>
      <c r="FJ300" s="128">
        <v>37</v>
      </c>
      <c r="FK300" s="152"/>
      <c r="FL300" s="152"/>
      <c r="FM300" s="128">
        <v>37</v>
      </c>
      <c r="FN300" s="128">
        <v>37</v>
      </c>
      <c r="FO300" s="128">
        <v>37</v>
      </c>
      <c r="FP300" s="128">
        <v>37</v>
      </c>
      <c r="FQ300" s="128">
        <v>37</v>
      </c>
      <c r="FR300" s="128">
        <v>37</v>
      </c>
      <c r="FS300" s="128">
        <v>37</v>
      </c>
      <c r="FT300" s="128">
        <v>37</v>
      </c>
      <c r="FU300" s="128">
        <v>37</v>
      </c>
      <c r="FV300" s="128">
        <v>37</v>
      </c>
      <c r="FX300" s="128">
        <v>37</v>
      </c>
      <c r="FY300" s="128">
        <v>37</v>
      </c>
      <c r="FZ300" s="128">
        <v>37</v>
      </c>
      <c r="GA300" s="52"/>
      <c r="GB300" s="52"/>
      <c r="GC300" s="52"/>
      <c r="GD300" s="52"/>
      <c r="GE300" s="52"/>
      <c r="GF300" s="52"/>
      <c r="GG300" s="52"/>
      <c r="GH300" s="52"/>
      <c r="GI300" s="51"/>
      <c r="GJ300" s="52"/>
      <c r="GK300" s="52"/>
      <c r="GL300" s="52"/>
      <c r="GM300" s="52"/>
      <c r="GN300" s="52"/>
      <c r="GO300" s="51"/>
      <c r="GP300" s="52"/>
      <c r="GQ300" s="52"/>
      <c r="GR300" s="129"/>
      <c r="GS300" s="129"/>
      <c r="GT300" s="129"/>
      <c r="GU300" s="129"/>
      <c r="GV300" s="3"/>
      <c r="GW300" s="129"/>
      <c r="GX300" s="129"/>
      <c r="GY300" s="129"/>
      <c r="GZ300" s="129"/>
      <c r="HA300" s="129"/>
      <c r="HB300" s="129"/>
      <c r="HC300" s="129"/>
      <c r="HD300" s="129"/>
      <c r="HE300" s="21"/>
      <c r="HF300" s="4"/>
      <c r="HG300" s="4"/>
      <c r="HH300" s="4"/>
      <c r="HI300" s="4"/>
      <c r="HJ300" s="4"/>
      <c r="HK300" s="4"/>
      <c r="HL300" s="4"/>
      <c r="HM300" s="4"/>
      <c r="HN300" s="4"/>
      <c r="HO300" s="3"/>
      <c r="HP300" s="4"/>
      <c r="HQ300" s="129"/>
      <c r="HR300" s="129"/>
      <c r="HS300" s="129"/>
      <c r="HT300" s="129"/>
      <c r="HU300" s="129"/>
      <c r="HV300" s="129"/>
      <c r="HW300" s="129"/>
      <c r="HX300" s="129"/>
      <c r="HY300" s="129"/>
      <c r="HZ300" s="129"/>
      <c r="IA300" s="129"/>
      <c r="IB300" s="129"/>
      <c r="IC300" s="129"/>
      <c r="ID300" s="129"/>
      <c r="IE300" s="129"/>
      <c r="IF300" s="129"/>
      <c r="IG300" s="129"/>
      <c r="IH300" s="129"/>
      <c r="II300" s="129"/>
      <c r="IJ300" s="129"/>
      <c r="IK300" s="129"/>
      <c r="IL300" s="129"/>
      <c r="IM300" s="129"/>
      <c r="IN300" s="129"/>
      <c r="IO300" s="129"/>
      <c r="IP300" s="129"/>
      <c r="IQ300" s="129"/>
      <c r="IR300" s="129"/>
      <c r="IS300" s="129"/>
      <c r="IT300" s="129"/>
      <c r="IU300" s="129"/>
      <c r="IV300" s="129"/>
      <c r="IW300" s="129"/>
      <c r="IX300" s="129"/>
      <c r="IY300" s="129"/>
      <c r="IZ300" s="129"/>
      <c r="JA300" s="129"/>
      <c r="JB300" s="129"/>
      <c r="JC300" s="129"/>
      <c r="JD300" s="129"/>
      <c r="JE300" s="129"/>
      <c r="JF300" s="129"/>
      <c r="JG300" s="129"/>
      <c r="JH300" s="129"/>
      <c r="JI300" s="129"/>
      <c r="JJ300" s="129"/>
      <c r="JK300" s="129"/>
      <c r="JL300" s="129"/>
      <c r="JM300" s="129"/>
      <c r="JN300" s="129"/>
      <c r="JO300" s="129"/>
      <c r="JP300" s="129"/>
      <c r="JQ300" s="129"/>
      <c r="JR300" s="129"/>
      <c r="JS300" s="129"/>
      <c r="JT300" s="129"/>
      <c r="JU300" s="129"/>
      <c r="JV300" s="129"/>
      <c r="JW300" s="129"/>
      <c r="JX300" s="129"/>
      <c r="JY300" s="129"/>
      <c r="JZ300" s="129"/>
      <c r="KA300" s="129"/>
      <c r="KB300" s="129"/>
      <c r="KC300" s="129"/>
      <c r="KD300" s="129"/>
    </row>
    <row r="301" spans="4:293" ht="17.25">
      <c r="D301" s="128"/>
      <c r="E301" s="570"/>
      <c r="F301" s="145">
        <v>44</v>
      </c>
      <c r="G301" s="639"/>
      <c r="H301" s="453">
        <f>COUNTIF(E253:BV253,F301)</f>
        <v>0</v>
      </c>
      <c r="I301" s="453">
        <f>COUNTIF(E252:BV252,F301)</f>
        <v>2</v>
      </c>
      <c r="J301" s="453">
        <f>COUNTIF(E251:BV251,F301)</f>
        <v>1</v>
      </c>
      <c r="K301" s="453">
        <f>COUNTIF(E250:BV250,F301)</f>
        <v>1</v>
      </c>
      <c r="L301" s="453">
        <f>COUNTIF(E249:BV249,F301)</f>
        <v>2</v>
      </c>
      <c r="M301" s="453">
        <f>COUNTIF(E248:BV248,F301)</f>
        <v>2</v>
      </c>
      <c r="N301" s="453">
        <f>COUNTIF(E247:BV247,F301)</f>
        <v>1</v>
      </c>
      <c r="O301" s="453">
        <f>COUNTIF(E246:BV246,F301)</f>
        <v>1</v>
      </c>
      <c r="P301" s="453">
        <f>COUNTIF(E245:BV245,F301)</f>
        <v>0</v>
      </c>
      <c r="Q301" s="453">
        <f>COUNTIF(E244:BV244,F301)</f>
        <v>0</v>
      </c>
      <c r="R301" s="453">
        <f>COUNTIF(E243:BV243,F301)</f>
        <v>1</v>
      </c>
      <c r="S301" s="453">
        <f>COUNTIF(E242:BV242,F301)</f>
        <v>5</v>
      </c>
      <c r="T301" s="453">
        <f>COUNTIF(E241:BV241,F301)</f>
        <v>1</v>
      </c>
      <c r="U301" s="453">
        <f>COUNTIF(E240:BV240,F301)</f>
        <v>1</v>
      </c>
      <c r="V301" s="453">
        <f>COUNTIF(E239:BV239,F301)</f>
        <v>1</v>
      </c>
      <c r="W301" s="453">
        <f>COUNTIF(E238:BV238,F301)</f>
        <v>2</v>
      </c>
      <c r="X301" s="453">
        <f>COUNTIF(E237:BV237,F301)</f>
        <v>1</v>
      </c>
      <c r="Y301" s="453">
        <f>COUNTIF(E236:BV236,F301)</f>
        <v>1</v>
      </c>
      <c r="Z301" s="453">
        <f>COUNTIF(E235:BV235,F301)</f>
        <v>0</v>
      </c>
      <c r="AA301" s="453">
        <f>COUNTIF(E234:BV234,F301)</f>
        <v>1</v>
      </c>
      <c r="AB301" s="453">
        <f>COUNTIF(E233:BV233,F301)</f>
        <v>0</v>
      </c>
      <c r="AC301" s="453">
        <f>COUNTIF(E232:BV232,F301)</f>
        <v>4</v>
      </c>
      <c r="AD301" s="453">
        <f>COUNTIF(E231:BV231,F301)</f>
        <v>1</v>
      </c>
      <c r="AE301" s="453">
        <f>COUNTIF(E230:BV230,F301)</f>
        <v>1</v>
      </c>
      <c r="AF301" s="453">
        <f>COUNTIF(E229:BV229,F301)</f>
        <v>1</v>
      </c>
      <c r="AG301" s="453">
        <f>COUNTIF(E228:BV228,F301)</f>
        <v>1</v>
      </c>
      <c r="AH301" s="453">
        <f>COUNTIF(E227:BV227,F301)</f>
        <v>1</v>
      </c>
      <c r="AI301" s="146">
        <f>COUNTIF(E226:BV226,F301)</f>
        <v>1</v>
      </c>
      <c r="AJ301" s="146">
        <f>COUNTIF(E225:BV225,F301)</f>
        <v>3</v>
      </c>
      <c r="AK301" s="146">
        <f>COUNTIF(E224:BV224,F301)</f>
        <v>3</v>
      </c>
      <c r="AL301" s="146">
        <f>COUNTIF(E223:BV223,F301)</f>
        <v>2</v>
      </c>
      <c r="AM301" s="146">
        <f>COUNTIF(E222:BV222,F301)</f>
        <v>0</v>
      </c>
      <c r="AN301" s="146">
        <f>COUNTIF(E221:BV221,F301)</f>
        <v>2</v>
      </c>
      <c r="AO301" s="146">
        <f>COUNTIF(E220:BV220,F301)</f>
        <v>1</v>
      </c>
      <c r="AP301" s="146">
        <f>COUNTIF(E219:BV219,F301)</f>
        <v>1</v>
      </c>
      <c r="AQ301" s="146">
        <f>COUNTIF(E218:BV218,F301)</f>
        <v>1</v>
      </c>
      <c r="AR301" s="146">
        <f>COUNTIF(E217:BV217,F301)</f>
        <v>5</v>
      </c>
      <c r="AS301" s="146">
        <f>COUNTIF(E216:BV216,F301)</f>
        <v>0</v>
      </c>
      <c r="AT301" s="146">
        <f>COUNTIF(E215:BV215,F301)</f>
        <v>1</v>
      </c>
      <c r="AU301" s="146">
        <f>COUNTIF(E214:BV214,F301)</f>
        <v>4</v>
      </c>
      <c r="AV301" s="146">
        <f>COUNTIF(E213:BV213,F301)</f>
        <v>1</v>
      </c>
      <c r="AW301" s="146">
        <f>COUNTIF(E212:BV212,F301)</f>
        <v>2</v>
      </c>
      <c r="AX301" s="146">
        <f>COUNTIF(E211:BV211,F301)</f>
        <v>1</v>
      </c>
      <c r="AY301" s="146">
        <f>COUNTIF(E210:BV210,F301)</f>
        <v>1</v>
      </c>
      <c r="AZ301" s="146">
        <f>COUNTIF(E209:BV209,F301)</f>
        <v>0</v>
      </c>
      <c r="BA301" s="146">
        <f>COUNTIF(E208:BV208,F301)</f>
        <v>0</v>
      </c>
      <c r="BB301" s="146">
        <f>COUNTIF(E207:BV207,F301)</f>
        <v>2</v>
      </c>
      <c r="BC301" s="146">
        <f>COUNTIF(E206:BV206,F301)</f>
        <v>2</v>
      </c>
      <c r="BD301" s="146">
        <f>COUNTIF(E205:BV205,F301)</f>
        <v>0</v>
      </c>
      <c r="BE301" s="146">
        <f>COUNTIF(E204:BV204,F301)</f>
        <v>1</v>
      </c>
      <c r="BF301" s="146">
        <f>COUNTIF(E203:BV203,F301)</f>
        <v>2</v>
      </c>
      <c r="BG301" s="146">
        <f>COUNTIF(E202:BV202,F301)</f>
        <v>0</v>
      </c>
      <c r="BH301" s="146">
        <f>COUNTIF(E201:BV201,F301)</f>
        <v>0</v>
      </c>
      <c r="BI301" s="146">
        <f>COUNTIF(E200:BV200,F301)</f>
        <v>1</v>
      </c>
      <c r="BJ301" s="146">
        <f>COUNTIF(E199:BV199,F301)</f>
        <v>1</v>
      </c>
      <c r="BK301" s="146">
        <f>COUNTIF(E198:BV198,F301)</f>
        <v>0</v>
      </c>
      <c r="BL301" s="146">
        <f>COUNTIF(E197:BV197,F301)</f>
        <v>0</v>
      </c>
      <c r="BM301" s="146">
        <f>COUNTIF(E196:BV196,F301)</f>
        <v>1</v>
      </c>
      <c r="BN301" s="146">
        <f>COUNTIF(E195:BV195,F301)</f>
        <v>1</v>
      </c>
      <c r="BO301" s="146">
        <f>COUNTIF(E194:BV194,F301)</f>
        <v>2</v>
      </c>
      <c r="BP301" s="146">
        <f>COUNTIF(E193:BV193,F301)</f>
        <v>2</v>
      </c>
      <c r="BQ301" s="146">
        <f>COUNTIF(E192:BV192,F301)</f>
        <v>1</v>
      </c>
      <c r="BR301" s="146">
        <f>COUNTIF(E191:BV191,F301)</f>
        <v>1</v>
      </c>
      <c r="BS301" s="146">
        <f>COUNTIF(E190:BV190,F301)</f>
        <v>0</v>
      </c>
      <c r="BT301" s="146">
        <f>COUNTIF(E189:BV189,F301)</f>
        <v>1</v>
      </c>
      <c r="BU301" s="146">
        <f>COUNTIF(E188:BV188,F301)</f>
        <v>2</v>
      </c>
      <c r="BV301" s="146">
        <f>COUNTIF(E187:BV187,F301)</f>
        <v>0</v>
      </c>
      <c r="BW301" s="146">
        <f>COUNTIF(E186:BV186,F301)</f>
        <v>4</v>
      </c>
      <c r="BX301" s="146">
        <f>COUNTIF(E185:BV185,F301)</f>
        <v>2</v>
      </c>
      <c r="BY301" s="146">
        <f>COUNTIF(E184:BV184,F301)</f>
        <v>2</v>
      </c>
      <c r="BZ301" s="146">
        <f>COUNTIF(E183:BV183,F301)</f>
        <v>3</v>
      </c>
      <c r="CA301" s="146">
        <f>COUNTIF(E182:BV182,F301)</f>
        <v>1</v>
      </c>
      <c r="CB301" s="146">
        <f>COUNTIF(E181:BV181,F301)</f>
        <v>1</v>
      </c>
      <c r="CC301" s="146">
        <f>COUNTIF(E180:BV180,F301)</f>
        <v>1</v>
      </c>
      <c r="CD301" s="146">
        <f>COUNTIF(E179:BV179,F301)</f>
        <v>1</v>
      </c>
      <c r="CE301" s="146">
        <f>COUNTIF(E178:BV178,F301)</f>
        <v>2</v>
      </c>
      <c r="CF301" s="146">
        <f>COUNTIF(E177:BV177,F301)</f>
        <v>1</v>
      </c>
      <c r="CG301" s="146">
        <f>COUNTIF(E176:BV176,F301)</f>
        <v>2</v>
      </c>
      <c r="CH301" s="146">
        <f>COUNTIF(E175:BV175,F301)</f>
        <v>2</v>
      </c>
      <c r="CI301" s="146">
        <f>COUNTIF(E174:BV174,F301)</f>
        <v>0</v>
      </c>
      <c r="CJ301" s="146">
        <f>COUNTIF(E173:BV173,F301)</f>
        <v>0</v>
      </c>
      <c r="CK301" s="146">
        <f>COUNTIF(E172:BV172,F301)</f>
        <v>1</v>
      </c>
      <c r="CL301" s="146">
        <f>COUNTIF(E171:BV171,F301)</f>
        <v>1</v>
      </c>
      <c r="CM301" s="146">
        <f>COUNTIF(E170:BV170,F301)</f>
        <v>1</v>
      </c>
      <c r="CN301" s="146">
        <f>COUNTIF(E169:BV169,F301)</f>
        <v>4</v>
      </c>
      <c r="CO301" s="146">
        <f>COUNTIF(E168:BV168,F301)</f>
        <v>0</v>
      </c>
      <c r="CP301" s="146">
        <f>COUNTIF(E167:BV167,F301)</f>
        <v>1</v>
      </c>
      <c r="CQ301" s="146">
        <f>COUNTIF(E166:BV166,F301)</f>
        <v>1</v>
      </c>
      <c r="CR301" s="146">
        <f>COUNTIF(E165:BV165,F301)</f>
        <v>4</v>
      </c>
      <c r="CS301" s="146">
        <f>COUNTIF(E164:BV164,F301)</f>
        <v>0</v>
      </c>
      <c r="CT301" s="146">
        <f>COUNTIF(E163:BV163,F301)</f>
        <v>3</v>
      </c>
      <c r="CU301" s="146">
        <f>COUNTIF(E162:BV162,F301)</f>
        <v>1</v>
      </c>
      <c r="CV301" s="146">
        <f>COUNTIF(E161:BV161,F301)</f>
        <v>2</v>
      </c>
      <c r="CW301" s="146">
        <f>COUNTIF(E160:BV160,F301)</f>
        <v>2</v>
      </c>
      <c r="CX301" s="146">
        <f>COUNTIF(E159:BV159,F301)</f>
        <v>2</v>
      </c>
      <c r="CY301" s="146">
        <f>COUNTIF(E158:BV158,F301)</f>
        <v>1</v>
      </c>
      <c r="CZ301" s="146">
        <f>COUNTIF(E157:BV157,F301)</f>
        <v>4</v>
      </c>
      <c r="DA301" s="146">
        <f>COUNTIF(E156:BV156,F301)</f>
        <v>0</v>
      </c>
      <c r="DB301" s="146">
        <f>COUNTIF(E155:BV155,F301)</f>
        <v>3</v>
      </c>
      <c r="DC301" s="146">
        <f>COUNTIF(E154:BV154,F301)</f>
        <v>1</v>
      </c>
      <c r="DD301" s="146">
        <v>3</v>
      </c>
      <c r="DE301" s="146"/>
      <c r="DF301" s="146"/>
      <c r="DG301" s="146"/>
      <c r="DH301" s="146"/>
      <c r="DI301" s="146"/>
      <c r="DJ301" s="146"/>
      <c r="DK301" s="146"/>
      <c r="DL301" s="146"/>
      <c r="DM301" s="146"/>
      <c r="DN301" s="146"/>
      <c r="DO301" s="146"/>
      <c r="DP301" s="146"/>
      <c r="DQ301" s="146"/>
      <c r="DR301" s="146"/>
      <c r="DS301" s="146"/>
      <c r="DT301" s="146"/>
      <c r="DU301" s="2"/>
      <c r="DV301" s="21"/>
      <c r="DW301" s="21"/>
      <c r="DX301" s="21"/>
      <c r="DY301" s="128">
        <v>30</v>
      </c>
      <c r="DZ301" s="128">
        <v>30</v>
      </c>
      <c r="EA301" s="128">
        <v>30</v>
      </c>
      <c r="EB301" s="128">
        <v>30</v>
      </c>
      <c r="ED301" s="128">
        <v>30</v>
      </c>
      <c r="EE301" s="128">
        <v>30</v>
      </c>
      <c r="EG301" s="128">
        <v>30</v>
      </c>
      <c r="EH301" s="128">
        <v>30</v>
      </c>
      <c r="EK301" s="128">
        <v>30</v>
      </c>
      <c r="EL301" s="128">
        <v>30</v>
      </c>
      <c r="EN301" s="128">
        <v>30</v>
      </c>
      <c r="EP301" s="128">
        <v>30</v>
      </c>
      <c r="EQ301" s="128">
        <v>30</v>
      </c>
      <c r="ER301" s="128">
        <v>30</v>
      </c>
      <c r="ES301" s="128">
        <v>30</v>
      </c>
      <c r="ET301" s="128">
        <v>30</v>
      </c>
      <c r="EV301" s="128">
        <v>30</v>
      </c>
      <c r="EX301" s="128">
        <v>30</v>
      </c>
      <c r="EZ301" s="52"/>
      <c r="FA301" s="128">
        <v>38</v>
      </c>
      <c r="FB301" s="128">
        <v>38</v>
      </c>
      <c r="FD301" s="128">
        <v>38</v>
      </c>
      <c r="FE301" s="128">
        <v>38</v>
      </c>
      <c r="FG301" s="128">
        <v>38</v>
      </c>
      <c r="FI301" s="128">
        <v>38</v>
      </c>
      <c r="FK301" s="129"/>
      <c r="FL301" s="152"/>
      <c r="FM301" s="128">
        <v>38</v>
      </c>
      <c r="FO301" s="128">
        <v>38</v>
      </c>
      <c r="FQ301" s="128">
        <v>38</v>
      </c>
      <c r="FR301" s="128">
        <v>38</v>
      </c>
      <c r="FS301" s="128">
        <v>38</v>
      </c>
      <c r="FT301" s="128">
        <v>38</v>
      </c>
      <c r="FV301" s="128">
        <v>38</v>
      </c>
      <c r="FW301" s="128">
        <v>38</v>
      </c>
      <c r="FX301" s="128">
        <v>38</v>
      </c>
      <c r="FY301" s="128">
        <v>38</v>
      </c>
      <c r="FZ301" s="128">
        <v>38</v>
      </c>
      <c r="GA301" s="52"/>
      <c r="GB301" s="52"/>
      <c r="GC301" s="52"/>
      <c r="GD301" s="52"/>
      <c r="GE301" s="52"/>
      <c r="GF301" s="52"/>
      <c r="GG301" s="52"/>
      <c r="GH301" s="52"/>
      <c r="GI301" s="52"/>
      <c r="GJ301" s="51"/>
      <c r="GK301" s="52"/>
      <c r="GL301" s="52"/>
      <c r="GM301" s="52"/>
      <c r="GN301" s="52"/>
      <c r="GO301" s="52"/>
      <c r="GP301" s="52"/>
      <c r="GQ301" s="52"/>
      <c r="GR301" s="129"/>
      <c r="GS301" s="129"/>
      <c r="GT301" s="129"/>
      <c r="GU301" s="129"/>
      <c r="GV301" s="129"/>
      <c r="GW301" s="129"/>
      <c r="GX301" s="129"/>
      <c r="GY301" s="129"/>
      <c r="GZ301" s="129"/>
      <c r="HA301" s="129"/>
      <c r="HB301" s="129"/>
      <c r="HC301" s="129"/>
      <c r="HD301" s="129"/>
      <c r="HE301" s="21"/>
      <c r="HF301" s="21"/>
      <c r="HG301" s="4"/>
      <c r="HH301" s="4"/>
      <c r="HI301" s="4"/>
      <c r="HJ301" s="4"/>
      <c r="HK301" s="4"/>
      <c r="HL301" s="4"/>
      <c r="HM301" s="4"/>
      <c r="HN301" s="4"/>
      <c r="HO301" s="4"/>
      <c r="HP301" s="3"/>
      <c r="HQ301" s="129"/>
      <c r="HR301" s="129"/>
      <c r="HS301" s="129"/>
      <c r="HT301" s="129"/>
      <c r="HU301" s="129"/>
      <c r="HV301" s="129"/>
      <c r="HW301" s="129"/>
      <c r="HX301" s="129"/>
      <c r="HY301" s="129"/>
      <c r="HZ301" s="129"/>
      <c r="IA301" s="129"/>
      <c r="IB301" s="129"/>
      <c r="IC301" s="129"/>
      <c r="ID301" s="129"/>
      <c r="IE301" s="129"/>
      <c r="IF301" s="129"/>
      <c r="IG301" s="129"/>
      <c r="IH301" s="129"/>
      <c r="II301" s="129"/>
      <c r="IJ301" s="129"/>
      <c r="IK301" s="129"/>
      <c r="IL301" s="129"/>
      <c r="IM301" s="129"/>
      <c r="IN301" s="129"/>
      <c r="IO301" s="129"/>
      <c r="IP301" s="129"/>
      <c r="IQ301" s="129"/>
      <c r="IR301" s="129"/>
      <c r="IS301" s="129"/>
      <c r="IT301" s="129"/>
      <c r="IU301" s="129"/>
      <c r="IV301" s="129"/>
      <c r="IW301" s="129"/>
      <c r="IX301" s="129"/>
      <c r="IY301" s="129"/>
      <c r="IZ301" s="129"/>
      <c r="JA301" s="129"/>
      <c r="JB301" s="129"/>
      <c r="JC301" s="129"/>
      <c r="JD301" s="129"/>
      <c r="JE301" s="129"/>
      <c r="JF301" s="129"/>
      <c r="JG301" s="129"/>
      <c r="JH301" s="129"/>
      <c r="JI301" s="129"/>
      <c r="JJ301" s="129"/>
      <c r="JK301" s="129"/>
      <c r="JL301" s="129"/>
      <c r="JM301" s="129"/>
      <c r="JN301" s="129"/>
      <c r="JO301" s="129"/>
      <c r="JP301" s="129"/>
      <c r="JQ301" s="129"/>
      <c r="JR301" s="129"/>
      <c r="JS301" s="129"/>
      <c r="JT301" s="129"/>
      <c r="JU301" s="129"/>
      <c r="JV301" s="129"/>
      <c r="JW301" s="129"/>
      <c r="JX301" s="129"/>
      <c r="JY301" s="129"/>
      <c r="JZ301" s="129"/>
      <c r="KA301" s="129"/>
      <c r="KB301" s="129"/>
      <c r="KC301" s="129"/>
      <c r="KD301" s="129"/>
    </row>
    <row r="302" spans="4:293" ht="18" thickBot="1">
      <c r="D302" s="128"/>
      <c r="E302" s="570">
        <v>45</v>
      </c>
      <c r="F302" s="147">
        <v>45</v>
      </c>
      <c r="G302" s="640"/>
      <c r="H302" s="453">
        <f>COUNTIF(E253:BV253,F302)</f>
        <v>1</v>
      </c>
      <c r="I302" s="453">
        <f>COUNTIF(E252:BV252,F302)</f>
        <v>0</v>
      </c>
      <c r="J302" s="453">
        <f>COUNTIF(E251:BV251,F302)</f>
        <v>1</v>
      </c>
      <c r="K302" s="453">
        <f>COUNTIF(E250:BV250,F302)</f>
        <v>3</v>
      </c>
      <c r="L302" s="453">
        <f>COUNTIF(E249:BV249,F302)</f>
        <v>1</v>
      </c>
      <c r="M302" s="453">
        <f>COUNTIF(E248:BV248,F302)</f>
        <v>1</v>
      </c>
      <c r="N302" s="453">
        <f>COUNTIF(E247:BV247,F302)</f>
        <v>2</v>
      </c>
      <c r="O302" s="453">
        <f>COUNTIF(E246:BV246,F302)</f>
        <v>1</v>
      </c>
      <c r="P302" s="453">
        <f>COUNTIF(E245:BV245,F302)</f>
        <v>3</v>
      </c>
      <c r="Q302" s="453">
        <f>COUNTIF(E244:BV244,F302)</f>
        <v>2</v>
      </c>
      <c r="R302" s="453">
        <f>COUNTIF(E243:BV243,F302)</f>
        <v>3</v>
      </c>
      <c r="S302" s="453">
        <f>COUNTIF(E242:BV242,F302)</f>
        <v>8</v>
      </c>
      <c r="T302" s="453">
        <f>COUNTIF(E241:BV241,F302)</f>
        <v>4</v>
      </c>
      <c r="U302" s="453">
        <f>COUNTIF(E240:BV240,F302)</f>
        <v>0</v>
      </c>
      <c r="V302" s="453">
        <f>COUNTIF(E239:BV239,F302)</f>
        <v>0</v>
      </c>
      <c r="W302" s="453">
        <f>COUNTIF(E238:BV238,F302)</f>
        <v>0</v>
      </c>
      <c r="X302" s="453">
        <f>COUNTIF(E237:BV237,F302)</f>
        <v>1</v>
      </c>
      <c r="Y302" s="453">
        <f>COUNTIF(E236:BV236,F302)</f>
        <v>1</v>
      </c>
      <c r="Z302" s="453">
        <f>COUNTIF(E235:BV235,F302)</f>
        <v>0</v>
      </c>
      <c r="AA302" s="453">
        <f>COUNTIF(E234:BV234,F302)</f>
        <v>2</v>
      </c>
      <c r="AB302" s="453">
        <f>COUNTIF(E233:BV233,F302)</f>
        <v>3</v>
      </c>
      <c r="AC302" s="453">
        <f>COUNTIF(E232:BV232,F302)</f>
        <v>0</v>
      </c>
      <c r="AD302" s="453">
        <f>COUNTIF(E231:BV231,F302)</f>
        <v>0</v>
      </c>
      <c r="AE302" s="453">
        <f>COUNTIF(E230:BV230,F302)</f>
        <v>1</v>
      </c>
      <c r="AF302" s="453">
        <f>COUNTIF(E229:BV229,F302)</f>
        <v>0</v>
      </c>
      <c r="AG302" s="453">
        <f>COUNTIF(E228:BV228,F302)</f>
        <v>1</v>
      </c>
      <c r="AH302" s="453">
        <f>COUNTIF(E227:BV227,F302)</f>
        <v>1</v>
      </c>
      <c r="AI302" s="146">
        <f>COUNTIF(E226:BV226,F302)</f>
        <v>0</v>
      </c>
      <c r="AJ302" s="146">
        <f>COUNTIF(E225:BV225,F302)</f>
        <v>2</v>
      </c>
      <c r="AK302" s="146">
        <f>COUNTIF(E224:BV224,F302)</f>
        <v>2</v>
      </c>
      <c r="AL302" s="146">
        <f>COUNTIF(E223:BV223,F302)</f>
        <v>1</v>
      </c>
      <c r="AM302" s="146">
        <f>COUNTIF(E222:BV222,F302)</f>
        <v>1</v>
      </c>
      <c r="AN302" s="146">
        <f>COUNTIF(E221:BV221,F302)</f>
        <v>0</v>
      </c>
      <c r="AO302" s="146">
        <f>COUNTIF(E220:BV220,F302)</f>
        <v>0</v>
      </c>
      <c r="AP302" s="146">
        <f>COUNTIF(E219:BV219,F302)</f>
        <v>1</v>
      </c>
      <c r="AQ302" s="146">
        <f>COUNTIF(E218:BV218,F302)</f>
        <v>1</v>
      </c>
      <c r="AR302" s="146">
        <f>COUNTIF(E217:BV217,F302)</f>
        <v>3</v>
      </c>
      <c r="AS302" s="146">
        <f>COUNTIF(E216:BV216,F302)</f>
        <v>2</v>
      </c>
      <c r="AT302" s="146">
        <f>COUNTIF(E215:BV215,F302)</f>
        <v>1</v>
      </c>
      <c r="AU302" s="146">
        <f>COUNTIF(E214:BV214,F302)</f>
        <v>1</v>
      </c>
      <c r="AV302" s="146">
        <f>COUNTIF(E213:BV213,F302)</f>
        <v>1</v>
      </c>
      <c r="AW302" s="146">
        <f>COUNTIF(E212:BV212,F302)</f>
        <v>0</v>
      </c>
      <c r="AX302" s="146">
        <f>COUNTIF(E211:BV211,F302)</f>
        <v>0</v>
      </c>
      <c r="AY302" s="146">
        <f>COUNTIF(E210:BV210,F302)</f>
        <v>1</v>
      </c>
      <c r="AZ302" s="146">
        <f>COUNTIF(E209:BV209,F302)</f>
        <v>2</v>
      </c>
      <c r="BA302" s="146">
        <f>COUNTIF(E208:BV208,F302)</f>
        <v>0</v>
      </c>
      <c r="BB302" s="146">
        <f>COUNTIF(E207:BV207,F302)</f>
        <v>1</v>
      </c>
      <c r="BC302" s="146">
        <f>COUNTIF(E206:BV206,F302)</f>
        <v>2</v>
      </c>
      <c r="BD302" s="146">
        <f>COUNTIF(E205:BV205,F302)</f>
        <v>1</v>
      </c>
      <c r="BE302" s="146">
        <f>COUNTIF(E204:BV204,F302)</f>
        <v>1</v>
      </c>
      <c r="BF302" s="146">
        <f>COUNTIF(E203:BV203,F302)</f>
        <v>2</v>
      </c>
      <c r="BG302" s="146">
        <f>COUNTIF(E202:BV202,F302)</f>
        <v>3</v>
      </c>
      <c r="BH302" s="146">
        <f>COUNTIF(E201:BV201,F302)</f>
        <v>1</v>
      </c>
      <c r="BI302" s="146">
        <f>COUNTIF(E200:BV200,F302)</f>
        <v>3</v>
      </c>
      <c r="BJ302" s="146">
        <f>COUNTIF(E199:BV199,F302)</f>
        <v>1</v>
      </c>
      <c r="BK302" s="146">
        <f>COUNTIF(E198:BV198,F302)</f>
        <v>1</v>
      </c>
      <c r="BL302" s="146">
        <f>COUNTIF(E197:BV197,F302)</f>
        <v>1</v>
      </c>
      <c r="BM302" s="146">
        <f>COUNTIF(E196:BV196,F302)</f>
        <v>0</v>
      </c>
      <c r="BN302" s="146">
        <f>COUNTIF(E195:BV195,F302)</f>
        <v>0</v>
      </c>
      <c r="BO302" s="146">
        <f>COUNTIF(E194:BV194,F302)</f>
        <v>3</v>
      </c>
      <c r="BP302" s="146">
        <f>COUNTIF(E193:BV193,F302)</f>
        <v>0</v>
      </c>
      <c r="BQ302" s="146">
        <f>COUNTIF(E192:BV192,F302)</f>
        <v>1</v>
      </c>
      <c r="BR302" s="146">
        <f>COUNTIF(E191:BV191,F302)</f>
        <v>1</v>
      </c>
      <c r="BS302" s="146">
        <f>COUNTIF(E190:BV190,F302)</f>
        <v>0</v>
      </c>
      <c r="BT302" s="146">
        <f>COUNTIF(E189:BV189,F302)</f>
        <v>1</v>
      </c>
      <c r="BU302" s="146">
        <f>COUNTIF(E188:BV188,F302)</f>
        <v>1</v>
      </c>
      <c r="BV302" s="146">
        <f>COUNTIF(E187:BV187,F302)</f>
        <v>1</v>
      </c>
      <c r="BW302" s="146">
        <f>COUNTIF(E186:BV186,F302)</f>
        <v>1</v>
      </c>
      <c r="BX302" s="146">
        <f>COUNTIF(E185:BV185,F302)</f>
        <v>2</v>
      </c>
      <c r="BY302" s="146">
        <f>COUNTIF(E184:BV184,F302)</f>
        <v>3</v>
      </c>
      <c r="BZ302" s="146">
        <f>COUNTIF(E183:BV183,F302)</f>
        <v>0</v>
      </c>
      <c r="CA302" s="146">
        <f>COUNTIF(E182:BV182,F302)</f>
        <v>0</v>
      </c>
      <c r="CB302" s="146">
        <f>COUNTIF(E181:BV181,F302)</f>
        <v>1</v>
      </c>
      <c r="CC302" s="146">
        <f>COUNTIF(E180:BV180,F302)</f>
        <v>1</v>
      </c>
      <c r="CD302" s="146">
        <f>COUNTIF(E179:BV179,F302)</f>
        <v>0</v>
      </c>
      <c r="CE302" s="146">
        <f>COUNTIF(E178:BV178,F302)</f>
        <v>0</v>
      </c>
      <c r="CF302" s="146">
        <f>COUNTIF(E177:BV177,F302)</f>
        <v>3</v>
      </c>
      <c r="CG302" s="146">
        <f>COUNTIF(E176:BV176,F302)</f>
        <v>1</v>
      </c>
      <c r="CH302" s="146">
        <f>COUNTIF(E175:BV175,F302)</f>
        <v>2</v>
      </c>
      <c r="CI302" s="146">
        <f>COUNTIF(E174:BV174,F302)</f>
        <v>8</v>
      </c>
      <c r="CJ302" s="146">
        <f>COUNTIF(E173:BV173,F302)</f>
        <v>4</v>
      </c>
      <c r="CK302" s="146">
        <f>COUNTIF(E172:BV172,F302)</f>
        <v>0</v>
      </c>
      <c r="CL302" s="146">
        <f>COUNTIF(E171:BV171,F302)</f>
        <v>7</v>
      </c>
      <c r="CM302" s="146">
        <f>COUNTIF(E170:BV170,F302)</f>
        <v>1</v>
      </c>
      <c r="CN302" s="146">
        <f>COUNTIF(E169:BV169,F302)</f>
        <v>0</v>
      </c>
      <c r="CO302" s="146">
        <f>COUNTIF(E168:BV168,F302)</f>
        <v>0</v>
      </c>
      <c r="CP302" s="146">
        <f>COUNTIF(E167:BV167,F302)</f>
        <v>1</v>
      </c>
      <c r="CQ302" s="146">
        <f>COUNTIF(E166:BV166,F302)</f>
        <v>0</v>
      </c>
      <c r="CR302" s="146">
        <f>COUNTIF(E165:BV165,F302)</f>
        <v>0</v>
      </c>
      <c r="CS302" s="146">
        <f>COUNTIF(E164:BV164,F302)</f>
        <v>3</v>
      </c>
      <c r="CT302" s="146">
        <f>COUNTIF(E163:BV163,F302)</f>
        <v>2</v>
      </c>
      <c r="CU302" s="146">
        <f>COUNTIF(E162:BV162,F302)</f>
        <v>1</v>
      </c>
      <c r="CV302" s="146">
        <f>COUNTIF(E161:BV161,F302)</f>
        <v>0</v>
      </c>
      <c r="CW302" s="146">
        <f>COUNTIF(E160:BV160,F302)</f>
        <v>3</v>
      </c>
      <c r="CX302" s="146">
        <f>COUNTIF(E159:BV159,F302)</f>
        <v>1</v>
      </c>
      <c r="CY302" s="146">
        <f>COUNTIF(E158:BV158,F302)</f>
        <v>0</v>
      </c>
      <c r="CZ302" s="146">
        <f>COUNTIF(E157:BV157,F302)</f>
        <v>3</v>
      </c>
      <c r="DA302" s="146">
        <f>COUNTIF(E156:BV156,F302)</f>
        <v>0</v>
      </c>
      <c r="DB302" s="146">
        <f>COUNTIF(E155:BV155,F302)</f>
        <v>2</v>
      </c>
      <c r="DC302" s="146">
        <f>COUNTIF(E154:BV154,F302)</f>
        <v>1</v>
      </c>
      <c r="DD302" s="146">
        <v>1</v>
      </c>
      <c r="DE302" s="146"/>
      <c r="DF302" s="146"/>
      <c r="DG302" s="146"/>
      <c r="DH302" s="146"/>
      <c r="DI302" s="146"/>
      <c r="DJ302" s="146"/>
      <c r="DK302" s="146"/>
      <c r="DL302" s="146"/>
      <c r="DM302" s="146"/>
      <c r="DN302" s="146"/>
      <c r="DO302" s="146"/>
      <c r="DP302" s="146"/>
      <c r="DQ302" s="146"/>
      <c r="DR302" s="146"/>
      <c r="DS302" s="146"/>
      <c r="DT302" s="146"/>
      <c r="DU302" s="2"/>
      <c r="DV302" s="2"/>
      <c r="DW302" s="21"/>
      <c r="DX302" s="21"/>
      <c r="DY302" s="128">
        <v>31</v>
      </c>
      <c r="DZ302" s="128">
        <v>31</v>
      </c>
      <c r="EA302" s="128">
        <v>31</v>
      </c>
      <c r="EC302" s="128">
        <v>31</v>
      </c>
      <c r="ED302" s="128">
        <v>31</v>
      </c>
      <c r="EE302" s="128">
        <v>31</v>
      </c>
      <c r="EF302" s="128">
        <v>31</v>
      </c>
      <c r="EH302" s="128">
        <v>31</v>
      </c>
      <c r="EK302" s="128">
        <v>31</v>
      </c>
      <c r="EL302" s="128">
        <v>31</v>
      </c>
      <c r="EM302" s="128">
        <v>31</v>
      </c>
      <c r="EN302" s="128">
        <v>31</v>
      </c>
      <c r="EO302" s="128">
        <v>31</v>
      </c>
      <c r="EP302" s="128">
        <v>31</v>
      </c>
      <c r="EQ302" s="128">
        <v>31</v>
      </c>
      <c r="ER302" s="128">
        <v>31</v>
      </c>
      <c r="ES302" s="128">
        <v>31</v>
      </c>
      <c r="ET302" s="128">
        <v>31</v>
      </c>
      <c r="EU302" s="128">
        <v>31</v>
      </c>
      <c r="EV302" s="128">
        <v>31</v>
      </c>
      <c r="EW302" s="128">
        <v>31</v>
      </c>
      <c r="EX302" s="128">
        <v>31</v>
      </c>
      <c r="EZ302" s="52"/>
      <c r="FA302" s="128">
        <v>39</v>
      </c>
      <c r="FC302" s="128">
        <v>39</v>
      </c>
      <c r="FD302" s="128">
        <v>39</v>
      </c>
      <c r="FE302" s="128">
        <v>39</v>
      </c>
      <c r="FF302" s="128">
        <v>39</v>
      </c>
      <c r="FG302" s="128">
        <v>39</v>
      </c>
      <c r="FI302" s="128">
        <v>39</v>
      </c>
      <c r="FJ302" s="128">
        <v>39</v>
      </c>
      <c r="FK302" s="129"/>
      <c r="FL302" s="152"/>
      <c r="FM302" s="128">
        <v>39</v>
      </c>
      <c r="FO302" s="128">
        <v>39</v>
      </c>
      <c r="FP302" s="128">
        <v>39</v>
      </c>
      <c r="FR302" s="128">
        <v>39</v>
      </c>
      <c r="FT302" s="128">
        <v>39</v>
      </c>
      <c r="FV302" s="128">
        <v>39</v>
      </c>
      <c r="FW302" s="128">
        <v>39</v>
      </c>
      <c r="FX302" s="128">
        <v>39</v>
      </c>
      <c r="FY302" s="128">
        <v>39</v>
      </c>
      <c r="FZ302" s="128">
        <v>39</v>
      </c>
      <c r="GA302" s="52"/>
      <c r="GB302" s="52"/>
      <c r="GC302" s="52"/>
      <c r="GD302" s="52"/>
      <c r="GE302" s="52"/>
      <c r="GF302" s="52"/>
      <c r="GG302" s="52"/>
      <c r="GH302" s="52"/>
      <c r="GI302" s="51"/>
      <c r="GJ302" s="52"/>
      <c r="GK302" s="52"/>
      <c r="GL302" s="51"/>
      <c r="GM302" s="52"/>
      <c r="GN302" s="52"/>
      <c r="GO302" s="52"/>
      <c r="GP302" s="52"/>
      <c r="GQ302" s="52"/>
      <c r="GR302" s="129"/>
      <c r="GS302" s="129"/>
      <c r="GT302" s="129"/>
      <c r="GU302" s="129"/>
      <c r="GV302" s="129"/>
      <c r="GW302" s="129"/>
      <c r="GX302" s="129"/>
      <c r="GY302" s="129"/>
      <c r="GZ302" s="129"/>
      <c r="HA302" s="129"/>
      <c r="HB302" s="129"/>
      <c r="HC302" s="129"/>
      <c r="HD302" s="129"/>
      <c r="HE302" s="129"/>
      <c r="HF302" s="21"/>
      <c r="HG302" s="21"/>
      <c r="HH302" s="21"/>
      <c r="HI302" s="4"/>
      <c r="HJ302" s="4"/>
      <c r="HK302" s="4"/>
      <c r="HL302" s="4"/>
      <c r="HM302" s="4"/>
      <c r="HN302" s="4"/>
      <c r="HO302" s="4"/>
      <c r="HP302" s="4"/>
      <c r="HQ302" s="4"/>
      <c r="HR302" s="129"/>
      <c r="HS302" s="129"/>
      <c r="HT302" s="129"/>
      <c r="HU302" s="129"/>
      <c r="HV302" s="129"/>
      <c r="HW302" s="129"/>
      <c r="HX302" s="129"/>
      <c r="HY302" s="129"/>
      <c r="HZ302" s="129"/>
      <c r="IA302" s="129"/>
      <c r="IB302" s="129"/>
      <c r="IC302" s="129"/>
      <c r="ID302" s="129"/>
      <c r="IE302" s="129"/>
      <c r="IF302" s="129"/>
      <c r="IG302" s="129"/>
      <c r="IH302" s="129"/>
      <c r="II302" s="129"/>
      <c r="IJ302" s="129"/>
      <c r="IK302" s="129"/>
      <c r="IL302" s="129"/>
      <c r="IM302" s="129"/>
      <c r="IN302" s="129"/>
      <c r="IO302" s="129"/>
      <c r="IP302" s="129"/>
      <c r="IQ302" s="129"/>
      <c r="IR302" s="129"/>
      <c r="IS302" s="129"/>
      <c r="IT302" s="129"/>
      <c r="IU302" s="129"/>
      <c r="IV302" s="129"/>
      <c r="IW302" s="129"/>
      <c r="IX302" s="129"/>
      <c r="IY302" s="129"/>
      <c r="IZ302" s="129"/>
      <c r="JA302" s="129"/>
      <c r="JB302" s="129"/>
      <c r="JC302" s="129"/>
      <c r="JD302" s="129"/>
      <c r="JE302" s="129"/>
      <c r="JF302" s="129"/>
      <c r="JG302" s="129"/>
      <c r="JH302" s="129"/>
      <c r="JI302" s="129"/>
      <c r="JJ302" s="129"/>
      <c r="JK302" s="129"/>
      <c r="JL302" s="129"/>
      <c r="JM302" s="129"/>
      <c r="JN302" s="129"/>
      <c r="JO302" s="129"/>
      <c r="JP302" s="129"/>
      <c r="JQ302" s="129"/>
      <c r="JR302" s="129"/>
      <c r="JS302" s="129"/>
      <c r="JT302" s="129"/>
      <c r="JU302" s="129"/>
      <c r="JV302" s="129"/>
      <c r="JW302" s="129"/>
      <c r="JX302" s="129"/>
      <c r="JY302" s="129"/>
      <c r="JZ302" s="129"/>
      <c r="KA302" s="129"/>
      <c r="KB302" s="129"/>
      <c r="KC302" s="129"/>
      <c r="KD302" s="129"/>
      <c r="KE302" s="129"/>
    </row>
    <row r="303" spans="4:293" ht="18" customHeight="1">
      <c r="G303" s="570"/>
      <c r="H303" s="570">
        <f t="shared" ref="H303:N303" si="1995">COUNTIF(H258:H302,"0")</f>
        <v>13</v>
      </c>
      <c r="I303" s="570">
        <f t="shared" si="1995"/>
        <v>6</v>
      </c>
      <c r="J303" s="546">
        <f t="shared" si="1995"/>
        <v>10</v>
      </c>
      <c r="K303" s="546">
        <f t="shared" si="1995"/>
        <v>8</v>
      </c>
      <c r="L303" s="546">
        <f t="shared" si="1995"/>
        <v>8</v>
      </c>
      <c r="M303" s="546">
        <f t="shared" si="1995"/>
        <v>7</v>
      </c>
      <c r="N303" s="534">
        <f t="shared" si="1995"/>
        <v>10</v>
      </c>
      <c r="O303" s="534">
        <f t="shared" ref="O303:T303" si="1996">COUNTIF(O258:O302,"0")</f>
        <v>9</v>
      </c>
      <c r="P303" s="534">
        <f t="shared" si="1996"/>
        <v>12</v>
      </c>
      <c r="Q303" s="526">
        <f t="shared" si="1996"/>
        <v>10</v>
      </c>
      <c r="R303" s="520">
        <f t="shared" si="1996"/>
        <v>15</v>
      </c>
      <c r="S303" s="520">
        <f t="shared" si="1996"/>
        <v>14</v>
      </c>
      <c r="T303" s="509">
        <f t="shared" si="1996"/>
        <v>13</v>
      </c>
      <c r="U303" s="509">
        <f t="shared" ref="U303:AG303" si="1997">COUNTIF(U258:U302,"0")</f>
        <v>9</v>
      </c>
      <c r="V303" s="509">
        <f t="shared" si="1997"/>
        <v>9</v>
      </c>
      <c r="W303" s="509">
        <f t="shared" si="1997"/>
        <v>13</v>
      </c>
      <c r="X303" s="509">
        <f t="shared" si="1997"/>
        <v>13</v>
      </c>
      <c r="Y303" s="494">
        <f t="shared" si="1997"/>
        <v>9</v>
      </c>
      <c r="Z303" s="494">
        <f t="shared" si="1997"/>
        <v>10</v>
      </c>
      <c r="AA303" s="446">
        <f t="shared" si="1997"/>
        <v>6</v>
      </c>
      <c r="AB303" s="446">
        <f t="shared" si="1997"/>
        <v>11</v>
      </c>
      <c r="AC303" s="446">
        <f t="shared" si="1997"/>
        <v>10</v>
      </c>
      <c r="AD303" s="446">
        <f t="shared" si="1997"/>
        <v>11</v>
      </c>
      <c r="AE303" s="446">
        <f t="shared" si="1997"/>
        <v>7</v>
      </c>
      <c r="AF303" s="446">
        <f t="shared" si="1997"/>
        <v>6</v>
      </c>
      <c r="AG303" s="446">
        <f t="shared" si="1997"/>
        <v>8</v>
      </c>
      <c r="AH303" s="446">
        <f t="shared" ref="AH303:AM303" si="1998">COUNTIF(AH258:AH302,"0")</f>
        <v>13</v>
      </c>
      <c r="AI303" s="436">
        <f t="shared" si="1998"/>
        <v>10</v>
      </c>
      <c r="AJ303" s="436">
        <f t="shared" si="1998"/>
        <v>9</v>
      </c>
      <c r="AK303" s="436">
        <f t="shared" si="1998"/>
        <v>6</v>
      </c>
      <c r="AL303" s="428">
        <f t="shared" si="1998"/>
        <v>8</v>
      </c>
      <c r="AM303" s="428">
        <f t="shared" si="1998"/>
        <v>9</v>
      </c>
      <c r="AN303" s="428">
        <f t="shared" ref="AN303:AT303" si="1999">COUNTIF(AN258:AN302,"0")</f>
        <v>8</v>
      </c>
      <c r="AO303" s="408">
        <f t="shared" si="1999"/>
        <v>11</v>
      </c>
      <c r="AP303" s="408">
        <f t="shared" si="1999"/>
        <v>9</v>
      </c>
      <c r="AQ303" s="408">
        <f t="shared" si="1999"/>
        <v>7</v>
      </c>
      <c r="AR303" s="408">
        <f t="shared" si="1999"/>
        <v>10</v>
      </c>
      <c r="AS303" s="408">
        <f t="shared" si="1999"/>
        <v>10</v>
      </c>
      <c r="AT303" s="408">
        <f t="shared" si="1999"/>
        <v>9</v>
      </c>
      <c r="AU303" s="408">
        <f t="shared" ref="AU303:AZ303" si="2000">COUNTIF(AU258:AU302,"0")</f>
        <v>8</v>
      </c>
      <c r="AV303" s="369">
        <f t="shared" si="2000"/>
        <v>12</v>
      </c>
      <c r="AW303" s="369">
        <f t="shared" si="2000"/>
        <v>6</v>
      </c>
      <c r="AX303" s="369">
        <f t="shared" si="2000"/>
        <v>9</v>
      </c>
      <c r="AY303" s="369">
        <f t="shared" si="2000"/>
        <v>6</v>
      </c>
      <c r="AZ303" s="369">
        <f t="shared" si="2000"/>
        <v>9</v>
      </c>
      <c r="BA303" s="369">
        <f t="shared" ref="BA303:BF303" si="2001">COUNTIF(BA258:BA302,"0")</f>
        <v>10</v>
      </c>
      <c r="BB303" s="369">
        <f t="shared" si="2001"/>
        <v>9</v>
      </c>
      <c r="BC303" s="358">
        <f t="shared" si="2001"/>
        <v>10</v>
      </c>
      <c r="BD303" s="358">
        <f t="shared" si="2001"/>
        <v>8</v>
      </c>
      <c r="BE303" s="358">
        <f t="shared" si="2001"/>
        <v>7</v>
      </c>
      <c r="BF303" s="358">
        <f t="shared" si="2001"/>
        <v>7</v>
      </c>
      <c r="BG303" s="358">
        <f t="shared" ref="BG303:BL303" si="2002">COUNTIF(BG258:BG302,"0")</f>
        <v>8</v>
      </c>
      <c r="BH303" s="358">
        <f t="shared" si="2002"/>
        <v>13</v>
      </c>
      <c r="BI303" s="354">
        <f t="shared" si="2002"/>
        <v>8</v>
      </c>
      <c r="BJ303" s="338">
        <f t="shared" si="2002"/>
        <v>11</v>
      </c>
      <c r="BK303" s="338">
        <f t="shared" si="2002"/>
        <v>9</v>
      </c>
      <c r="BL303" s="338">
        <f t="shared" si="2002"/>
        <v>11</v>
      </c>
      <c r="BM303" s="338">
        <f t="shared" ref="BM303:BS303" si="2003">COUNTIF(BM258:BM302,"0")</f>
        <v>7</v>
      </c>
      <c r="BN303" s="338">
        <f t="shared" si="2003"/>
        <v>8</v>
      </c>
      <c r="BO303" s="338">
        <f t="shared" si="2003"/>
        <v>7</v>
      </c>
      <c r="BP303" s="338">
        <f t="shared" si="2003"/>
        <v>7</v>
      </c>
      <c r="BQ303" s="338">
        <f t="shared" si="2003"/>
        <v>8</v>
      </c>
      <c r="BR303" s="338">
        <f t="shared" si="2003"/>
        <v>9</v>
      </c>
      <c r="BS303" s="338">
        <f t="shared" si="2003"/>
        <v>8</v>
      </c>
      <c r="BT303" s="331">
        <f t="shared" ref="BT303:CA303" si="2004">COUNTIF(BT258:BT302,"0")</f>
        <v>6</v>
      </c>
      <c r="BU303" s="331">
        <f t="shared" si="2004"/>
        <v>7</v>
      </c>
      <c r="BV303" s="331">
        <f t="shared" si="2004"/>
        <v>9</v>
      </c>
      <c r="BW303" s="331">
        <f t="shared" si="2004"/>
        <v>8</v>
      </c>
      <c r="BX303" s="277">
        <f t="shared" si="2004"/>
        <v>14</v>
      </c>
      <c r="BY303" s="277">
        <f t="shared" si="2004"/>
        <v>7</v>
      </c>
      <c r="BZ303" s="277">
        <f t="shared" si="2004"/>
        <v>12</v>
      </c>
      <c r="CA303" s="277">
        <f t="shared" si="2004"/>
        <v>6</v>
      </c>
      <c r="CB303" s="277">
        <f t="shared" ref="CB303:CH303" si="2005">COUNTIF(CB258:CB302,"0")</f>
        <v>9</v>
      </c>
      <c r="CC303" s="277">
        <f t="shared" si="2005"/>
        <v>8</v>
      </c>
      <c r="CD303" s="277">
        <f t="shared" si="2005"/>
        <v>8</v>
      </c>
      <c r="CE303" s="277">
        <f t="shared" si="2005"/>
        <v>10</v>
      </c>
      <c r="CF303" s="277">
        <f t="shared" si="2005"/>
        <v>9</v>
      </c>
      <c r="CG303" s="277">
        <f t="shared" si="2005"/>
        <v>8</v>
      </c>
      <c r="CH303" s="275">
        <f t="shared" si="2005"/>
        <v>12</v>
      </c>
      <c r="CI303" s="273">
        <f t="shared" ref="CI303:CN303" si="2006">COUNTIF(CI258:CI302,"0")</f>
        <v>12</v>
      </c>
      <c r="CJ303" s="270">
        <f t="shared" si="2006"/>
        <v>30</v>
      </c>
      <c r="CK303" s="268">
        <f t="shared" si="2006"/>
        <v>7</v>
      </c>
      <c r="CL303" s="266">
        <f t="shared" si="2006"/>
        <v>13</v>
      </c>
      <c r="CM303" s="262">
        <f t="shared" si="2006"/>
        <v>11</v>
      </c>
      <c r="CN303" s="261">
        <f t="shared" si="2006"/>
        <v>6</v>
      </c>
      <c r="CO303" s="258">
        <f t="shared" ref="CO303:CT303" si="2007">COUNTIF(CO258:CO302,"0")</f>
        <v>9</v>
      </c>
      <c r="CP303" s="255">
        <f t="shared" si="2007"/>
        <v>11</v>
      </c>
      <c r="CQ303" s="254">
        <f t="shared" si="2007"/>
        <v>8</v>
      </c>
      <c r="CR303" s="251">
        <f t="shared" si="2007"/>
        <v>8</v>
      </c>
      <c r="CS303" s="249">
        <f t="shared" si="2007"/>
        <v>8</v>
      </c>
      <c r="CT303" s="246">
        <f t="shared" si="2007"/>
        <v>10</v>
      </c>
      <c r="CU303" s="242">
        <f t="shared" ref="CU303:DA303" si="2008">COUNTIF(CV258:CV302,"0")</f>
        <v>10</v>
      </c>
      <c r="CV303" s="238">
        <f t="shared" si="2008"/>
        <v>5</v>
      </c>
      <c r="CW303" s="235">
        <f t="shared" si="2008"/>
        <v>8</v>
      </c>
      <c r="CX303" s="234">
        <f t="shared" si="2008"/>
        <v>7</v>
      </c>
      <c r="CY303" s="233">
        <f t="shared" si="2008"/>
        <v>7</v>
      </c>
      <c r="CZ303" s="230">
        <f t="shared" si="2008"/>
        <v>10</v>
      </c>
      <c r="DA303" s="128">
        <f t="shared" si="2008"/>
        <v>11</v>
      </c>
      <c r="DB303" s="128">
        <f t="shared" ref="DB303:DG303" si="2009">COUNTIF(DC258:DC302,"0")</f>
        <v>7</v>
      </c>
      <c r="DC303" s="128">
        <f t="shared" si="2009"/>
        <v>9</v>
      </c>
      <c r="DD303" s="128">
        <f t="shared" si="2009"/>
        <v>0</v>
      </c>
      <c r="DE303" s="128">
        <f t="shared" si="2009"/>
        <v>0</v>
      </c>
      <c r="DF303" s="128">
        <f t="shared" si="2009"/>
        <v>0</v>
      </c>
      <c r="DG303" s="128">
        <f t="shared" si="2009"/>
        <v>0</v>
      </c>
      <c r="DH303" s="128">
        <f t="shared" ref="DH303:DS303" si="2010">COUNTIF(DI258:DI302,"0")</f>
        <v>0</v>
      </c>
      <c r="DI303" s="128">
        <f t="shared" si="2010"/>
        <v>0</v>
      </c>
      <c r="DJ303" s="128">
        <f t="shared" si="2010"/>
        <v>0</v>
      </c>
      <c r="DK303" s="128">
        <f t="shared" si="2010"/>
        <v>0</v>
      </c>
      <c r="DL303" s="128">
        <f>COUNTIF(DM258:DM302,"0")</f>
        <v>0</v>
      </c>
      <c r="DM303" s="128">
        <f t="shared" si="2010"/>
        <v>0</v>
      </c>
      <c r="DN303" s="128">
        <f t="shared" si="2010"/>
        <v>0</v>
      </c>
      <c r="DO303" s="128">
        <f t="shared" si="2010"/>
        <v>0</v>
      </c>
      <c r="DP303" s="128">
        <f t="shared" si="2010"/>
        <v>0</v>
      </c>
      <c r="DQ303" s="128">
        <f t="shared" si="2010"/>
        <v>0</v>
      </c>
      <c r="DR303" s="128">
        <f t="shared" si="2010"/>
        <v>0</v>
      </c>
      <c r="DS303" s="128">
        <f t="shared" si="2010"/>
        <v>0</v>
      </c>
      <c r="DT303" s="2"/>
      <c r="DU303" s="2"/>
      <c r="DV303" s="2"/>
      <c r="DY303" s="128">
        <v>32</v>
      </c>
      <c r="EA303" s="128">
        <v>32</v>
      </c>
      <c r="EB303" s="128">
        <v>32</v>
      </c>
      <c r="EC303" s="128">
        <v>32</v>
      </c>
      <c r="EE303" s="128">
        <v>32</v>
      </c>
      <c r="EF303" s="128">
        <v>32</v>
      </c>
      <c r="EG303" s="128">
        <v>32</v>
      </c>
      <c r="EK303" s="128">
        <v>32</v>
      </c>
      <c r="EL303" s="128">
        <v>32</v>
      </c>
      <c r="EM303" s="128">
        <v>32</v>
      </c>
      <c r="EN303" s="128">
        <v>32</v>
      </c>
      <c r="EO303" s="128">
        <v>32</v>
      </c>
      <c r="EQ303" s="128">
        <v>32</v>
      </c>
      <c r="ES303" s="128">
        <v>32</v>
      </c>
      <c r="ET303" s="128">
        <v>32</v>
      </c>
      <c r="EU303" s="128">
        <v>32</v>
      </c>
      <c r="EV303" s="128">
        <v>32</v>
      </c>
      <c r="EW303" s="128">
        <v>32</v>
      </c>
      <c r="EY303" s="22"/>
      <c r="EZ303" s="128">
        <v>40</v>
      </c>
      <c r="FB303" s="128">
        <v>40</v>
      </c>
      <c r="FC303" s="128">
        <v>40</v>
      </c>
      <c r="FE303" s="128">
        <v>40</v>
      </c>
      <c r="FF303" s="128">
        <v>40</v>
      </c>
      <c r="FG303" s="128">
        <v>40</v>
      </c>
      <c r="FH303" s="128">
        <v>40</v>
      </c>
      <c r="FI303" s="128">
        <v>40</v>
      </c>
      <c r="FJ303" s="129"/>
      <c r="FK303" s="152"/>
      <c r="FN303" s="128">
        <v>40</v>
      </c>
      <c r="FO303" s="128">
        <v>40</v>
      </c>
      <c r="FQ303" s="128">
        <v>40</v>
      </c>
      <c r="FR303" s="128">
        <v>40</v>
      </c>
      <c r="FS303" s="128">
        <v>40</v>
      </c>
      <c r="FU303" s="128">
        <v>40</v>
      </c>
      <c r="FV303" s="128">
        <v>40</v>
      </c>
      <c r="FW303" s="128">
        <v>40</v>
      </c>
      <c r="FX303" s="128">
        <v>40</v>
      </c>
      <c r="FZ303" s="52"/>
      <c r="GA303" s="52"/>
      <c r="GB303" s="52"/>
      <c r="GC303" s="52"/>
      <c r="GD303" s="52"/>
      <c r="GE303" s="52"/>
      <c r="GF303" s="52"/>
      <c r="GG303" s="52"/>
      <c r="GH303" s="52"/>
      <c r="GI303" s="52"/>
      <c r="GJ303" s="52"/>
      <c r="GK303" s="51"/>
      <c r="GL303" s="51"/>
      <c r="GM303" s="51"/>
      <c r="GN303" s="52"/>
      <c r="GO303" s="51"/>
      <c r="GP303" s="129"/>
      <c r="GQ303" s="129"/>
      <c r="GR303" s="129"/>
      <c r="GS303" s="129"/>
      <c r="GT303" s="129"/>
      <c r="GU303" s="129"/>
      <c r="GV303" s="129"/>
      <c r="GW303" s="129"/>
      <c r="GX303" s="129"/>
      <c r="GY303" s="129"/>
      <c r="GZ303" s="129"/>
      <c r="HA303" s="129"/>
      <c r="HB303" s="129"/>
      <c r="HC303" s="129"/>
      <c r="HD303" s="129"/>
      <c r="HE303" s="129"/>
      <c r="HF303" s="129"/>
      <c r="HG303" s="129"/>
      <c r="HH303" s="21"/>
      <c r="HI303" s="21"/>
      <c r="HJ303" s="21"/>
      <c r="HK303" s="21"/>
      <c r="HL303" s="4"/>
      <c r="HM303" s="4"/>
      <c r="HN303" s="4"/>
      <c r="HO303" s="4"/>
      <c r="HP303" s="4"/>
      <c r="HQ303" s="4"/>
      <c r="HR303" s="4"/>
      <c r="HS303" s="4"/>
      <c r="HT303" s="129"/>
      <c r="HU303" s="129"/>
      <c r="HV303" s="129"/>
      <c r="HW303" s="129"/>
      <c r="HX303" s="129"/>
      <c r="HY303" s="129"/>
      <c r="HZ303" s="129"/>
      <c r="IA303" s="129"/>
      <c r="IB303" s="129"/>
      <c r="IC303" s="129"/>
      <c r="ID303" s="129"/>
      <c r="IE303" s="129"/>
      <c r="IF303" s="129"/>
      <c r="IG303" s="129"/>
      <c r="IH303" s="129"/>
      <c r="II303" s="129"/>
      <c r="IJ303" s="129"/>
      <c r="IK303" s="129"/>
      <c r="IL303" s="129"/>
      <c r="IM303" s="129"/>
      <c r="IN303" s="129"/>
      <c r="IO303" s="129"/>
      <c r="IP303" s="129"/>
      <c r="IQ303" s="129"/>
      <c r="IR303" s="129"/>
      <c r="IS303" s="129"/>
      <c r="IT303" s="129"/>
      <c r="IU303" s="129"/>
      <c r="IV303" s="129"/>
      <c r="IW303" s="129"/>
      <c r="IX303" s="129"/>
      <c r="IY303" s="129"/>
      <c r="IZ303" s="129"/>
      <c r="JA303" s="129"/>
      <c r="JB303" s="129"/>
      <c r="JC303" s="129"/>
      <c r="JD303" s="129"/>
      <c r="JE303" s="129"/>
      <c r="JF303" s="129"/>
      <c r="JG303" s="129"/>
      <c r="JH303" s="129"/>
      <c r="JI303" s="129"/>
      <c r="JJ303" s="129"/>
      <c r="JK303" s="129"/>
      <c r="JL303" s="129"/>
      <c r="JM303" s="129"/>
      <c r="JN303" s="129"/>
      <c r="JO303" s="129"/>
      <c r="JP303" s="129"/>
      <c r="JQ303" s="129"/>
      <c r="JR303" s="129"/>
      <c r="JS303" s="129"/>
      <c r="JT303" s="129"/>
      <c r="JU303" s="129"/>
      <c r="JV303" s="129"/>
      <c r="JW303" s="129"/>
      <c r="JX303" s="129"/>
      <c r="JY303" s="129"/>
      <c r="JZ303" s="129"/>
      <c r="KA303" s="129"/>
      <c r="KB303" s="129"/>
      <c r="KC303" s="129"/>
      <c r="KD303" s="129"/>
      <c r="KE303" s="129"/>
      <c r="KF303" s="129"/>
      <c r="KG303" s="129"/>
    </row>
    <row r="304" spans="4:293">
      <c r="G304" s="233"/>
      <c r="AC304" s="2"/>
      <c r="AD304" s="2"/>
      <c r="AF304" s="128">
        <v>33</v>
      </c>
      <c r="AG304" s="128">
        <v>33</v>
      </c>
      <c r="AJ304" s="128">
        <v>33</v>
      </c>
      <c r="AL304" s="128">
        <v>33</v>
      </c>
      <c r="AM304" s="128">
        <v>33</v>
      </c>
      <c r="AN304" s="128">
        <v>33</v>
      </c>
      <c r="AO304" s="128">
        <v>33</v>
      </c>
      <c r="AR304" s="128">
        <v>33</v>
      </c>
      <c r="AS304" s="128">
        <v>33</v>
      </c>
      <c r="AT304" s="128">
        <v>33</v>
      </c>
      <c r="AU304" s="128">
        <v>33</v>
      </c>
      <c r="AV304" s="128">
        <v>33</v>
      </c>
      <c r="AY304" s="128">
        <v>33</v>
      </c>
      <c r="AZ304" s="128">
        <v>33</v>
      </c>
      <c r="BA304" s="128">
        <v>33</v>
      </c>
      <c r="BB304" s="128">
        <v>33</v>
      </c>
      <c r="BC304" s="128">
        <v>33</v>
      </c>
      <c r="BD304" s="128">
        <v>33</v>
      </c>
      <c r="BG304" s="22"/>
      <c r="BH304" s="128">
        <v>41</v>
      </c>
      <c r="BI304" s="128">
        <v>41</v>
      </c>
      <c r="BJ304" s="128">
        <v>41</v>
      </c>
      <c r="BK304" s="128">
        <v>41</v>
      </c>
      <c r="BM304" s="128">
        <v>41</v>
      </c>
      <c r="BN304" s="128">
        <v>41</v>
      </c>
      <c r="BO304" s="128">
        <v>41</v>
      </c>
      <c r="BQ304" s="128">
        <v>41</v>
      </c>
      <c r="BR304" s="129"/>
      <c r="BS304" s="152"/>
      <c r="BU304" s="128">
        <v>41</v>
      </c>
      <c r="BW304" s="128">
        <v>41</v>
      </c>
      <c r="BX304" s="128"/>
      <c r="BZ304" s="128">
        <v>41</v>
      </c>
      <c r="CA304" s="128">
        <v>41</v>
      </c>
      <c r="CB304" s="128">
        <v>41</v>
      </c>
      <c r="CC304" s="128">
        <v>41</v>
      </c>
      <c r="CD304" s="128">
        <v>41</v>
      </c>
      <c r="CE304" s="128"/>
      <c r="CF304" s="128">
        <v>41</v>
      </c>
      <c r="CG304" s="128">
        <v>41</v>
      </c>
      <c r="CX304" s="21"/>
      <c r="CY304" s="129"/>
      <c r="CZ304" s="129"/>
      <c r="DA304" s="129"/>
      <c r="DB304" s="129"/>
      <c r="DC304" s="129"/>
      <c r="DD304" s="129"/>
      <c r="DE304" s="129"/>
      <c r="DF304" s="129"/>
      <c r="DG304" s="129"/>
      <c r="DH304" s="129"/>
      <c r="DI304" s="129"/>
      <c r="DJ304" s="129"/>
      <c r="DK304" s="129"/>
      <c r="DL304" s="129"/>
      <c r="DM304" s="129"/>
      <c r="DN304" s="129"/>
      <c r="DO304" s="129"/>
      <c r="DP304" s="21"/>
      <c r="DQ304" s="21"/>
      <c r="DR304" s="21"/>
      <c r="DS304" s="21"/>
      <c r="DT304" s="21"/>
      <c r="DU304" s="4"/>
      <c r="DV304" s="4"/>
      <c r="DW304" s="4"/>
      <c r="DX304" s="4"/>
      <c r="DY304" s="4"/>
      <c r="DZ304" s="4"/>
      <c r="EA304" s="4"/>
      <c r="EB304" s="129"/>
      <c r="EC304" s="129"/>
      <c r="ED304" s="129"/>
      <c r="EE304" s="129"/>
      <c r="EF304" s="129"/>
      <c r="EG304" s="129"/>
      <c r="EH304" s="129"/>
      <c r="EI304" s="129"/>
      <c r="EJ304" s="129"/>
      <c r="EK304" s="129"/>
      <c r="EL304" s="129"/>
      <c r="EM304" s="129"/>
      <c r="EN304" s="129"/>
      <c r="EO304" s="129"/>
      <c r="EP304" s="129"/>
      <c r="EQ304" s="129"/>
      <c r="ER304" s="129"/>
      <c r="ES304" s="129"/>
      <c r="ET304" s="129"/>
      <c r="EU304" s="129"/>
      <c r="EV304" s="129"/>
      <c r="EW304" s="129"/>
      <c r="EX304" s="129"/>
      <c r="EY304" s="129"/>
      <c r="EZ304" s="129"/>
      <c r="FA304" s="129"/>
      <c r="FB304" s="129"/>
      <c r="FC304" s="129"/>
      <c r="FD304" s="129"/>
      <c r="FE304" s="129"/>
      <c r="FF304" s="129"/>
      <c r="FG304" s="129"/>
      <c r="FH304" s="129"/>
      <c r="FI304" s="129"/>
      <c r="FJ304" s="129"/>
      <c r="FK304" s="129"/>
      <c r="FL304" s="129"/>
      <c r="FM304" s="129"/>
      <c r="FN304" s="129"/>
      <c r="FO304" s="129"/>
      <c r="FP304" s="129"/>
      <c r="FQ304" s="129"/>
      <c r="FR304" s="129"/>
      <c r="FS304" s="129"/>
      <c r="FT304" s="129"/>
      <c r="FU304" s="129"/>
      <c r="FV304" s="129"/>
      <c r="FW304" s="129"/>
      <c r="FX304" s="129"/>
      <c r="FY304" s="129"/>
      <c r="FZ304" s="129"/>
      <c r="GA304" s="129"/>
      <c r="GB304" s="129"/>
      <c r="GC304" s="129"/>
      <c r="GD304" s="129"/>
      <c r="GE304" s="129"/>
      <c r="GF304" s="129"/>
      <c r="GG304" s="129"/>
      <c r="GH304" s="129"/>
      <c r="GI304" s="129"/>
      <c r="GJ304" s="129"/>
      <c r="GK304" s="129"/>
      <c r="GL304" s="129"/>
      <c r="GM304" s="129"/>
      <c r="GN304" s="129"/>
      <c r="GO304" s="129"/>
    </row>
    <row r="305" spans="7:205">
      <c r="G305" s="233"/>
      <c r="AC305" s="2"/>
      <c r="AD305" s="2"/>
      <c r="AE305" s="2"/>
      <c r="AG305" s="128">
        <v>34</v>
      </c>
      <c r="AI305" s="128">
        <v>34</v>
      </c>
      <c r="AJ305" s="128">
        <v>34</v>
      </c>
      <c r="AL305" s="128">
        <v>34</v>
      </c>
      <c r="AM305" s="128">
        <v>34</v>
      </c>
      <c r="AN305" s="128">
        <v>34</v>
      </c>
      <c r="AR305" s="128">
        <v>34</v>
      </c>
      <c r="AS305" s="128">
        <v>34</v>
      </c>
      <c r="AT305" s="128">
        <v>34</v>
      </c>
      <c r="AU305" s="128">
        <v>34</v>
      </c>
      <c r="AV305" s="128">
        <v>34</v>
      </c>
      <c r="AW305" s="128">
        <v>34</v>
      </c>
      <c r="AX305" s="128">
        <v>34</v>
      </c>
      <c r="AY305" s="128">
        <v>34</v>
      </c>
      <c r="BA305" s="128">
        <v>34</v>
      </c>
      <c r="BB305" s="128">
        <v>34</v>
      </c>
      <c r="BC305" s="128">
        <v>34</v>
      </c>
      <c r="BD305" s="128">
        <v>34</v>
      </c>
      <c r="BE305" s="128">
        <v>34</v>
      </c>
      <c r="BG305" s="22"/>
      <c r="BH305" s="128">
        <v>42</v>
      </c>
      <c r="BI305" s="128">
        <v>42</v>
      </c>
      <c r="BJ305" s="128">
        <v>42</v>
      </c>
      <c r="BK305" s="128">
        <v>42</v>
      </c>
      <c r="BM305" s="128">
        <v>42</v>
      </c>
      <c r="BN305" s="128">
        <v>42</v>
      </c>
      <c r="BP305" s="128">
        <v>42</v>
      </c>
      <c r="BQ305" s="128">
        <v>42</v>
      </c>
      <c r="BR305" s="129"/>
      <c r="BS305" s="152"/>
      <c r="BT305" s="128">
        <v>42</v>
      </c>
      <c r="BU305" s="128">
        <v>42</v>
      </c>
      <c r="BV305" s="128">
        <v>42</v>
      </c>
      <c r="BX305" s="128">
        <v>42</v>
      </c>
      <c r="BY305" s="128">
        <v>42</v>
      </c>
      <c r="BZ305" s="128">
        <v>42</v>
      </c>
      <c r="CA305" s="128">
        <v>42</v>
      </c>
      <c r="CB305" s="128">
        <v>42</v>
      </c>
      <c r="CD305" s="128">
        <v>42</v>
      </c>
      <c r="CE305" s="128"/>
      <c r="CG305" s="128">
        <v>42</v>
      </c>
      <c r="CX305" s="129"/>
      <c r="CY305" s="21"/>
      <c r="CZ305" s="129"/>
      <c r="DA305" s="129"/>
      <c r="DB305" s="129"/>
      <c r="DC305" s="129"/>
      <c r="DD305" s="129"/>
      <c r="DE305" s="129"/>
      <c r="DF305" s="129"/>
      <c r="DG305" s="129"/>
      <c r="DH305" s="129"/>
      <c r="DI305" s="129"/>
      <c r="DJ305" s="129"/>
      <c r="DK305" s="129"/>
      <c r="DL305" s="129"/>
      <c r="DM305" s="129"/>
      <c r="DN305" s="129"/>
      <c r="DO305" s="129"/>
      <c r="DP305" s="60"/>
      <c r="DQ305" s="21"/>
      <c r="DR305" s="21"/>
      <c r="DS305" s="21"/>
      <c r="DT305" s="21"/>
      <c r="DU305" s="21"/>
      <c r="DV305" s="4"/>
      <c r="DW305" s="4"/>
      <c r="DX305" s="4"/>
      <c r="DY305" s="4"/>
      <c r="DZ305" s="4"/>
      <c r="EA305" s="4"/>
      <c r="EB305" s="129"/>
      <c r="EC305" s="129"/>
      <c r="ED305" s="129"/>
      <c r="EE305" s="129"/>
      <c r="EF305" s="129"/>
      <c r="EG305" s="129"/>
      <c r="EH305" s="129"/>
      <c r="EI305" s="129"/>
      <c r="EJ305" s="129"/>
      <c r="EK305" s="129"/>
      <c r="EL305" s="129"/>
      <c r="EM305" s="129"/>
      <c r="EN305" s="129"/>
      <c r="EO305" s="129"/>
      <c r="EP305" s="129"/>
      <c r="EQ305" s="129"/>
      <c r="ER305" s="129"/>
      <c r="ES305" s="129"/>
      <c r="ET305" s="129"/>
      <c r="EU305" s="129"/>
      <c r="EV305" s="129"/>
      <c r="EW305" s="129"/>
      <c r="EX305" s="129"/>
      <c r="EY305" s="129"/>
      <c r="EZ305" s="129"/>
      <c r="FA305" s="129"/>
      <c r="FB305" s="129"/>
      <c r="FC305" s="129"/>
      <c r="FD305" s="129"/>
      <c r="FE305" s="129"/>
      <c r="FF305" s="129"/>
      <c r="FG305" s="129"/>
      <c r="FH305" s="129"/>
      <c r="FI305" s="129"/>
      <c r="FJ305" s="129"/>
      <c r="FK305" s="129"/>
      <c r="FL305" s="129"/>
      <c r="FM305" s="129"/>
      <c r="FN305" s="129"/>
      <c r="FO305" s="129"/>
      <c r="FP305" s="129"/>
      <c r="FQ305" s="129"/>
      <c r="FR305" s="129"/>
      <c r="FS305" s="129"/>
      <c r="FT305" s="129"/>
      <c r="FU305" s="129"/>
      <c r="FV305" s="129"/>
      <c r="FW305" s="129"/>
      <c r="FX305" s="129"/>
      <c r="FY305" s="129"/>
      <c r="FZ305" s="129"/>
      <c r="GA305" s="129"/>
      <c r="GB305" s="129"/>
      <c r="GC305" s="129"/>
      <c r="GD305" s="129"/>
      <c r="GE305" s="129"/>
      <c r="GF305" s="129"/>
      <c r="GG305" s="129"/>
      <c r="GH305" s="129"/>
      <c r="GI305" s="129"/>
      <c r="GJ305" s="129"/>
      <c r="GK305" s="129"/>
      <c r="GL305" s="129"/>
      <c r="GM305" s="129"/>
      <c r="GN305" s="129"/>
      <c r="GO305" s="129"/>
    </row>
    <row r="306" spans="7:205" ht="17.25">
      <c r="G306" s="233"/>
      <c r="AC306" s="2"/>
      <c r="AD306" s="2"/>
      <c r="AE306" s="2"/>
      <c r="AF306" s="128">
        <v>35</v>
      </c>
      <c r="AG306" s="128">
        <v>35</v>
      </c>
      <c r="AH306" s="128">
        <v>35</v>
      </c>
      <c r="AK306" s="128">
        <v>35</v>
      </c>
      <c r="AL306" s="128">
        <v>35</v>
      </c>
      <c r="AM306" s="128">
        <v>35</v>
      </c>
      <c r="AN306" s="128">
        <v>35</v>
      </c>
      <c r="AO306" s="128">
        <v>35</v>
      </c>
      <c r="AR306" s="128">
        <v>35</v>
      </c>
      <c r="AS306" s="128">
        <v>35</v>
      </c>
      <c r="AT306" s="128">
        <v>35</v>
      </c>
      <c r="AU306" s="128">
        <v>35</v>
      </c>
      <c r="AV306" s="128">
        <v>35</v>
      </c>
      <c r="AW306" s="128">
        <v>35</v>
      </c>
      <c r="AX306" s="128">
        <v>35</v>
      </c>
      <c r="AY306" s="128">
        <v>35</v>
      </c>
      <c r="AZ306" s="128">
        <v>35</v>
      </c>
      <c r="BB306" s="128">
        <v>35</v>
      </c>
      <c r="BC306" s="128">
        <v>35</v>
      </c>
      <c r="BD306" s="128">
        <v>35</v>
      </c>
      <c r="BE306" s="128">
        <v>35</v>
      </c>
      <c r="BG306" s="22"/>
      <c r="BH306" s="128">
        <v>43</v>
      </c>
      <c r="BI306" s="128">
        <v>43</v>
      </c>
      <c r="BJ306" s="128">
        <v>43</v>
      </c>
      <c r="BK306" s="128">
        <v>43</v>
      </c>
      <c r="BL306" s="128">
        <v>43</v>
      </c>
      <c r="BM306" s="128">
        <v>43</v>
      </c>
      <c r="BN306" s="128">
        <v>43</v>
      </c>
      <c r="BO306" s="128">
        <v>43</v>
      </c>
      <c r="BP306" s="128">
        <v>43</v>
      </c>
      <c r="BR306" s="129"/>
      <c r="BS306" s="152"/>
      <c r="BT306" s="128">
        <v>43</v>
      </c>
      <c r="BU306" s="128">
        <v>43</v>
      </c>
      <c r="BV306" s="128">
        <v>43</v>
      </c>
      <c r="BW306" s="128">
        <v>43</v>
      </c>
      <c r="BX306" s="128">
        <v>43</v>
      </c>
      <c r="BY306" s="128">
        <v>43</v>
      </c>
      <c r="BZ306" s="128">
        <v>43</v>
      </c>
      <c r="CA306" s="128">
        <v>43</v>
      </c>
      <c r="CC306" s="128">
        <v>43</v>
      </c>
      <c r="CD306" s="128">
        <v>43</v>
      </c>
      <c r="CE306" s="128"/>
      <c r="CG306" s="128">
        <v>43</v>
      </c>
      <c r="CH306" s="195"/>
      <c r="CI306" s="195"/>
      <c r="CJ306" s="195"/>
      <c r="CK306" s="195"/>
      <c r="CL306" s="195"/>
      <c r="CM306" s="195"/>
      <c r="CN306" s="195"/>
      <c r="CO306" s="195"/>
      <c r="CP306" s="195"/>
      <c r="CQ306" s="195"/>
      <c r="CR306" s="195"/>
      <c r="CS306" s="195"/>
      <c r="CT306" s="195"/>
      <c r="CU306" s="195"/>
      <c r="CV306" s="195"/>
      <c r="CW306" s="51"/>
      <c r="CX306" s="129"/>
      <c r="CY306" s="129"/>
      <c r="CZ306" s="21"/>
      <c r="DA306" s="129"/>
      <c r="DB306" s="129"/>
      <c r="DC306" s="129"/>
      <c r="DD306" s="129"/>
      <c r="DE306" s="129"/>
      <c r="DF306" s="129"/>
      <c r="DG306" s="129"/>
      <c r="DH306" s="129"/>
      <c r="DI306" s="129"/>
      <c r="DJ306" s="129"/>
      <c r="DK306" s="129"/>
      <c r="DL306" s="129"/>
      <c r="DM306" s="129"/>
      <c r="DN306" s="129"/>
      <c r="DO306" s="129"/>
      <c r="DP306" s="60"/>
      <c r="DQ306" s="60"/>
      <c r="DR306" s="21"/>
      <c r="DS306" s="21"/>
      <c r="DT306" s="21"/>
      <c r="DU306" s="21"/>
      <c r="DV306" s="21"/>
      <c r="DW306" s="4"/>
      <c r="DX306" s="4"/>
      <c r="DY306" s="4"/>
      <c r="DZ306" s="4"/>
      <c r="EA306" s="4"/>
      <c r="EB306" s="129"/>
      <c r="EC306" s="129"/>
      <c r="ED306" s="129"/>
      <c r="EE306" s="129"/>
      <c r="EF306" s="129"/>
      <c r="EG306" s="129"/>
      <c r="EH306" s="129"/>
      <c r="EI306" s="129"/>
      <c r="EJ306" s="129"/>
      <c r="EK306" s="129"/>
      <c r="EL306" s="129"/>
      <c r="EM306" s="129"/>
      <c r="EN306" s="129"/>
      <c r="EO306" s="129"/>
      <c r="EP306" s="129"/>
      <c r="EQ306" s="129"/>
      <c r="ER306" s="129"/>
      <c r="ES306" s="129"/>
      <c r="ET306" s="129"/>
      <c r="EU306" s="129"/>
      <c r="EV306" s="129"/>
      <c r="EW306" s="129"/>
      <c r="EX306" s="129"/>
      <c r="EY306" s="129"/>
      <c r="EZ306" s="129"/>
      <c r="FA306" s="129"/>
      <c r="FB306" s="129"/>
      <c r="FC306" s="129"/>
      <c r="FD306" s="129"/>
      <c r="FE306" s="129"/>
      <c r="FF306" s="129"/>
      <c r="FG306" s="129"/>
      <c r="FH306" s="129"/>
      <c r="FI306" s="129"/>
      <c r="FJ306" s="129"/>
      <c r="FK306" s="129"/>
      <c r="FL306" s="129"/>
      <c r="FM306" s="129"/>
      <c r="FN306" s="129"/>
      <c r="FO306" s="129"/>
      <c r="FP306" s="129"/>
      <c r="FQ306" s="129"/>
      <c r="FR306" s="129"/>
      <c r="FS306" s="129"/>
      <c r="FT306" s="129"/>
      <c r="FU306" s="129"/>
      <c r="FV306" s="129"/>
      <c r="FW306" s="129"/>
      <c r="FX306" s="129"/>
      <c r="FY306" s="129"/>
      <c r="FZ306" s="129"/>
      <c r="GA306" s="129"/>
      <c r="GB306" s="129"/>
      <c r="GC306" s="129"/>
      <c r="GD306" s="129"/>
      <c r="GE306" s="129"/>
      <c r="GF306" s="129"/>
      <c r="GG306" s="129"/>
      <c r="GH306" s="129"/>
      <c r="GI306" s="129"/>
      <c r="GJ306" s="129"/>
      <c r="GK306" s="129"/>
      <c r="GL306" s="129"/>
      <c r="GM306" s="129"/>
      <c r="GN306" s="129"/>
      <c r="GO306" s="129"/>
    </row>
    <row r="307" spans="7:205" ht="17.25">
      <c r="G307" s="233"/>
      <c r="AC307" s="2"/>
      <c r="AD307" s="2"/>
      <c r="AE307" s="2"/>
      <c r="AF307" s="128">
        <v>36</v>
      </c>
      <c r="AH307" s="128">
        <v>36</v>
      </c>
      <c r="AI307" s="128">
        <v>36</v>
      </c>
      <c r="AK307" s="128">
        <v>36</v>
      </c>
      <c r="AL307" s="128">
        <v>36</v>
      </c>
      <c r="AO307" s="128">
        <v>36</v>
      </c>
      <c r="AR307" s="128">
        <v>36</v>
      </c>
      <c r="AS307" s="128">
        <v>36</v>
      </c>
      <c r="AT307" s="128">
        <v>36</v>
      </c>
      <c r="AU307" s="128">
        <v>36</v>
      </c>
      <c r="AX307" s="128">
        <v>36</v>
      </c>
      <c r="AY307" s="128">
        <v>36</v>
      </c>
      <c r="AZ307" s="128">
        <v>36</v>
      </c>
      <c r="BB307" s="128">
        <v>36</v>
      </c>
      <c r="BC307" s="128">
        <v>36</v>
      </c>
      <c r="BD307" s="128">
        <v>36</v>
      </c>
      <c r="BE307" s="128">
        <v>36</v>
      </c>
      <c r="BG307" s="54"/>
      <c r="BH307" s="128">
        <v>44</v>
      </c>
      <c r="BI307" s="128">
        <v>44</v>
      </c>
      <c r="BJ307" s="128">
        <v>44</v>
      </c>
      <c r="BK307" s="128">
        <v>44</v>
      </c>
      <c r="BL307" s="128">
        <v>44</v>
      </c>
      <c r="BM307" s="128">
        <v>44</v>
      </c>
      <c r="BN307" s="128">
        <v>44</v>
      </c>
      <c r="BO307" s="128">
        <v>44</v>
      </c>
      <c r="BP307" s="128">
        <v>44</v>
      </c>
      <c r="BQ307" s="128">
        <v>44</v>
      </c>
      <c r="BR307" s="129"/>
      <c r="BS307" s="129"/>
      <c r="BT307" s="128">
        <v>44</v>
      </c>
      <c r="BU307" s="128">
        <v>44</v>
      </c>
      <c r="BV307" s="128">
        <v>44</v>
      </c>
      <c r="BW307" s="128">
        <v>44</v>
      </c>
      <c r="BX307" s="128">
        <v>44</v>
      </c>
      <c r="CC307" s="128">
        <v>44</v>
      </c>
      <c r="CD307" s="128">
        <v>44</v>
      </c>
      <c r="CE307" s="128">
        <v>44</v>
      </c>
      <c r="CF307" s="128">
        <v>44</v>
      </c>
      <c r="CG307" s="128">
        <v>44</v>
      </c>
      <c r="CH307" s="52"/>
      <c r="CI307" s="52"/>
      <c r="CJ307" s="52"/>
      <c r="CK307" s="52"/>
      <c r="CL307" s="52"/>
      <c r="CM307" s="52"/>
      <c r="CN307" s="52"/>
      <c r="CO307" s="52"/>
      <c r="CP307" s="52"/>
      <c r="CQ307" s="52"/>
      <c r="CR307" s="52"/>
      <c r="CS307" s="51"/>
      <c r="CT307" s="52"/>
      <c r="CU307" s="51"/>
      <c r="CV307" s="52"/>
      <c r="CW307" s="51"/>
      <c r="CX307" s="21"/>
      <c r="CY307" s="129"/>
      <c r="CZ307" s="129"/>
      <c r="DA307" s="21"/>
      <c r="DB307" s="129"/>
      <c r="DC307" s="129"/>
      <c r="DD307" s="129"/>
      <c r="DE307" s="129"/>
      <c r="DF307" s="129"/>
      <c r="DG307" s="129"/>
      <c r="DH307" s="129"/>
      <c r="DI307" s="129"/>
      <c r="DJ307" s="129"/>
      <c r="DK307" s="129"/>
      <c r="DL307" s="129"/>
      <c r="DM307" s="129"/>
      <c r="DN307" s="129"/>
      <c r="DO307" s="129"/>
      <c r="DP307" s="21"/>
      <c r="DQ307" s="60"/>
      <c r="DR307" s="60"/>
      <c r="DS307" s="21"/>
      <c r="DT307" s="21"/>
      <c r="DU307" s="21"/>
      <c r="DV307" s="21"/>
      <c r="DW307" s="21"/>
      <c r="DX307" s="4"/>
      <c r="DY307" s="4"/>
      <c r="DZ307" s="4"/>
      <c r="EA307" s="4"/>
      <c r="EB307" s="129"/>
      <c r="EC307" s="129"/>
      <c r="ED307" s="129"/>
      <c r="EE307" s="129"/>
      <c r="EF307" s="129"/>
      <c r="EG307" s="129"/>
      <c r="EH307" s="129"/>
      <c r="EI307" s="129"/>
      <c r="EJ307" s="129"/>
      <c r="EK307" s="129"/>
      <c r="EL307" s="129"/>
      <c r="EM307" s="129"/>
      <c r="EN307" s="129"/>
      <c r="EO307" s="129"/>
      <c r="EP307" s="129"/>
      <c r="EQ307" s="129"/>
      <c r="ER307" s="129"/>
      <c r="ES307" s="129"/>
      <c r="ET307" s="129"/>
      <c r="EU307" s="129"/>
      <c r="EV307" s="129"/>
      <c r="EW307" s="129"/>
      <c r="EX307" s="129"/>
      <c r="EY307" s="129"/>
      <c r="EZ307" s="129"/>
      <c r="FA307" s="129"/>
      <c r="FB307" s="129"/>
      <c r="FC307" s="129"/>
      <c r="FD307" s="129"/>
      <c r="FE307" s="129"/>
      <c r="FF307" s="129"/>
      <c r="FG307" s="129"/>
      <c r="FH307" s="129"/>
      <c r="FI307" s="129"/>
      <c r="FJ307" s="129"/>
      <c r="FK307" s="129"/>
      <c r="FL307" s="129"/>
      <c r="FM307" s="129"/>
      <c r="FN307" s="129"/>
      <c r="FO307" s="129"/>
      <c r="FP307" s="129"/>
      <c r="FQ307" s="129"/>
      <c r="FR307" s="129"/>
      <c r="FS307" s="129"/>
      <c r="FT307" s="129"/>
      <c r="FU307" s="129"/>
      <c r="FV307" s="129"/>
      <c r="FW307" s="129"/>
      <c r="FX307" s="129"/>
      <c r="FY307" s="129"/>
      <c r="FZ307" s="129"/>
      <c r="GA307" s="129"/>
      <c r="GB307" s="129"/>
      <c r="GC307" s="129"/>
      <c r="GD307" s="129"/>
      <c r="GE307" s="129"/>
      <c r="GF307" s="129"/>
      <c r="GG307" s="129"/>
      <c r="GH307" s="129"/>
      <c r="GI307" s="129"/>
      <c r="GJ307" s="129"/>
      <c r="GK307" s="129"/>
      <c r="GL307" s="129"/>
      <c r="GM307" s="129"/>
      <c r="GN307" s="129"/>
      <c r="GO307" s="129"/>
    </row>
    <row r="308" spans="7:205" ht="17.25">
      <c r="G308" s="233"/>
      <c r="AC308" s="2"/>
      <c r="AD308" s="2"/>
      <c r="AE308" s="2"/>
      <c r="AF308" s="128">
        <v>37</v>
      </c>
      <c r="AG308" s="128">
        <v>37</v>
      </c>
      <c r="AH308" s="128">
        <v>37</v>
      </c>
      <c r="AI308" s="128">
        <v>37</v>
      </c>
      <c r="AJ308" s="128">
        <v>37</v>
      </c>
      <c r="AK308" s="128">
        <v>37</v>
      </c>
      <c r="AL308" s="128">
        <v>37</v>
      </c>
      <c r="AM308" s="128">
        <v>37</v>
      </c>
      <c r="AN308" s="128">
        <v>37</v>
      </c>
      <c r="AO308" s="128">
        <v>37</v>
      </c>
      <c r="AR308" s="128">
        <v>37</v>
      </c>
      <c r="AS308" s="128">
        <v>37</v>
      </c>
      <c r="AT308" s="128">
        <v>37</v>
      </c>
      <c r="AU308" s="128">
        <v>37</v>
      </c>
      <c r="AV308" s="128">
        <v>37</v>
      </c>
      <c r="AW308" s="128">
        <v>37</v>
      </c>
      <c r="AX308" s="128">
        <v>37</v>
      </c>
      <c r="AY308" s="128">
        <v>37</v>
      </c>
      <c r="AZ308" s="128">
        <v>37</v>
      </c>
      <c r="BA308" s="128">
        <v>37</v>
      </c>
      <c r="BC308" s="128">
        <v>37</v>
      </c>
      <c r="BD308" s="128">
        <v>37</v>
      </c>
      <c r="BE308" s="128">
        <v>37</v>
      </c>
      <c r="BG308" s="54"/>
      <c r="BH308" s="128">
        <v>45</v>
      </c>
      <c r="BI308" s="128">
        <v>45</v>
      </c>
      <c r="BJ308" s="128">
        <v>45</v>
      </c>
      <c r="BK308" s="128">
        <v>45</v>
      </c>
      <c r="BL308" s="128">
        <v>45</v>
      </c>
      <c r="BM308" s="128">
        <v>45</v>
      </c>
      <c r="BR308" s="129"/>
      <c r="BS308" s="129"/>
      <c r="BT308" s="128">
        <v>45</v>
      </c>
      <c r="BW308" s="128">
        <v>45</v>
      </c>
      <c r="BX308" s="128">
        <v>45</v>
      </c>
      <c r="CB308" s="128">
        <v>45</v>
      </c>
      <c r="CC308" s="128">
        <v>45</v>
      </c>
      <c r="CD308" s="128">
        <v>45</v>
      </c>
      <c r="CE308" s="128">
        <v>45</v>
      </c>
      <c r="CH308" s="52"/>
      <c r="CI308" s="52"/>
      <c r="CJ308" s="52"/>
      <c r="CK308" s="52"/>
      <c r="CL308" s="52"/>
      <c r="CM308" s="52"/>
      <c r="CN308" s="52"/>
      <c r="CO308" s="52"/>
      <c r="CP308" s="52"/>
      <c r="CQ308" s="52"/>
      <c r="CR308" s="52"/>
      <c r="CS308" s="51"/>
      <c r="CT308" s="52"/>
      <c r="CU308" s="51"/>
      <c r="CV308" s="51"/>
      <c r="CW308" s="51"/>
      <c r="CX308" s="129"/>
      <c r="CY308" s="21"/>
      <c r="CZ308" s="129"/>
      <c r="DA308" s="129"/>
      <c r="DB308" s="21"/>
      <c r="DC308" s="129"/>
      <c r="DD308" s="129"/>
      <c r="DE308" s="129"/>
      <c r="DF308" s="129"/>
      <c r="DG308" s="129"/>
      <c r="DH308" s="129"/>
      <c r="DI308" s="129"/>
      <c r="DJ308" s="129"/>
      <c r="DK308" s="129"/>
      <c r="DL308" s="129"/>
      <c r="DM308" s="129"/>
      <c r="DN308" s="129"/>
      <c r="DO308" s="129"/>
      <c r="DP308" s="129"/>
      <c r="DQ308" s="21"/>
      <c r="DR308" s="60"/>
      <c r="DS308" s="60"/>
      <c r="DT308" s="21"/>
      <c r="DU308" s="21"/>
      <c r="DV308" s="21"/>
      <c r="DW308" s="21"/>
      <c r="DX308" s="21"/>
      <c r="DY308" s="4"/>
      <c r="DZ308" s="4"/>
      <c r="EA308" s="4"/>
      <c r="EB308" s="129"/>
      <c r="EC308" s="129"/>
      <c r="ED308" s="129"/>
      <c r="EE308" s="129"/>
      <c r="EF308" s="129"/>
      <c r="EG308" s="129"/>
      <c r="EH308" s="129"/>
      <c r="EI308" s="129"/>
      <c r="EJ308" s="129"/>
      <c r="EK308" s="129"/>
      <c r="EL308" s="129"/>
      <c r="EM308" s="129"/>
      <c r="EN308" s="129"/>
      <c r="EO308" s="129"/>
      <c r="EP308" s="129"/>
      <c r="EQ308" s="129"/>
      <c r="ER308" s="129"/>
      <c r="ES308" s="129"/>
      <c r="ET308" s="129"/>
      <c r="EU308" s="129"/>
      <c r="EV308" s="129"/>
      <c r="EW308" s="129"/>
      <c r="EX308" s="129"/>
      <c r="EY308" s="129"/>
      <c r="EZ308" s="129"/>
      <c r="FA308" s="129"/>
      <c r="FB308" s="129"/>
      <c r="FC308" s="129"/>
      <c r="FD308" s="129"/>
      <c r="FE308" s="129"/>
      <c r="FF308" s="129"/>
      <c r="FG308" s="129"/>
      <c r="FH308" s="129"/>
      <c r="FI308" s="129"/>
      <c r="FJ308" s="129"/>
      <c r="FK308" s="129"/>
      <c r="FL308" s="129"/>
      <c r="FM308" s="129"/>
      <c r="FN308" s="129"/>
      <c r="FO308" s="129"/>
      <c r="FP308" s="129"/>
      <c r="FQ308" s="129"/>
      <c r="FR308" s="129"/>
      <c r="FS308" s="129"/>
      <c r="FT308" s="129"/>
      <c r="FU308" s="129"/>
      <c r="FV308" s="129"/>
      <c r="FW308" s="129"/>
      <c r="FX308" s="129"/>
      <c r="FY308" s="129"/>
      <c r="FZ308" s="129"/>
      <c r="GA308" s="129"/>
      <c r="GB308" s="129"/>
      <c r="GC308" s="129"/>
      <c r="GD308" s="129"/>
      <c r="GE308" s="129"/>
      <c r="GF308" s="129"/>
      <c r="GG308" s="129"/>
      <c r="GH308" s="129"/>
      <c r="GI308" s="129"/>
      <c r="GJ308" s="129"/>
      <c r="GK308" s="129"/>
      <c r="GL308" s="129"/>
      <c r="GM308" s="129"/>
      <c r="GN308" s="129"/>
      <c r="GO308" s="129"/>
    </row>
    <row r="309" spans="7:205" ht="17.25">
      <c r="G309" s="233"/>
      <c r="AC309" s="2"/>
      <c r="AD309" s="2"/>
      <c r="AE309" s="2"/>
      <c r="AF309" s="128">
        <v>38</v>
      </c>
      <c r="AG309" s="128">
        <v>38</v>
      </c>
      <c r="AI309" s="128">
        <v>38</v>
      </c>
      <c r="AJ309" s="128">
        <v>38</v>
      </c>
      <c r="AL309" s="128">
        <v>38</v>
      </c>
      <c r="AN309" s="128">
        <v>38</v>
      </c>
      <c r="AR309" s="128">
        <v>38</v>
      </c>
      <c r="AT309" s="128">
        <v>38</v>
      </c>
      <c r="AU309" s="128">
        <v>38</v>
      </c>
      <c r="AV309" s="128">
        <v>38</v>
      </c>
      <c r="AW309" s="128">
        <v>38</v>
      </c>
      <c r="AX309" s="128">
        <v>38</v>
      </c>
      <c r="AY309" s="128">
        <v>38</v>
      </c>
      <c r="BA309" s="128">
        <v>38</v>
      </c>
      <c r="BB309" s="128">
        <v>38</v>
      </c>
      <c r="BC309" s="128">
        <v>38</v>
      </c>
      <c r="BD309" s="128">
        <v>38</v>
      </c>
      <c r="BE309" s="128">
        <v>38</v>
      </c>
      <c r="BG309" s="54"/>
      <c r="BH309" s="129"/>
      <c r="BI309" s="129"/>
      <c r="BJ309" s="129"/>
      <c r="BK309" s="129"/>
      <c r="BL309" s="129"/>
      <c r="BM309" s="129"/>
      <c r="BN309" s="129"/>
      <c r="BO309" s="129"/>
      <c r="BP309" s="152"/>
      <c r="BQ309" s="129"/>
      <c r="BR309" s="129"/>
      <c r="BS309" s="129"/>
      <c r="BT309" s="129"/>
      <c r="BU309" s="129"/>
      <c r="BV309" s="129"/>
      <c r="BW309" s="129"/>
      <c r="BX309" s="129"/>
      <c r="BY309" s="129"/>
      <c r="BZ309" s="129"/>
      <c r="CA309" s="129"/>
      <c r="CB309" s="129"/>
      <c r="CC309" s="129"/>
      <c r="CD309" s="129"/>
      <c r="CE309" s="129"/>
      <c r="CF309" s="129"/>
      <c r="CG309" s="52"/>
      <c r="CH309" s="52"/>
      <c r="CI309" s="52"/>
      <c r="CJ309" s="52"/>
      <c r="CK309" s="52"/>
      <c r="CL309" s="52"/>
      <c r="CM309" s="52"/>
      <c r="CN309" s="52"/>
      <c r="CO309" s="52"/>
      <c r="CP309" s="52"/>
      <c r="CQ309" s="52"/>
      <c r="CR309" s="52"/>
      <c r="CS309" s="52"/>
      <c r="CT309" s="51"/>
      <c r="CU309" s="52"/>
      <c r="CV309" s="51"/>
      <c r="CW309" s="52"/>
      <c r="CX309" s="129"/>
      <c r="CY309" s="129"/>
      <c r="CZ309" s="21"/>
      <c r="DA309" s="129"/>
      <c r="DB309" s="129"/>
      <c r="DC309" s="21"/>
      <c r="DD309" s="129"/>
      <c r="DE309" s="129"/>
      <c r="DF309" s="129"/>
      <c r="DG309" s="129"/>
      <c r="DH309" s="129"/>
      <c r="DI309" s="129"/>
      <c r="DJ309" s="129"/>
      <c r="DK309" s="129"/>
      <c r="DL309" s="129"/>
      <c r="DM309" s="129"/>
      <c r="DN309" s="129"/>
      <c r="DO309" s="129"/>
      <c r="DP309" s="129"/>
      <c r="DQ309" s="129"/>
      <c r="DR309" s="21"/>
      <c r="DS309" s="60"/>
      <c r="DT309" s="60"/>
      <c r="DU309" s="21"/>
      <c r="DV309" s="21"/>
      <c r="DW309" s="21"/>
      <c r="DX309" s="21"/>
      <c r="DY309" s="21"/>
      <c r="DZ309" s="4"/>
      <c r="EA309" s="4"/>
      <c r="EB309" s="129"/>
      <c r="EC309" s="129"/>
      <c r="ED309" s="129"/>
      <c r="EE309" s="129"/>
      <c r="EF309" s="129"/>
      <c r="EG309" s="129"/>
      <c r="EH309" s="129"/>
      <c r="EI309" s="129"/>
      <c r="EJ309" s="129"/>
      <c r="EK309" s="129"/>
      <c r="EL309" s="129"/>
      <c r="EM309" s="129"/>
      <c r="EN309" s="129"/>
      <c r="EO309" s="129"/>
      <c r="EP309" s="129"/>
      <c r="EQ309" s="129"/>
      <c r="ER309" s="129"/>
      <c r="ES309" s="129"/>
      <c r="ET309" s="129"/>
      <c r="EU309" s="129"/>
      <c r="EV309" s="129"/>
      <c r="EW309" s="129"/>
      <c r="EX309" s="129"/>
      <c r="EY309" s="129"/>
      <c r="EZ309" s="129"/>
      <c r="FA309" s="129"/>
      <c r="FB309" s="129"/>
      <c r="FC309" s="129"/>
      <c r="FD309" s="129"/>
      <c r="FE309" s="129"/>
      <c r="FF309" s="129"/>
      <c r="FG309" s="129"/>
      <c r="FH309" s="129"/>
      <c r="FI309" s="129"/>
      <c r="FJ309" s="129"/>
      <c r="FK309" s="129"/>
      <c r="FL309" s="129"/>
      <c r="FM309" s="129"/>
      <c r="FN309" s="129"/>
      <c r="FO309" s="129"/>
      <c r="FP309" s="129"/>
      <c r="FQ309" s="129"/>
      <c r="FR309" s="129"/>
      <c r="FS309" s="129"/>
      <c r="FT309" s="129"/>
      <c r="FU309" s="129"/>
      <c r="FV309" s="129"/>
      <c r="FW309" s="129"/>
      <c r="FX309" s="129"/>
      <c r="FY309" s="129"/>
      <c r="FZ309" s="129"/>
      <c r="GA309" s="129"/>
      <c r="GB309" s="129"/>
      <c r="GC309" s="129"/>
      <c r="GD309" s="129"/>
      <c r="GE309" s="129"/>
      <c r="GF309" s="129"/>
      <c r="GG309" s="129"/>
      <c r="GH309" s="129"/>
      <c r="GI309" s="129"/>
      <c r="GJ309" s="129"/>
      <c r="GK309" s="129"/>
      <c r="GL309" s="129"/>
      <c r="GM309" s="129"/>
      <c r="GN309" s="129"/>
      <c r="GO309" s="129"/>
    </row>
    <row r="310" spans="7:205" ht="17.25">
      <c r="G310" s="233"/>
      <c r="AC310" s="2"/>
      <c r="AD310" s="2"/>
      <c r="AE310" s="2"/>
      <c r="AF310" s="128">
        <v>39</v>
      </c>
      <c r="AH310" s="128">
        <v>39</v>
      </c>
      <c r="AI310" s="128">
        <v>39</v>
      </c>
      <c r="AJ310" s="128">
        <v>39</v>
      </c>
      <c r="AK310" s="128">
        <v>39</v>
      </c>
      <c r="AL310" s="128">
        <v>39</v>
      </c>
      <c r="AN310" s="128">
        <v>39</v>
      </c>
      <c r="AO310" s="128">
        <v>39</v>
      </c>
      <c r="AR310" s="128">
        <v>39</v>
      </c>
      <c r="AS310" s="128">
        <v>39</v>
      </c>
      <c r="AT310" s="128">
        <v>39</v>
      </c>
      <c r="AU310" s="128">
        <v>39</v>
      </c>
      <c r="AW310" s="128">
        <v>39</v>
      </c>
      <c r="AY310" s="128">
        <v>39</v>
      </c>
      <c r="BA310" s="128">
        <v>39</v>
      </c>
      <c r="BB310" s="128">
        <v>39</v>
      </c>
      <c r="BC310" s="128">
        <v>39</v>
      </c>
      <c r="BD310" s="128">
        <v>39</v>
      </c>
      <c r="BE310" s="128">
        <v>39</v>
      </c>
      <c r="BG310" s="54"/>
      <c r="BH310" s="129"/>
      <c r="BI310" s="129"/>
      <c r="BJ310" s="129"/>
      <c r="BK310" s="129"/>
      <c r="BL310" s="129"/>
      <c r="BM310" s="129"/>
      <c r="BN310" s="129"/>
      <c r="BO310" s="129"/>
      <c r="BP310" s="152"/>
      <c r="BQ310" s="129"/>
      <c r="BR310" s="129"/>
      <c r="BS310" s="60"/>
      <c r="BT310" s="129"/>
      <c r="BU310" s="129"/>
      <c r="BV310" s="129"/>
      <c r="BW310" s="129"/>
      <c r="BX310" s="129"/>
      <c r="BY310" s="129"/>
      <c r="BZ310" s="129"/>
      <c r="CA310" s="129"/>
      <c r="CB310" s="129"/>
      <c r="CC310" s="129"/>
      <c r="CD310" s="129"/>
      <c r="CE310" s="129"/>
      <c r="CF310" s="129"/>
      <c r="CG310" s="129"/>
      <c r="CH310" s="52"/>
      <c r="CI310" s="51"/>
      <c r="CJ310" s="52"/>
      <c r="CK310" s="52"/>
      <c r="CL310" s="52"/>
      <c r="CM310" s="52"/>
      <c r="CN310" s="52"/>
      <c r="CO310" s="129"/>
      <c r="CP310" s="129"/>
      <c r="CQ310" s="52"/>
      <c r="CR310" s="129"/>
      <c r="CS310" s="60"/>
      <c r="CT310" s="129"/>
      <c r="CU310" s="21"/>
      <c r="CV310" s="129"/>
      <c r="CW310" s="129"/>
      <c r="CX310" s="129"/>
      <c r="CY310" s="129"/>
      <c r="CZ310" s="129"/>
      <c r="DA310" s="129"/>
      <c r="DB310" s="129"/>
      <c r="DC310" s="129"/>
      <c r="DD310" s="21"/>
      <c r="DE310" s="129"/>
      <c r="DF310" s="129"/>
      <c r="DG310" s="129"/>
      <c r="DH310" s="129"/>
      <c r="DI310" s="129"/>
      <c r="DJ310" s="129"/>
      <c r="DK310" s="129"/>
      <c r="DL310" s="129"/>
      <c r="DM310" s="129"/>
      <c r="DN310" s="129"/>
      <c r="DO310" s="129"/>
      <c r="DP310" s="129"/>
      <c r="DQ310" s="129"/>
      <c r="DR310" s="129"/>
      <c r="DS310" s="21"/>
      <c r="DT310" s="60"/>
      <c r="DU310" s="60"/>
      <c r="DV310" s="21"/>
      <c r="DW310" s="21"/>
      <c r="DX310" s="21"/>
      <c r="DY310" s="21"/>
      <c r="DZ310" s="21"/>
      <c r="EA310" s="4"/>
      <c r="EB310" s="129"/>
      <c r="EC310" s="129"/>
      <c r="ED310" s="129"/>
      <c r="EE310" s="129"/>
      <c r="EF310" s="129"/>
      <c r="EG310" s="129"/>
      <c r="EH310" s="129"/>
      <c r="EI310" s="129"/>
      <c r="EJ310" s="129"/>
      <c r="EK310" s="129"/>
      <c r="EL310" s="129"/>
      <c r="EM310" s="129"/>
      <c r="EN310" s="129"/>
      <c r="EO310" s="129"/>
      <c r="EP310" s="129"/>
      <c r="EQ310" s="129"/>
      <c r="ER310" s="129"/>
      <c r="ES310" s="129"/>
      <c r="ET310" s="129"/>
      <c r="EU310" s="129"/>
      <c r="EV310" s="129"/>
      <c r="EW310" s="129"/>
      <c r="EX310" s="129"/>
      <c r="EY310" s="129"/>
      <c r="EZ310" s="129"/>
      <c r="FA310" s="129"/>
      <c r="FB310" s="129"/>
      <c r="FC310" s="129"/>
      <c r="FD310" s="129"/>
      <c r="FE310" s="129"/>
      <c r="FF310" s="129"/>
      <c r="FG310" s="129"/>
      <c r="FH310" s="129"/>
      <c r="FI310" s="129"/>
      <c r="FJ310" s="129"/>
      <c r="FK310" s="129"/>
      <c r="FL310" s="129"/>
      <c r="FM310" s="129"/>
      <c r="FN310" s="129"/>
      <c r="FO310" s="129"/>
      <c r="FP310" s="129"/>
      <c r="FQ310" s="129"/>
      <c r="FR310" s="129"/>
      <c r="FS310" s="129"/>
      <c r="FT310" s="129"/>
      <c r="FU310" s="129"/>
      <c r="FV310" s="129"/>
      <c r="FW310" s="129"/>
      <c r="FX310" s="129"/>
      <c r="FY310" s="129"/>
      <c r="FZ310" s="129"/>
      <c r="GA310" s="129"/>
      <c r="GB310" s="129"/>
      <c r="GC310" s="129"/>
      <c r="GD310" s="129"/>
      <c r="GE310" s="129"/>
      <c r="GF310" s="129"/>
      <c r="GG310" s="129"/>
      <c r="GH310" s="129"/>
      <c r="GI310" s="129"/>
      <c r="GJ310" s="129"/>
      <c r="GK310" s="129"/>
      <c r="GL310" s="129"/>
      <c r="GM310" s="129"/>
      <c r="GN310" s="129"/>
      <c r="GO310" s="129"/>
    </row>
    <row r="311" spans="7:205" ht="17.25">
      <c r="G311" s="233"/>
      <c r="AC311" s="2"/>
      <c r="AD311" s="2"/>
      <c r="AE311" s="2"/>
      <c r="AF311" s="128">
        <v>40</v>
      </c>
      <c r="AH311" s="128">
        <v>40</v>
      </c>
      <c r="AI311" s="128">
        <v>40</v>
      </c>
      <c r="AK311" s="128">
        <v>40</v>
      </c>
      <c r="AL311" s="128">
        <v>40</v>
      </c>
      <c r="AM311" s="128">
        <v>40</v>
      </c>
      <c r="AN311" s="128">
        <v>40</v>
      </c>
      <c r="AO311" s="128">
        <v>40</v>
      </c>
      <c r="AT311" s="128">
        <v>40</v>
      </c>
      <c r="AU311" s="128">
        <v>40</v>
      </c>
      <c r="AW311" s="128">
        <v>40</v>
      </c>
      <c r="AX311" s="128">
        <v>40</v>
      </c>
      <c r="AY311" s="128">
        <v>40</v>
      </c>
      <c r="BA311" s="128">
        <v>40</v>
      </c>
      <c r="BB311" s="128">
        <v>40</v>
      </c>
      <c r="BC311" s="128">
        <v>40</v>
      </c>
      <c r="BD311" s="128">
        <v>40</v>
      </c>
      <c r="BG311" s="54"/>
      <c r="BH311" s="129"/>
      <c r="BI311" s="129"/>
      <c r="BJ311" s="129"/>
      <c r="BK311" s="129"/>
      <c r="BL311" s="129"/>
      <c r="BM311" s="129"/>
      <c r="BN311" s="129"/>
      <c r="BO311" s="129"/>
      <c r="BP311" s="152"/>
      <c r="BQ311" s="129"/>
      <c r="BR311" s="129"/>
      <c r="BS311" s="129"/>
      <c r="BT311" s="129"/>
      <c r="BU311" s="129"/>
      <c r="BV311" s="129"/>
      <c r="BW311" s="129"/>
      <c r="BX311" s="129"/>
      <c r="BY311" s="129"/>
      <c r="BZ311" s="129"/>
      <c r="CA311" s="129"/>
      <c r="CB311" s="129"/>
      <c r="CC311" s="129"/>
      <c r="CD311" s="152"/>
      <c r="CE311" s="129"/>
      <c r="CF311" s="129"/>
      <c r="CG311" s="129"/>
      <c r="CH311" s="52"/>
      <c r="CI311" s="52"/>
      <c r="CJ311" s="77"/>
      <c r="CK311" s="52"/>
      <c r="CL311" s="52"/>
      <c r="CM311" s="52"/>
      <c r="CN311" s="52"/>
      <c r="CO311" s="129"/>
      <c r="CP311" s="129"/>
      <c r="CQ311" s="52"/>
      <c r="CR311" s="129"/>
      <c r="CS311" s="60"/>
      <c r="CT311" s="129"/>
      <c r="CU311" s="21"/>
      <c r="CV311" s="129"/>
      <c r="CW311" s="129"/>
      <c r="CX311" s="129"/>
      <c r="CY311" s="129"/>
      <c r="CZ311" s="129"/>
      <c r="DA311" s="129"/>
      <c r="DB311" s="129"/>
      <c r="DC311" s="129"/>
      <c r="DD311" s="129"/>
      <c r="DE311" s="21"/>
      <c r="DF311" s="129"/>
      <c r="DG311" s="129"/>
      <c r="DH311" s="129"/>
      <c r="DI311" s="129"/>
      <c r="DJ311" s="129"/>
      <c r="DK311" s="129"/>
      <c r="DL311" s="129"/>
      <c r="DM311" s="129"/>
      <c r="DN311" s="129"/>
      <c r="DO311" s="129"/>
      <c r="DP311" s="129"/>
      <c r="DQ311" s="129"/>
      <c r="DR311" s="129"/>
      <c r="DS311" s="129"/>
      <c r="DT311" s="21"/>
      <c r="DU311" s="60"/>
      <c r="DV311" s="60"/>
      <c r="DW311" s="21"/>
      <c r="DX311" s="21"/>
      <c r="DY311" s="21"/>
      <c r="DZ311" s="21"/>
      <c r="EA311" s="21"/>
      <c r="EB311" s="129"/>
      <c r="EC311" s="129"/>
      <c r="ED311" s="129"/>
      <c r="EE311" s="129"/>
      <c r="EF311" s="129"/>
      <c r="EG311" s="129"/>
      <c r="EH311" s="129"/>
      <c r="EI311" s="129"/>
      <c r="EJ311" s="129"/>
      <c r="EK311" s="129"/>
      <c r="EL311" s="129"/>
      <c r="EM311" s="129"/>
      <c r="EN311" s="129"/>
      <c r="EO311" s="129"/>
      <c r="EP311" s="129"/>
      <c r="EQ311" s="129"/>
      <c r="ER311" s="129"/>
      <c r="ES311" s="129"/>
      <c r="ET311" s="129"/>
      <c r="EU311" s="129"/>
      <c r="EV311" s="129"/>
      <c r="EW311" s="129"/>
      <c r="EX311" s="129"/>
      <c r="EY311" s="129"/>
      <c r="EZ311" s="129"/>
      <c r="FA311" s="129"/>
      <c r="FB311" s="129"/>
      <c r="FC311" s="129"/>
      <c r="FD311" s="129"/>
      <c r="FE311" s="129"/>
      <c r="FF311" s="129"/>
      <c r="FG311" s="129"/>
      <c r="FH311" s="129"/>
      <c r="FI311" s="129"/>
      <c r="FJ311" s="129"/>
      <c r="FK311" s="129"/>
      <c r="FL311" s="129"/>
      <c r="FM311" s="129"/>
      <c r="FN311" s="129"/>
      <c r="FO311" s="129"/>
      <c r="FP311" s="129"/>
      <c r="FQ311" s="129"/>
      <c r="FR311" s="129"/>
      <c r="FS311" s="129"/>
      <c r="FT311" s="129"/>
      <c r="FU311" s="129"/>
      <c r="FV311" s="129"/>
      <c r="FW311" s="129"/>
      <c r="FX311" s="129"/>
      <c r="FY311" s="129"/>
      <c r="FZ311" s="129"/>
      <c r="GA311" s="129"/>
      <c r="GB311" s="129"/>
      <c r="GC311" s="129"/>
      <c r="GD311" s="129"/>
      <c r="GE311" s="129"/>
      <c r="GF311" s="129"/>
      <c r="GG311" s="129"/>
      <c r="GH311" s="129"/>
      <c r="GI311" s="129"/>
      <c r="GJ311" s="129"/>
      <c r="GK311" s="129"/>
      <c r="GL311" s="129"/>
      <c r="GM311" s="129"/>
      <c r="GN311" s="129"/>
      <c r="GO311" s="129"/>
    </row>
    <row r="312" spans="7:205" ht="17.25">
      <c r="G312" s="233"/>
      <c r="AC312" s="2"/>
      <c r="AD312" s="2"/>
      <c r="AE312" s="2"/>
      <c r="AF312" s="128">
        <v>41</v>
      </c>
      <c r="AG312" s="128">
        <v>41</v>
      </c>
      <c r="AH312" s="128">
        <v>41</v>
      </c>
      <c r="AI312" s="128">
        <v>41</v>
      </c>
      <c r="AJ312" s="128">
        <v>41</v>
      </c>
      <c r="AK312" s="128">
        <v>41</v>
      </c>
      <c r="AL312" s="128">
        <v>41</v>
      </c>
      <c r="AM312" s="128">
        <v>41</v>
      </c>
      <c r="AN312" s="128">
        <v>41</v>
      </c>
      <c r="AO312" s="128">
        <v>41</v>
      </c>
      <c r="AS312" s="128">
        <v>41</v>
      </c>
      <c r="AT312" s="128">
        <v>41</v>
      </c>
      <c r="AU312" s="128">
        <v>41</v>
      </c>
      <c r="AX312" s="128">
        <v>41</v>
      </c>
      <c r="AY312" s="128">
        <v>41</v>
      </c>
      <c r="AZ312" s="128">
        <v>41</v>
      </c>
      <c r="BA312" s="128">
        <v>41</v>
      </c>
      <c r="BB312" s="128">
        <v>41</v>
      </c>
      <c r="BD312" s="128">
        <v>41</v>
      </c>
      <c r="BE312" s="128">
        <v>41</v>
      </c>
      <c r="BG312" s="54"/>
      <c r="BH312" s="129"/>
      <c r="BI312" s="129"/>
      <c r="BJ312" s="129"/>
      <c r="BK312" s="129"/>
      <c r="BL312" s="129"/>
      <c r="BM312" s="129"/>
      <c r="BN312" s="129"/>
      <c r="BO312" s="129"/>
      <c r="BP312" s="152"/>
      <c r="BQ312" s="129"/>
      <c r="BR312" s="129"/>
      <c r="BS312" s="129"/>
      <c r="BT312" s="129"/>
      <c r="BU312" s="129"/>
      <c r="BV312" s="129"/>
      <c r="BW312" s="129"/>
      <c r="BX312" s="129"/>
      <c r="BY312" s="129"/>
      <c r="BZ312" s="129"/>
      <c r="CA312" s="129"/>
      <c r="CB312" s="129"/>
      <c r="CC312" s="129"/>
      <c r="CD312" s="129"/>
      <c r="CE312" s="129"/>
      <c r="CF312" s="129"/>
      <c r="CG312" s="129"/>
      <c r="CH312" s="51"/>
      <c r="CI312" s="52"/>
      <c r="CJ312" s="18"/>
      <c r="CK312" s="51"/>
      <c r="CL312" s="52"/>
      <c r="CM312" s="52"/>
      <c r="CN312" s="52"/>
      <c r="CO312" s="129"/>
      <c r="CP312" s="129"/>
      <c r="CQ312" s="52"/>
      <c r="CR312" s="129"/>
      <c r="CS312" s="60"/>
      <c r="CT312" s="129"/>
      <c r="CU312" s="21"/>
      <c r="CV312" s="129"/>
      <c r="CW312" s="129"/>
      <c r="CX312" s="129"/>
      <c r="CY312" s="129"/>
      <c r="CZ312" s="129"/>
      <c r="DA312" s="129"/>
      <c r="DB312" s="129"/>
      <c r="DC312" s="129"/>
      <c r="DD312" s="129"/>
      <c r="DE312" s="129"/>
      <c r="DF312" s="21"/>
      <c r="DG312" s="129"/>
      <c r="DH312" s="129"/>
      <c r="DI312" s="129"/>
      <c r="DJ312" s="129"/>
      <c r="DK312" s="129"/>
      <c r="DL312" s="129"/>
      <c r="DM312" s="129"/>
      <c r="DN312" s="129"/>
      <c r="DO312" s="129"/>
      <c r="DP312" s="129"/>
      <c r="DQ312" s="129"/>
      <c r="DR312" s="129"/>
      <c r="DS312" s="129"/>
      <c r="DT312" s="129"/>
      <c r="DU312" s="21"/>
      <c r="DV312" s="60"/>
      <c r="DW312" s="60"/>
      <c r="DX312" s="21"/>
      <c r="DY312" s="21"/>
      <c r="DZ312" s="21"/>
      <c r="EA312" s="21"/>
      <c r="EB312" s="129"/>
      <c r="EC312" s="129"/>
      <c r="ED312" s="129"/>
      <c r="EE312" s="129"/>
      <c r="EF312" s="129"/>
      <c r="EG312" s="129"/>
      <c r="EH312" s="129"/>
      <c r="EI312" s="129"/>
      <c r="EJ312" s="129"/>
      <c r="EK312" s="129"/>
      <c r="EL312" s="129"/>
      <c r="EM312" s="129"/>
      <c r="EN312" s="129"/>
      <c r="EO312" s="129"/>
      <c r="EP312" s="129"/>
      <c r="EQ312" s="129"/>
      <c r="ER312" s="129"/>
      <c r="ES312" s="129"/>
      <c r="ET312" s="129"/>
      <c r="EU312" s="129"/>
      <c r="EV312" s="129"/>
      <c r="EW312" s="129"/>
      <c r="EX312" s="129"/>
      <c r="EY312" s="129"/>
      <c r="EZ312" s="129"/>
      <c r="FA312" s="129"/>
      <c r="FB312" s="129"/>
      <c r="FC312" s="129"/>
      <c r="FD312" s="129"/>
      <c r="FE312" s="129"/>
      <c r="FF312" s="129"/>
      <c r="FG312" s="129"/>
      <c r="FH312" s="129"/>
      <c r="FI312" s="129"/>
      <c r="FJ312" s="129"/>
      <c r="FK312" s="129"/>
      <c r="FL312" s="129"/>
      <c r="FM312" s="129"/>
      <c r="FN312" s="129"/>
      <c r="FO312" s="129"/>
      <c r="FP312" s="129"/>
      <c r="FQ312" s="129"/>
      <c r="FR312" s="129"/>
      <c r="FS312" s="129"/>
      <c r="FT312" s="129"/>
      <c r="FU312" s="129"/>
      <c r="FV312" s="129"/>
      <c r="FW312" s="129"/>
      <c r="FX312" s="129"/>
      <c r="FY312" s="129"/>
      <c r="FZ312" s="129"/>
      <c r="GA312" s="129"/>
      <c r="GB312" s="129"/>
      <c r="GC312" s="129"/>
      <c r="GD312" s="129"/>
      <c r="GE312" s="129"/>
      <c r="GF312" s="129"/>
      <c r="GG312" s="129"/>
      <c r="GH312" s="129"/>
      <c r="GI312" s="129"/>
      <c r="GJ312" s="129"/>
      <c r="GK312" s="129"/>
      <c r="GL312" s="129"/>
      <c r="GM312" s="129"/>
      <c r="GN312" s="129"/>
      <c r="GO312" s="129"/>
    </row>
    <row r="313" spans="7:205" ht="17.25">
      <c r="G313" s="233"/>
      <c r="AC313" s="2"/>
      <c r="AD313" s="2"/>
      <c r="AE313" s="2"/>
      <c r="AF313" s="128">
        <v>42</v>
      </c>
      <c r="AG313" s="128">
        <v>42</v>
      </c>
      <c r="AH313" s="128">
        <v>42</v>
      </c>
      <c r="AI313" s="128">
        <v>42</v>
      </c>
      <c r="AK313" s="128">
        <v>42</v>
      </c>
      <c r="AL313" s="128">
        <v>42</v>
      </c>
      <c r="AN313" s="128">
        <v>42</v>
      </c>
      <c r="AO313" s="128">
        <v>42</v>
      </c>
      <c r="AR313" s="128">
        <v>42</v>
      </c>
      <c r="AS313" s="128">
        <v>42</v>
      </c>
      <c r="AT313" s="128">
        <v>42</v>
      </c>
      <c r="AU313" s="128">
        <v>42</v>
      </c>
      <c r="AV313" s="128">
        <v>42</v>
      </c>
      <c r="AW313" s="128">
        <v>42</v>
      </c>
      <c r="AX313" s="128">
        <v>42</v>
      </c>
      <c r="AY313" s="128">
        <v>42</v>
      </c>
      <c r="AZ313" s="128">
        <v>42</v>
      </c>
      <c r="BB313" s="128">
        <v>42</v>
      </c>
      <c r="BC313" s="128">
        <v>42</v>
      </c>
      <c r="BE313" s="128">
        <v>42</v>
      </c>
      <c r="BG313" s="54"/>
      <c r="BH313" s="129"/>
      <c r="BI313" s="129"/>
      <c r="BJ313" s="129"/>
      <c r="BK313" s="129"/>
      <c r="BL313" s="129"/>
      <c r="BM313" s="129"/>
      <c r="BN313" s="129"/>
      <c r="BO313" s="129"/>
      <c r="BP313" s="152"/>
      <c r="BQ313" s="129"/>
      <c r="BR313" s="129"/>
      <c r="BS313" s="129"/>
      <c r="BT313" s="129"/>
      <c r="BU313" s="129"/>
      <c r="BV313" s="129"/>
      <c r="BW313" s="129"/>
      <c r="BX313" s="129"/>
      <c r="BY313" s="129"/>
      <c r="BZ313" s="129"/>
      <c r="CA313" s="129"/>
      <c r="CB313" s="129"/>
      <c r="CC313" s="129"/>
      <c r="CD313" s="129"/>
      <c r="CE313" s="129"/>
      <c r="CF313" s="129"/>
      <c r="CG313" s="129"/>
      <c r="CH313" s="51"/>
      <c r="CI313" s="51"/>
      <c r="CJ313" s="18"/>
      <c r="CK313" s="52"/>
      <c r="CL313" s="51"/>
      <c r="CM313" s="52"/>
      <c r="CN313" s="52"/>
      <c r="CO313" s="129"/>
      <c r="CP313" s="129"/>
      <c r="CQ313" s="52"/>
      <c r="CR313" s="129"/>
      <c r="CS313" s="60"/>
      <c r="CT313" s="129"/>
      <c r="CU313" s="21"/>
      <c r="CV313" s="129"/>
      <c r="CW313" s="129"/>
      <c r="CX313" s="129"/>
      <c r="CY313" s="129"/>
      <c r="CZ313" s="129"/>
      <c r="DA313" s="129"/>
      <c r="DB313" s="129"/>
      <c r="DC313" s="129"/>
      <c r="DD313" s="129"/>
      <c r="DE313" s="129"/>
      <c r="DF313" s="129"/>
      <c r="DG313" s="129"/>
      <c r="DH313" s="129"/>
      <c r="DI313" s="129"/>
      <c r="DJ313" s="129"/>
      <c r="DK313" s="129"/>
      <c r="DL313" s="129"/>
      <c r="DM313" s="129"/>
      <c r="DN313" s="129"/>
      <c r="DO313" s="129"/>
      <c r="DP313" s="129"/>
      <c r="DQ313" s="129"/>
      <c r="DR313" s="129"/>
      <c r="DS313" s="129"/>
      <c r="DT313" s="129"/>
      <c r="DU313" s="129"/>
      <c r="DV313" s="21"/>
      <c r="DW313" s="60"/>
      <c r="DX313" s="60"/>
      <c r="DY313" s="21"/>
      <c r="DZ313" s="21"/>
      <c r="EA313" s="21"/>
      <c r="EB313" s="129"/>
      <c r="EC313" s="129"/>
      <c r="ED313" s="129"/>
      <c r="EE313" s="129"/>
      <c r="EF313" s="129"/>
      <c r="EG313" s="129"/>
      <c r="EH313" s="129"/>
      <c r="EI313" s="129"/>
      <c r="EJ313" s="129"/>
      <c r="EK313" s="129"/>
      <c r="EL313" s="129"/>
      <c r="EM313" s="129"/>
      <c r="EN313" s="129"/>
      <c r="EO313" s="129"/>
      <c r="EP313" s="129"/>
      <c r="EQ313" s="129"/>
      <c r="ER313" s="129"/>
      <c r="ES313" s="129"/>
      <c r="ET313" s="129"/>
      <c r="EU313" s="129"/>
      <c r="EV313" s="129"/>
      <c r="EW313" s="129"/>
      <c r="EX313" s="129"/>
      <c r="EY313" s="129"/>
      <c r="EZ313" s="129"/>
      <c r="FA313" s="129"/>
      <c r="FB313" s="129"/>
      <c r="FC313" s="129"/>
      <c r="FD313" s="129"/>
      <c r="FE313" s="129"/>
      <c r="FF313" s="129"/>
      <c r="FG313" s="129"/>
      <c r="FH313" s="129"/>
      <c r="FI313" s="129"/>
      <c r="FJ313" s="129"/>
      <c r="FK313" s="129"/>
      <c r="FL313" s="129"/>
      <c r="FM313" s="129"/>
      <c r="FN313" s="129"/>
      <c r="FO313" s="129"/>
      <c r="FP313" s="129"/>
      <c r="FQ313" s="129"/>
      <c r="FR313" s="129"/>
      <c r="FS313" s="129"/>
      <c r="FT313" s="129"/>
      <c r="FU313" s="129"/>
      <c r="FV313" s="129"/>
      <c r="FW313" s="129"/>
      <c r="FX313" s="129"/>
      <c r="FY313" s="129"/>
      <c r="FZ313" s="129"/>
      <c r="GA313" s="129"/>
      <c r="GB313" s="129"/>
      <c r="GC313" s="129"/>
      <c r="GD313" s="129"/>
      <c r="GE313" s="129"/>
      <c r="GF313" s="129"/>
      <c r="GG313" s="129"/>
      <c r="GH313" s="129"/>
      <c r="GI313" s="129"/>
      <c r="GJ313" s="129"/>
      <c r="GK313" s="129"/>
      <c r="GL313" s="129"/>
      <c r="GM313" s="129"/>
      <c r="GN313" s="129"/>
      <c r="GO313" s="129"/>
    </row>
    <row r="314" spans="7:205" ht="17.25">
      <c r="G314" s="233"/>
      <c r="AC314" s="2"/>
      <c r="AD314" s="2"/>
      <c r="AE314" s="2"/>
      <c r="AF314" s="128">
        <v>43</v>
      </c>
      <c r="AG314" s="128">
        <v>43</v>
      </c>
      <c r="AH314" s="128">
        <v>43</v>
      </c>
      <c r="AI314" s="128">
        <v>43</v>
      </c>
      <c r="AJ314" s="128">
        <v>43</v>
      </c>
      <c r="AK314" s="128">
        <v>43</v>
      </c>
      <c r="AL314" s="128">
        <v>43</v>
      </c>
      <c r="AM314" s="128">
        <v>43</v>
      </c>
      <c r="AN314" s="128">
        <v>43</v>
      </c>
      <c r="AR314" s="128">
        <v>43</v>
      </c>
      <c r="AS314" s="128">
        <v>43</v>
      </c>
      <c r="AT314" s="128">
        <v>43</v>
      </c>
      <c r="AU314" s="128">
        <v>43</v>
      </c>
      <c r="AV314" s="128">
        <v>43</v>
      </c>
      <c r="AW314" s="128">
        <v>43</v>
      </c>
      <c r="AX314" s="128">
        <v>43</v>
      </c>
      <c r="AY314" s="128">
        <v>43</v>
      </c>
      <c r="AZ314" s="128">
        <v>43</v>
      </c>
      <c r="BA314" s="128">
        <v>43</v>
      </c>
      <c r="BB314" s="128">
        <v>43</v>
      </c>
      <c r="BE314" s="128">
        <v>43</v>
      </c>
      <c r="BG314" s="54"/>
      <c r="BH314" s="129"/>
      <c r="BI314" s="129"/>
      <c r="BJ314" s="129"/>
      <c r="BK314" s="129"/>
      <c r="BL314" s="129"/>
      <c r="BM314" s="129"/>
      <c r="BN314" s="129"/>
      <c r="BO314" s="129"/>
      <c r="BP314" s="152"/>
      <c r="BQ314" s="129"/>
      <c r="BR314" s="129"/>
      <c r="BS314" s="129"/>
      <c r="BT314" s="129"/>
      <c r="BU314" s="129"/>
      <c r="BV314" s="129"/>
      <c r="BW314" s="129"/>
      <c r="BX314" s="129"/>
      <c r="BY314" s="129"/>
      <c r="BZ314" s="129"/>
      <c r="CA314" s="129"/>
      <c r="CB314" s="129"/>
      <c r="CC314" s="129"/>
      <c r="CD314" s="129"/>
      <c r="CE314" s="129"/>
      <c r="CF314" s="129"/>
      <c r="CG314" s="129"/>
      <c r="CH314" s="52"/>
      <c r="CI314" s="51"/>
      <c r="CJ314" s="77"/>
      <c r="CK314" s="52"/>
      <c r="CL314" s="52"/>
      <c r="CM314" s="51"/>
      <c r="CN314" s="52"/>
      <c r="CO314" s="129"/>
      <c r="CP314" s="129"/>
      <c r="CQ314" s="52"/>
      <c r="CR314" s="129"/>
      <c r="CS314" s="60"/>
      <c r="CT314" s="129"/>
      <c r="CU314" s="21"/>
      <c r="CV314" s="129"/>
      <c r="CW314" s="129"/>
      <c r="CX314" s="129"/>
      <c r="CY314" s="129"/>
      <c r="CZ314" s="129"/>
      <c r="DA314" s="129"/>
      <c r="DB314" s="129"/>
      <c r="DC314" s="129"/>
      <c r="DD314" s="129"/>
      <c r="DE314" s="129"/>
      <c r="DF314" s="129"/>
      <c r="DG314" s="21"/>
      <c r="DH314" s="129"/>
      <c r="DI314" s="129"/>
      <c r="DJ314" s="129"/>
      <c r="DK314" s="129"/>
      <c r="DL314" s="129"/>
      <c r="DM314" s="129"/>
      <c r="DN314" s="129"/>
      <c r="DO314" s="129"/>
      <c r="DP314" s="129"/>
      <c r="DQ314" s="129"/>
      <c r="DR314" s="129"/>
      <c r="DS314" s="129"/>
      <c r="DT314" s="129"/>
      <c r="DU314" s="129"/>
      <c r="DV314" s="129"/>
      <c r="DW314" s="21"/>
      <c r="DX314" s="60"/>
      <c r="DY314" s="60"/>
      <c r="DZ314" s="21"/>
      <c r="EA314" s="21"/>
      <c r="EB314" s="129"/>
      <c r="EC314" s="129"/>
      <c r="ED314" s="129"/>
      <c r="EE314" s="129"/>
      <c r="EF314" s="129"/>
      <c r="EG314" s="129"/>
      <c r="EH314" s="129"/>
      <c r="EI314" s="129"/>
      <c r="EJ314" s="129"/>
      <c r="EK314" s="129"/>
      <c r="EL314" s="129"/>
      <c r="EM314" s="129"/>
      <c r="EN314" s="129"/>
      <c r="EO314" s="129"/>
      <c r="EP314" s="129"/>
      <c r="EQ314" s="129"/>
      <c r="ER314" s="129"/>
      <c r="ES314" s="129"/>
      <c r="ET314" s="129"/>
      <c r="EU314" s="129"/>
      <c r="EV314" s="129"/>
      <c r="EW314" s="129"/>
      <c r="EX314" s="129"/>
      <c r="EY314" s="129"/>
      <c r="EZ314" s="129"/>
      <c r="FA314" s="129"/>
      <c r="FB314" s="129"/>
      <c r="FC314" s="129"/>
      <c r="FD314" s="129"/>
      <c r="FE314" s="129"/>
      <c r="FF314" s="129"/>
      <c r="FG314" s="129"/>
      <c r="FH314" s="129"/>
      <c r="FI314" s="129"/>
      <c r="FJ314" s="129"/>
      <c r="FK314" s="129"/>
      <c r="FL314" s="129"/>
      <c r="FM314" s="129"/>
      <c r="FN314" s="129"/>
      <c r="FO314" s="129"/>
      <c r="FP314" s="129"/>
      <c r="FQ314" s="129"/>
      <c r="FR314" s="129"/>
      <c r="FS314" s="129"/>
      <c r="FT314" s="129"/>
      <c r="FU314" s="129"/>
      <c r="FV314" s="129"/>
      <c r="FW314" s="129"/>
      <c r="FX314" s="129"/>
      <c r="FY314" s="129"/>
      <c r="FZ314" s="129"/>
      <c r="GA314" s="129"/>
      <c r="GB314" s="129"/>
      <c r="GC314" s="129"/>
      <c r="GD314" s="129"/>
      <c r="GE314" s="129"/>
      <c r="GF314" s="129"/>
      <c r="GG314" s="129"/>
      <c r="GH314" s="129"/>
      <c r="GI314" s="129"/>
      <c r="GJ314" s="129"/>
      <c r="GK314" s="129"/>
      <c r="GL314" s="129"/>
      <c r="GM314" s="129"/>
      <c r="GN314" s="129"/>
      <c r="GO314" s="129"/>
    </row>
    <row r="315" spans="7:205" ht="17.25">
      <c r="G315" s="233"/>
      <c r="AC315" s="2"/>
      <c r="AD315" s="2"/>
      <c r="AE315" s="2"/>
      <c r="AF315" s="128">
        <v>44</v>
      </c>
      <c r="AG315" s="128">
        <v>44</v>
      </c>
      <c r="AH315" s="128">
        <v>44</v>
      </c>
      <c r="AI315" s="128">
        <v>44</v>
      </c>
      <c r="AJ315" s="128">
        <v>44</v>
      </c>
      <c r="AK315" s="128">
        <v>44</v>
      </c>
      <c r="AL315" s="128">
        <v>44</v>
      </c>
      <c r="AM315" s="128">
        <v>44</v>
      </c>
      <c r="AN315" s="128">
        <v>44</v>
      </c>
      <c r="AO315" s="128">
        <v>44</v>
      </c>
      <c r="AR315" s="128">
        <v>44</v>
      </c>
      <c r="AS315" s="128">
        <v>44</v>
      </c>
      <c r="AT315" s="128">
        <v>44</v>
      </c>
      <c r="AU315" s="128">
        <v>44</v>
      </c>
      <c r="AV315" s="128">
        <v>44</v>
      </c>
      <c r="AX315" s="128">
        <v>44</v>
      </c>
      <c r="AZ315" s="128">
        <v>44</v>
      </c>
      <c r="BA315" s="128">
        <v>44</v>
      </c>
      <c r="BB315" s="128">
        <v>44</v>
      </c>
      <c r="BC315" s="128">
        <v>44</v>
      </c>
      <c r="BD315" s="128">
        <v>44</v>
      </c>
      <c r="BE315" s="128">
        <v>44</v>
      </c>
      <c r="BH315" s="129"/>
      <c r="BI315" s="129"/>
      <c r="BJ315" s="129"/>
      <c r="BK315" s="129"/>
      <c r="BL315" s="129"/>
      <c r="BM315" s="129"/>
      <c r="BN315" s="129"/>
      <c r="BO315" s="129"/>
      <c r="BP315" s="152"/>
      <c r="BQ315" s="129"/>
      <c r="BR315" s="129"/>
      <c r="BS315" s="129"/>
      <c r="BT315" s="129"/>
      <c r="BU315" s="129"/>
      <c r="BV315" s="129"/>
      <c r="BW315" s="129"/>
      <c r="BX315" s="129"/>
      <c r="BY315" s="129"/>
      <c r="BZ315" s="129"/>
      <c r="CA315" s="129"/>
      <c r="CB315" s="129"/>
      <c r="CC315" s="129"/>
      <c r="CD315" s="129"/>
      <c r="CE315" s="129"/>
      <c r="CF315" s="129"/>
      <c r="CG315" s="129"/>
      <c r="CH315" s="52"/>
      <c r="CI315" s="52"/>
      <c r="CJ315" s="77"/>
      <c r="CK315" s="51"/>
      <c r="CL315" s="52"/>
      <c r="CM315" s="52"/>
      <c r="CN315" s="51"/>
      <c r="CO315" s="129"/>
      <c r="CP315" s="129"/>
      <c r="CQ315" s="52"/>
      <c r="CR315" s="129"/>
      <c r="CS315" s="60"/>
      <c r="CT315" s="52"/>
      <c r="CU315" s="129"/>
      <c r="CV315" s="129"/>
      <c r="CW315" s="129"/>
      <c r="CX315" s="129"/>
      <c r="CY315" s="129"/>
      <c r="CZ315" s="129"/>
      <c r="DA315" s="129"/>
      <c r="DB315" s="129"/>
      <c r="DC315" s="129"/>
      <c r="DD315" s="129"/>
      <c r="DE315" s="129"/>
      <c r="DF315" s="129"/>
      <c r="DG315" s="129"/>
      <c r="DH315" s="129"/>
      <c r="DI315" s="129"/>
      <c r="DJ315" s="129"/>
      <c r="DK315" s="129"/>
      <c r="DL315" s="129"/>
      <c r="DM315" s="129"/>
      <c r="DN315" s="129"/>
      <c r="DO315" s="129"/>
      <c r="DP315" s="129"/>
      <c r="DQ315" s="129"/>
      <c r="DR315" s="129"/>
      <c r="DS315" s="129"/>
      <c r="DT315" s="129"/>
      <c r="DU315" s="129"/>
      <c r="DV315" s="129"/>
      <c r="DW315" s="129"/>
      <c r="DX315" s="21"/>
      <c r="DY315" s="60"/>
      <c r="DZ315" s="60"/>
      <c r="EA315" s="21"/>
      <c r="EB315" s="129"/>
      <c r="EC315" s="129"/>
      <c r="ED315" s="129"/>
      <c r="EE315" s="129"/>
      <c r="EF315" s="129"/>
      <c r="EG315" s="129"/>
      <c r="EH315" s="129"/>
      <c r="EI315" s="129"/>
      <c r="EJ315" s="129"/>
      <c r="EK315" s="129"/>
      <c r="EL315" s="129"/>
      <c r="EM315" s="129"/>
      <c r="EN315" s="129"/>
      <c r="EO315" s="129"/>
      <c r="EP315" s="129"/>
      <c r="EQ315" s="129"/>
      <c r="ER315" s="129"/>
      <c r="ES315" s="129"/>
      <c r="ET315" s="129"/>
      <c r="EU315" s="129"/>
      <c r="EV315" s="129"/>
      <c r="EW315" s="129"/>
      <c r="EX315" s="129"/>
      <c r="EY315" s="129"/>
      <c r="EZ315" s="129"/>
      <c r="FA315" s="129"/>
      <c r="FB315" s="129"/>
      <c r="FC315" s="129"/>
      <c r="FD315" s="129"/>
      <c r="FE315" s="129"/>
      <c r="FF315" s="129"/>
      <c r="FG315" s="129"/>
      <c r="FH315" s="129"/>
      <c r="FI315" s="129"/>
      <c r="FJ315" s="129"/>
      <c r="FK315" s="129"/>
      <c r="FL315" s="129"/>
      <c r="FM315" s="129"/>
      <c r="FN315" s="129"/>
      <c r="FO315" s="129"/>
      <c r="FP315" s="129"/>
      <c r="FQ315" s="129"/>
      <c r="FR315" s="129"/>
      <c r="FS315" s="129"/>
      <c r="FT315" s="129"/>
      <c r="FU315" s="129"/>
      <c r="FV315" s="129"/>
      <c r="FW315" s="129"/>
      <c r="FX315" s="129"/>
      <c r="FY315" s="129"/>
      <c r="FZ315" s="129"/>
      <c r="GA315" s="129"/>
      <c r="GB315" s="129"/>
      <c r="GC315" s="129"/>
      <c r="GD315" s="129"/>
      <c r="GE315" s="129"/>
      <c r="GF315" s="129"/>
      <c r="GG315" s="129"/>
      <c r="GH315" s="129"/>
      <c r="GI315" s="129"/>
      <c r="GJ315" s="129"/>
      <c r="GK315" s="129"/>
      <c r="GL315" s="129"/>
      <c r="GM315" s="129"/>
      <c r="GN315" s="129"/>
      <c r="GO315" s="129"/>
    </row>
    <row r="316" spans="7:205" ht="17.25">
      <c r="G316" s="233"/>
      <c r="AC316" s="2"/>
      <c r="AD316" s="2"/>
      <c r="AE316" s="2"/>
      <c r="AF316" s="128">
        <v>45</v>
      </c>
      <c r="AG316" s="128">
        <v>45</v>
      </c>
      <c r="AH316" s="128">
        <v>45</v>
      </c>
      <c r="AI316" s="128">
        <v>45</v>
      </c>
      <c r="AJ316" s="128">
        <v>45</v>
      </c>
      <c r="AK316" s="128">
        <v>45</v>
      </c>
      <c r="AN316" s="128">
        <v>45</v>
      </c>
      <c r="AR316" s="128">
        <v>45</v>
      </c>
      <c r="AU316" s="128">
        <v>45</v>
      </c>
      <c r="AV316" s="128">
        <v>45</v>
      </c>
      <c r="AZ316" s="128">
        <v>45</v>
      </c>
      <c r="BA316" s="128">
        <v>45</v>
      </c>
      <c r="BB316" s="128">
        <v>45</v>
      </c>
      <c r="BC316" s="128">
        <v>45</v>
      </c>
      <c r="BG316" s="54"/>
      <c r="BH316" s="129"/>
      <c r="BI316" s="129"/>
      <c r="BJ316" s="129"/>
      <c r="BK316" s="129"/>
      <c r="BL316" s="129"/>
      <c r="BM316" s="129"/>
      <c r="BN316" s="129"/>
      <c r="BO316" s="129"/>
      <c r="BP316" s="152"/>
      <c r="BQ316" s="129"/>
      <c r="BR316" s="129"/>
      <c r="BS316" s="129"/>
      <c r="BT316" s="129"/>
      <c r="BU316" s="129"/>
      <c r="BV316" s="129"/>
      <c r="BW316" s="129"/>
      <c r="BX316" s="129"/>
      <c r="BY316" s="129"/>
      <c r="BZ316" s="129"/>
      <c r="CA316" s="129"/>
      <c r="CB316" s="129"/>
      <c r="CC316" s="129"/>
      <c r="CD316" s="129"/>
      <c r="CE316" s="129"/>
      <c r="CF316" s="129"/>
      <c r="CG316" s="129"/>
      <c r="CH316" s="52"/>
      <c r="CI316" s="52"/>
      <c r="CJ316" s="18"/>
      <c r="CK316" s="51"/>
      <c r="CL316" s="51"/>
      <c r="CM316" s="52"/>
      <c r="CN316" s="52"/>
      <c r="CO316" s="129"/>
      <c r="CP316" s="129"/>
      <c r="CQ316" s="52"/>
      <c r="CR316" s="129"/>
      <c r="CS316" s="129"/>
      <c r="CT316" s="129"/>
      <c r="CU316" s="129"/>
      <c r="CV316" s="129"/>
      <c r="CW316" s="152"/>
      <c r="CX316" s="129"/>
      <c r="CY316" s="129"/>
      <c r="CZ316" s="129"/>
      <c r="DA316" s="129"/>
      <c r="DB316" s="129"/>
      <c r="DC316" s="129"/>
      <c r="DD316" s="129"/>
      <c r="DE316" s="129"/>
      <c r="DF316" s="129"/>
      <c r="DG316" s="129"/>
      <c r="DH316" s="129"/>
      <c r="DI316" s="129"/>
      <c r="DJ316" s="129"/>
      <c r="DK316" s="129"/>
      <c r="DL316" s="129"/>
      <c r="DM316" s="129"/>
      <c r="DN316" s="129"/>
      <c r="DO316" s="129"/>
      <c r="DP316" s="129"/>
      <c r="DQ316" s="129"/>
      <c r="DR316" s="129"/>
      <c r="DS316" s="129"/>
      <c r="DT316" s="129"/>
      <c r="DU316" s="129"/>
      <c r="DV316" s="129"/>
      <c r="DW316" s="129"/>
      <c r="DX316" s="129"/>
      <c r="DY316" s="21"/>
      <c r="DZ316" s="60"/>
      <c r="EA316" s="60"/>
      <c r="EB316" s="129"/>
      <c r="EC316" s="129"/>
      <c r="ED316" s="129"/>
      <c r="EE316" s="129"/>
      <c r="EF316" s="129"/>
      <c r="EG316" s="129"/>
      <c r="EH316" s="129"/>
      <c r="EI316" s="129"/>
      <c r="EJ316" s="129"/>
      <c r="EK316" s="129"/>
      <c r="EL316" s="129"/>
      <c r="EM316" s="129"/>
      <c r="EN316" s="129"/>
      <c r="EO316" s="129"/>
      <c r="EP316" s="129"/>
      <c r="EQ316" s="129"/>
      <c r="ER316" s="129"/>
      <c r="ES316" s="129"/>
      <c r="ET316" s="129"/>
      <c r="EU316" s="129"/>
      <c r="EV316" s="129"/>
      <c r="EW316" s="129"/>
      <c r="EX316" s="129"/>
      <c r="EY316" s="129"/>
      <c r="EZ316" s="129"/>
      <c r="FA316" s="129"/>
      <c r="FB316" s="129"/>
      <c r="FC316" s="129"/>
      <c r="FD316" s="129"/>
      <c r="FE316" s="129"/>
      <c r="FF316" s="129"/>
      <c r="FG316" s="129"/>
      <c r="FH316" s="129"/>
      <c r="FI316" s="129"/>
      <c r="FJ316" s="129"/>
      <c r="FK316" s="129"/>
      <c r="FL316" s="129"/>
      <c r="FM316" s="129"/>
      <c r="FN316" s="129"/>
      <c r="FO316" s="129"/>
      <c r="FP316" s="129"/>
      <c r="FQ316" s="129"/>
      <c r="FR316" s="129"/>
      <c r="FS316" s="129"/>
      <c r="FT316" s="129"/>
      <c r="FU316" s="129"/>
      <c r="FV316" s="129"/>
      <c r="FW316" s="129"/>
      <c r="FX316" s="129"/>
      <c r="FY316" s="129"/>
      <c r="FZ316" s="129"/>
      <c r="GA316" s="129"/>
      <c r="GB316" s="129"/>
      <c r="GC316" s="129"/>
      <c r="GD316" s="129"/>
      <c r="GE316" s="129"/>
      <c r="GF316" s="129"/>
      <c r="GG316" s="129"/>
      <c r="GH316" s="129"/>
      <c r="GI316" s="129"/>
      <c r="GJ316" s="129"/>
      <c r="GK316" s="129"/>
      <c r="GL316" s="129"/>
      <c r="GM316" s="129"/>
      <c r="GN316" s="129"/>
      <c r="GO316" s="129"/>
    </row>
    <row r="317" spans="7:205" ht="17.25">
      <c r="AF317" s="2"/>
      <c r="AG317" s="129"/>
      <c r="AH317" s="129">
        <v>2</v>
      </c>
      <c r="AI317" s="2"/>
      <c r="AJ317" s="191"/>
      <c r="AK317" s="191"/>
      <c r="AL317" s="2"/>
      <c r="AM317" s="2"/>
      <c r="AN317" s="2"/>
      <c r="AO317" s="60"/>
      <c r="AP317" s="129"/>
      <c r="AQ317" s="129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E317" s="129"/>
      <c r="BF317" s="129"/>
      <c r="BG317" s="129"/>
      <c r="BH317" s="129"/>
      <c r="BI317" s="129"/>
      <c r="BJ317" s="129"/>
      <c r="BK317" s="129"/>
      <c r="BL317" s="129"/>
      <c r="BM317" s="129"/>
      <c r="BN317" s="54"/>
      <c r="BO317" s="54"/>
      <c r="BP317" s="129"/>
      <c r="BQ317" s="129"/>
      <c r="BR317" s="129"/>
      <c r="BS317" s="129"/>
      <c r="BT317" s="129"/>
      <c r="BU317" s="129"/>
      <c r="BV317" s="129"/>
      <c r="BW317" s="129"/>
      <c r="BX317" s="152"/>
      <c r="BY317" s="129"/>
      <c r="BZ317" s="129"/>
      <c r="CA317" s="129"/>
      <c r="CB317" s="129"/>
      <c r="CC317" s="129"/>
      <c r="CD317" s="129"/>
      <c r="CE317" s="129"/>
      <c r="CF317" s="129"/>
      <c r="CG317" s="129"/>
      <c r="CH317" s="129"/>
      <c r="CI317" s="129"/>
      <c r="CJ317" s="129"/>
      <c r="CK317" s="129"/>
      <c r="CL317" s="129"/>
      <c r="CM317" s="129"/>
      <c r="CN317" s="129"/>
      <c r="CO317" s="129"/>
      <c r="CP317" s="129"/>
      <c r="CQ317" s="152"/>
      <c r="CR317" s="129"/>
      <c r="CS317" s="54"/>
      <c r="CT317" s="54"/>
      <c r="CU317" s="54"/>
      <c r="CV317" s="152"/>
      <c r="CW317" s="129"/>
      <c r="CX317" s="129"/>
      <c r="CY317" s="52"/>
      <c r="CZ317" s="129"/>
      <c r="DA317" s="152"/>
      <c r="DB317" s="129"/>
      <c r="DC317" s="129"/>
      <c r="DD317" s="129"/>
      <c r="DE317" s="129"/>
      <c r="DF317" s="129"/>
      <c r="DG317" s="129"/>
      <c r="DH317" s="129"/>
      <c r="DI317" s="129"/>
      <c r="DJ317" s="129"/>
      <c r="DK317" s="129"/>
      <c r="DL317" s="129"/>
      <c r="DM317" s="129"/>
      <c r="DN317" s="129"/>
      <c r="DO317" s="129"/>
      <c r="DP317" s="129"/>
      <c r="DQ317" s="129"/>
      <c r="DR317" s="129"/>
      <c r="DS317" s="129"/>
      <c r="DT317" s="129"/>
      <c r="DU317" s="129"/>
      <c r="DV317" s="129"/>
      <c r="DW317" s="129"/>
      <c r="DX317" s="129"/>
      <c r="DY317" s="129"/>
      <c r="DZ317" s="129"/>
      <c r="EA317" s="129"/>
      <c r="EB317" s="129"/>
      <c r="EC317" s="129"/>
      <c r="ED317" s="129"/>
      <c r="EE317" s="129"/>
      <c r="EF317" s="129"/>
      <c r="EG317" s="129"/>
      <c r="EH317" s="21"/>
      <c r="EI317" s="60"/>
      <c r="EJ317" s="129"/>
      <c r="EK317" s="129"/>
      <c r="EL317" s="129"/>
      <c r="EM317" s="129"/>
      <c r="EN317" s="129"/>
      <c r="EO317" s="129"/>
      <c r="EP317" s="129"/>
      <c r="EQ317" s="129"/>
      <c r="ER317" s="129"/>
      <c r="ES317" s="129"/>
      <c r="ET317" s="129"/>
      <c r="EU317" s="129"/>
      <c r="EV317" s="129"/>
      <c r="EW317" s="129"/>
      <c r="EX317" s="129"/>
      <c r="EY317" s="129"/>
      <c r="EZ317" s="129"/>
      <c r="FA317" s="129"/>
      <c r="FB317" s="129"/>
      <c r="FC317" s="129"/>
      <c r="FD317" s="129"/>
      <c r="FE317" s="129"/>
      <c r="FF317" s="129"/>
      <c r="FG317" s="129"/>
      <c r="FH317" s="129"/>
      <c r="FI317" s="129"/>
      <c r="FJ317" s="129"/>
      <c r="FK317" s="129"/>
      <c r="FL317" s="129"/>
      <c r="FM317" s="129"/>
      <c r="FN317" s="129"/>
      <c r="FO317" s="129"/>
      <c r="FP317" s="129"/>
      <c r="FQ317" s="129"/>
      <c r="FR317" s="129"/>
      <c r="FS317" s="129"/>
      <c r="FT317" s="129"/>
      <c r="FU317" s="129"/>
      <c r="FV317" s="129"/>
      <c r="FW317" s="129"/>
      <c r="FX317" s="129"/>
      <c r="FY317" s="129"/>
      <c r="FZ317" s="129"/>
      <c r="GA317" s="129"/>
      <c r="GB317" s="129"/>
      <c r="GC317" s="129"/>
      <c r="GD317" s="129"/>
      <c r="GE317" s="129"/>
      <c r="GF317" s="129"/>
      <c r="GG317" s="129"/>
      <c r="GH317" s="129"/>
      <c r="GI317" s="129"/>
      <c r="GJ317" s="129"/>
      <c r="GK317" s="129"/>
      <c r="GL317" s="129"/>
      <c r="GM317" s="129"/>
      <c r="GN317" s="129"/>
      <c r="GO317" s="129"/>
      <c r="GP317" s="129"/>
      <c r="GQ317" s="129"/>
      <c r="GR317" s="129"/>
      <c r="GS317" s="129"/>
      <c r="GT317" s="129"/>
      <c r="GU317" s="129"/>
      <c r="GV317" s="129"/>
      <c r="GW317" s="129"/>
    </row>
    <row r="318" spans="7:205" ht="17.25">
      <c r="AF318" s="2"/>
      <c r="AG318" s="129"/>
      <c r="AH318" s="129">
        <v>4</v>
      </c>
      <c r="AI318" s="2"/>
      <c r="AJ318" s="191"/>
      <c r="AK318" s="191"/>
      <c r="AL318" s="2"/>
      <c r="AM318" s="2"/>
      <c r="AN318" s="2"/>
      <c r="AO318" s="60"/>
      <c r="AP318" s="129"/>
      <c r="AQ318" s="129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E318" s="129"/>
      <c r="BF318" s="129"/>
      <c r="BG318" s="129"/>
      <c r="BH318" s="129"/>
      <c r="BI318" s="129"/>
      <c r="BJ318" s="129"/>
      <c r="BK318" s="129"/>
      <c r="BL318" s="129"/>
      <c r="BM318" s="129"/>
      <c r="BN318" s="60"/>
      <c r="BO318" s="60"/>
      <c r="BP318" s="129"/>
      <c r="BQ318" s="129"/>
      <c r="BR318" s="129"/>
      <c r="BS318" s="129"/>
      <c r="BT318" s="129"/>
      <c r="BU318" s="129"/>
      <c r="BV318" s="129"/>
      <c r="BW318" s="129"/>
      <c r="BX318" s="152"/>
      <c r="BY318" s="129"/>
      <c r="BZ318" s="129"/>
      <c r="CA318" s="129"/>
      <c r="CB318" s="129"/>
      <c r="CC318" s="129"/>
      <c r="CD318" s="129"/>
      <c r="CE318" s="129"/>
      <c r="CF318" s="129"/>
      <c r="CG318" s="129"/>
      <c r="CH318" s="129"/>
      <c r="CI318" s="129"/>
      <c r="CJ318" s="129"/>
      <c r="CK318" s="129"/>
      <c r="CL318" s="129"/>
      <c r="CM318" s="129"/>
      <c r="CN318" s="129"/>
      <c r="CO318" s="129"/>
      <c r="CP318" s="129"/>
      <c r="CQ318" s="129"/>
      <c r="CR318" s="129"/>
      <c r="CS318" s="129"/>
      <c r="CT318" s="129"/>
      <c r="CU318" s="129"/>
      <c r="CV318" s="129"/>
      <c r="CW318" s="129"/>
      <c r="CX318" s="129"/>
      <c r="CY318" s="52"/>
      <c r="CZ318" s="129"/>
      <c r="DA318" s="129"/>
      <c r="DB318" s="129"/>
      <c r="DC318" s="129"/>
      <c r="DD318" s="129"/>
      <c r="DE318" s="129"/>
      <c r="DF318" s="129"/>
      <c r="DG318" s="129"/>
      <c r="DH318" s="129"/>
      <c r="DI318" s="129"/>
      <c r="DJ318" s="129"/>
      <c r="DK318" s="129"/>
      <c r="DL318" s="129"/>
      <c r="DM318" s="129"/>
      <c r="DN318" s="129"/>
      <c r="DO318" s="129"/>
      <c r="DP318" s="129"/>
      <c r="DQ318" s="129"/>
      <c r="DR318" s="129"/>
      <c r="DS318" s="129"/>
      <c r="DT318" s="129"/>
      <c r="DU318" s="129"/>
      <c r="DV318" s="129"/>
      <c r="DW318" s="129"/>
      <c r="DX318" s="129"/>
      <c r="DY318" s="129"/>
      <c r="DZ318" s="129"/>
      <c r="EA318" s="129"/>
      <c r="EB318" s="129"/>
      <c r="EC318" s="129"/>
      <c r="ED318" s="129"/>
      <c r="EE318" s="129"/>
      <c r="EF318" s="129"/>
      <c r="EG318" s="129"/>
      <c r="EH318" s="129"/>
      <c r="EI318" s="21"/>
      <c r="EJ318" s="129"/>
      <c r="EK318" s="129"/>
      <c r="EL318" s="129"/>
      <c r="EM318" s="129"/>
      <c r="EN318" s="129"/>
      <c r="EO318" s="129"/>
      <c r="EP318" s="129"/>
      <c r="EQ318" s="129"/>
      <c r="ER318" s="129"/>
      <c r="ES318" s="129"/>
      <c r="ET318" s="129"/>
      <c r="EU318" s="129"/>
      <c r="EV318" s="129"/>
      <c r="EW318" s="129"/>
      <c r="EX318" s="129"/>
      <c r="EY318" s="129"/>
      <c r="EZ318" s="129"/>
      <c r="FA318" s="129"/>
      <c r="FB318" s="129"/>
      <c r="FC318" s="129"/>
      <c r="FD318" s="129"/>
      <c r="FE318" s="129"/>
      <c r="FF318" s="129"/>
      <c r="FG318" s="129"/>
      <c r="FH318" s="129"/>
      <c r="FI318" s="129"/>
      <c r="FJ318" s="129"/>
      <c r="FK318" s="129"/>
      <c r="FL318" s="129"/>
      <c r="FM318" s="129"/>
      <c r="FN318" s="129"/>
      <c r="FO318" s="129"/>
      <c r="FP318" s="129"/>
      <c r="FQ318" s="129"/>
      <c r="FR318" s="129"/>
      <c r="FS318" s="129"/>
      <c r="FT318" s="129"/>
      <c r="FU318" s="129"/>
      <c r="FV318" s="129"/>
      <c r="FW318" s="129"/>
      <c r="FX318" s="129"/>
      <c r="FY318" s="129"/>
      <c r="FZ318" s="129"/>
      <c r="GA318" s="129"/>
      <c r="GB318" s="129"/>
      <c r="GC318" s="129"/>
      <c r="GD318" s="129"/>
      <c r="GE318" s="129"/>
      <c r="GF318" s="129"/>
      <c r="GG318" s="129"/>
      <c r="GH318" s="129"/>
      <c r="GI318" s="129"/>
      <c r="GJ318" s="129"/>
      <c r="GK318" s="129"/>
      <c r="GL318" s="129"/>
      <c r="GM318" s="129"/>
      <c r="GN318" s="129"/>
      <c r="GO318" s="129"/>
      <c r="GP318" s="129"/>
      <c r="GQ318" s="129"/>
      <c r="GR318" s="129"/>
      <c r="GS318" s="129"/>
      <c r="GT318" s="129"/>
      <c r="GU318" s="129"/>
      <c r="GV318" s="129"/>
      <c r="GW318" s="129"/>
    </row>
    <row r="319" spans="7:205" ht="17.25">
      <c r="AF319" s="2"/>
      <c r="AG319" s="129"/>
      <c r="AH319" s="129">
        <v>4</v>
      </c>
      <c r="AI319" s="2"/>
      <c r="AJ319" s="191">
        <v>4</v>
      </c>
      <c r="AK319" s="191">
        <v>1</v>
      </c>
      <c r="AL319" s="2"/>
      <c r="AM319" s="2">
        <v>1</v>
      </c>
      <c r="AN319" s="129">
        <v>4</v>
      </c>
      <c r="AO319" s="60">
        <v>2</v>
      </c>
      <c r="AP319" s="129">
        <v>2</v>
      </c>
      <c r="AQ319" s="129">
        <v>1</v>
      </c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E319" s="129"/>
      <c r="BF319" s="129"/>
      <c r="BG319" s="129"/>
      <c r="BH319" s="129"/>
      <c r="BI319" s="129"/>
      <c r="BJ319" s="129"/>
      <c r="BK319" s="129"/>
      <c r="BL319" s="129"/>
      <c r="BM319" s="129"/>
      <c r="BN319" s="60"/>
      <c r="BO319" s="129"/>
      <c r="BP319" s="129"/>
      <c r="BQ319" s="129"/>
      <c r="BR319" s="129"/>
      <c r="BS319" s="129"/>
      <c r="BT319" s="129"/>
      <c r="BU319" s="129"/>
      <c r="BV319" s="129"/>
      <c r="BW319" s="129"/>
      <c r="BX319" s="152"/>
      <c r="BY319" s="129"/>
      <c r="BZ319" s="129"/>
      <c r="CA319" s="129"/>
      <c r="CB319" s="129"/>
      <c r="CC319" s="129"/>
      <c r="CD319" s="129"/>
      <c r="CE319" s="129"/>
      <c r="CF319" s="129"/>
      <c r="CG319" s="129"/>
      <c r="CH319" s="129"/>
      <c r="CI319" s="129"/>
      <c r="CJ319" s="129"/>
      <c r="CK319" s="129"/>
      <c r="CL319" s="129"/>
      <c r="CM319" s="129"/>
      <c r="CN319" s="129"/>
      <c r="CO319" s="129"/>
      <c r="CP319" s="129"/>
      <c r="CQ319" s="129"/>
      <c r="CR319" s="129"/>
      <c r="CS319" s="129"/>
      <c r="CT319" s="129"/>
      <c r="CU319" s="129"/>
      <c r="CV319" s="129"/>
      <c r="CW319" s="129"/>
      <c r="CX319" s="129"/>
      <c r="CY319" s="52"/>
      <c r="CZ319" s="129"/>
      <c r="DA319" s="129"/>
      <c r="DB319" s="129"/>
      <c r="DC319" s="129"/>
      <c r="DD319" s="129"/>
      <c r="DE319" s="129"/>
      <c r="DF319" s="129"/>
      <c r="DG319" s="129"/>
      <c r="DH319" s="129"/>
      <c r="DI319" s="129"/>
      <c r="DJ319" s="129"/>
      <c r="DK319" s="129"/>
      <c r="DL319" s="129"/>
      <c r="DM319" s="129"/>
      <c r="DN319" s="129"/>
      <c r="DO319" s="129"/>
      <c r="DP319" s="129"/>
      <c r="DQ319" s="129"/>
      <c r="DR319" s="129"/>
      <c r="DS319" s="129"/>
      <c r="DT319" s="129"/>
      <c r="DU319" s="129"/>
      <c r="DV319" s="129"/>
      <c r="DW319" s="129"/>
      <c r="DX319" s="129"/>
      <c r="DY319" s="129"/>
      <c r="DZ319" s="129"/>
      <c r="EA319" s="129"/>
      <c r="EB319" s="129"/>
      <c r="EC319" s="129"/>
      <c r="ED319" s="129"/>
      <c r="EE319" s="129"/>
      <c r="EF319" s="129"/>
      <c r="EG319" s="129"/>
      <c r="EH319" s="129"/>
      <c r="EI319" s="129"/>
      <c r="EJ319" s="129"/>
      <c r="EK319" s="129"/>
      <c r="EL319" s="129"/>
      <c r="EM319" s="129"/>
      <c r="EN319" s="129"/>
      <c r="EO319" s="129"/>
      <c r="EP319" s="129"/>
      <c r="EQ319" s="129"/>
      <c r="ER319" s="129"/>
      <c r="ES319" s="129"/>
      <c r="ET319" s="129"/>
      <c r="EU319" s="129"/>
      <c r="EV319" s="129"/>
      <c r="EW319" s="129"/>
      <c r="EX319" s="129"/>
      <c r="EY319" s="129"/>
      <c r="EZ319" s="129"/>
      <c r="FA319" s="129"/>
      <c r="FB319" s="129"/>
      <c r="FC319" s="129"/>
      <c r="FD319" s="129"/>
      <c r="FE319" s="129"/>
      <c r="FF319" s="129"/>
      <c r="FG319" s="129"/>
      <c r="FH319" s="129"/>
      <c r="FI319" s="129"/>
      <c r="FJ319" s="129"/>
      <c r="FK319" s="129"/>
      <c r="FL319" s="129"/>
      <c r="FM319" s="129"/>
      <c r="FN319" s="129"/>
      <c r="FO319" s="129"/>
      <c r="FP319" s="129"/>
      <c r="FQ319" s="129"/>
      <c r="FR319" s="129"/>
      <c r="FS319" s="129"/>
      <c r="FT319" s="129"/>
      <c r="FU319" s="129"/>
      <c r="FV319" s="129"/>
      <c r="FW319" s="129"/>
      <c r="FX319" s="129"/>
      <c r="FY319" s="129"/>
      <c r="FZ319" s="129"/>
      <c r="GA319" s="129"/>
      <c r="GB319" s="129"/>
      <c r="GC319" s="129"/>
      <c r="GD319" s="129"/>
      <c r="GE319" s="129"/>
      <c r="GF319" s="129"/>
      <c r="GG319" s="129"/>
      <c r="GH319" s="129"/>
      <c r="GI319" s="129"/>
      <c r="GJ319" s="129"/>
      <c r="GK319" s="129"/>
      <c r="GL319" s="129"/>
      <c r="GM319" s="129"/>
      <c r="GN319" s="129"/>
      <c r="GO319" s="129"/>
      <c r="GP319" s="129"/>
      <c r="GQ319" s="129"/>
      <c r="GR319" s="129"/>
      <c r="GS319" s="129"/>
      <c r="GT319" s="129"/>
      <c r="GU319" s="129"/>
      <c r="GV319" s="129"/>
      <c r="GW319" s="129"/>
    </row>
    <row r="320" spans="7:205" ht="17.25">
      <c r="AF320" s="2"/>
      <c r="AG320" s="129"/>
      <c r="AH320" s="129">
        <v>4</v>
      </c>
      <c r="AI320" s="2"/>
      <c r="AJ320" s="191">
        <v>4</v>
      </c>
      <c r="AK320" s="191">
        <v>1</v>
      </c>
      <c r="AL320" s="2"/>
      <c r="AM320" s="2">
        <v>1</v>
      </c>
      <c r="AN320" s="2">
        <v>3</v>
      </c>
      <c r="AO320" s="60">
        <v>4</v>
      </c>
      <c r="AP320" s="129">
        <v>3</v>
      </c>
      <c r="AQ320" s="129">
        <v>1</v>
      </c>
      <c r="AR320" s="129"/>
      <c r="AS320" s="129"/>
      <c r="AT320" s="79"/>
      <c r="AU320" s="75"/>
      <c r="AV320" s="129"/>
      <c r="AW320" s="129"/>
      <c r="AX320" s="79"/>
      <c r="AY320" s="2"/>
      <c r="AZ320" s="2"/>
      <c r="BA320" s="2"/>
      <c r="BB320" s="2"/>
      <c r="BE320" s="129"/>
      <c r="BF320" s="129"/>
      <c r="BG320" s="129"/>
      <c r="BH320" s="129"/>
      <c r="BI320" s="129"/>
      <c r="BJ320" s="129"/>
      <c r="BK320" s="129"/>
      <c r="BL320" s="129"/>
      <c r="BM320" s="129"/>
      <c r="BN320" s="129"/>
      <c r="BO320" s="129"/>
      <c r="BP320" s="129"/>
      <c r="BQ320" s="129"/>
      <c r="BR320" s="129"/>
      <c r="BS320" s="129"/>
      <c r="BT320" s="129"/>
      <c r="BU320" s="129"/>
      <c r="BV320" s="129"/>
      <c r="BW320" s="129"/>
      <c r="BX320" s="152"/>
      <c r="BY320" s="129"/>
      <c r="BZ320" s="129"/>
      <c r="CA320" s="129"/>
      <c r="CB320" s="129"/>
      <c r="CC320" s="129"/>
      <c r="CD320" s="129"/>
      <c r="CE320" s="129"/>
      <c r="CF320" s="129"/>
      <c r="CG320" s="129"/>
      <c r="CH320" s="129"/>
      <c r="CI320" s="129"/>
      <c r="CJ320" s="129"/>
      <c r="CK320" s="129"/>
      <c r="CL320" s="129"/>
      <c r="CM320" s="129"/>
      <c r="CN320" s="129"/>
      <c r="CO320" s="129"/>
      <c r="CP320" s="129"/>
      <c r="CQ320" s="129"/>
      <c r="CR320" s="129"/>
      <c r="CS320" s="129"/>
      <c r="CT320" s="129"/>
      <c r="CU320" s="129"/>
      <c r="CV320" s="129"/>
      <c r="CW320" s="129"/>
      <c r="CX320" s="129"/>
      <c r="CY320" s="52"/>
      <c r="CZ320" s="129"/>
      <c r="DA320" s="129"/>
      <c r="DB320" s="129"/>
      <c r="DC320" s="129"/>
      <c r="DD320" s="129"/>
      <c r="DE320" s="129"/>
      <c r="DF320" s="129"/>
      <c r="DG320" s="129"/>
      <c r="DH320" s="129"/>
      <c r="DI320" s="129"/>
      <c r="DJ320" s="129"/>
      <c r="DK320" s="129"/>
      <c r="DL320" s="129"/>
      <c r="DM320" s="129"/>
      <c r="DN320" s="129"/>
      <c r="DO320" s="129"/>
      <c r="DP320" s="129"/>
      <c r="DQ320" s="129"/>
      <c r="DR320" s="129"/>
      <c r="DS320" s="129"/>
      <c r="DT320" s="129"/>
      <c r="DU320" s="129"/>
      <c r="DV320" s="129"/>
      <c r="DW320" s="129"/>
      <c r="DX320" s="129"/>
      <c r="DY320" s="129"/>
      <c r="DZ320" s="129"/>
      <c r="EA320" s="129"/>
      <c r="EB320" s="129"/>
      <c r="EC320" s="129"/>
      <c r="ED320" s="129"/>
      <c r="EE320" s="129"/>
      <c r="EF320" s="129"/>
      <c r="EG320" s="129"/>
      <c r="EH320" s="129"/>
      <c r="EI320" s="129"/>
      <c r="EJ320" s="129"/>
      <c r="EK320" s="129"/>
      <c r="EL320" s="129"/>
      <c r="EM320" s="129"/>
      <c r="EN320" s="129"/>
      <c r="EO320" s="129"/>
      <c r="EP320" s="129"/>
      <c r="EQ320" s="129"/>
      <c r="ER320" s="129"/>
      <c r="ES320" s="129"/>
      <c r="ET320" s="129"/>
      <c r="EU320" s="129"/>
      <c r="EV320" s="129"/>
      <c r="EW320" s="129"/>
      <c r="EX320" s="129"/>
      <c r="EY320" s="129"/>
      <c r="EZ320" s="129"/>
      <c r="FA320" s="129"/>
      <c r="FB320" s="129"/>
      <c r="FC320" s="129"/>
      <c r="FD320" s="129"/>
      <c r="FE320" s="129"/>
      <c r="FF320" s="129"/>
      <c r="FG320" s="129"/>
      <c r="FH320" s="129"/>
      <c r="FI320" s="129"/>
      <c r="FJ320" s="129"/>
      <c r="FK320" s="129"/>
      <c r="FL320" s="129"/>
      <c r="FM320" s="129"/>
      <c r="FN320" s="129"/>
      <c r="FO320" s="129"/>
      <c r="FP320" s="129"/>
      <c r="FQ320" s="129"/>
      <c r="FR320" s="129"/>
      <c r="FS320" s="129"/>
      <c r="FT320" s="129"/>
      <c r="FU320" s="129"/>
      <c r="FV320" s="129"/>
      <c r="FW320" s="129"/>
      <c r="FX320" s="129"/>
      <c r="FY320" s="129"/>
      <c r="FZ320" s="129"/>
      <c r="GA320" s="129"/>
      <c r="GB320" s="129"/>
      <c r="GC320" s="129"/>
      <c r="GD320" s="129"/>
      <c r="GE320" s="129"/>
      <c r="GF320" s="129"/>
      <c r="GG320" s="129"/>
      <c r="GH320" s="129"/>
      <c r="GI320" s="129"/>
      <c r="GJ320" s="129"/>
      <c r="GK320" s="129"/>
      <c r="GL320" s="129"/>
      <c r="GM320" s="129"/>
      <c r="GN320" s="129"/>
      <c r="GO320" s="129"/>
      <c r="GP320" s="129"/>
      <c r="GQ320" s="129"/>
      <c r="GR320" s="129"/>
      <c r="GS320" s="129"/>
      <c r="GT320" s="129"/>
      <c r="GU320" s="129"/>
      <c r="GV320" s="129"/>
      <c r="GW320" s="129"/>
    </row>
    <row r="321" spans="32:205" ht="17.25">
      <c r="AF321" s="2"/>
      <c r="AG321" s="129"/>
      <c r="AH321" s="129">
        <v>4</v>
      </c>
      <c r="AI321" s="2"/>
      <c r="AJ321" s="191">
        <v>3</v>
      </c>
      <c r="AK321" s="191">
        <v>2</v>
      </c>
      <c r="AL321" s="2"/>
      <c r="AM321" s="2">
        <v>2</v>
      </c>
      <c r="AN321" s="2">
        <v>3</v>
      </c>
      <c r="AO321" s="60">
        <v>4</v>
      </c>
      <c r="AP321" s="129">
        <v>5</v>
      </c>
      <c r="AQ321" s="129">
        <v>1</v>
      </c>
      <c r="AR321" s="129"/>
      <c r="AS321" s="129"/>
      <c r="AT321" s="79"/>
      <c r="AU321" s="76"/>
      <c r="AV321" s="129"/>
      <c r="AW321" s="129"/>
      <c r="AX321" s="79"/>
      <c r="AY321" s="2"/>
      <c r="AZ321" s="2"/>
      <c r="BA321" s="2"/>
      <c r="BB321" s="2"/>
      <c r="BE321" s="129"/>
      <c r="BF321" s="129"/>
      <c r="BG321" s="129"/>
      <c r="BH321" s="129"/>
      <c r="BI321" s="129"/>
      <c r="BJ321" s="129"/>
      <c r="BK321" s="129"/>
      <c r="BL321" s="129"/>
      <c r="BM321" s="129"/>
      <c r="BN321" s="129"/>
      <c r="BO321" s="152"/>
      <c r="BP321" s="129"/>
      <c r="BQ321" s="129"/>
      <c r="BR321" s="129"/>
      <c r="BS321" s="129"/>
      <c r="BT321" s="129"/>
      <c r="BU321" s="129"/>
      <c r="BV321" s="129"/>
      <c r="BW321" s="129"/>
      <c r="BX321" s="152"/>
      <c r="BY321" s="129"/>
      <c r="BZ321" s="129"/>
      <c r="CA321" s="129"/>
      <c r="CB321" s="129"/>
      <c r="CC321" s="129"/>
      <c r="CD321" s="129"/>
      <c r="CE321" s="129"/>
      <c r="CF321" s="129"/>
      <c r="CG321" s="129"/>
      <c r="CH321" s="129"/>
      <c r="CI321" s="129"/>
      <c r="CJ321" s="129"/>
      <c r="CK321" s="129"/>
      <c r="CL321" s="129"/>
      <c r="CM321" s="129"/>
      <c r="CN321" s="129"/>
      <c r="CO321" s="129"/>
      <c r="CP321" s="129"/>
      <c r="CQ321" s="129"/>
      <c r="CR321" s="129"/>
      <c r="CS321" s="129"/>
      <c r="CT321" s="129"/>
      <c r="CU321" s="129"/>
      <c r="CV321" s="129"/>
      <c r="CW321" s="129"/>
      <c r="CX321" s="129"/>
      <c r="CY321" s="129"/>
      <c r="CZ321" s="129"/>
      <c r="DA321" s="129"/>
      <c r="DB321" s="129"/>
      <c r="DC321" s="129"/>
      <c r="DD321" s="129"/>
      <c r="DE321" s="129"/>
      <c r="DF321" s="129"/>
      <c r="DG321" s="129"/>
      <c r="DH321" s="129"/>
      <c r="DI321" s="129"/>
      <c r="DJ321" s="129"/>
      <c r="DK321" s="129"/>
      <c r="DL321" s="129"/>
      <c r="DM321" s="129"/>
      <c r="DN321" s="129"/>
      <c r="DO321" s="129"/>
      <c r="DP321" s="129"/>
      <c r="DQ321" s="129"/>
      <c r="DR321" s="129"/>
      <c r="DS321" s="129"/>
      <c r="DT321" s="129"/>
      <c r="DU321" s="129"/>
      <c r="DV321" s="129"/>
      <c r="DW321" s="129"/>
      <c r="DX321" s="129"/>
      <c r="DY321" s="129"/>
      <c r="DZ321" s="129"/>
      <c r="EA321" s="129"/>
      <c r="EB321" s="129"/>
      <c r="EC321" s="129"/>
      <c r="ED321" s="129"/>
      <c r="EE321" s="129"/>
      <c r="EF321" s="129"/>
      <c r="EG321" s="129"/>
      <c r="EH321" s="129"/>
      <c r="EI321" s="129"/>
      <c r="EJ321" s="129"/>
      <c r="EK321" s="129"/>
      <c r="EL321" s="129"/>
      <c r="EM321" s="129"/>
      <c r="EN321" s="129"/>
      <c r="EO321" s="129"/>
      <c r="EP321" s="129"/>
      <c r="EQ321" s="129"/>
      <c r="ER321" s="129"/>
      <c r="ES321" s="129"/>
      <c r="ET321" s="129"/>
      <c r="EU321" s="129"/>
      <c r="EV321" s="129"/>
      <c r="EW321" s="129"/>
      <c r="EX321" s="129"/>
      <c r="EY321" s="129"/>
      <c r="EZ321" s="129"/>
      <c r="FA321" s="129"/>
      <c r="FB321" s="129"/>
      <c r="FC321" s="129"/>
      <c r="FD321" s="129"/>
      <c r="FE321" s="129"/>
      <c r="FF321" s="129"/>
      <c r="FG321" s="129"/>
      <c r="FH321" s="129"/>
      <c r="FI321" s="129"/>
      <c r="FJ321" s="129"/>
      <c r="FK321" s="129"/>
      <c r="FL321" s="129"/>
      <c r="FM321" s="129"/>
      <c r="FN321" s="129"/>
      <c r="FO321" s="129"/>
      <c r="FP321" s="129"/>
      <c r="FQ321" s="129"/>
      <c r="FR321" s="129"/>
      <c r="FS321" s="129"/>
      <c r="FT321" s="129"/>
      <c r="FU321" s="129"/>
      <c r="FV321" s="129"/>
      <c r="FW321" s="129"/>
      <c r="FX321" s="129"/>
      <c r="FY321" s="129"/>
      <c r="FZ321" s="129"/>
      <c r="GA321" s="129"/>
      <c r="GB321" s="129"/>
      <c r="GC321" s="129"/>
      <c r="GD321" s="129"/>
      <c r="GE321" s="129"/>
      <c r="GF321" s="129"/>
      <c r="GG321" s="129"/>
      <c r="GH321" s="129"/>
      <c r="GI321" s="129"/>
      <c r="GJ321" s="129"/>
      <c r="GK321" s="129"/>
      <c r="GL321" s="129"/>
      <c r="GM321" s="129"/>
      <c r="GN321" s="129"/>
      <c r="GO321" s="129"/>
      <c r="GP321" s="129"/>
      <c r="GQ321" s="129"/>
      <c r="GR321" s="129"/>
      <c r="GS321" s="129"/>
      <c r="GT321" s="129"/>
      <c r="GU321" s="129"/>
      <c r="GV321" s="129"/>
      <c r="GW321" s="129"/>
    </row>
    <row r="322" spans="32:205">
      <c r="AF322" s="2"/>
      <c r="AG322" s="129"/>
      <c r="AH322" s="129">
        <v>20</v>
      </c>
      <c r="AI322" s="2"/>
      <c r="AJ322" s="191">
        <v>3</v>
      </c>
      <c r="AK322" s="191">
        <v>1</v>
      </c>
      <c r="AL322" s="2"/>
      <c r="AM322" s="2">
        <v>2</v>
      </c>
      <c r="AN322" s="2">
        <v>2</v>
      </c>
      <c r="AO322" s="60">
        <v>4</v>
      </c>
      <c r="AP322" s="129">
        <v>2</v>
      </c>
      <c r="AQ322" s="129"/>
      <c r="AR322" s="129"/>
      <c r="AS322" s="129"/>
      <c r="AT322" s="79"/>
      <c r="AU322" s="1"/>
      <c r="AV322" s="129"/>
      <c r="AW322" s="129"/>
      <c r="AX322" s="79"/>
      <c r="AY322" s="2"/>
      <c r="AZ322" s="2"/>
      <c r="BA322" s="2"/>
      <c r="BB322" s="2"/>
      <c r="BE322" s="129"/>
      <c r="BF322" s="129"/>
      <c r="BG322" s="129"/>
      <c r="BH322" s="129"/>
      <c r="BI322" s="129"/>
      <c r="BJ322" s="129"/>
      <c r="BK322" s="129"/>
      <c r="BL322" s="129"/>
      <c r="BM322" s="129"/>
      <c r="BN322" s="129"/>
      <c r="BO322" s="129"/>
      <c r="BP322" s="129"/>
      <c r="BQ322" s="129"/>
      <c r="BR322" s="129"/>
      <c r="BS322" s="129"/>
      <c r="BT322" s="129"/>
      <c r="BU322" s="129"/>
      <c r="BV322" s="129"/>
      <c r="BW322" s="129"/>
      <c r="BX322" s="152"/>
      <c r="BY322" s="129"/>
      <c r="BZ322" s="129"/>
      <c r="CA322" s="129"/>
      <c r="CB322" s="129"/>
      <c r="CC322" s="129"/>
      <c r="CD322" s="129"/>
      <c r="CE322" s="129"/>
      <c r="CF322" s="129"/>
      <c r="CG322" s="129"/>
      <c r="CH322" s="129"/>
      <c r="CI322" s="129"/>
      <c r="CJ322" s="129"/>
      <c r="CK322" s="129"/>
      <c r="CL322" s="129"/>
      <c r="CM322" s="129"/>
      <c r="CN322" s="129"/>
      <c r="CO322" s="129"/>
      <c r="CP322" s="129"/>
      <c r="CQ322" s="129"/>
      <c r="CR322" s="129"/>
      <c r="CS322" s="129"/>
      <c r="CT322" s="129"/>
      <c r="CU322" s="129"/>
      <c r="CV322" s="152"/>
      <c r="CW322" s="129"/>
      <c r="CX322" s="129"/>
      <c r="CY322" s="129"/>
      <c r="CZ322" s="129"/>
      <c r="DA322" s="129"/>
      <c r="DB322" s="129"/>
      <c r="DC322" s="129"/>
      <c r="DD322" s="129"/>
      <c r="DE322" s="129"/>
      <c r="DF322" s="129"/>
      <c r="DG322" s="129"/>
      <c r="DH322" s="129"/>
      <c r="DI322" s="129"/>
      <c r="DJ322" s="129"/>
      <c r="DK322" s="129"/>
      <c r="DL322" s="129"/>
      <c r="DM322" s="129"/>
      <c r="DN322" s="129"/>
      <c r="DO322" s="129"/>
      <c r="DP322" s="129"/>
      <c r="DQ322" s="129"/>
      <c r="DR322" s="129"/>
      <c r="DS322" s="129"/>
      <c r="DT322" s="129"/>
      <c r="DU322" s="129"/>
      <c r="DV322" s="129"/>
      <c r="DW322" s="129"/>
      <c r="DX322" s="129"/>
      <c r="DY322" s="129"/>
      <c r="DZ322" s="129"/>
      <c r="EA322" s="129"/>
      <c r="EB322" s="129"/>
      <c r="EC322" s="129"/>
      <c r="ED322" s="129"/>
      <c r="EE322" s="129"/>
      <c r="EF322" s="129"/>
      <c r="EG322" s="129"/>
      <c r="EH322" s="129"/>
      <c r="EI322" s="129"/>
      <c r="EJ322" s="129"/>
      <c r="EK322" s="129"/>
      <c r="EL322" s="129"/>
      <c r="EM322" s="129"/>
      <c r="EN322" s="129"/>
      <c r="EO322" s="129"/>
      <c r="EP322" s="129"/>
      <c r="EQ322" s="129"/>
      <c r="ER322" s="129"/>
      <c r="ES322" s="129"/>
      <c r="ET322" s="129"/>
      <c r="EU322" s="129"/>
      <c r="EV322" s="129"/>
      <c r="EW322" s="129"/>
      <c r="EX322" s="129"/>
      <c r="EY322" s="129"/>
      <c r="EZ322" s="129"/>
      <c r="FA322" s="129"/>
      <c r="FB322" s="129"/>
      <c r="FC322" s="129"/>
      <c r="FD322" s="129"/>
      <c r="FE322" s="129"/>
      <c r="FF322" s="129"/>
      <c r="FG322" s="129"/>
      <c r="FH322" s="129"/>
      <c r="FI322" s="129"/>
      <c r="FJ322" s="129"/>
      <c r="FK322" s="129"/>
      <c r="FL322" s="129"/>
      <c r="FM322" s="129"/>
      <c r="FN322" s="129"/>
      <c r="FO322" s="129"/>
      <c r="FP322" s="129"/>
      <c r="FQ322" s="129"/>
      <c r="FR322" s="129"/>
      <c r="FS322" s="129"/>
      <c r="FT322" s="129"/>
      <c r="FU322" s="129"/>
      <c r="FV322" s="129"/>
      <c r="FW322" s="129"/>
      <c r="FX322" s="129"/>
      <c r="FY322" s="129"/>
      <c r="FZ322" s="129"/>
      <c r="GA322" s="129"/>
      <c r="GB322" s="129"/>
      <c r="GC322" s="129"/>
      <c r="GD322" s="129"/>
      <c r="GE322" s="129"/>
      <c r="GF322" s="129"/>
      <c r="GG322" s="129"/>
      <c r="GH322" s="129"/>
      <c r="GI322" s="129"/>
      <c r="GJ322" s="129"/>
      <c r="GK322" s="129"/>
      <c r="GL322" s="129"/>
      <c r="GM322" s="129"/>
      <c r="GN322" s="129"/>
      <c r="GO322" s="129"/>
      <c r="GP322" s="129"/>
      <c r="GQ322" s="129"/>
      <c r="GR322" s="129"/>
      <c r="GS322" s="129"/>
      <c r="GT322" s="129"/>
      <c r="GU322" s="129"/>
      <c r="GV322" s="129"/>
      <c r="GW322" s="129"/>
    </row>
    <row r="323" spans="32:205">
      <c r="AF323" s="2"/>
      <c r="AG323" s="129"/>
      <c r="AH323" s="129">
        <v>20</v>
      </c>
      <c r="AI323" s="2"/>
      <c r="AJ323" s="191">
        <v>6</v>
      </c>
      <c r="AK323" s="191">
        <v>0</v>
      </c>
      <c r="AL323" s="2"/>
      <c r="AM323" s="2">
        <v>1</v>
      </c>
      <c r="AN323" s="2">
        <v>3</v>
      </c>
      <c r="AO323" s="60">
        <v>2</v>
      </c>
      <c r="AP323" s="129">
        <v>1</v>
      </c>
      <c r="AQ323" s="129">
        <v>2</v>
      </c>
      <c r="AR323" s="129">
        <v>1</v>
      </c>
      <c r="AS323" s="129"/>
      <c r="AT323" s="79"/>
      <c r="AU323" s="129"/>
      <c r="AV323" s="129"/>
      <c r="AW323" s="129"/>
      <c r="AX323" s="79"/>
      <c r="AY323" s="2"/>
      <c r="AZ323" s="2"/>
      <c r="BA323" s="2"/>
      <c r="BB323" s="2"/>
      <c r="BE323" s="129"/>
      <c r="BF323" s="129"/>
      <c r="BG323" s="129"/>
      <c r="BH323" s="129"/>
      <c r="BI323" s="129"/>
      <c r="BJ323" s="129"/>
      <c r="BK323" s="129"/>
      <c r="BL323" s="129"/>
      <c r="BM323" s="129"/>
      <c r="BN323" s="129"/>
      <c r="BO323" s="129"/>
      <c r="BP323" s="129"/>
      <c r="BQ323" s="129"/>
      <c r="BR323" s="129"/>
      <c r="BS323" s="129"/>
      <c r="BT323" s="129"/>
      <c r="BU323" s="129"/>
      <c r="BV323" s="129"/>
      <c r="BW323" s="129"/>
      <c r="BX323" s="152"/>
      <c r="BY323" s="129"/>
      <c r="BZ323" s="129"/>
      <c r="CA323" s="129"/>
      <c r="CB323" s="129"/>
      <c r="CC323" s="129"/>
      <c r="CD323" s="129"/>
      <c r="CE323" s="129"/>
      <c r="CF323" s="129"/>
      <c r="CG323" s="129"/>
      <c r="CH323" s="129"/>
      <c r="CI323" s="129"/>
      <c r="CJ323" s="129"/>
      <c r="CK323" s="129"/>
      <c r="CL323" s="129"/>
      <c r="CM323" s="129"/>
      <c r="CN323" s="129"/>
      <c r="CO323" s="129"/>
      <c r="CP323" s="129"/>
      <c r="CQ323" s="129"/>
      <c r="CR323" s="129"/>
      <c r="CS323" s="129"/>
      <c r="CT323" s="129"/>
      <c r="CU323" s="129"/>
      <c r="CV323" s="152"/>
      <c r="CW323" s="129"/>
      <c r="CX323" s="129"/>
      <c r="CY323" s="129"/>
      <c r="CZ323" s="129"/>
      <c r="DA323" s="129"/>
      <c r="DB323" s="129"/>
      <c r="DC323" s="129"/>
      <c r="DD323" s="129"/>
      <c r="DE323" s="129"/>
      <c r="DF323" s="129"/>
      <c r="DG323" s="129"/>
      <c r="DH323" s="129"/>
      <c r="DI323" s="129"/>
      <c r="DJ323" s="129"/>
      <c r="DK323" s="129"/>
      <c r="DL323" s="129"/>
      <c r="DM323" s="129"/>
      <c r="DN323" s="129"/>
      <c r="DO323" s="129"/>
      <c r="DP323" s="129"/>
      <c r="DQ323" s="129"/>
      <c r="DR323" s="129"/>
      <c r="DS323" s="129"/>
      <c r="DT323" s="129"/>
      <c r="DU323" s="129"/>
      <c r="DV323" s="129"/>
      <c r="DW323" s="129"/>
      <c r="DX323" s="129"/>
      <c r="DY323" s="129"/>
      <c r="DZ323" s="129"/>
      <c r="EA323" s="129"/>
      <c r="EB323" s="129"/>
      <c r="EC323" s="129"/>
      <c r="ED323" s="129"/>
      <c r="EE323" s="129"/>
      <c r="EF323" s="129"/>
      <c r="EG323" s="129"/>
      <c r="EH323" s="129"/>
      <c r="EI323" s="129"/>
      <c r="EJ323" s="129"/>
      <c r="EK323" s="129"/>
      <c r="EL323" s="129"/>
      <c r="EM323" s="129"/>
      <c r="EN323" s="129"/>
      <c r="EO323" s="129"/>
      <c r="EP323" s="129"/>
      <c r="EQ323" s="129"/>
      <c r="ER323" s="129"/>
      <c r="ES323" s="129"/>
      <c r="ET323" s="129"/>
      <c r="EU323" s="129"/>
      <c r="EV323" s="129"/>
      <c r="EW323" s="129"/>
      <c r="EX323" s="129"/>
      <c r="EY323" s="129"/>
      <c r="EZ323" s="129"/>
      <c r="FA323" s="129"/>
      <c r="FB323" s="129"/>
      <c r="FC323" s="129"/>
      <c r="FD323" s="129"/>
      <c r="FE323" s="129"/>
      <c r="FF323" s="129"/>
      <c r="FG323" s="129"/>
      <c r="FH323" s="129"/>
      <c r="FI323" s="129"/>
      <c r="FJ323" s="129"/>
      <c r="FK323" s="129"/>
      <c r="FL323" s="129"/>
      <c r="FM323" s="129"/>
      <c r="FN323" s="129"/>
      <c r="FO323" s="129"/>
      <c r="FP323" s="129"/>
      <c r="FQ323" s="129"/>
      <c r="FR323" s="129"/>
      <c r="FS323" s="129"/>
      <c r="FT323" s="129"/>
      <c r="FU323" s="129"/>
      <c r="FV323" s="129"/>
      <c r="FW323" s="129"/>
      <c r="FX323" s="129"/>
      <c r="FY323" s="129"/>
      <c r="FZ323" s="129"/>
      <c r="GA323" s="129"/>
      <c r="GB323" s="129"/>
      <c r="GC323" s="129"/>
      <c r="GD323" s="129"/>
      <c r="GE323" s="129"/>
      <c r="GF323" s="129"/>
      <c r="GG323" s="129"/>
      <c r="GH323" s="129"/>
      <c r="GI323" s="129"/>
      <c r="GJ323" s="129"/>
      <c r="GK323" s="129"/>
      <c r="GL323" s="129"/>
      <c r="GM323" s="129"/>
      <c r="GN323" s="129"/>
      <c r="GO323" s="129"/>
      <c r="GP323" s="129"/>
      <c r="GQ323" s="129"/>
      <c r="GR323" s="129"/>
      <c r="GS323" s="129"/>
      <c r="GT323" s="129"/>
      <c r="GU323" s="129"/>
      <c r="GV323" s="129"/>
      <c r="GW323" s="129"/>
    </row>
    <row r="324" spans="32:205">
      <c r="AF324" s="2"/>
      <c r="AG324" s="129"/>
      <c r="AH324" s="129">
        <v>34</v>
      </c>
      <c r="AI324" s="2"/>
      <c r="AJ324" s="191">
        <v>3</v>
      </c>
      <c r="AK324" s="191">
        <v>1</v>
      </c>
      <c r="AL324" s="2"/>
      <c r="AM324" s="2">
        <v>2</v>
      </c>
      <c r="AN324" s="2">
        <v>2</v>
      </c>
      <c r="AO324" s="60">
        <v>4</v>
      </c>
      <c r="AP324" s="129">
        <v>1</v>
      </c>
      <c r="AQ324" s="129"/>
      <c r="AR324" s="129"/>
      <c r="AS324" s="129"/>
      <c r="AT324" s="79"/>
      <c r="AU324" s="129"/>
      <c r="AV324" s="129"/>
      <c r="AW324" s="129"/>
      <c r="AX324" s="79"/>
      <c r="AY324" s="2"/>
      <c r="AZ324" s="2"/>
      <c r="BA324" s="2"/>
      <c r="BB324" s="2"/>
      <c r="BE324" s="129"/>
      <c r="BF324" s="129"/>
      <c r="BG324" s="129"/>
      <c r="BH324" s="129"/>
      <c r="BI324" s="129"/>
      <c r="BJ324" s="129"/>
      <c r="BK324" s="129"/>
      <c r="BL324" s="129"/>
      <c r="BM324" s="129"/>
      <c r="BN324" s="129"/>
      <c r="BO324" s="129"/>
      <c r="BP324" s="129"/>
      <c r="BQ324" s="129"/>
      <c r="BR324" s="129"/>
      <c r="BS324" s="129"/>
      <c r="BT324" s="129"/>
      <c r="BU324" s="129"/>
      <c r="BV324" s="129"/>
      <c r="BW324" s="129"/>
      <c r="BX324" s="152"/>
      <c r="BY324" s="129"/>
      <c r="BZ324" s="129"/>
      <c r="CA324" s="129"/>
      <c r="CB324" s="129"/>
      <c r="CC324" s="129"/>
      <c r="CD324" s="129"/>
      <c r="CE324" s="129"/>
      <c r="CF324" s="129"/>
      <c r="CG324" s="129"/>
      <c r="CH324" s="129"/>
      <c r="CI324" s="129"/>
      <c r="CJ324" s="129"/>
      <c r="CK324" s="129"/>
      <c r="CL324" s="129"/>
      <c r="CM324" s="129"/>
      <c r="CN324" s="129"/>
      <c r="CO324" s="129"/>
      <c r="CP324" s="129"/>
      <c r="CQ324" s="129"/>
      <c r="CR324" s="129"/>
      <c r="CS324" s="129"/>
      <c r="CT324" s="129"/>
      <c r="CU324" s="129"/>
      <c r="CV324" s="152"/>
      <c r="CW324" s="129"/>
      <c r="CX324" s="129"/>
      <c r="CY324" s="129"/>
      <c r="CZ324" s="129"/>
      <c r="DA324" s="129"/>
      <c r="DB324" s="129"/>
      <c r="DC324" s="129"/>
      <c r="DD324" s="129"/>
      <c r="DE324" s="129"/>
      <c r="DF324" s="129"/>
      <c r="DG324" s="129"/>
      <c r="DH324" s="129"/>
      <c r="DI324" s="129"/>
      <c r="DJ324" s="129"/>
      <c r="DK324" s="129"/>
      <c r="DL324" s="129"/>
      <c r="DM324" s="129"/>
      <c r="DN324" s="129"/>
      <c r="DO324" s="129"/>
      <c r="DP324" s="129"/>
      <c r="DQ324" s="129"/>
      <c r="DR324" s="129"/>
      <c r="DS324" s="129"/>
      <c r="DT324" s="129"/>
      <c r="DU324" s="129"/>
      <c r="DV324" s="129"/>
      <c r="DW324" s="129"/>
      <c r="DX324" s="129"/>
      <c r="DY324" s="129"/>
      <c r="DZ324" s="129"/>
      <c r="EA324" s="129"/>
      <c r="EB324" s="129"/>
      <c r="EC324" s="129"/>
      <c r="ED324" s="129"/>
      <c r="EE324" s="129"/>
      <c r="EF324" s="129"/>
      <c r="EG324" s="129"/>
      <c r="EH324" s="129"/>
      <c r="EI324" s="129"/>
      <c r="EJ324" s="129"/>
      <c r="EK324" s="129"/>
      <c r="EL324" s="129"/>
      <c r="EM324" s="129"/>
      <c r="EN324" s="129"/>
      <c r="EO324" s="129"/>
      <c r="EP324" s="129"/>
      <c r="EQ324" s="129"/>
      <c r="ER324" s="129"/>
      <c r="ES324" s="129"/>
      <c r="ET324" s="129"/>
      <c r="EU324" s="129"/>
      <c r="EV324" s="129"/>
      <c r="EW324" s="129"/>
      <c r="EX324" s="129"/>
      <c r="EY324" s="129"/>
      <c r="EZ324" s="129"/>
      <c r="FA324" s="129"/>
      <c r="FB324" s="129"/>
      <c r="FC324" s="129"/>
      <c r="FD324" s="129"/>
      <c r="FE324" s="129"/>
      <c r="FF324" s="129"/>
      <c r="FG324" s="129"/>
      <c r="FH324" s="129"/>
      <c r="FI324" s="129"/>
      <c r="FJ324" s="129"/>
      <c r="FK324" s="129"/>
      <c r="FL324" s="129"/>
      <c r="FM324" s="129"/>
      <c r="FN324" s="129"/>
      <c r="FO324" s="129"/>
      <c r="FP324" s="129"/>
      <c r="FQ324" s="129"/>
      <c r="FR324" s="129"/>
      <c r="FS324" s="129"/>
      <c r="FT324" s="129"/>
      <c r="FU324" s="129"/>
      <c r="FV324" s="129"/>
      <c r="FW324" s="129"/>
      <c r="FX324" s="129"/>
      <c r="FY324" s="129"/>
      <c r="FZ324" s="129"/>
      <c r="GA324" s="129"/>
      <c r="GB324" s="129"/>
      <c r="GC324" s="129"/>
      <c r="GD324" s="129"/>
      <c r="GE324" s="129"/>
      <c r="GF324" s="129"/>
      <c r="GG324" s="129"/>
      <c r="GH324" s="129"/>
      <c r="GI324" s="129"/>
      <c r="GJ324" s="129"/>
      <c r="GK324" s="129"/>
      <c r="GL324" s="129"/>
      <c r="GM324" s="129"/>
      <c r="GN324" s="129"/>
      <c r="GO324" s="129"/>
      <c r="GP324" s="129"/>
      <c r="GQ324" s="129"/>
      <c r="GR324" s="129"/>
      <c r="GS324" s="129"/>
      <c r="GT324" s="129"/>
      <c r="GU324" s="129"/>
      <c r="GV324" s="129"/>
      <c r="GW324" s="129"/>
    </row>
    <row r="325" spans="32:205">
      <c r="AF325" s="2"/>
      <c r="AG325" s="129"/>
      <c r="AH325" s="129">
        <v>34</v>
      </c>
      <c r="AI325" s="2"/>
      <c r="AJ325" s="191">
        <v>4</v>
      </c>
      <c r="AK325" s="191">
        <v>1</v>
      </c>
      <c r="AL325" s="2"/>
      <c r="AM325" s="2">
        <v>4</v>
      </c>
      <c r="AN325" s="2">
        <v>2</v>
      </c>
      <c r="AO325" s="60">
        <v>2</v>
      </c>
      <c r="AP325" s="129">
        <v>2</v>
      </c>
      <c r="AQ325" s="129">
        <v>2</v>
      </c>
      <c r="AR325" s="129"/>
      <c r="AS325" s="129"/>
      <c r="AT325" s="79"/>
      <c r="AU325" s="129"/>
      <c r="AV325" s="129"/>
      <c r="AW325" s="129"/>
      <c r="AX325" s="79"/>
      <c r="AY325" s="2"/>
      <c r="AZ325" s="2"/>
      <c r="BA325" s="2"/>
      <c r="BB325" s="2"/>
      <c r="BE325" s="129"/>
      <c r="BF325" s="129"/>
      <c r="BG325" s="129"/>
      <c r="BH325" s="129"/>
      <c r="BI325" s="129"/>
      <c r="BJ325" s="129"/>
      <c r="BK325" s="129"/>
      <c r="BL325" s="129"/>
      <c r="BM325" s="129"/>
      <c r="BN325" s="129"/>
      <c r="BO325" s="129"/>
      <c r="BP325" s="129"/>
      <c r="BQ325" s="129"/>
      <c r="BR325" s="129"/>
      <c r="BS325" s="129"/>
      <c r="BT325" s="129"/>
      <c r="BU325" s="129"/>
      <c r="BV325" s="129"/>
      <c r="BW325" s="129"/>
      <c r="BX325" s="152"/>
      <c r="BY325" s="129"/>
      <c r="BZ325" s="129"/>
      <c r="CA325" s="129"/>
      <c r="CB325" s="129"/>
      <c r="CC325" s="129"/>
      <c r="CD325" s="129"/>
      <c r="CE325" s="129"/>
      <c r="CF325" s="129"/>
      <c r="CG325" s="129"/>
      <c r="CH325" s="129"/>
      <c r="CI325" s="129"/>
      <c r="CJ325" s="129"/>
      <c r="CK325" s="129"/>
      <c r="CL325" s="129"/>
      <c r="CM325" s="129"/>
      <c r="CN325" s="129"/>
      <c r="CO325" s="129"/>
      <c r="CP325" s="129"/>
      <c r="CQ325" s="129"/>
      <c r="CR325" s="129"/>
      <c r="CS325" s="129"/>
      <c r="CT325" s="129"/>
      <c r="CU325" s="129"/>
      <c r="CV325" s="152"/>
      <c r="CW325" s="129"/>
      <c r="CX325" s="129"/>
      <c r="CY325" s="129"/>
      <c r="CZ325" s="129"/>
      <c r="DA325" s="129"/>
      <c r="DB325" s="129"/>
      <c r="DC325" s="129"/>
      <c r="DD325" s="129"/>
      <c r="DE325" s="129"/>
      <c r="DF325" s="129"/>
      <c r="DG325" s="129"/>
      <c r="DH325" s="129"/>
      <c r="DI325" s="129"/>
      <c r="DJ325" s="129"/>
      <c r="DK325" s="129"/>
      <c r="DL325" s="129"/>
      <c r="DM325" s="129"/>
      <c r="DN325" s="129"/>
      <c r="DO325" s="129"/>
      <c r="DP325" s="129"/>
      <c r="DQ325" s="129"/>
      <c r="DR325" s="129"/>
      <c r="DS325" s="129"/>
      <c r="DT325" s="129"/>
      <c r="DU325" s="129"/>
      <c r="DV325" s="129"/>
      <c r="DW325" s="129"/>
      <c r="DX325" s="129"/>
      <c r="DY325" s="129"/>
      <c r="DZ325" s="129"/>
      <c r="EA325" s="129"/>
      <c r="EB325" s="129"/>
      <c r="EC325" s="129"/>
      <c r="ED325" s="129"/>
      <c r="EE325" s="129"/>
      <c r="EF325" s="129"/>
      <c r="EG325" s="129"/>
      <c r="EH325" s="129"/>
      <c r="EI325" s="129"/>
      <c r="EJ325" s="129"/>
      <c r="EK325" s="129"/>
      <c r="EL325" s="129"/>
      <c r="EM325" s="129"/>
      <c r="EN325" s="129"/>
      <c r="EO325" s="129"/>
      <c r="EP325" s="129"/>
      <c r="EQ325" s="129"/>
      <c r="ER325" s="129"/>
      <c r="ES325" s="129"/>
      <c r="ET325" s="129"/>
      <c r="EU325" s="129"/>
      <c r="EV325" s="129"/>
      <c r="EW325" s="129"/>
      <c r="EX325" s="129"/>
      <c r="EY325" s="129"/>
      <c r="EZ325" s="129"/>
      <c r="FA325" s="129"/>
      <c r="FB325" s="129"/>
      <c r="FC325" s="129"/>
      <c r="FD325" s="129"/>
      <c r="FE325" s="129"/>
      <c r="FF325" s="129"/>
      <c r="FG325" s="129"/>
      <c r="FH325" s="129"/>
      <c r="FI325" s="129"/>
      <c r="FJ325" s="129"/>
      <c r="FK325" s="129"/>
      <c r="FL325" s="129"/>
      <c r="FM325" s="129"/>
      <c r="FN325" s="129"/>
      <c r="FO325" s="129"/>
      <c r="FP325" s="129"/>
      <c r="FQ325" s="129"/>
      <c r="FR325" s="129"/>
      <c r="FS325" s="129"/>
      <c r="FT325" s="129"/>
      <c r="FU325" s="129"/>
      <c r="FV325" s="129"/>
      <c r="FW325" s="129"/>
      <c r="FX325" s="129"/>
      <c r="FY325" s="129"/>
      <c r="FZ325" s="129"/>
      <c r="GA325" s="129"/>
      <c r="GB325" s="129"/>
      <c r="GC325" s="129"/>
      <c r="GD325" s="129"/>
      <c r="GE325" s="129"/>
      <c r="GF325" s="129"/>
      <c r="GG325" s="129"/>
      <c r="GH325" s="129"/>
      <c r="GI325" s="129"/>
      <c r="GJ325" s="129"/>
      <c r="GK325" s="129"/>
      <c r="GL325" s="129"/>
      <c r="GM325" s="129"/>
      <c r="GN325" s="129"/>
      <c r="GO325" s="129"/>
      <c r="GP325" s="129"/>
      <c r="GQ325" s="129"/>
      <c r="GR325" s="129"/>
      <c r="GS325" s="129"/>
      <c r="GT325" s="129"/>
      <c r="GU325" s="129"/>
      <c r="GV325" s="129"/>
      <c r="GW325" s="129"/>
    </row>
    <row r="326" spans="32:205">
      <c r="AF326" s="2"/>
      <c r="AG326" s="129"/>
      <c r="AH326" s="129">
        <v>35</v>
      </c>
      <c r="AI326" s="2"/>
      <c r="AJ326" s="191">
        <v>5</v>
      </c>
      <c r="AK326" s="191">
        <v>0</v>
      </c>
      <c r="AL326" s="2"/>
      <c r="AM326" s="2">
        <v>1</v>
      </c>
      <c r="AN326" s="2">
        <v>1</v>
      </c>
      <c r="AO326" s="60">
        <v>3</v>
      </c>
      <c r="AP326" s="129">
        <v>1</v>
      </c>
      <c r="AQ326" s="129">
        <v>2</v>
      </c>
      <c r="AR326" s="129"/>
      <c r="AS326" s="129"/>
      <c r="AT326" s="79"/>
      <c r="AU326" s="129"/>
      <c r="AV326" s="129"/>
      <c r="AW326" s="129"/>
      <c r="AX326" s="79"/>
      <c r="AY326" s="2"/>
      <c r="AZ326" s="2"/>
      <c r="BA326" s="2"/>
      <c r="BB326" s="2"/>
      <c r="BE326" s="129"/>
      <c r="BF326" s="129"/>
      <c r="BG326" s="129"/>
      <c r="BH326" s="129"/>
      <c r="BI326" s="129"/>
      <c r="BJ326" s="129"/>
      <c r="BK326" s="129"/>
      <c r="BL326" s="129"/>
      <c r="BM326" s="129"/>
      <c r="BN326" s="129"/>
      <c r="BO326" s="129"/>
      <c r="BP326" s="129"/>
      <c r="BQ326" s="129"/>
      <c r="BR326" s="129"/>
      <c r="BS326" s="129"/>
      <c r="BT326" s="129"/>
      <c r="BU326" s="129"/>
      <c r="BV326" s="129"/>
      <c r="BW326" s="129"/>
      <c r="BX326" s="152"/>
      <c r="BY326" s="129"/>
      <c r="BZ326" s="129"/>
      <c r="CA326" s="129"/>
      <c r="CB326" s="129"/>
      <c r="CC326" s="129"/>
      <c r="CD326" s="129"/>
      <c r="CE326" s="129"/>
      <c r="CF326" s="129"/>
      <c r="CG326" s="129"/>
      <c r="CH326" s="129"/>
      <c r="CI326" s="129"/>
      <c r="CJ326" s="129"/>
      <c r="CK326" s="129"/>
      <c r="CL326" s="129"/>
      <c r="CM326" s="129"/>
      <c r="CN326" s="129"/>
      <c r="CO326" s="129"/>
      <c r="CP326" s="129"/>
      <c r="CQ326" s="129"/>
      <c r="CR326" s="129"/>
      <c r="CS326" s="129"/>
      <c r="CT326" s="129"/>
      <c r="CU326" s="129"/>
      <c r="CV326" s="129"/>
      <c r="CW326" s="129"/>
      <c r="CX326" s="129"/>
      <c r="CY326" s="129"/>
      <c r="CZ326" s="129"/>
      <c r="DA326" s="129"/>
      <c r="DB326" s="129"/>
      <c r="DC326" s="129"/>
      <c r="DD326" s="129"/>
      <c r="DE326" s="129"/>
      <c r="DF326" s="129"/>
      <c r="DG326" s="129"/>
      <c r="DH326" s="129"/>
      <c r="DI326" s="129"/>
      <c r="DJ326" s="129"/>
      <c r="DK326" s="129"/>
      <c r="DL326" s="129"/>
      <c r="DM326" s="129"/>
      <c r="DN326" s="129"/>
      <c r="DO326" s="129"/>
      <c r="DP326" s="129"/>
      <c r="DQ326" s="129"/>
      <c r="DR326" s="129"/>
      <c r="DS326" s="129"/>
      <c r="DT326" s="129"/>
      <c r="DU326" s="129"/>
      <c r="DV326" s="129"/>
      <c r="DW326" s="129"/>
      <c r="DX326" s="129"/>
      <c r="DY326" s="129"/>
      <c r="DZ326" s="129"/>
      <c r="EA326" s="129"/>
      <c r="EB326" s="129"/>
      <c r="EC326" s="129"/>
      <c r="ED326" s="129"/>
      <c r="EE326" s="129"/>
      <c r="EF326" s="129"/>
      <c r="EG326" s="129"/>
      <c r="EH326" s="129"/>
      <c r="EI326" s="129"/>
      <c r="EJ326" s="129"/>
      <c r="EK326" s="129"/>
      <c r="EL326" s="129"/>
      <c r="EM326" s="129"/>
      <c r="EN326" s="129"/>
      <c r="EO326" s="129"/>
      <c r="EP326" s="129"/>
      <c r="EQ326" s="129"/>
      <c r="ER326" s="129"/>
      <c r="ES326" s="129"/>
      <c r="ET326" s="129"/>
      <c r="EU326" s="129"/>
      <c r="EV326" s="129"/>
      <c r="EW326" s="129"/>
      <c r="EX326" s="129"/>
      <c r="EY326" s="129"/>
      <c r="EZ326" s="129"/>
      <c r="FA326" s="129"/>
      <c r="FB326" s="129"/>
      <c r="FC326" s="129"/>
      <c r="FD326" s="129"/>
      <c r="FE326" s="129"/>
      <c r="FF326" s="129"/>
      <c r="FG326" s="129"/>
      <c r="FH326" s="129"/>
      <c r="FI326" s="129"/>
      <c r="FJ326" s="129"/>
      <c r="FK326" s="129"/>
      <c r="FL326" s="129"/>
      <c r="FM326" s="129"/>
      <c r="FN326" s="129"/>
      <c r="FO326" s="129"/>
      <c r="FP326" s="129"/>
      <c r="FQ326" s="129"/>
      <c r="FR326" s="129"/>
      <c r="FS326" s="129"/>
      <c r="FT326" s="129"/>
      <c r="FU326" s="129"/>
      <c r="FV326" s="129"/>
      <c r="FW326" s="129"/>
      <c r="FX326" s="129"/>
      <c r="FY326" s="129"/>
      <c r="FZ326" s="129"/>
      <c r="GA326" s="129"/>
      <c r="GB326" s="129"/>
      <c r="GC326" s="129"/>
      <c r="GD326" s="129"/>
      <c r="GE326" s="129"/>
      <c r="GF326" s="129"/>
      <c r="GG326" s="129"/>
      <c r="GH326" s="129"/>
      <c r="GI326" s="129"/>
      <c r="GJ326" s="129"/>
      <c r="GK326" s="129"/>
      <c r="GL326" s="129"/>
      <c r="GM326" s="129"/>
      <c r="GN326" s="129"/>
      <c r="GO326" s="129"/>
      <c r="GP326" s="129"/>
      <c r="GQ326" s="129"/>
      <c r="GR326" s="129"/>
      <c r="GS326" s="129"/>
      <c r="GT326" s="129"/>
      <c r="GU326" s="129"/>
      <c r="GV326" s="129"/>
      <c r="GW326" s="129"/>
    </row>
    <row r="327" spans="32:205">
      <c r="AF327" s="2"/>
      <c r="AG327" s="129"/>
      <c r="AH327" s="129"/>
      <c r="AI327" s="2"/>
      <c r="AJ327" s="191">
        <v>4</v>
      </c>
      <c r="AK327" s="191">
        <v>0</v>
      </c>
      <c r="AL327" s="2"/>
      <c r="AM327" s="2">
        <v>3</v>
      </c>
      <c r="AN327" s="2">
        <v>2</v>
      </c>
      <c r="AO327" s="60">
        <v>2</v>
      </c>
      <c r="AP327" s="129">
        <v>2</v>
      </c>
      <c r="AQ327" s="129"/>
      <c r="AR327" s="129"/>
      <c r="AS327" s="129"/>
      <c r="AT327" s="79"/>
      <c r="AU327" s="129"/>
      <c r="AV327" s="129"/>
      <c r="AW327" s="129"/>
      <c r="AX327" s="79"/>
      <c r="AY327" s="2"/>
      <c r="AZ327" s="2"/>
      <c r="BA327" s="2"/>
      <c r="BB327" s="2"/>
      <c r="BE327" s="129"/>
      <c r="BF327" s="129"/>
      <c r="BG327" s="129"/>
      <c r="BH327" s="129"/>
      <c r="BI327" s="129"/>
      <c r="BJ327" s="129"/>
      <c r="BK327" s="129"/>
      <c r="BL327" s="129"/>
      <c r="BM327" s="129"/>
      <c r="BN327" s="129"/>
      <c r="BO327" s="129"/>
      <c r="BP327" s="129"/>
      <c r="BQ327" s="129"/>
      <c r="BR327" s="129"/>
      <c r="BS327" s="129"/>
      <c r="BT327" s="129"/>
      <c r="BU327" s="129"/>
      <c r="BV327" s="129"/>
      <c r="BW327" s="129"/>
      <c r="BX327" s="152"/>
      <c r="BY327" s="129"/>
      <c r="BZ327" s="129"/>
      <c r="CA327" s="129"/>
      <c r="CB327" s="129"/>
      <c r="CC327" s="129"/>
      <c r="CD327" s="129"/>
      <c r="CE327" s="129"/>
      <c r="CF327" s="129"/>
      <c r="CG327" s="129"/>
      <c r="CH327" s="129"/>
      <c r="CI327" s="129"/>
      <c r="CJ327" s="129"/>
      <c r="CK327" s="129"/>
      <c r="CL327" s="129"/>
      <c r="CM327" s="129"/>
      <c r="CN327" s="129"/>
      <c r="CO327" s="129"/>
      <c r="CP327" s="129"/>
      <c r="CQ327" s="129"/>
      <c r="CR327" s="129"/>
      <c r="CS327" s="129"/>
      <c r="CT327" s="129"/>
      <c r="CU327" s="129"/>
      <c r="CV327" s="129"/>
      <c r="CW327" s="129"/>
      <c r="CX327" s="129"/>
      <c r="CY327" s="129"/>
      <c r="CZ327" s="129"/>
      <c r="DA327" s="129"/>
      <c r="DB327" s="129"/>
      <c r="DC327" s="129"/>
      <c r="DD327" s="129"/>
      <c r="DE327" s="129"/>
      <c r="DF327" s="129"/>
      <c r="DG327" s="129"/>
      <c r="DH327" s="129"/>
      <c r="DI327" s="129"/>
      <c r="DJ327" s="129"/>
      <c r="DK327" s="129"/>
      <c r="DL327" s="129"/>
      <c r="DM327" s="129"/>
      <c r="DN327" s="129"/>
      <c r="DO327" s="129"/>
      <c r="DP327" s="129"/>
      <c r="DQ327" s="129"/>
      <c r="DR327" s="129"/>
      <c r="DS327" s="129"/>
      <c r="DT327" s="129"/>
      <c r="DU327" s="129"/>
      <c r="DV327" s="129"/>
      <c r="DW327" s="129"/>
      <c r="DX327" s="129"/>
      <c r="DY327" s="129"/>
      <c r="DZ327" s="129"/>
      <c r="EA327" s="129"/>
      <c r="EB327" s="129"/>
      <c r="EC327" s="129"/>
      <c r="ED327" s="129"/>
      <c r="EE327" s="129"/>
      <c r="EF327" s="129"/>
      <c r="EG327" s="129"/>
      <c r="EH327" s="129"/>
      <c r="EI327" s="129"/>
      <c r="EJ327" s="129"/>
      <c r="EK327" s="129"/>
      <c r="EL327" s="129"/>
      <c r="EM327" s="129"/>
      <c r="EN327" s="129"/>
      <c r="EO327" s="129"/>
      <c r="EP327" s="129"/>
      <c r="EQ327" s="129"/>
      <c r="ER327" s="129"/>
      <c r="ES327" s="129"/>
      <c r="ET327" s="129"/>
      <c r="EU327" s="129"/>
      <c r="EV327" s="129"/>
      <c r="EW327" s="129"/>
      <c r="EX327" s="129"/>
      <c r="EY327" s="129"/>
      <c r="EZ327" s="129"/>
      <c r="FA327" s="129"/>
      <c r="FB327" s="129"/>
      <c r="FC327" s="129"/>
      <c r="FD327" s="129"/>
      <c r="FE327" s="129"/>
      <c r="FF327" s="129"/>
      <c r="FG327" s="129"/>
      <c r="FH327" s="129"/>
      <c r="FI327" s="129"/>
      <c r="FJ327" s="129"/>
      <c r="FK327" s="129"/>
      <c r="FL327" s="129"/>
      <c r="FM327" s="129"/>
      <c r="FN327" s="129"/>
      <c r="FO327" s="129"/>
      <c r="FP327" s="129"/>
      <c r="FQ327" s="129"/>
      <c r="FR327" s="129"/>
      <c r="FS327" s="129"/>
      <c r="FT327" s="129"/>
      <c r="FU327" s="129"/>
      <c r="FV327" s="129"/>
      <c r="FW327" s="129"/>
      <c r="FX327" s="129"/>
      <c r="FY327" s="129"/>
      <c r="FZ327" s="129"/>
      <c r="GA327" s="129"/>
      <c r="GB327" s="129"/>
      <c r="GC327" s="129"/>
      <c r="GD327" s="129"/>
      <c r="GE327" s="129"/>
      <c r="GF327" s="129"/>
      <c r="GG327" s="129"/>
      <c r="GH327" s="129"/>
      <c r="GI327" s="129"/>
      <c r="GJ327" s="129"/>
      <c r="GK327" s="129"/>
      <c r="GL327" s="129"/>
      <c r="GM327" s="129"/>
      <c r="GN327" s="129"/>
      <c r="GO327" s="129"/>
      <c r="GP327" s="129"/>
      <c r="GQ327" s="129"/>
      <c r="GR327" s="129"/>
      <c r="GS327" s="129"/>
      <c r="GT327" s="129"/>
      <c r="GU327" s="129"/>
      <c r="GV327" s="129"/>
      <c r="GW327" s="129"/>
    </row>
    <row r="328" spans="32:205">
      <c r="AF328" s="2"/>
      <c r="AG328" s="129"/>
      <c r="AH328" s="129"/>
      <c r="AI328" s="2"/>
      <c r="AJ328" s="191">
        <v>6</v>
      </c>
      <c r="AK328" s="191">
        <v>0</v>
      </c>
      <c r="AL328" s="2"/>
      <c r="AM328" s="2">
        <v>3</v>
      </c>
      <c r="AN328" s="2">
        <v>1</v>
      </c>
      <c r="AO328" s="60">
        <v>2</v>
      </c>
      <c r="AP328" s="129">
        <v>3</v>
      </c>
      <c r="AQ328" s="129">
        <v>1</v>
      </c>
      <c r="AR328" s="129">
        <v>1</v>
      </c>
      <c r="AS328" s="2"/>
      <c r="AT328" s="2"/>
      <c r="AU328" s="2"/>
      <c r="AV328" s="2"/>
      <c r="AW328" s="2"/>
      <c r="AX328" s="2"/>
      <c r="AY328" s="2"/>
      <c r="AZ328" s="2"/>
      <c r="BA328" s="2"/>
      <c r="BB328" s="2"/>
      <c r="BE328" s="129"/>
      <c r="BF328" s="129"/>
      <c r="BG328" s="129"/>
      <c r="BH328" s="129"/>
      <c r="BI328" s="129"/>
      <c r="BJ328" s="129"/>
      <c r="BK328" s="129"/>
      <c r="BL328" s="129"/>
      <c r="BM328" s="129"/>
      <c r="BN328" s="129"/>
      <c r="BO328" s="129"/>
      <c r="BP328" s="129"/>
      <c r="BQ328" s="129"/>
      <c r="BR328" s="129"/>
      <c r="BS328" s="129"/>
      <c r="BT328" s="129"/>
      <c r="BU328" s="129"/>
      <c r="BV328" s="129"/>
      <c r="BW328" s="129"/>
      <c r="BX328" s="152"/>
      <c r="BY328" s="129"/>
      <c r="BZ328" s="129"/>
      <c r="CA328" s="129"/>
      <c r="CB328" s="129"/>
      <c r="CC328" s="129"/>
      <c r="CD328" s="129"/>
      <c r="CE328" s="129"/>
      <c r="CF328" s="129"/>
      <c r="CG328" s="129"/>
      <c r="CH328" s="129"/>
      <c r="CI328" s="129"/>
      <c r="CJ328" s="129"/>
      <c r="CK328" s="129"/>
      <c r="CL328" s="129"/>
      <c r="CM328" s="129"/>
      <c r="CN328" s="129"/>
      <c r="CO328" s="129"/>
      <c r="CP328" s="129"/>
      <c r="CQ328" s="129"/>
      <c r="CR328" s="129"/>
      <c r="CS328" s="129"/>
      <c r="CT328" s="129"/>
      <c r="CU328" s="129"/>
      <c r="CV328" s="129"/>
      <c r="CW328" s="129"/>
      <c r="CX328" s="129"/>
      <c r="CY328" s="129"/>
      <c r="CZ328" s="129"/>
      <c r="DA328" s="129"/>
      <c r="DB328" s="129"/>
      <c r="DC328" s="129"/>
      <c r="DD328" s="129"/>
      <c r="DE328" s="129"/>
      <c r="DF328" s="129"/>
      <c r="DG328" s="129"/>
      <c r="DH328" s="129"/>
      <c r="DI328" s="129"/>
      <c r="DJ328" s="129"/>
      <c r="DK328" s="129"/>
      <c r="DL328" s="129"/>
      <c r="DM328" s="129"/>
      <c r="DN328" s="129"/>
      <c r="DO328" s="129"/>
      <c r="DP328" s="129"/>
      <c r="DQ328" s="129"/>
      <c r="DR328" s="129"/>
      <c r="DS328" s="129"/>
      <c r="DT328" s="129"/>
      <c r="DU328" s="129"/>
      <c r="DV328" s="129"/>
      <c r="DW328" s="129"/>
      <c r="DX328" s="129"/>
      <c r="DY328" s="129"/>
      <c r="DZ328" s="129"/>
      <c r="EA328" s="129"/>
      <c r="EB328" s="129"/>
      <c r="EC328" s="129"/>
      <c r="ED328" s="129"/>
      <c r="EE328" s="129"/>
      <c r="EF328" s="129"/>
      <c r="EG328" s="129"/>
      <c r="EH328" s="129"/>
      <c r="EI328" s="129"/>
      <c r="EJ328" s="129"/>
      <c r="EK328" s="129"/>
      <c r="EL328" s="129"/>
      <c r="EM328" s="129"/>
      <c r="EN328" s="129"/>
      <c r="EO328" s="129"/>
      <c r="EP328" s="129"/>
      <c r="EQ328" s="129"/>
      <c r="ER328" s="129"/>
      <c r="ES328" s="129"/>
      <c r="ET328" s="129"/>
      <c r="EU328" s="129"/>
      <c r="EV328" s="129"/>
      <c r="EW328" s="129"/>
      <c r="EX328" s="129"/>
      <c r="EY328" s="129"/>
      <c r="EZ328" s="129"/>
      <c r="FA328" s="129"/>
      <c r="FB328" s="129"/>
      <c r="FC328" s="129"/>
      <c r="FD328" s="129"/>
      <c r="FE328" s="129"/>
      <c r="FF328" s="129"/>
      <c r="FG328" s="129"/>
      <c r="FH328" s="129"/>
      <c r="FI328" s="129"/>
      <c r="FJ328" s="129"/>
      <c r="FK328" s="129"/>
      <c r="FL328" s="129"/>
      <c r="FM328" s="129"/>
      <c r="FN328" s="129"/>
      <c r="FO328" s="129"/>
      <c r="FP328" s="129"/>
      <c r="FQ328" s="129"/>
      <c r="FR328" s="129"/>
      <c r="FS328" s="129"/>
      <c r="FT328" s="129"/>
      <c r="FU328" s="129"/>
      <c r="FV328" s="129"/>
      <c r="FW328" s="129"/>
      <c r="FX328" s="129"/>
      <c r="FY328" s="129"/>
      <c r="FZ328" s="129"/>
      <c r="GA328" s="129"/>
      <c r="GB328" s="129"/>
      <c r="GC328" s="129"/>
      <c r="GD328" s="129"/>
      <c r="GE328" s="129"/>
      <c r="GF328" s="129"/>
      <c r="GG328" s="129"/>
      <c r="GH328" s="129"/>
      <c r="GI328" s="129"/>
      <c r="GJ328" s="129"/>
      <c r="GK328" s="129"/>
      <c r="GL328" s="129"/>
      <c r="GM328" s="129"/>
      <c r="GN328" s="129"/>
      <c r="GO328" s="129"/>
      <c r="GP328" s="129"/>
      <c r="GQ328" s="129"/>
      <c r="GR328" s="129"/>
      <c r="GS328" s="129"/>
      <c r="GT328" s="129"/>
      <c r="GU328" s="129"/>
      <c r="GV328" s="129"/>
      <c r="GW328" s="129"/>
    </row>
    <row r="329" spans="32:205">
      <c r="AF329" s="2"/>
      <c r="AG329" s="129"/>
      <c r="AH329" s="129"/>
      <c r="AI329" s="2"/>
      <c r="AJ329" s="191">
        <v>3</v>
      </c>
      <c r="AK329" s="191">
        <v>1</v>
      </c>
      <c r="AL329" s="2"/>
      <c r="AM329" s="2">
        <v>1</v>
      </c>
      <c r="AN329" s="2">
        <v>1</v>
      </c>
      <c r="AO329" s="60">
        <v>6</v>
      </c>
      <c r="AP329" s="129">
        <v>3</v>
      </c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  <c r="BE329" s="129"/>
      <c r="BF329" s="129"/>
      <c r="BG329" s="129"/>
      <c r="BH329" s="129"/>
      <c r="BI329" s="129"/>
      <c r="BJ329" s="129"/>
      <c r="BK329" s="129"/>
      <c r="BL329" s="129"/>
      <c r="BM329" s="129"/>
      <c r="BN329" s="129"/>
      <c r="BO329" s="129"/>
      <c r="BP329" s="129"/>
      <c r="BQ329" s="129"/>
      <c r="BR329" s="129"/>
      <c r="BS329" s="129"/>
      <c r="BT329" s="129"/>
      <c r="BU329" s="129"/>
      <c r="BV329" s="129"/>
      <c r="BW329" s="129"/>
      <c r="BX329" s="152"/>
      <c r="BY329" s="129"/>
      <c r="BZ329" s="129"/>
      <c r="CA329" s="129"/>
      <c r="CB329" s="129"/>
      <c r="CC329" s="129"/>
      <c r="CD329" s="129"/>
      <c r="CE329" s="129"/>
      <c r="CF329" s="129"/>
      <c r="CG329" s="129"/>
      <c r="CH329" s="129"/>
      <c r="CI329" s="129"/>
      <c r="CJ329" s="129"/>
      <c r="CK329" s="129"/>
      <c r="CL329" s="129"/>
      <c r="CM329" s="129"/>
      <c r="CN329" s="129"/>
      <c r="CO329" s="129"/>
      <c r="CP329" s="129"/>
      <c r="CQ329" s="129"/>
      <c r="CR329" s="129"/>
      <c r="CS329" s="129"/>
      <c r="CT329" s="129"/>
      <c r="CU329" s="129"/>
      <c r="CV329" s="129"/>
      <c r="CW329" s="129"/>
      <c r="CX329" s="129"/>
      <c r="CY329" s="129"/>
      <c r="CZ329" s="129"/>
      <c r="DA329" s="129"/>
      <c r="DB329" s="129"/>
      <c r="DC329" s="129"/>
      <c r="DD329" s="129"/>
      <c r="DE329" s="129"/>
      <c r="DF329" s="129"/>
      <c r="DG329" s="129"/>
      <c r="DH329" s="129"/>
      <c r="DI329" s="129"/>
      <c r="DJ329" s="129"/>
      <c r="DK329" s="129"/>
      <c r="DL329" s="129"/>
      <c r="DM329" s="129"/>
      <c r="DN329" s="129"/>
      <c r="DO329" s="129"/>
      <c r="DP329" s="129"/>
      <c r="DQ329" s="129"/>
      <c r="DR329" s="129"/>
      <c r="DS329" s="129"/>
      <c r="DT329" s="129"/>
      <c r="DU329" s="129"/>
      <c r="DV329" s="129"/>
      <c r="DW329" s="129"/>
      <c r="DX329" s="129"/>
      <c r="DY329" s="129"/>
      <c r="DZ329" s="129"/>
      <c r="EA329" s="129"/>
      <c r="EB329" s="129"/>
      <c r="EC329" s="129"/>
      <c r="ED329" s="129"/>
      <c r="EE329" s="129"/>
      <c r="EF329" s="129"/>
      <c r="EG329" s="129"/>
      <c r="EH329" s="129"/>
      <c r="EI329" s="129"/>
      <c r="EJ329" s="129"/>
      <c r="EK329" s="129"/>
      <c r="EL329" s="129"/>
      <c r="EM329" s="129"/>
      <c r="EN329" s="129"/>
      <c r="EO329" s="129"/>
      <c r="EP329" s="129"/>
      <c r="EQ329" s="129"/>
      <c r="ER329" s="129"/>
      <c r="ES329" s="129"/>
      <c r="ET329" s="129"/>
      <c r="EU329" s="129"/>
      <c r="EV329" s="129"/>
      <c r="EW329" s="129"/>
      <c r="EX329" s="129"/>
      <c r="EY329" s="129"/>
      <c r="EZ329" s="129"/>
      <c r="FA329" s="129"/>
      <c r="FB329" s="129"/>
      <c r="FC329" s="129"/>
      <c r="FD329" s="129"/>
      <c r="FE329" s="129"/>
      <c r="FF329" s="129"/>
      <c r="FG329" s="129"/>
      <c r="FH329" s="129"/>
      <c r="FI329" s="129"/>
      <c r="FJ329" s="129"/>
      <c r="FK329" s="129"/>
      <c r="FL329" s="129"/>
      <c r="FM329" s="129"/>
      <c r="FN329" s="129"/>
      <c r="FO329" s="129"/>
      <c r="FP329" s="129"/>
      <c r="FQ329" s="129"/>
      <c r="FR329" s="129"/>
      <c r="FS329" s="129"/>
      <c r="FT329" s="129"/>
      <c r="FU329" s="129"/>
      <c r="FV329" s="129"/>
      <c r="FW329" s="129"/>
      <c r="FX329" s="129"/>
      <c r="FY329" s="129"/>
      <c r="FZ329" s="129"/>
      <c r="GA329" s="129"/>
      <c r="GB329" s="129"/>
      <c r="GC329" s="129"/>
      <c r="GD329" s="129"/>
      <c r="GE329" s="129"/>
      <c r="GF329" s="129"/>
      <c r="GG329" s="129"/>
      <c r="GH329" s="129"/>
      <c r="GI329" s="129"/>
      <c r="GJ329" s="129"/>
      <c r="GK329" s="129"/>
      <c r="GL329" s="129"/>
      <c r="GM329" s="129"/>
      <c r="GN329" s="129"/>
      <c r="GO329" s="129"/>
      <c r="GP329" s="129"/>
      <c r="GQ329" s="129"/>
      <c r="GR329" s="129"/>
      <c r="GS329" s="129"/>
      <c r="GT329" s="129"/>
      <c r="GU329" s="129"/>
      <c r="GV329" s="129"/>
      <c r="GW329" s="129"/>
    </row>
    <row r="330" spans="32:205">
      <c r="AF330" s="2"/>
      <c r="AG330" s="2"/>
      <c r="AH330" s="129"/>
      <c r="AI330" s="2"/>
      <c r="AJ330" s="191">
        <v>4</v>
      </c>
      <c r="AK330" s="191">
        <v>1</v>
      </c>
      <c r="AL330" s="2"/>
      <c r="AM330" s="2">
        <v>2</v>
      </c>
      <c r="AN330" s="2">
        <v>1</v>
      </c>
      <c r="AO330" s="60">
        <v>1</v>
      </c>
      <c r="AP330" s="129">
        <v>2</v>
      </c>
      <c r="AQ330" s="129">
        <v>4</v>
      </c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  <c r="BE330" s="129"/>
      <c r="BF330" s="129"/>
      <c r="BG330" s="129"/>
      <c r="BH330" s="129"/>
      <c r="BI330" s="129"/>
      <c r="BJ330" s="129"/>
      <c r="BK330" s="129"/>
      <c r="BL330" s="129"/>
      <c r="BM330" s="129"/>
      <c r="BN330" s="129"/>
      <c r="BO330" s="129"/>
      <c r="BP330" s="129"/>
      <c r="BQ330" s="129"/>
      <c r="BR330" s="129"/>
      <c r="BS330" s="129"/>
      <c r="BT330" s="129"/>
      <c r="BU330" s="129"/>
      <c r="BV330" s="129"/>
      <c r="BW330" s="129"/>
      <c r="BX330" s="152"/>
      <c r="BY330" s="129"/>
      <c r="BZ330" s="129"/>
      <c r="CA330" s="129"/>
      <c r="CB330" s="129"/>
      <c r="CC330" s="129"/>
      <c r="CD330" s="129"/>
      <c r="CE330" s="129"/>
      <c r="CF330" s="129"/>
      <c r="CG330" s="129"/>
      <c r="CH330" s="129"/>
      <c r="CI330" s="129"/>
      <c r="CJ330" s="129"/>
      <c r="CK330" s="129"/>
      <c r="CL330" s="129"/>
      <c r="CM330" s="129"/>
      <c r="CN330" s="129"/>
      <c r="CO330" s="129"/>
      <c r="CP330" s="129"/>
      <c r="CQ330" s="129"/>
      <c r="CR330" s="129"/>
      <c r="CS330" s="129"/>
      <c r="CT330" s="129"/>
      <c r="CU330" s="129"/>
      <c r="CV330" s="129"/>
      <c r="CW330" s="129"/>
      <c r="CX330" s="129"/>
      <c r="CY330" s="129"/>
      <c r="CZ330" s="129"/>
      <c r="DA330" s="129"/>
      <c r="DB330" s="129"/>
      <c r="DC330" s="129"/>
      <c r="DD330" s="129"/>
      <c r="DE330" s="129"/>
      <c r="DF330" s="129"/>
      <c r="DG330" s="129"/>
      <c r="DH330" s="129"/>
      <c r="DI330" s="129"/>
      <c r="DJ330" s="129"/>
      <c r="DK330" s="129"/>
      <c r="DL330" s="129"/>
      <c r="DM330" s="129"/>
      <c r="DN330" s="129"/>
      <c r="DO330" s="129"/>
      <c r="DP330" s="129"/>
      <c r="DQ330" s="129"/>
      <c r="DR330" s="129"/>
      <c r="DS330" s="129"/>
      <c r="DT330" s="129"/>
      <c r="DU330" s="129"/>
      <c r="DV330" s="129"/>
      <c r="DW330" s="129"/>
      <c r="DX330" s="129"/>
      <c r="DY330" s="129"/>
      <c r="DZ330" s="129"/>
      <c r="EA330" s="129"/>
      <c r="EB330" s="129"/>
      <c r="EC330" s="129"/>
      <c r="ED330" s="129"/>
      <c r="EE330" s="129"/>
      <c r="EF330" s="129"/>
      <c r="EG330" s="129"/>
      <c r="EH330" s="129"/>
      <c r="EI330" s="129"/>
      <c r="EJ330" s="129"/>
      <c r="EK330" s="129"/>
      <c r="EL330" s="129"/>
      <c r="EM330" s="129"/>
      <c r="EN330" s="129"/>
      <c r="EO330" s="129"/>
      <c r="EP330" s="129"/>
      <c r="EQ330" s="129"/>
      <c r="ER330" s="129"/>
      <c r="ES330" s="129"/>
      <c r="ET330" s="129"/>
      <c r="EU330" s="129"/>
      <c r="EV330" s="129"/>
      <c r="EW330" s="129"/>
      <c r="EX330" s="129"/>
      <c r="EY330" s="129"/>
      <c r="EZ330" s="129"/>
      <c r="FA330" s="129"/>
      <c r="FB330" s="129"/>
      <c r="FC330" s="129"/>
      <c r="FD330" s="129"/>
      <c r="FE330" s="129"/>
      <c r="FF330" s="129"/>
      <c r="FG330" s="129"/>
      <c r="FH330" s="129"/>
      <c r="FI330" s="129"/>
      <c r="FJ330" s="129"/>
      <c r="FK330" s="129"/>
      <c r="FL330" s="129"/>
      <c r="FM330" s="129"/>
      <c r="FN330" s="129"/>
      <c r="FO330" s="129"/>
      <c r="FP330" s="129"/>
      <c r="FQ330" s="129"/>
      <c r="FR330" s="129"/>
      <c r="FS330" s="129"/>
      <c r="FT330" s="129"/>
      <c r="FU330" s="129"/>
      <c r="FV330" s="129"/>
      <c r="FW330" s="129"/>
      <c r="FX330" s="129"/>
      <c r="FY330" s="129"/>
      <c r="FZ330" s="129"/>
      <c r="GA330" s="129"/>
      <c r="GB330" s="129"/>
      <c r="GC330" s="129"/>
      <c r="GD330" s="129"/>
      <c r="GE330" s="129"/>
      <c r="GF330" s="129"/>
      <c r="GG330" s="129"/>
      <c r="GH330" s="129"/>
      <c r="GI330" s="129"/>
      <c r="GJ330" s="129"/>
      <c r="GK330" s="129"/>
      <c r="GL330" s="129"/>
      <c r="GM330" s="129"/>
      <c r="GN330" s="129"/>
      <c r="GO330" s="129"/>
      <c r="GP330" s="129"/>
      <c r="GQ330" s="129"/>
      <c r="GR330" s="129"/>
      <c r="GS330" s="129"/>
      <c r="GT330" s="129"/>
      <c r="GU330" s="129"/>
      <c r="GV330" s="129"/>
      <c r="GW330" s="129"/>
    </row>
    <row r="331" spans="32:205">
      <c r="AF331" s="2"/>
      <c r="AG331" s="2"/>
      <c r="AH331" s="129"/>
      <c r="AI331" s="2"/>
      <c r="AJ331" s="191">
        <v>3</v>
      </c>
      <c r="AK331" s="191">
        <v>1</v>
      </c>
      <c r="AL331" s="2"/>
      <c r="AM331" s="2">
        <v>4</v>
      </c>
      <c r="AN331" s="2">
        <v>3</v>
      </c>
      <c r="AO331" s="60">
        <v>3</v>
      </c>
      <c r="AP331" s="129">
        <v>2</v>
      </c>
      <c r="AQ331" s="129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  <c r="BE331" s="129"/>
      <c r="BF331" s="129"/>
      <c r="BG331" s="129"/>
      <c r="BH331" s="129"/>
      <c r="BI331" s="129"/>
      <c r="BJ331" s="129"/>
      <c r="BK331" s="129"/>
      <c r="BL331" s="129"/>
      <c r="BM331" s="129"/>
      <c r="BN331" s="129"/>
      <c r="BO331" s="129"/>
      <c r="BP331" s="129"/>
      <c r="BQ331" s="129"/>
      <c r="BR331" s="129"/>
      <c r="BS331" s="129"/>
      <c r="BT331" s="129"/>
      <c r="BU331" s="129"/>
      <c r="BV331" s="129"/>
      <c r="BW331" s="129"/>
      <c r="BX331" s="152"/>
      <c r="BY331" s="129"/>
      <c r="BZ331" s="129"/>
      <c r="CA331" s="129"/>
      <c r="CB331" s="129"/>
      <c r="CC331" s="129"/>
      <c r="CD331" s="129"/>
      <c r="CE331" s="129"/>
      <c r="CF331" s="129"/>
      <c r="CG331" s="129"/>
      <c r="CH331" s="129"/>
      <c r="CI331" s="129"/>
      <c r="CJ331" s="129"/>
      <c r="CK331" s="129"/>
      <c r="CL331" s="129"/>
      <c r="CM331" s="129"/>
      <c r="CN331" s="129"/>
      <c r="CO331" s="129"/>
      <c r="CP331" s="129"/>
      <c r="CQ331" s="129"/>
      <c r="CR331" s="129"/>
      <c r="CS331" s="129"/>
      <c r="CT331" s="129"/>
      <c r="CU331" s="129"/>
      <c r="CV331" s="129"/>
      <c r="CW331" s="129"/>
      <c r="CX331" s="129"/>
      <c r="CY331" s="129"/>
      <c r="CZ331" s="129"/>
      <c r="DA331" s="129"/>
      <c r="DB331" s="129"/>
      <c r="DC331" s="129"/>
      <c r="DD331" s="129"/>
      <c r="DE331" s="129"/>
      <c r="DF331" s="129"/>
      <c r="DG331" s="129"/>
      <c r="DH331" s="129"/>
      <c r="DI331" s="129"/>
      <c r="DJ331" s="129"/>
      <c r="DK331" s="129"/>
      <c r="DL331" s="129"/>
      <c r="DM331" s="129"/>
      <c r="DN331" s="129"/>
      <c r="DO331" s="129"/>
      <c r="DP331" s="129"/>
      <c r="DQ331" s="129"/>
      <c r="DR331" s="129"/>
      <c r="DS331" s="129"/>
      <c r="DT331" s="129"/>
      <c r="DU331" s="129"/>
      <c r="DV331" s="129"/>
      <c r="DW331" s="129"/>
      <c r="DX331" s="129"/>
      <c r="DY331" s="129"/>
      <c r="DZ331" s="129"/>
      <c r="EA331" s="129"/>
      <c r="EB331" s="129"/>
      <c r="EC331" s="129"/>
      <c r="ED331" s="129"/>
      <c r="EE331" s="129"/>
      <c r="EF331" s="129"/>
      <c r="EG331" s="129"/>
      <c r="EH331" s="129"/>
      <c r="EI331" s="129"/>
      <c r="EJ331" s="129"/>
      <c r="EK331" s="129"/>
      <c r="EL331" s="129"/>
      <c r="EM331" s="129"/>
      <c r="EN331" s="129"/>
      <c r="EO331" s="129"/>
      <c r="EP331" s="129"/>
      <c r="EQ331" s="129"/>
      <c r="ER331" s="129"/>
      <c r="ES331" s="129"/>
      <c r="ET331" s="129"/>
      <c r="EU331" s="129"/>
      <c r="EV331" s="129"/>
      <c r="EW331" s="129"/>
      <c r="EX331" s="129"/>
      <c r="EY331" s="129"/>
      <c r="EZ331" s="129"/>
      <c r="FA331" s="129"/>
      <c r="FB331" s="129"/>
      <c r="FC331" s="129"/>
      <c r="FD331" s="129"/>
      <c r="FE331" s="129"/>
      <c r="FF331" s="129"/>
      <c r="FG331" s="129"/>
      <c r="FH331" s="129"/>
      <c r="FI331" s="129"/>
      <c r="FJ331" s="129"/>
      <c r="FK331" s="129"/>
      <c r="FL331" s="129"/>
      <c r="FM331" s="129"/>
      <c r="FN331" s="129"/>
      <c r="FO331" s="129"/>
      <c r="FP331" s="129"/>
      <c r="FQ331" s="129"/>
      <c r="FR331" s="129"/>
      <c r="FS331" s="129"/>
      <c r="FT331" s="129"/>
      <c r="FU331" s="129"/>
      <c r="FV331" s="129"/>
      <c r="FW331" s="129"/>
      <c r="FX331" s="129"/>
      <c r="FY331" s="129"/>
      <c r="FZ331" s="129"/>
      <c r="GA331" s="129"/>
      <c r="GB331" s="129"/>
      <c r="GC331" s="129"/>
      <c r="GD331" s="129"/>
      <c r="GE331" s="129"/>
      <c r="GF331" s="129"/>
      <c r="GG331" s="129"/>
      <c r="GH331" s="129"/>
      <c r="GI331" s="129"/>
      <c r="GJ331" s="129"/>
      <c r="GK331" s="129"/>
      <c r="GL331" s="129"/>
      <c r="GM331" s="129"/>
      <c r="GN331" s="129"/>
      <c r="GO331" s="129"/>
      <c r="GP331" s="129"/>
      <c r="GQ331" s="129"/>
      <c r="GR331" s="129"/>
      <c r="GS331" s="129"/>
      <c r="GT331" s="129"/>
      <c r="GU331" s="129"/>
      <c r="GV331" s="129"/>
      <c r="GW331" s="129"/>
    </row>
    <row r="332" spans="32:205">
      <c r="AF332" s="2"/>
      <c r="AG332" s="2"/>
      <c r="AH332" s="129"/>
      <c r="AI332" s="2"/>
      <c r="AJ332" s="191">
        <v>5</v>
      </c>
      <c r="AK332" s="191">
        <v>0</v>
      </c>
      <c r="AL332" s="2"/>
      <c r="AM332" s="2">
        <v>1</v>
      </c>
      <c r="AN332" s="2">
        <v>2</v>
      </c>
      <c r="AO332" s="60">
        <v>3</v>
      </c>
      <c r="AP332" s="129">
        <v>3</v>
      </c>
      <c r="AQ332" s="129">
        <v>2</v>
      </c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  <c r="BE332" s="129"/>
      <c r="BF332" s="129"/>
      <c r="BG332" s="129"/>
      <c r="BH332" s="129"/>
      <c r="BI332" s="129"/>
      <c r="BJ332" s="129"/>
      <c r="BK332" s="129"/>
      <c r="BL332" s="129"/>
      <c r="BM332" s="129"/>
      <c r="BN332" s="129"/>
      <c r="BO332" s="129"/>
      <c r="BP332" s="129"/>
      <c r="BQ332" s="129"/>
      <c r="BR332" s="129"/>
      <c r="BS332" s="129"/>
      <c r="BT332" s="129"/>
      <c r="BU332" s="129"/>
      <c r="BV332" s="129"/>
      <c r="BW332" s="129"/>
      <c r="BX332" s="152"/>
      <c r="BY332" s="129"/>
      <c r="BZ332" s="129"/>
      <c r="CA332" s="129"/>
      <c r="CB332" s="129"/>
      <c r="CC332" s="129"/>
      <c r="CD332" s="129"/>
      <c r="CE332" s="129"/>
      <c r="CF332" s="129"/>
      <c r="CG332" s="129"/>
      <c r="CH332" s="129"/>
      <c r="CI332" s="129"/>
      <c r="CJ332" s="129"/>
      <c r="CK332" s="129"/>
      <c r="CL332" s="129"/>
      <c r="CM332" s="129"/>
      <c r="CN332" s="129"/>
      <c r="CO332" s="129"/>
      <c r="CP332" s="129"/>
      <c r="CQ332" s="129"/>
      <c r="CR332" s="129"/>
      <c r="CS332" s="129"/>
      <c r="CT332" s="129"/>
      <c r="CU332" s="129"/>
      <c r="CV332" s="129"/>
      <c r="CW332" s="129"/>
      <c r="CX332" s="129"/>
      <c r="CY332" s="129"/>
      <c r="CZ332" s="129"/>
      <c r="DA332" s="129"/>
      <c r="DB332" s="129"/>
      <c r="DC332" s="129"/>
      <c r="DD332" s="129"/>
      <c r="DE332" s="129"/>
      <c r="DF332" s="129"/>
      <c r="DG332" s="129"/>
      <c r="DH332" s="129"/>
      <c r="DI332" s="129"/>
      <c r="DJ332" s="129"/>
      <c r="DK332" s="129"/>
      <c r="DL332" s="129"/>
      <c r="DM332" s="129"/>
      <c r="DN332" s="129"/>
      <c r="DO332" s="129"/>
      <c r="DP332" s="129"/>
      <c r="DQ332" s="129"/>
      <c r="DR332" s="129"/>
      <c r="DS332" s="129"/>
      <c r="DT332" s="129"/>
      <c r="DU332" s="129"/>
      <c r="DV332" s="129"/>
      <c r="DW332" s="129"/>
      <c r="DX332" s="129"/>
      <c r="DY332" s="129"/>
      <c r="DZ332" s="129"/>
      <c r="EA332" s="129"/>
      <c r="EB332" s="129"/>
      <c r="EC332" s="129"/>
      <c r="ED332" s="129"/>
      <c r="EE332" s="129"/>
      <c r="EF332" s="129"/>
      <c r="EG332" s="129"/>
      <c r="EH332" s="129"/>
      <c r="EI332" s="129"/>
      <c r="EJ332" s="129"/>
      <c r="EK332" s="129"/>
      <c r="EL332" s="129"/>
      <c r="EM332" s="129"/>
      <c r="EN332" s="129"/>
      <c r="EO332" s="129"/>
      <c r="EP332" s="129"/>
      <c r="EQ332" s="129"/>
      <c r="ER332" s="129"/>
      <c r="ES332" s="129"/>
      <c r="ET332" s="129"/>
      <c r="EU332" s="129"/>
      <c r="EV332" s="129"/>
      <c r="EW332" s="129"/>
      <c r="EX332" s="129"/>
      <c r="EY332" s="129"/>
      <c r="EZ332" s="129"/>
      <c r="FA332" s="129"/>
      <c r="FB332" s="129"/>
      <c r="FC332" s="129"/>
      <c r="FD332" s="129"/>
      <c r="FE332" s="129"/>
      <c r="FF332" s="129"/>
      <c r="FG332" s="129"/>
      <c r="FH332" s="129"/>
      <c r="FI332" s="129"/>
      <c r="FJ332" s="129"/>
      <c r="FK332" s="129"/>
      <c r="FL332" s="129"/>
      <c r="FM332" s="129"/>
      <c r="FN332" s="129"/>
      <c r="FO332" s="129"/>
      <c r="FP332" s="129"/>
      <c r="FQ332" s="129"/>
      <c r="FR332" s="129"/>
      <c r="FS332" s="129"/>
      <c r="FT332" s="129"/>
      <c r="FU332" s="129"/>
      <c r="FV332" s="129"/>
      <c r="FW332" s="129"/>
      <c r="FX332" s="129"/>
      <c r="FY332" s="129"/>
      <c r="FZ332" s="129"/>
      <c r="GA332" s="129"/>
      <c r="GB332" s="129"/>
      <c r="GC332" s="129"/>
      <c r="GD332" s="129"/>
      <c r="GE332" s="129"/>
      <c r="GF332" s="129"/>
      <c r="GG332" s="129"/>
      <c r="GH332" s="129"/>
      <c r="GI332" s="129"/>
      <c r="GJ332" s="129"/>
      <c r="GK332" s="129"/>
      <c r="GL332" s="129"/>
      <c r="GM332" s="129"/>
      <c r="GN332" s="129"/>
      <c r="GO332" s="129"/>
      <c r="GP332" s="129"/>
      <c r="GQ332" s="129"/>
      <c r="GR332" s="129"/>
      <c r="GS332" s="129"/>
      <c r="GT332" s="129"/>
      <c r="GU332" s="129"/>
      <c r="GV332" s="129"/>
      <c r="GW332" s="129"/>
    </row>
    <row r="333" spans="32:205">
      <c r="AF333" s="2"/>
      <c r="AG333" s="2"/>
      <c r="AH333" s="129"/>
      <c r="AI333" s="2"/>
      <c r="AJ333" s="191">
        <v>4</v>
      </c>
      <c r="AK333" s="191">
        <v>1</v>
      </c>
      <c r="AL333" s="2"/>
      <c r="AM333" s="2">
        <v>4</v>
      </c>
      <c r="AN333" s="2">
        <v>1</v>
      </c>
      <c r="AO333" s="60">
        <v>2</v>
      </c>
      <c r="AP333" s="129">
        <v>1</v>
      </c>
      <c r="AQ333" s="129">
        <v>3</v>
      </c>
      <c r="AR333" s="129"/>
      <c r="AS333" s="2"/>
      <c r="AT333" s="2"/>
      <c r="AU333" s="2"/>
      <c r="AV333" s="2"/>
      <c r="AW333" s="2"/>
      <c r="AX333" s="2"/>
      <c r="AY333" s="2"/>
      <c r="AZ333" s="2"/>
      <c r="BA333" s="2"/>
      <c r="BB333" s="2"/>
      <c r="BE333" s="129"/>
      <c r="BF333" s="129"/>
      <c r="BG333" s="129"/>
      <c r="BH333" s="129"/>
      <c r="BI333" s="129"/>
      <c r="BJ333" s="129"/>
      <c r="BK333" s="129"/>
      <c r="BL333" s="129"/>
      <c r="BM333" s="129"/>
      <c r="BN333" s="129"/>
      <c r="BO333" s="129"/>
      <c r="BP333" s="129"/>
      <c r="BQ333" s="129"/>
      <c r="BR333" s="129"/>
      <c r="BS333" s="129"/>
      <c r="BT333" s="129"/>
      <c r="BU333" s="129"/>
      <c r="BV333" s="129"/>
      <c r="BW333" s="129"/>
      <c r="BX333" s="152"/>
      <c r="BY333" s="129"/>
      <c r="BZ333" s="129"/>
      <c r="CA333" s="129"/>
      <c r="CB333" s="129"/>
      <c r="CC333" s="129"/>
      <c r="CD333" s="129"/>
      <c r="CE333" s="129"/>
      <c r="CF333" s="129"/>
      <c r="CG333" s="129"/>
      <c r="CH333" s="129"/>
      <c r="CI333" s="129"/>
      <c r="CJ333" s="129"/>
      <c r="CK333" s="129"/>
      <c r="CL333" s="129"/>
      <c r="CM333" s="129"/>
      <c r="CN333" s="129"/>
      <c r="CO333" s="129"/>
      <c r="CP333" s="129"/>
      <c r="CQ333" s="129"/>
      <c r="CR333" s="129"/>
      <c r="CS333" s="129"/>
      <c r="CT333" s="129"/>
      <c r="CU333" s="129"/>
      <c r="CV333" s="129"/>
      <c r="CW333" s="129"/>
      <c r="CX333" s="129"/>
      <c r="CY333" s="129"/>
      <c r="CZ333" s="129"/>
      <c r="DA333" s="129"/>
      <c r="DB333" s="129"/>
      <c r="DC333" s="129"/>
      <c r="DD333" s="129"/>
      <c r="DE333" s="129"/>
      <c r="DF333" s="129"/>
      <c r="DG333" s="129"/>
      <c r="DH333" s="129"/>
      <c r="DI333" s="129"/>
      <c r="DJ333" s="129"/>
      <c r="DK333" s="129"/>
      <c r="DL333" s="129"/>
      <c r="DM333" s="129"/>
      <c r="DN333" s="129"/>
      <c r="DO333" s="129"/>
      <c r="DP333" s="129"/>
      <c r="DQ333" s="129"/>
      <c r="DR333" s="129"/>
      <c r="DS333" s="129"/>
      <c r="DT333" s="129"/>
      <c r="DU333" s="129"/>
      <c r="DV333" s="129"/>
      <c r="DW333" s="129"/>
      <c r="DX333" s="129"/>
      <c r="DY333" s="129"/>
      <c r="DZ333" s="129"/>
      <c r="EA333" s="129"/>
      <c r="EB333" s="129"/>
      <c r="EC333" s="129"/>
      <c r="ED333" s="129"/>
      <c r="EE333" s="129"/>
      <c r="EF333" s="129"/>
      <c r="EG333" s="129"/>
      <c r="EH333" s="129"/>
      <c r="EI333" s="129"/>
      <c r="EJ333" s="129"/>
      <c r="EK333" s="129"/>
      <c r="EL333" s="129"/>
      <c r="EM333" s="129"/>
      <c r="EN333" s="129"/>
      <c r="EO333" s="129"/>
      <c r="EP333" s="129"/>
      <c r="EQ333" s="129"/>
      <c r="ER333" s="129"/>
      <c r="ES333" s="129"/>
      <c r="ET333" s="129"/>
      <c r="EU333" s="129"/>
      <c r="EV333" s="129"/>
      <c r="EW333" s="129"/>
      <c r="EX333" s="129"/>
      <c r="EY333" s="129"/>
      <c r="EZ333" s="129"/>
      <c r="FA333" s="129"/>
      <c r="FB333" s="129"/>
      <c r="FC333" s="129"/>
      <c r="FD333" s="129"/>
      <c r="FE333" s="129"/>
      <c r="FF333" s="129"/>
      <c r="FG333" s="129"/>
      <c r="FH333" s="129"/>
      <c r="FI333" s="129"/>
      <c r="FJ333" s="129"/>
      <c r="FK333" s="129"/>
      <c r="FL333" s="129"/>
      <c r="FM333" s="129"/>
      <c r="FN333" s="129"/>
      <c r="FO333" s="129"/>
      <c r="FP333" s="129"/>
      <c r="FQ333" s="129"/>
      <c r="FR333" s="129"/>
      <c r="FS333" s="129"/>
      <c r="FT333" s="129"/>
      <c r="FU333" s="129"/>
      <c r="FV333" s="129"/>
      <c r="FW333" s="129"/>
      <c r="FX333" s="129"/>
      <c r="FY333" s="129"/>
      <c r="FZ333" s="129"/>
      <c r="GA333" s="129"/>
      <c r="GB333" s="129"/>
      <c r="GC333" s="129"/>
      <c r="GD333" s="129"/>
      <c r="GE333" s="129"/>
      <c r="GF333" s="129"/>
      <c r="GG333" s="129"/>
      <c r="GH333" s="129"/>
      <c r="GI333" s="129"/>
      <c r="GJ333" s="129"/>
      <c r="GK333" s="129"/>
      <c r="GL333" s="129"/>
      <c r="GM333" s="129"/>
      <c r="GN333" s="129"/>
      <c r="GO333" s="129"/>
      <c r="GP333" s="129"/>
      <c r="GQ333" s="129"/>
      <c r="GR333" s="129"/>
      <c r="GS333" s="129"/>
      <c r="GT333" s="129"/>
      <c r="GU333" s="129"/>
      <c r="GV333" s="129"/>
      <c r="GW333" s="129"/>
    </row>
    <row r="334" spans="32:205">
      <c r="AF334" s="2"/>
      <c r="AG334" s="2"/>
      <c r="AH334" s="129"/>
      <c r="AI334" s="2"/>
      <c r="AJ334" s="191">
        <v>6</v>
      </c>
      <c r="AK334" s="191">
        <v>0</v>
      </c>
      <c r="AL334" s="2"/>
      <c r="AM334" s="2">
        <v>2</v>
      </c>
      <c r="AN334" s="2">
        <v>1</v>
      </c>
      <c r="AO334" s="60">
        <v>2</v>
      </c>
      <c r="AP334" s="129">
        <v>1</v>
      </c>
      <c r="AQ334" s="129">
        <v>1</v>
      </c>
      <c r="AR334" s="129">
        <v>1</v>
      </c>
      <c r="AS334" s="2"/>
      <c r="AT334" s="2"/>
      <c r="AU334" s="2"/>
      <c r="AV334" s="2"/>
      <c r="AW334" s="2"/>
      <c r="AX334" s="2"/>
      <c r="AY334" s="2"/>
      <c r="AZ334" s="2"/>
      <c r="BA334" s="2"/>
      <c r="BB334" s="2"/>
      <c r="BE334" s="129"/>
      <c r="BF334" s="129"/>
      <c r="BG334" s="129"/>
      <c r="BH334" s="129"/>
      <c r="BI334" s="129"/>
      <c r="BJ334" s="129"/>
      <c r="BK334" s="129"/>
      <c r="BL334" s="129"/>
      <c r="BM334" s="129"/>
      <c r="BN334" s="129"/>
      <c r="BO334" s="129"/>
      <c r="BP334" s="129"/>
      <c r="BQ334" s="129"/>
      <c r="BR334" s="129"/>
      <c r="BS334" s="129"/>
      <c r="BT334" s="129"/>
      <c r="BU334" s="129"/>
      <c r="BV334" s="129"/>
      <c r="BW334" s="129"/>
      <c r="BX334" s="152"/>
      <c r="BY334" s="129"/>
      <c r="BZ334" s="129"/>
      <c r="CA334" s="129"/>
      <c r="CB334" s="129"/>
      <c r="CC334" s="129"/>
      <c r="CD334" s="129"/>
      <c r="CE334" s="129"/>
      <c r="CF334" s="129"/>
      <c r="CG334" s="129"/>
      <c r="CH334" s="129"/>
      <c r="CI334" s="129"/>
      <c r="CJ334" s="129"/>
      <c r="CK334" s="129"/>
      <c r="CL334" s="129"/>
      <c r="CM334" s="129"/>
      <c r="CN334" s="129"/>
      <c r="CO334" s="129"/>
      <c r="CP334" s="129"/>
      <c r="CQ334" s="129"/>
      <c r="CR334" s="129"/>
      <c r="CS334" s="129"/>
      <c r="CT334" s="129"/>
      <c r="CU334" s="129"/>
      <c r="CV334" s="129"/>
      <c r="CW334" s="129"/>
      <c r="CX334" s="129"/>
      <c r="CY334" s="129"/>
      <c r="CZ334" s="129"/>
      <c r="DA334" s="129"/>
      <c r="DB334" s="129"/>
      <c r="DC334" s="129"/>
      <c r="DD334" s="129"/>
      <c r="DE334" s="129"/>
      <c r="DF334" s="129"/>
      <c r="DG334" s="129"/>
      <c r="DH334" s="129"/>
      <c r="DI334" s="129"/>
      <c r="DJ334" s="129"/>
      <c r="DK334" s="129"/>
      <c r="DL334" s="129"/>
      <c r="DM334" s="129"/>
      <c r="DN334" s="129"/>
      <c r="DO334" s="129"/>
      <c r="DP334" s="129"/>
      <c r="DQ334" s="129"/>
      <c r="DR334" s="129"/>
      <c r="DS334" s="129"/>
      <c r="DT334" s="129"/>
      <c r="DU334" s="129"/>
      <c r="DV334" s="129"/>
      <c r="DW334" s="129"/>
      <c r="DX334" s="129"/>
      <c r="DY334" s="129"/>
      <c r="DZ334" s="129"/>
      <c r="EA334" s="129"/>
      <c r="EB334" s="129"/>
      <c r="EC334" s="129"/>
      <c r="ED334" s="129"/>
      <c r="EE334" s="129"/>
      <c r="EF334" s="129"/>
      <c r="EG334" s="129"/>
      <c r="EH334" s="129"/>
      <c r="EI334" s="129"/>
      <c r="EJ334" s="129"/>
      <c r="EK334" s="129"/>
      <c r="EL334" s="129"/>
      <c r="EM334" s="129"/>
      <c r="EN334" s="129"/>
      <c r="EO334" s="129"/>
      <c r="EP334" s="129"/>
      <c r="EQ334" s="129"/>
      <c r="ER334" s="129"/>
      <c r="ES334" s="129"/>
      <c r="ET334" s="129"/>
      <c r="EU334" s="129"/>
      <c r="EV334" s="129"/>
      <c r="EW334" s="129"/>
      <c r="EX334" s="129"/>
      <c r="EY334" s="129"/>
      <c r="EZ334" s="129"/>
      <c r="FA334" s="129"/>
      <c r="FB334" s="129"/>
      <c r="FC334" s="129"/>
      <c r="FD334" s="129"/>
      <c r="FE334" s="129"/>
      <c r="FF334" s="129"/>
      <c r="FG334" s="129"/>
      <c r="FH334" s="129"/>
      <c r="FI334" s="129"/>
      <c r="FJ334" s="129"/>
      <c r="FK334" s="129"/>
      <c r="FL334" s="129"/>
      <c r="FM334" s="129"/>
      <c r="FN334" s="129"/>
      <c r="FO334" s="129"/>
      <c r="FP334" s="129"/>
      <c r="FQ334" s="129"/>
      <c r="FR334" s="129"/>
      <c r="FS334" s="129"/>
      <c r="FT334" s="129"/>
      <c r="FU334" s="129"/>
      <c r="FV334" s="129"/>
      <c r="FW334" s="129"/>
      <c r="FX334" s="129"/>
      <c r="FY334" s="129"/>
      <c r="FZ334" s="129"/>
      <c r="GA334" s="129"/>
      <c r="GB334" s="129"/>
      <c r="GC334" s="129"/>
      <c r="GD334" s="129"/>
      <c r="GE334" s="129"/>
      <c r="GF334" s="129"/>
      <c r="GG334" s="129"/>
      <c r="GH334" s="129"/>
      <c r="GI334" s="129"/>
      <c r="GJ334" s="129"/>
      <c r="GK334" s="129"/>
      <c r="GL334" s="129"/>
      <c r="GM334" s="129"/>
      <c r="GN334" s="129"/>
      <c r="GO334" s="129"/>
      <c r="GP334" s="129"/>
      <c r="GQ334" s="129"/>
      <c r="GR334" s="129"/>
      <c r="GS334" s="129"/>
      <c r="GT334" s="129"/>
      <c r="GU334" s="129"/>
      <c r="GV334" s="129"/>
      <c r="GW334" s="129"/>
    </row>
    <row r="335" spans="32:205">
      <c r="AF335" s="2"/>
      <c r="AG335" s="2"/>
      <c r="AH335" s="129"/>
      <c r="AI335" s="2"/>
      <c r="AJ335" s="191">
        <v>5</v>
      </c>
      <c r="AK335" s="191">
        <v>1</v>
      </c>
      <c r="AL335" s="2"/>
      <c r="AM335" s="2">
        <v>2</v>
      </c>
      <c r="AN335" s="2">
        <v>1</v>
      </c>
      <c r="AO335" s="2">
        <v>2</v>
      </c>
      <c r="AP335" s="129">
        <v>4</v>
      </c>
      <c r="AQ335" s="129">
        <v>1</v>
      </c>
      <c r="AR335" s="129">
        <v>2</v>
      </c>
      <c r="AS335" s="2"/>
      <c r="AT335" s="2"/>
      <c r="AU335" s="2"/>
      <c r="AV335" s="2"/>
      <c r="AW335" s="2"/>
      <c r="AX335" s="2"/>
      <c r="AY335" s="2"/>
      <c r="AZ335" s="2"/>
      <c r="BA335" s="2"/>
      <c r="BB335" s="2"/>
      <c r="BE335" s="129"/>
      <c r="BF335" s="129"/>
      <c r="BG335" s="129"/>
      <c r="BH335" s="129"/>
      <c r="BI335" s="129"/>
      <c r="BJ335" s="129"/>
      <c r="BK335" s="129"/>
      <c r="BL335" s="129"/>
      <c r="BM335" s="129"/>
      <c r="BN335" s="129"/>
      <c r="BO335" s="129"/>
      <c r="BP335" s="129"/>
      <c r="BQ335" s="129"/>
      <c r="BR335" s="129"/>
      <c r="BS335" s="129"/>
      <c r="BT335" s="129"/>
      <c r="BU335" s="129"/>
      <c r="BV335" s="129"/>
      <c r="BW335" s="129"/>
      <c r="BX335" s="152"/>
      <c r="BY335" s="129"/>
      <c r="BZ335" s="129"/>
      <c r="CA335" s="129"/>
      <c r="CB335" s="129"/>
      <c r="CC335" s="129"/>
      <c r="CD335" s="129"/>
      <c r="CE335" s="129"/>
      <c r="CF335" s="129"/>
      <c r="CG335" s="129"/>
      <c r="CH335" s="129"/>
      <c r="CI335" s="129"/>
      <c r="CJ335" s="129"/>
      <c r="CK335" s="129"/>
      <c r="CL335" s="129"/>
      <c r="CM335" s="129"/>
      <c r="CN335" s="129"/>
      <c r="CO335" s="129"/>
      <c r="CP335" s="129"/>
      <c r="CQ335" s="129"/>
      <c r="CR335" s="129"/>
      <c r="CS335" s="129"/>
      <c r="CT335" s="129"/>
      <c r="CU335" s="129"/>
      <c r="CV335" s="129"/>
      <c r="CW335" s="129"/>
      <c r="CX335" s="129"/>
      <c r="CY335" s="129"/>
      <c r="CZ335" s="129"/>
      <c r="DA335" s="129"/>
      <c r="DB335" s="129"/>
      <c r="DC335" s="129"/>
      <c r="DD335" s="129"/>
      <c r="DE335" s="129"/>
      <c r="DF335" s="129"/>
      <c r="DG335" s="129"/>
      <c r="DH335" s="129"/>
      <c r="DI335" s="129"/>
      <c r="DJ335" s="129"/>
      <c r="DK335" s="129"/>
      <c r="DL335" s="129"/>
      <c r="DM335" s="129"/>
      <c r="DN335" s="129"/>
      <c r="DO335" s="129"/>
      <c r="DP335" s="129"/>
      <c r="DQ335" s="129"/>
      <c r="DR335" s="129"/>
      <c r="DS335" s="129"/>
      <c r="DT335" s="129"/>
      <c r="DU335" s="129"/>
      <c r="DV335" s="129"/>
      <c r="DW335" s="129"/>
      <c r="DX335" s="129"/>
      <c r="DY335" s="129"/>
      <c r="DZ335" s="129"/>
      <c r="EA335" s="129"/>
      <c r="EB335" s="129"/>
      <c r="EC335" s="129"/>
      <c r="ED335" s="129"/>
      <c r="EE335" s="129"/>
      <c r="EF335" s="129"/>
      <c r="EG335" s="129"/>
      <c r="EH335" s="129"/>
      <c r="EI335" s="129"/>
      <c r="EJ335" s="129"/>
      <c r="EK335" s="129"/>
      <c r="EL335" s="129"/>
      <c r="EM335" s="129"/>
      <c r="EN335" s="129"/>
      <c r="EO335" s="129"/>
      <c r="EP335" s="129"/>
      <c r="EQ335" s="129"/>
      <c r="ER335" s="129"/>
      <c r="ES335" s="129"/>
      <c r="ET335" s="129"/>
      <c r="EU335" s="129"/>
      <c r="EV335" s="129"/>
      <c r="EW335" s="129"/>
      <c r="EX335" s="129"/>
      <c r="EY335" s="129"/>
      <c r="EZ335" s="129"/>
      <c r="FA335" s="129"/>
      <c r="FB335" s="129"/>
      <c r="FC335" s="129"/>
      <c r="FD335" s="129"/>
      <c r="FE335" s="129"/>
      <c r="FF335" s="129"/>
      <c r="FG335" s="129"/>
      <c r="FH335" s="129"/>
      <c r="FI335" s="129"/>
      <c r="FJ335" s="129"/>
      <c r="FK335" s="129"/>
      <c r="FL335" s="129"/>
      <c r="FM335" s="129"/>
      <c r="FN335" s="129"/>
      <c r="FO335" s="129"/>
      <c r="FP335" s="129"/>
      <c r="FQ335" s="129"/>
      <c r="FR335" s="129"/>
      <c r="FS335" s="129"/>
      <c r="FT335" s="129"/>
      <c r="FU335" s="129"/>
      <c r="FV335" s="129"/>
      <c r="FW335" s="129"/>
      <c r="FX335" s="129"/>
      <c r="FY335" s="129"/>
      <c r="FZ335" s="129"/>
      <c r="GA335" s="129"/>
      <c r="GB335" s="129"/>
      <c r="GC335" s="129"/>
      <c r="GD335" s="129"/>
      <c r="GE335" s="129"/>
      <c r="GF335" s="129"/>
      <c r="GG335" s="129"/>
      <c r="GH335" s="129"/>
      <c r="GI335" s="129"/>
      <c r="GJ335" s="129"/>
      <c r="GK335" s="129"/>
      <c r="GL335" s="129"/>
      <c r="GM335" s="129"/>
      <c r="GN335" s="129"/>
      <c r="GO335" s="129"/>
      <c r="GP335" s="129"/>
      <c r="GQ335" s="129"/>
      <c r="GR335" s="129"/>
      <c r="GS335" s="129"/>
      <c r="GT335" s="129"/>
      <c r="GU335" s="129"/>
      <c r="GV335" s="129"/>
      <c r="GW335" s="129"/>
    </row>
    <row r="336" spans="32:205">
      <c r="AF336" s="2"/>
      <c r="AG336" s="2"/>
      <c r="AH336" s="129"/>
      <c r="AI336" s="2"/>
      <c r="AJ336" s="191">
        <v>5</v>
      </c>
      <c r="AK336" s="191">
        <v>0</v>
      </c>
      <c r="AL336" s="2"/>
      <c r="AM336" s="128">
        <v>1</v>
      </c>
      <c r="AN336" s="128">
        <v>3</v>
      </c>
      <c r="AO336" s="128">
        <v>2</v>
      </c>
      <c r="AP336" s="129">
        <v>1</v>
      </c>
      <c r="AQ336" s="129">
        <v>3</v>
      </c>
      <c r="AS336" s="2"/>
      <c r="AT336" s="2"/>
      <c r="AU336" s="2"/>
      <c r="AV336" s="2"/>
      <c r="AW336" s="2"/>
      <c r="AX336" s="2"/>
      <c r="AY336" s="2"/>
      <c r="AZ336" s="2"/>
      <c r="BA336" s="2"/>
      <c r="BB336" s="2"/>
      <c r="BE336" s="129"/>
      <c r="BF336" s="129"/>
      <c r="BG336" s="129"/>
      <c r="BH336" s="129"/>
      <c r="BI336" s="129"/>
      <c r="BJ336" s="129"/>
      <c r="BK336" s="129"/>
      <c r="BL336" s="129"/>
      <c r="BM336" s="129"/>
      <c r="BN336" s="129"/>
      <c r="BO336" s="129"/>
      <c r="BP336" s="129"/>
      <c r="BQ336" s="129"/>
      <c r="BR336" s="129"/>
      <c r="BS336" s="129"/>
      <c r="BT336" s="129"/>
      <c r="BU336" s="129"/>
      <c r="BV336" s="129"/>
      <c r="BW336" s="129"/>
      <c r="BX336" s="152"/>
      <c r="BY336" s="129"/>
      <c r="BZ336" s="129"/>
      <c r="CA336" s="129"/>
      <c r="CB336" s="129"/>
      <c r="CC336" s="129"/>
      <c r="CD336" s="129"/>
      <c r="CE336" s="129"/>
      <c r="CF336" s="129"/>
      <c r="CG336" s="129"/>
      <c r="CH336" s="129"/>
      <c r="CI336" s="129"/>
      <c r="CJ336" s="129"/>
      <c r="CK336" s="129"/>
      <c r="CL336" s="129"/>
      <c r="CM336" s="129"/>
      <c r="CN336" s="129"/>
      <c r="CO336" s="129"/>
      <c r="CP336" s="129"/>
      <c r="CQ336" s="129"/>
      <c r="CR336" s="129"/>
      <c r="CS336" s="129"/>
      <c r="CT336" s="129"/>
      <c r="CU336" s="129"/>
      <c r="CV336" s="129"/>
      <c r="CW336" s="129"/>
      <c r="CX336" s="129"/>
      <c r="CY336" s="129"/>
      <c r="CZ336" s="129"/>
      <c r="DA336" s="129"/>
      <c r="DB336" s="129"/>
      <c r="DC336" s="129"/>
      <c r="DD336" s="129"/>
      <c r="DE336" s="129"/>
      <c r="DF336" s="129"/>
      <c r="DG336" s="129"/>
      <c r="DH336" s="129"/>
      <c r="DI336" s="129"/>
      <c r="DJ336" s="129"/>
      <c r="DK336" s="129"/>
      <c r="DL336" s="129"/>
      <c r="DM336" s="129"/>
      <c r="DN336" s="129"/>
      <c r="DO336" s="129"/>
      <c r="DP336" s="129"/>
      <c r="DQ336" s="129"/>
      <c r="DR336" s="129"/>
      <c r="DS336" s="129"/>
      <c r="DT336" s="129"/>
      <c r="DU336" s="129"/>
      <c r="DV336" s="129"/>
      <c r="DW336" s="129"/>
      <c r="DX336" s="129"/>
      <c r="DY336" s="129"/>
      <c r="DZ336" s="129"/>
      <c r="EA336" s="129"/>
      <c r="EB336" s="129"/>
      <c r="EC336" s="129"/>
      <c r="ED336" s="129"/>
      <c r="EE336" s="129"/>
      <c r="EF336" s="129"/>
      <c r="EG336" s="129"/>
      <c r="EH336" s="129"/>
      <c r="EI336" s="129"/>
      <c r="EJ336" s="129"/>
      <c r="EK336" s="129"/>
      <c r="EL336" s="129"/>
      <c r="EM336" s="129"/>
      <c r="EN336" s="129"/>
      <c r="EO336" s="129"/>
      <c r="EP336" s="129"/>
      <c r="EQ336" s="129"/>
      <c r="ER336" s="129"/>
      <c r="ES336" s="129"/>
      <c r="ET336" s="129"/>
      <c r="EU336" s="129"/>
      <c r="EV336" s="129"/>
      <c r="EW336" s="129"/>
      <c r="EX336" s="129"/>
      <c r="EY336" s="129"/>
      <c r="EZ336" s="129"/>
      <c r="FA336" s="129"/>
      <c r="FB336" s="129"/>
      <c r="FC336" s="129"/>
      <c r="FD336" s="129"/>
      <c r="FE336" s="129"/>
      <c r="FF336" s="129"/>
      <c r="FG336" s="129"/>
      <c r="FH336" s="129"/>
      <c r="FI336" s="129"/>
      <c r="FJ336" s="129"/>
      <c r="FK336" s="129"/>
      <c r="FL336" s="129"/>
      <c r="FM336" s="129"/>
      <c r="FN336" s="129"/>
      <c r="FO336" s="129"/>
      <c r="FP336" s="129"/>
      <c r="FQ336" s="129"/>
      <c r="FR336" s="129"/>
      <c r="FS336" s="129"/>
      <c r="FT336" s="129"/>
      <c r="FU336" s="129"/>
      <c r="FV336" s="129"/>
      <c r="FW336" s="129"/>
      <c r="FX336" s="129"/>
      <c r="FY336" s="129"/>
      <c r="FZ336" s="129"/>
      <c r="GA336" s="129"/>
      <c r="GB336" s="129"/>
      <c r="GC336" s="129"/>
      <c r="GD336" s="129"/>
      <c r="GE336" s="129"/>
      <c r="GF336" s="129"/>
      <c r="GG336" s="129"/>
      <c r="GH336" s="129"/>
      <c r="GI336" s="129"/>
      <c r="GJ336" s="129"/>
      <c r="GK336" s="129"/>
      <c r="GL336" s="129"/>
      <c r="GM336" s="129"/>
      <c r="GN336" s="129"/>
      <c r="GO336" s="129"/>
      <c r="GP336" s="129"/>
      <c r="GQ336" s="129"/>
      <c r="GR336" s="129"/>
      <c r="GS336" s="129"/>
      <c r="GT336" s="129"/>
      <c r="GU336" s="129"/>
      <c r="GV336" s="129"/>
      <c r="GW336" s="129"/>
    </row>
    <row r="337" spans="32:205">
      <c r="AF337" s="2"/>
      <c r="AG337" s="2"/>
      <c r="AH337" s="2"/>
      <c r="AI337" s="2"/>
      <c r="AJ337" s="191">
        <v>5</v>
      </c>
      <c r="AK337" s="191">
        <v>0</v>
      </c>
      <c r="AL337" s="2"/>
      <c r="AM337" s="2">
        <v>2</v>
      </c>
      <c r="AN337" s="2">
        <v>1</v>
      </c>
      <c r="AO337" s="2">
        <v>2</v>
      </c>
      <c r="AP337" s="129">
        <v>2</v>
      </c>
      <c r="AQ337" s="129">
        <v>1</v>
      </c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  <c r="BE337" s="129"/>
      <c r="BF337" s="129"/>
      <c r="BG337" s="129"/>
      <c r="BH337" s="129"/>
      <c r="BI337" s="129"/>
      <c r="BJ337" s="129"/>
      <c r="BK337" s="129"/>
      <c r="BL337" s="129"/>
      <c r="BM337" s="129"/>
      <c r="BN337" s="129"/>
      <c r="BO337" s="129"/>
      <c r="BP337" s="129"/>
      <c r="BQ337" s="129"/>
      <c r="BR337" s="129"/>
      <c r="BS337" s="129"/>
      <c r="BT337" s="129"/>
      <c r="BU337" s="129"/>
      <c r="BV337" s="129"/>
      <c r="BW337" s="129"/>
      <c r="BX337" s="152"/>
      <c r="BY337" s="129"/>
      <c r="BZ337" s="129"/>
      <c r="CA337" s="129"/>
      <c r="CB337" s="129"/>
      <c r="CC337" s="129"/>
      <c r="CD337" s="129"/>
      <c r="CE337" s="129"/>
      <c r="CF337" s="129"/>
      <c r="CG337" s="129"/>
      <c r="CH337" s="129"/>
      <c r="CI337" s="129"/>
      <c r="CJ337" s="129"/>
      <c r="CK337" s="129"/>
      <c r="CL337" s="129"/>
      <c r="CM337" s="129"/>
      <c r="CN337" s="129"/>
      <c r="CO337" s="129"/>
      <c r="CP337" s="129"/>
      <c r="CQ337" s="129"/>
      <c r="CR337" s="129"/>
      <c r="CS337" s="129"/>
      <c r="CT337" s="129"/>
      <c r="CU337" s="129"/>
      <c r="CV337" s="129"/>
      <c r="CW337" s="129"/>
      <c r="CX337" s="129"/>
      <c r="CY337" s="129"/>
      <c r="CZ337" s="129"/>
      <c r="DA337" s="129"/>
      <c r="DB337" s="129"/>
      <c r="DC337" s="129"/>
      <c r="DD337" s="129"/>
      <c r="DE337" s="129"/>
      <c r="DF337" s="129"/>
      <c r="DG337" s="129"/>
      <c r="DH337" s="129"/>
      <c r="DI337" s="129"/>
      <c r="DJ337" s="129"/>
      <c r="DK337" s="129"/>
      <c r="DL337" s="129"/>
      <c r="DM337" s="129"/>
      <c r="DN337" s="129"/>
      <c r="DO337" s="129"/>
      <c r="DP337" s="129"/>
      <c r="DQ337" s="129"/>
      <c r="DR337" s="129"/>
      <c r="DS337" s="129"/>
      <c r="DT337" s="129"/>
      <c r="DU337" s="129"/>
      <c r="DV337" s="129"/>
      <c r="DW337" s="129"/>
      <c r="DX337" s="129"/>
      <c r="DY337" s="129"/>
      <c r="DZ337" s="129"/>
      <c r="EA337" s="129"/>
      <c r="EB337" s="129"/>
      <c r="EC337" s="129"/>
      <c r="ED337" s="129"/>
      <c r="EE337" s="129"/>
      <c r="EF337" s="129"/>
      <c r="EG337" s="129"/>
      <c r="EH337" s="129"/>
      <c r="EI337" s="129"/>
      <c r="EJ337" s="129"/>
      <c r="EK337" s="129"/>
      <c r="EL337" s="129"/>
      <c r="EM337" s="129"/>
      <c r="EN337" s="129"/>
      <c r="EO337" s="129"/>
      <c r="EP337" s="129"/>
      <c r="EQ337" s="129"/>
      <c r="ER337" s="129"/>
      <c r="ES337" s="129"/>
      <c r="ET337" s="129"/>
      <c r="EU337" s="129"/>
      <c r="EV337" s="129"/>
      <c r="EW337" s="129"/>
      <c r="EX337" s="129"/>
      <c r="EY337" s="129"/>
      <c r="EZ337" s="129"/>
      <c r="FA337" s="129"/>
      <c r="FB337" s="129"/>
      <c r="FC337" s="129"/>
      <c r="FD337" s="129"/>
      <c r="FE337" s="129"/>
      <c r="FF337" s="129"/>
      <c r="FG337" s="129"/>
      <c r="FH337" s="129"/>
      <c r="FI337" s="129"/>
      <c r="FJ337" s="129"/>
      <c r="FK337" s="129"/>
      <c r="FL337" s="129"/>
      <c r="FM337" s="129"/>
      <c r="FN337" s="129"/>
      <c r="FO337" s="129"/>
      <c r="FP337" s="129"/>
      <c r="FQ337" s="129"/>
      <c r="FR337" s="129"/>
      <c r="FS337" s="129"/>
      <c r="FT337" s="129"/>
      <c r="FU337" s="129"/>
      <c r="FV337" s="129"/>
      <c r="FW337" s="129"/>
      <c r="FX337" s="129"/>
      <c r="FY337" s="129"/>
      <c r="FZ337" s="129"/>
      <c r="GA337" s="129"/>
      <c r="GB337" s="129"/>
      <c r="GC337" s="129"/>
      <c r="GD337" s="129"/>
      <c r="GE337" s="129"/>
      <c r="GF337" s="129"/>
      <c r="GG337" s="129"/>
      <c r="GH337" s="129"/>
      <c r="GI337" s="129"/>
      <c r="GJ337" s="129"/>
      <c r="GK337" s="129"/>
      <c r="GL337" s="129"/>
      <c r="GM337" s="129"/>
      <c r="GN337" s="129"/>
      <c r="GO337" s="129"/>
      <c r="GP337" s="129"/>
      <c r="GQ337" s="129"/>
      <c r="GR337" s="129"/>
      <c r="GS337" s="129"/>
      <c r="GT337" s="129"/>
      <c r="GU337" s="129"/>
      <c r="GV337" s="129"/>
      <c r="GW337" s="129"/>
    </row>
    <row r="338" spans="32:205">
      <c r="AF338" s="2"/>
      <c r="AG338" s="2"/>
      <c r="AH338" s="2"/>
      <c r="AI338" s="2"/>
      <c r="AJ338" s="191">
        <v>5</v>
      </c>
      <c r="AK338" s="191">
        <v>0</v>
      </c>
      <c r="AL338" s="2"/>
      <c r="AM338" s="2">
        <v>3</v>
      </c>
      <c r="AN338" s="2">
        <v>2</v>
      </c>
      <c r="AO338" s="2">
        <v>3</v>
      </c>
      <c r="AP338" s="129">
        <v>1</v>
      </c>
      <c r="AQ338" s="129">
        <v>1</v>
      </c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  <c r="BE338" s="129"/>
      <c r="BF338" s="129"/>
      <c r="BG338" s="129"/>
      <c r="BH338" s="129"/>
      <c r="BI338" s="129"/>
      <c r="BJ338" s="129"/>
      <c r="BK338" s="129"/>
      <c r="BL338" s="129"/>
      <c r="BM338" s="129"/>
      <c r="BN338" s="129"/>
      <c r="BO338" s="129"/>
      <c r="BP338" s="129"/>
      <c r="BQ338" s="129"/>
      <c r="BR338" s="129"/>
      <c r="BS338" s="129"/>
      <c r="BT338" s="129"/>
      <c r="BU338" s="129"/>
      <c r="BV338" s="129"/>
      <c r="BW338" s="129"/>
      <c r="BX338" s="152"/>
      <c r="BY338" s="129"/>
      <c r="BZ338" s="129"/>
      <c r="CA338" s="129"/>
      <c r="CB338" s="129"/>
      <c r="CC338" s="129"/>
      <c r="CD338" s="129"/>
      <c r="CE338" s="129"/>
      <c r="CF338" s="129"/>
      <c r="CG338" s="129"/>
      <c r="CH338" s="129"/>
      <c r="CI338" s="129"/>
      <c r="CJ338" s="129"/>
      <c r="CK338" s="129"/>
      <c r="CL338" s="129"/>
      <c r="CM338" s="129"/>
      <c r="CN338" s="129"/>
      <c r="CO338" s="129"/>
      <c r="CP338" s="129"/>
      <c r="CQ338" s="129"/>
      <c r="CR338" s="129"/>
      <c r="CS338" s="129"/>
      <c r="CT338" s="129"/>
      <c r="CU338" s="129"/>
      <c r="CV338" s="129"/>
      <c r="CW338" s="129"/>
      <c r="CX338" s="129"/>
      <c r="CY338" s="129"/>
      <c r="CZ338" s="129"/>
      <c r="DA338" s="129"/>
      <c r="DB338" s="129"/>
      <c r="DC338" s="129"/>
      <c r="DD338" s="129"/>
      <c r="DE338" s="129"/>
      <c r="DF338" s="129"/>
      <c r="DG338" s="129"/>
      <c r="DH338" s="129"/>
      <c r="DI338" s="129"/>
      <c r="DJ338" s="129"/>
      <c r="DK338" s="129"/>
      <c r="DL338" s="129"/>
      <c r="DM338" s="129"/>
      <c r="DN338" s="129"/>
      <c r="DO338" s="129"/>
      <c r="DP338" s="129"/>
      <c r="DQ338" s="129"/>
      <c r="DR338" s="129"/>
      <c r="DS338" s="129"/>
      <c r="DT338" s="129"/>
      <c r="DU338" s="129"/>
      <c r="DV338" s="129"/>
      <c r="DW338" s="129"/>
      <c r="DX338" s="129"/>
      <c r="DY338" s="129"/>
      <c r="DZ338" s="129"/>
      <c r="EA338" s="129"/>
      <c r="EB338" s="129"/>
      <c r="EC338" s="129"/>
      <c r="ED338" s="129"/>
      <c r="EE338" s="129"/>
      <c r="EF338" s="129"/>
      <c r="EG338" s="129"/>
      <c r="EH338" s="129"/>
      <c r="EI338" s="129"/>
      <c r="EJ338" s="129"/>
      <c r="EK338" s="129"/>
      <c r="EL338" s="129"/>
      <c r="EM338" s="129"/>
      <c r="EN338" s="129"/>
      <c r="EO338" s="129"/>
      <c r="EP338" s="129"/>
      <c r="EQ338" s="129"/>
      <c r="ER338" s="129"/>
      <c r="ES338" s="129"/>
      <c r="ET338" s="129"/>
      <c r="EU338" s="129"/>
      <c r="EV338" s="129"/>
      <c r="EW338" s="129"/>
      <c r="EX338" s="129"/>
      <c r="EY338" s="129"/>
      <c r="EZ338" s="129"/>
      <c r="FA338" s="129"/>
      <c r="FB338" s="129"/>
      <c r="FC338" s="129"/>
      <c r="FD338" s="129"/>
      <c r="FE338" s="129"/>
      <c r="FF338" s="129"/>
      <c r="FG338" s="129"/>
      <c r="FH338" s="129"/>
      <c r="FI338" s="129"/>
      <c r="FJ338" s="129"/>
      <c r="FK338" s="129"/>
      <c r="FL338" s="129"/>
      <c r="FM338" s="129"/>
      <c r="FN338" s="129"/>
      <c r="FO338" s="129"/>
      <c r="FP338" s="129"/>
      <c r="FQ338" s="129"/>
      <c r="FR338" s="129"/>
      <c r="FS338" s="129"/>
      <c r="FT338" s="129"/>
      <c r="FU338" s="129"/>
      <c r="FV338" s="129"/>
      <c r="FW338" s="129"/>
      <c r="FX338" s="129"/>
      <c r="FY338" s="129"/>
      <c r="FZ338" s="129"/>
      <c r="GA338" s="129"/>
      <c r="GB338" s="129"/>
      <c r="GC338" s="129"/>
      <c r="GD338" s="129"/>
      <c r="GE338" s="129"/>
      <c r="GF338" s="129"/>
      <c r="GG338" s="129"/>
      <c r="GH338" s="129"/>
      <c r="GI338" s="129"/>
      <c r="GJ338" s="129"/>
      <c r="GK338" s="129"/>
      <c r="GL338" s="129"/>
      <c r="GM338" s="129"/>
      <c r="GN338" s="129"/>
      <c r="GO338" s="129"/>
      <c r="GP338" s="129"/>
      <c r="GQ338" s="129"/>
      <c r="GR338" s="129"/>
      <c r="GS338" s="129"/>
      <c r="GT338" s="129"/>
      <c r="GU338" s="129"/>
      <c r="GV338" s="129"/>
      <c r="GW338" s="129"/>
    </row>
    <row r="339" spans="32:205">
      <c r="AF339" s="2"/>
      <c r="AG339" s="2"/>
      <c r="AH339" s="2"/>
      <c r="AI339" s="2"/>
      <c r="AJ339" s="191">
        <v>4</v>
      </c>
      <c r="AK339" s="191">
        <v>0</v>
      </c>
      <c r="AL339" s="2"/>
      <c r="AM339" s="2">
        <v>1</v>
      </c>
      <c r="AN339" s="2">
        <v>2</v>
      </c>
      <c r="AO339" s="2">
        <v>1</v>
      </c>
      <c r="AP339" s="129">
        <v>2</v>
      </c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  <c r="BE339" s="129"/>
      <c r="BF339" s="129"/>
      <c r="BG339" s="129"/>
      <c r="BH339" s="129"/>
      <c r="BI339" s="129"/>
      <c r="BJ339" s="129"/>
      <c r="BK339" s="129"/>
      <c r="BL339" s="129"/>
      <c r="BM339" s="129"/>
      <c r="BN339" s="129"/>
      <c r="BO339" s="129"/>
      <c r="BP339" s="129"/>
      <c r="BQ339" s="129"/>
      <c r="BR339" s="129"/>
      <c r="BS339" s="129"/>
      <c r="BT339" s="129"/>
      <c r="BU339" s="129"/>
      <c r="BV339" s="129"/>
      <c r="BW339" s="129"/>
      <c r="BX339" s="152"/>
      <c r="BY339" s="129"/>
      <c r="BZ339" s="129"/>
      <c r="CA339" s="129"/>
      <c r="CB339" s="129"/>
      <c r="CC339" s="129"/>
      <c r="CD339" s="129"/>
      <c r="CE339" s="129"/>
      <c r="CF339" s="129"/>
      <c r="CG339" s="129"/>
      <c r="CH339" s="129"/>
      <c r="CI339" s="129"/>
      <c r="CJ339" s="129"/>
      <c r="CK339" s="129"/>
      <c r="CL339" s="129"/>
      <c r="CM339" s="129"/>
      <c r="CN339" s="129"/>
      <c r="CO339" s="129"/>
      <c r="CP339" s="129"/>
      <c r="CQ339" s="129"/>
      <c r="CR339" s="129"/>
      <c r="CS339" s="129"/>
      <c r="CT339" s="129"/>
      <c r="CU339" s="129"/>
      <c r="CV339" s="129"/>
      <c r="CW339" s="129"/>
      <c r="CX339" s="129"/>
      <c r="CY339" s="129"/>
      <c r="CZ339" s="129"/>
      <c r="DA339" s="129"/>
      <c r="DB339" s="129"/>
      <c r="DC339" s="129"/>
      <c r="DD339" s="129"/>
      <c r="DE339" s="129"/>
      <c r="DF339" s="129"/>
      <c r="DG339" s="129"/>
      <c r="DH339" s="129"/>
      <c r="DI339" s="129"/>
      <c r="DJ339" s="129"/>
      <c r="DK339" s="129"/>
      <c r="DL339" s="129"/>
      <c r="DM339" s="129"/>
      <c r="DN339" s="129"/>
      <c r="DO339" s="129"/>
      <c r="DP339" s="129"/>
      <c r="DQ339" s="129"/>
      <c r="DR339" s="129"/>
      <c r="DS339" s="129"/>
      <c r="DT339" s="129"/>
      <c r="DU339" s="129"/>
      <c r="DV339" s="129"/>
      <c r="DW339" s="129"/>
      <c r="DX339" s="129"/>
      <c r="DY339" s="129"/>
      <c r="DZ339" s="129"/>
      <c r="EA339" s="129"/>
      <c r="EB339" s="129"/>
      <c r="EC339" s="129"/>
      <c r="ED339" s="129"/>
      <c r="EE339" s="129"/>
      <c r="EF339" s="129"/>
      <c r="EG339" s="129"/>
      <c r="EH339" s="129"/>
      <c r="EI339" s="129"/>
      <c r="EJ339" s="129"/>
      <c r="EK339" s="129"/>
      <c r="EL339" s="129"/>
      <c r="EM339" s="129"/>
      <c r="EN339" s="129"/>
      <c r="EO339" s="129"/>
      <c r="EP339" s="129"/>
      <c r="EQ339" s="129"/>
      <c r="ER339" s="129"/>
      <c r="ES339" s="129"/>
      <c r="ET339" s="129"/>
      <c r="EU339" s="129"/>
      <c r="EV339" s="129"/>
      <c r="EW339" s="129"/>
      <c r="EX339" s="129"/>
      <c r="EY339" s="129"/>
      <c r="EZ339" s="129"/>
      <c r="FA339" s="129"/>
      <c r="FB339" s="129"/>
      <c r="FC339" s="129"/>
      <c r="FD339" s="129"/>
      <c r="FE339" s="129"/>
      <c r="FF339" s="129"/>
      <c r="FG339" s="129"/>
      <c r="FH339" s="129"/>
      <c r="FI339" s="129"/>
      <c r="FJ339" s="129"/>
      <c r="FK339" s="129"/>
      <c r="FL339" s="129"/>
      <c r="FM339" s="129"/>
      <c r="FN339" s="129"/>
      <c r="FO339" s="129"/>
      <c r="FP339" s="129"/>
      <c r="FQ339" s="129"/>
      <c r="FR339" s="129"/>
      <c r="FS339" s="129"/>
      <c r="FT339" s="129"/>
      <c r="FU339" s="129"/>
      <c r="FV339" s="129"/>
      <c r="FW339" s="129"/>
      <c r="FX339" s="129"/>
      <c r="FY339" s="129"/>
      <c r="FZ339" s="129"/>
      <c r="GA339" s="129"/>
      <c r="GB339" s="129"/>
      <c r="GC339" s="129"/>
      <c r="GD339" s="129"/>
      <c r="GE339" s="129"/>
      <c r="GF339" s="129"/>
      <c r="GG339" s="129"/>
      <c r="GH339" s="129"/>
      <c r="GI339" s="129"/>
      <c r="GJ339" s="129"/>
      <c r="GK339" s="129"/>
      <c r="GL339" s="129"/>
      <c r="GM339" s="129"/>
      <c r="GN339" s="129"/>
      <c r="GO339" s="129"/>
      <c r="GP339" s="129"/>
      <c r="GQ339" s="129"/>
      <c r="GR339" s="129"/>
      <c r="GS339" s="129"/>
      <c r="GT339" s="129"/>
      <c r="GU339" s="129"/>
      <c r="GV339" s="129"/>
      <c r="GW339" s="129"/>
    </row>
    <row r="340" spans="32:205">
      <c r="AF340" s="2"/>
      <c r="AG340" s="2"/>
      <c r="AH340" s="2"/>
      <c r="AI340" s="2"/>
      <c r="AJ340" s="191">
        <v>0</v>
      </c>
      <c r="AK340" s="191">
        <v>0</v>
      </c>
      <c r="AL340" s="2"/>
      <c r="AM340" s="2">
        <v>0</v>
      </c>
      <c r="AN340" s="129">
        <v>0</v>
      </c>
      <c r="AO340" s="129">
        <v>0</v>
      </c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  <c r="BE340" s="129"/>
      <c r="BF340" s="129"/>
      <c r="BG340" s="129"/>
      <c r="BH340" s="129"/>
      <c r="BI340" s="129"/>
      <c r="BJ340" s="129"/>
      <c r="BK340" s="129"/>
      <c r="BL340" s="129"/>
      <c r="BM340" s="129"/>
      <c r="BN340" s="129"/>
      <c r="BO340" s="129"/>
      <c r="BP340" s="129"/>
      <c r="BQ340" s="129"/>
      <c r="BR340" s="129"/>
      <c r="BS340" s="129"/>
      <c r="BT340" s="129"/>
      <c r="BU340" s="129"/>
      <c r="BV340" s="129"/>
      <c r="BW340" s="129"/>
      <c r="BX340" s="152"/>
      <c r="BY340" s="129"/>
      <c r="BZ340" s="129"/>
      <c r="CA340" s="129"/>
      <c r="CB340" s="129"/>
      <c r="CC340" s="129"/>
      <c r="CD340" s="129"/>
      <c r="CE340" s="129"/>
      <c r="CF340" s="129"/>
      <c r="CG340" s="129"/>
      <c r="CH340" s="129"/>
      <c r="CI340" s="129"/>
      <c r="CJ340" s="129"/>
      <c r="CK340" s="129"/>
      <c r="CL340" s="129"/>
      <c r="CM340" s="129"/>
      <c r="CN340" s="129"/>
      <c r="CO340" s="129"/>
      <c r="CP340" s="129"/>
      <c r="CQ340" s="129"/>
      <c r="CR340" s="129"/>
      <c r="CS340" s="129"/>
      <c r="CT340" s="129"/>
      <c r="CU340" s="129"/>
      <c r="CV340" s="129"/>
      <c r="CW340" s="129"/>
      <c r="CX340" s="129"/>
      <c r="CY340" s="129"/>
      <c r="CZ340" s="129"/>
      <c r="DA340" s="129"/>
      <c r="DB340" s="129"/>
      <c r="DC340" s="129"/>
      <c r="DD340" s="129"/>
      <c r="DE340" s="129"/>
      <c r="DF340" s="129"/>
      <c r="DG340" s="129"/>
      <c r="DH340" s="129"/>
      <c r="DI340" s="129"/>
      <c r="DJ340" s="129"/>
      <c r="DK340" s="129"/>
      <c r="DL340" s="129"/>
      <c r="DM340" s="129"/>
      <c r="DN340" s="129"/>
      <c r="DO340" s="129"/>
      <c r="DP340" s="129"/>
      <c r="DQ340" s="129"/>
      <c r="DR340" s="129"/>
      <c r="DS340" s="129"/>
      <c r="DT340" s="129"/>
      <c r="DU340" s="129"/>
      <c r="DV340" s="129"/>
      <c r="DW340" s="129"/>
      <c r="DX340" s="129"/>
      <c r="DY340" s="129"/>
      <c r="DZ340" s="129"/>
      <c r="EA340" s="129"/>
      <c r="EB340" s="129"/>
      <c r="EC340" s="129"/>
      <c r="ED340" s="129"/>
      <c r="EE340" s="129"/>
      <c r="EF340" s="129"/>
      <c r="EG340" s="129"/>
      <c r="EH340" s="129"/>
      <c r="EI340" s="129"/>
      <c r="EJ340" s="129"/>
      <c r="EK340" s="129"/>
      <c r="EL340" s="129"/>
      <c r="EM340" s="129"/>
      <c r="EN340" s="129"/>
      <c r="EO340" s="129"/>
      <c r="EP340" s="129"/>
      <c r="EQ340" s="129"/>
      <c r="ER340" s="129"/>
      <c r="ES340" s="129"/>
      <c r="ET340" s="129"/>
      <c r="EU340" s="129"/>
      <c r="EV340" s="129"/>
      <c r="EW340" s="129"/>
      <c r="EX340" s="129"/>
      <c r="EY340" s="129"/>
      <c r="EZ340" s="129"/>
      <c r="FA340" s="129"/>
      <c r="FB340" s="129"/>
      <c r="FC340" s="129"/>
      <c r="FD340" s="129"/>
      <c r="FE340" s="129"/>
      <c r="FF340" s="129"/>
      <c r="FG340" s="129"/>
      <c r="FH340" s="129"/>
      <c r="FI340" s="129"/>
      <c r="FJ340" s="129"/>
      <c r="FK340" s="129"/>
      <c r="FL340" s="129"/>
      <c r="FM340" s="129"/>
      <c r="FN340" s="129"/>
      <c r="FO340" s="129"/>
      <c r="FP340" s="129"/>
      <c r="FQ340" s="129"/>
      <c r="FR340" s="129"/>
      <c r="FS340" s="129"/>
      <c r="FT340" s="129"/>
      <c r="FU340" s="129"/>
      <c r="FV340" s="129"/>
      <c r="FW340" s="129"/>
      <c r="FX340" s="129"/>
      <c r="FY340" s="129"/>
      <c r="FZ340" s="129"/>
      <c r="GA340" s="129"/>
      <c r="GB340" s="129"/>
      <c r="GC340" s="129"/>
      <c r="GD340" s="129"/>
      <c r="GE340" s="129"/>
      <c r="GF340" s="129"/>
      <c r="GG340" s="129"/>
      <c r="GH340" s="129"/>
      <c r="GI340" s="129"/>
      <c r="GJ340" s="129"/>
      <c r="GK340" s="129"/>
      <c r="GL340" s="129"/>
      <c r="GM340" s="129"/>
      <c r="GN340" s="129"/>
      <c r="GO340" s="129"/>
      <c r="GP340" s="129"/>
      <c r="GQ340" s="129"/>
      <c r="GR340" s="129"/>
      <c r="GS340" s="129"/>
      <c r="GT340" s="129"/>
      <c r="GU340" s="129"/>
      <c r="GV340" s="129"/>
      <c r="GW340" s="129"/>
    </row>
    <row r="341" spans="32:205">
      <c r="AF341" s="2"/>
      <c r="AG341" s="2"/>
      <c r="AH341" s="2"/>
      <c r="AI341" s="2"/>
      <c r="AJ341" s="191">
        <v>3</v>
      </c>
      <c r="AK341" s="191">
        <v>0</v>
      </c>
      <c r="AL341" s="2"/>
      <c r="AM341" s="2">
        <v>2</v>
      </c>
      <c r="AN341" s="2">
        <v>2</v>
      </c>
      <c r="AO341" s="2">
        <v>3</v>
      </c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  <c r="BE341" s="129"/>
      <c r="BF341" s="129"/>
      <c r="BG341" s="129"/>
      <c r="BH341" s="129"/>
      <c r="BI341" s="129"/>
      <c r="BJ341" s="129"/>
      <c r="BK341" s="129"/>
      <c r="BL341" s="129"/>
      <c r="BM341" s="129"/>
      <c r="BN341" s="129"/>
      <c r="BO341" s="129"/>
      <c r="BP341" s="129"/>
      <c r="BQ341" s="129"/>
      <c r="BR341" s="129"/>
      <c r="BS341" s="129"/>
      <c r="BT341" s="129"/>
      <c r="BU341" s="129"/>
      <c r="BV341" s="129"/>
      <c r="BW341" s="129"/>
      <c r="BX341" s="152"/>
      <c r="BY341" s="129"/>
      <c r="BZ341" s="129"/>
      <c r="CA341" s="129"/>
      <c r="CB341" s="129"/>
      <c r="CC341" s="129"/>
      <c r="CD341" s="129"/>
      <c r="CE341" s="129"/>
      <c r="CF341" s="129"/>
      <c r="CG341" s="129"/>
      <c r="CH341" s="129"/>
      <c r="CI341" s="129"/>
      <c r="CJ341" s="129"/>
      <c r="CK341" s="129"/>
      <c r="CL341" s="129"/>
      <c r="CM341" s="129"/>
      <c r="CN341" s="129"/>
      <c r="CO341" s="129"/>
      <c r="CP341" s="129"/>
      <c r="CQ341" s="129"/>
      <c r="CR341" s="129"/>
      <c r="CS341" s="129"/>
      <c r="CT341" s="129"/>
      <c r="CU341" s="129"/>
      <c r="CV341" s="129"/>
      <c r="CW341" s="129"/>
      <c r="CX341" s="129"/>
      <c r="CY341" s="129"/>
      <c r="CZ341" s="129"/>
      <c r="DA341" s="129"/>
      <c r="DB341" s="129"/>
      <c r="DC341" s="129"/>
      <c r="DD341" s="129"/>
      <c r="DE341" s="129"/>
      <c r="DF341" s="129"/>
      <c r="DG341" s="129"/>
      <c r="DH341" s="129"/>
      <c r="DI341" s="129"/>
      <c r="DJ341" s="129"/>
      <c r="DK341" s="129"/>
      <c r="DL341" s="129"/>
      <c r="DM341" s="129"/>
      <c r="DN341" s="129"/>
      <c r="DO341" s="129"/>
      <c r="DP341" s="129"/>
      <c r="DQ341" s="129"/>
      <c r="DR341" s="129"/>
      <c r="DS341" s="129"/>
      <c r="DT341" s="129"/>
      <c r="DU341" s="129"/>
      <c r="DV341" s="129"/>
      <c r="DW341" s="129"/>
      <c r="DX341" s="129"/>
      <c r="DY341" s="129"/>
      <c r="DZ341" s="129"/>
      <c r="EA341" s="129"/>
      <c r="EB341" s="129"/>
      <c r="EC341" s="129"/>
      <c r="ED341" s="129"/>
      <c r="EE341" s="129"/>
      <c r="EF341" s="129"/>
      <c r="EG341" s="129"/>
      <c r="EH341" s="129"/>
      <c r="EI341" s="129"/>
      <c r="EJ341" s="129"/>
      <c r="EK341" s="129"/>
      <c r="EL341" s="129"/>
      <c r="EM341" s="129"/>
      <c r="EN341" s="129"/>
      <c r="EO341" s="129"/>
      <c r="EP341" s="129"/>
      <c r="EQ341" s="129"/>
      <c r="ER341" s="129"/>
      <c r="ES341" s="129"/>
      <c r="ET341" s="129"/>
      <c r="EU341" s="129"/>
      <c r="EV341" s="129"/>
      <c r="EW341" s="129"/>
      <c r="EX341" s="129"/>
      <c r="EY341" s="129"/>
      <c r="EZ341" s="129"/>
      <c r="FA341" s="129"/>
      <c r="FB341" s="129"/>
      <c r="FC341" s="129"/>
      <c r="FD341" s="129"/>
      <c r="FE341" s="129"/>
      <c r="FF341" s="129"/>
      <c r="FG341" s="129"/>
      <c r="FH341" s="129"/>
      <c r="FI341" s="129"/>
      <c r="FJ341" s="129"/>
      <c r="FK341" s="129"/>
      <c r="FL341" s="129"/>
      <c r="FM341" s="129"/>
      <c r="FN341" s="129"/>
      <c r="FO341" s="129"/>
      <c r="FP341" s="129"/>
      <c r="FQ341" s="129"/>
      <c r="FR341" s="129"/>
      <c r="FS341" s="129"/>
      <c r="FT341" s="129"/>
      <c r="FU341" s="129"/>
      <c r="FV341" s="129"/>
      <c r="FW341" s="129"/>
      <c r="FX341" s="129"/>
      <c r="FY341" s="129"/>
      <c r="FZ341" s="129"/>
      <c r="GA341" s="129"/>
      <c r="GB341" s="129"/>
      <c r="GC341" s="129"/>
      <c r="GD341" s="129"/>
      <c r="GE341" s="129"/>
      <c r="GF341" s="129"/>
      <c r="GG341" s="129"/>
      <c r="GH341" s="129"/>
      <c r="GI341" s="129"/>
      <c r="GJ341" s="129"/>
      <c r="GK341" s="129"/>
      <c r="GL341" s="129"/>
      <c r="GM341" s="129"/>
      <c r="GN341" s="129"/>
      <c r="GO341" s="129"/>
      <c r="GP341" s="129"/>
      <c r="GQ341" s="129"/>
      <c r="GR341" s="129"/>
      <c r="GS341" s="129"/>
      <c r="GT341" s="129"/>
      <c r="GU341" s="129"/>
      <c r="GV341" s="129"/>
      <c r="GW341" s="129"/>
    </row>
    <row r="342" spans="32:205">
      <c r="AF342" s="2"/>
      <c r="AG342" s="2"/>
      <c r="AH342" s="2"/>
      <c r="AI342" s="2"/>
      <c r="AJ342" s="191">
        <v>5</v>
      </c>
      <c r="AK342" s="191">
        <v>0</v>
      </c>
      <c r="AL342" s="2"/>
      <c r="AM342" s="2">
        <v>1</v>
      </c>
      <c r="AN342" s="2">
        <v>3</v>
      </c>
      <c r="AO342" s="2">
        <v>1</v>
      </c>
      <c r="AP342" s="129">
        <v>1</v>
      </c>
      <c r="AQ342" s="129">
        <v>1</v>
      </c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  <c r="BE342" s="129"/>
      <c r="BF342" s="129"/>
      <c r="BG342" s="129"/>
      <c r="BH342" s="129"/>
      <c r="BI342" s="129"/>
      <c r="BJ342" s="129"/>
      <c r="BK342" s="129"/>
      <c r="BL342" s="129"/>
      <c r="BM342" s="129"/>
      <c r="BN342" s="129"/>
      <c r="BO342" s="129"/>
      <c r="BP342" s="129"/>
      <c r="BQ342" s="129"/>
      <c r="BR342" s="129"/>
      <c r="BS342" s="129"/>
      <c r="BT342" s="129"/>
      <c r="BU342" s="129"/>
      <c r="BV342" s="129"/>
      <c r="BW342" s="129"/>
      <c r="BX342" s="152"/>
      <c r="BY342" s="129"/>
      <c r="BZ342" s="129"/>
      <c r="CA342" s="129"/>
      <c r="CB342" s="129"/>
      <c r="CC342" s="129"/>
      <c r="CD342" s="129"/>
      <c r="CE342" s="129"/>
      <c r="CF342" s="129"/>
      <c r="CG342" s="129"/>
      <c r="CH342" s="129"/>
      <c r="CI342" s="129"/>
      <c r="CJ342" s="129"/>
      <c r="CK342" s="129"/>
      <c r="CL342" s="129"/>
      <c r="CM342" s="129"/>
      <c r="CN342" s="129"/>
      <c r="CO342" s="129"/>
      <c r="CP342" s="129"/>
      <c r="CQ342" s="129"/>
      <c r="CR342" s="129"/>
      <c r="CS342" s="129"/>
      <c r="CT342" s="129"/>
      <c r="CU342" s="129"/>
      <c r="CV342" s="129"/>
      <c r="CW342" s="129"/>
      <c r="CX342" s="129"/>
      <c r="CY342" s="129"/>
      <c r="CZ342" s="129"/>
      <c r="DA342" s="129"/>
      <c r="DB342" s="129"/>
      <c r="DC342" s="129"/>
      <c r="DD342" s="129"/>
      <c r="DE342" s="129"/>
      <c r="DF342" s="129"/>
      <c r="DG342" s="129"/>
      <c r="DH342" s="129"/>
      <c r="DI342" s="129"/>
      <c r="DJ342" s="129"/>
      <c r="DK342" s="129"/>
      <c r="DL342" s="129"/>
      <c r="DM342" s="129"/>
      <c r="DN342" s="129"/>
      <c r="DO342" s="129"/>
      <c r="DP342" s="129"/>
      <c r="DQ342" s="129"/>
      <c r="DR342" s="129"/>
      <c r="DS342" s="129"/>
      <c r="DT342" s="129"/>
      <c r="DU342" s="129"/>
      <c r="DV342" s="129"/>
      <c r="DW342" s="129"/>
      <c r="DX342" s="129"/>
      <c r="DY342" s="129"/>
      <c r="DZ342" s="129"/>
      <c r="EA342" s="129"/>
      <c r="EB342" s="129"/>
      <c r="EC342" s="129"/>
      <c r="ED342" s="129"/>
      <c r="EE342" s="129"/>
      <c r="EF342" s="129"/>
      <c r="EG342" s="129"/>
      <c r="EH342" s="129"/>
      <c r="EI342" s="129"/>
      <c r="EJ342" s="129"/>
      <c r="EK342" s="129"/>
      <c r="EL342" s="129"/>
      <c r="EM342" s="129"/>
      <c r="EN342" s="129"/>
      <c r="EO342" s="129"/>
      <c r="EP342" s="129"/>
      <c r="EQ342" s="129"/>
      <c r="ER342" s="129"/>
      <c r="ES342" s="129"/>
      <c r="ET342" s="129"/>
      <c r="EU342" s="129"/>
      <c r="EV342" s="129"/>
      <c r="EW342" s="129"/>
      <c r="EX342" s="129"/>
      <c r="EY342" s="129"/>
      <c r="EZ342" s="129"/>
      <c r="FA342" s="129"/>
      <c r="FB342" s="129"/>
      <c r="FC342" s="129"/>
      <c r="FD342" s="129"/>
      <c r="FE342" s="129"/>
      <c r="FF342" s="129"/>
      <c r="FG342" s="129"/>
      <c r="FH342" s="129"/>
      <c r="FI342" s="129"/>
      <c r="FJ342" s="129"/>
      <c r="FK342" s="129"/>
      <c r="FL342" s="129"/>
      <c r="FM342" s="129"/>
      <c r="FN342" s="129"/>
      <c r="FO342" s="129"/>
      <c r="FP342" s="129"/>
      <c r="FQ342" s="129"/>
      <c r="FR342" s="129"/>
      <c r="FS342" s="129"/>
      <c r="FT342" s="129"/>
      <c r="FU342" s="129"/>
      <c r="FV342" s="129"/>
      <c r="FW342" s="129"/>
      <c r="FX342" s="129"/>
      <c r="FY342" s="129"/>
      <c r="FZ342" s="129"/>
      <c r="GA342" s="129"/>
      <c r="GB342" s="129"/>
      <c r="GC342" s="129"/>
      <c r="GD342" s="129"/>
      <c r="GE342" s="129"/>
      <c r="GF342" s="129"/>
      <c r="GG342" s="129"/>
      <c r="GH342" s="129"/>
      <c r="GI342" s="129"/>
      <c r="GJ342" s="129"/>
      <c r="GK342" s="129"/>
      <c r="GL342" s="129"/>
      <c r="GM342" s="129"/>
      <c r="GN342" s="129"/>
      <c r="GO342" s="129"/>
      <c r="GP342" s="129"/>
      <c r="GQ342" s="129"/>
      <c r="GR342" s="129"/>
      <c r="GS342" s="129"/>
      <c r="GT342" s="129"/>
      <c r="GU342" s="129"/>
      <c r="GV342" s="129"/>
      <c r="GW342" s="129"/>
    </row>
    <row r="343" spans="32:205">
      <c r="AF343" s="2"/>
      <c r="AG343" s="2"/>
      <c r="AH343" s="2"/>
      <c r="AI343" s="2"/>
      <c r="AJ343" s="191">
        <v>5</v>
      </c>
      <c r="AK343" s="191">
        <v>0</v>
      </c>
      <c r="AL343" s="2"/>
      <c r="AM343" s="2">
        <v>2</v>
      </c>
      <c r="AN343" s="2">
        <v>1</v>
      </c>
      <c r="AO343" s="2">
        <v>3</v>
      </c>
      <c r="AP343" s="129">
        <v>3</v>
      </c>
      <c r="AQ343" s="129">
        <v>2</v>
      </c>
      <c r="AR343" s="2"/>
      <c r="AS343" s="2"/>
      <c r="AT343" s="2"/>
      <c r="AU343" s="2"/>
      <c r="AV343" s="2"/>
      <c r="AW343" s="2"/>
      <c r="AX343" s="2"/>
      <c r="AY343" s="2"/>
      <c r="AZ343" s="2"/>
      <c r="BA343" s="129"/>
      <c r="BB343" s="129"/>
      <c r="BE343" s="129"/>
      <c r="BF343" s="129"/>
      <c r="BG343" s="129"/>
      <c r="BH343" s="129"/>
      <c r="BI343" s="129"/>
      <c r="BJ343" s="129"/>
      <c r="BK343" s="129"/>
      <c r="BL343" s="129"/>
      <c r="BM343" s="129"/>
      <c r="BN343" s="129"/>
      <c r="BO343" s="129"/>
      <c r="BP343" s="129"/>
      <c r="BQ343" s="129"/>
      <c r="BR343" s="129"/>
      <c r="BS343" s="129"/>
      <c r="BT343" s="129"/>
      <c r="BU343" s="129"/>
      <c r="BV343" s="129"/>
      <c r="BW343" s="129"/>
      <c r="BX343" s="152"/>
      <c r="BY343" s="129"/>
      <c r="BZ343" s="129"/>
      <c r="CA343" s="129"/>
      <c r="CB343" s="129"/>
      <c r="CC343" s="129"/>
      <c r="CD343" s="129"/>
      <c r="CE343" s="129"/>
      <c r="CF343" s="129"/>
      <c r="CG343" s="129"/>
      <c r="CH343" s="129"/>
      <c r="CI343" s="129"/>
      <c r="CJ343" s="129"/>
      <c r="CK343" s="129"/>
      <c r="CL343" s="129"/>
      <c r="CM343" s="129"/>
      <c r="CN343" s="129"/>
      <c r="CO343" s="129"/>
      <c r="CP343" s="129"/>
      <c r="CQ343" s="129"/>
      <c r="CR343" s="129"/>
      <c r="CS343" s="129"/>
      <c r="CT343" s="129"/>
      <c r="CU343" s="129"/>
      <c r="CV343" s="129"/>
      <c r="CW343" s="129"/>
      <c r="CX343" s="129"/>
      <c r="CY343" s="129"/>
      <c r="CZ343" s="129"/>
      <c r="DA343" s="129"/>
      <c r="DB343" s="129"/>
      <c r="DC343" s="129"/>
      <c r="DD343" s="129"/>
      <c r="DE343" s="129"/>
      <c r="DF343" s="129"/>
      <c r="DG343" s="129"/>
      <c r="DH343" s="129"/>
      <c r="DI343" s="129"/>
      <c r="DJ343" s="129"/>
      <c r="DK343" s="129"/>
      <c r="DL343" s="129"/>
      <c r="DM343" s="129"/>
      <c r="DN343" s="129"/>
      <c r="DO343" s="129"/>
      <c r="DP343" s="129"/>
      <c r="DQ343" s="129"/>
      <c r="DR343" s="129"/>
      <c r="DS343" s="129"/>
      <c r="DT343" s="129"/>
      <c r="DU343" s="129"/>
      <c r="DV343" s="129"/>
      <c r="DW343" s="129"/>
      <c r="DX343" s="129"/>
      <c r="DY343" s="129"/>
      <c r="DZ343" s="129"/>
      <c r="EA343" s="129"/>
      <c r="EB343" s="129"/>
      <c r="EC343" s="129"/>
      <c r="ED343" s="129"/>
      <c r="EE343" s="129"/>
      <c r="EF343" s="129"/>
      <c r="EG343" s="129"/>
      <c r="EH343" s="129"/>
      <c r="EI343" s="129"/>
      <c r="EJ343" s="129"/>
      <c r="EK343" s="129"/>
      <c r="EL343" s="129"/>
      <c r="EM343" s="129"/>
      <c r="EN343" s="129"/>
      <c r="EO343" s="129"/>
      <c r="EP343" s="129"/>
      <c r="EQ343" s="129"/>
      <c r="ER343" s="129"/>
      <c r="ES343" s="129"/>
      <c r="ET343" s="129"/>
      <c r="EU343" s="129"/>
      <c r="EV343" s="129"/>
      <c r="EW343" s="129"/>
      <c r="EX343" s="129"/>
      <c r="EY343" s="129"/>
      <c r="EZ343" s="129"/>
      <c r="FA343" s="129"/>
      <c r="FB343" s="129"/>
      <c r="FC343" s="129"/>
      <c r="FD343" s="129"/>
      <c r="FE343" s="129"/>
      <c r="FF343" s="129"/>
      <c r="FG343" s="129"/>
      <c r="FH343" s="129"/>
      <c r="FI343" s="129"/>
      <c r="FJ343" s="129"/>
      <c r="FK343" s="129"/>
      <c r="FL343" s="129"/>
      <c r="FM343" s="129"/>
      <c r="FN343" s="129"/>
      <c r="FO343" s="129"/>
      <c r="FP343" s="129"/>
      <c r="FQ343" s="129"/>
      <c r="FR343" s="129"/>
      <c r="FS343" s="129"/>
      <c r="FT343" s="129"/>
      <c r="FU343" s="129"/>
      <c r="FV343" s="129"/>
      <c r="FW343" s="129"/>
      <c r="FX343" s="129"/>
      <c r="FY343" s="129"/>
      <c r="FZ343" s="129"/>
      <c r="GA343" s="129"/>
      <c r="GB343" s="129"/>
      <c r="GC343" s="129"/>
      <c r="GD343" s="129"/>
      <c r="GE343" s="129"/>
      <c r="GF343" s="129"/>
      <c r="GG343" s="129"/>
      <c r="GH343" s="129"/>
      <c r="GI343" s="129"/>
      <c r="GJ343" s="129"/>
      <c r="GK343" s="129"/>
      <c r="GL343" s="129"/>
      <c r="GM343" s="129"/>
      <c r="GN343" s="129"/>
      <c r="GO343" s="129"/>
      <c r="GP343" s="129"/>
      <c r="GQ343" s="129"/>
      <c r="GR343" s="129"/>
      <c r="GS343" s="129"/>
      <c r="GT343" s="129"/>
      <c r="GU343" s="129"/>
      <c r="GV343" s="129"/>
      <c r="GW343" s="129"/>
    </row>
    <row r="344" spans="32:205">
      <c r="AF344" s="2"/>
      <c r="AG344" s="2"/>
      <c r="AH344" s="2"/>
      <c r="AI344" s="2"/>
      <c r="AJ344" s="191">
        <v>3</v>
      </c>
      <c r="AK344" s="191">
        <v>1</v>
      </c>
      <c r="AL344" s="2"/>
      <c r="AM344" s="2">
        <v>1</v>
      </c>
      <c r="AN344" s="2">
        <v>4</v>
      </c>
      <c r="AO344" s="2">
        <v>3</v>
      </c>
      <c r="AP344" s="129">
        <v>2</v>
      </c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129"/>
      <c r="BB344" s="2"/>
      <c r="BE344" s="129"/>
      <c r="BF344" s="129"/>
      <c r="BG344" s="129"/>
      <c r="BH344" s="129"/>
      <c r="BI344" s="129"/>
      <c r="BJ344" s="129"/>
      <c r="BK344" s="129"/>
      <c r="BL344" s="129"/>
      <c r="BM344" s="129"/>
      <c r="BN344" s="129"/>
      <c r="BO344" s="129"/>
      <c r="BP344" s="129"/>
      <c r="BQ344" s="129"/>
      <c r="BR344" s="129"/>
      <c r="BS344" s="129"/>
      <c r="BT344" s="129"/>
      <c r="BU344" s="129"/>
      <c r="BV344" s="129"/>
      <c r="BW344" s="129"/>
      <c r="BX344" s="152"/>
      <c r="BY344" s="129"/>
      <c r="BZ344" s="129"/>
      <c r="CA344" s="129"/>
      <c r="CB344" s="129"/>
      <c r="CC344" s="129"/>
      <c r="CD344" s="129"/>
      <c r="CE344" s="129"/>
      <c r="CF344" s="129"/>
      <c r="CG344" s="129"/>
      <c r="CH344" s="129"/>
      <c r="CI344" s="129"/>
      <c r="CJ344" s="129"/>
      <c r="CK344" s="129"/>
      <c r="CL344" s="129"/>
      <c r="CM344" s="129"/>
      <c r="CN344" s="129"/>
      <c r="CO344" s="129"/>
      <c r="CP344" s="129"/>
      <c r="CQ344" s="129"/>
      <c r="CR344" s="129"/>
      <c r="CS344" s="129"/>
      <c r="CT344" s="129"/>
      <c r="CU344" s="129"/>
      <c r="CV344" s="129"/>
      <c r="CW344" s="129"/>
      <c r="CX344" s="129"/>
      <c r="CY344" s="129"/>
      <c r="CZ344" s="129"/>
      <c r="DA344" s="129"/>
      <c r="DB344" s="129"/>
      <c r="DC344" s="129"/>
      <c r="DD344" s="129"/>
      <c r="DE344" s="129"/>
      <c r="DF344" s="129"/>
      <c r="DG344" s="129"/>
      <c r="DH344" s="129"/>
      <c r="DI344" s="129"/>
      <c r="DJ344" s="129"/>
      <c r="DK344" s="129"/>
      <c r="DL344" s="129"/>
      <c r="DM344" s="129"/>
      <c r="DN344" s="129"/>
      <c r="DO344" s="129"/>
      <c r="DP344" s="129"/>
      <c r="DQ344" s="129"/>
      <c r="DR344" s="129"/>
      <c r="DS344" s="129"/>
      <c r="DT344" s="129"/>
      <c r="DU344" s="129"/>
      <c r="DV344" s="129"/>
      <c r="DW344" s="129"/>
      <c r="DX344" s="129"/>
      <c r="DY344" s="129"/>
      <c r="DZ344" s="129"/>
      <c r="EA344" s="129"/>
      <c r="EB344" s="129"/>
      <c r="EC344" s="129"/>
      <c r="ED344" s="129"/>
      <c r="EE344" s="129"/>
      <c r="EF344" s="129"/>
      <c r="EG344" s="129"/>
      <c r="EH344" s="129"/>
      <c r="EI344" s="129"/>
      <c r="EJ344" s="129"/>
      <c r="EK344" s="129"/>
      <c r="EL344" s="129"/>
      <c r="EM344" s="129"/>
      <c r="EN344" s="129"/>
      <c r="EO344" s="129"/>
      <c r="EP344" s="129"/>
      <c r="EQ344" s="129"/>
      <c r="ER344" s="129"/>
      <c r="ES344" s="129"/>
      <c r="ET344" s="129"/>
      <c r="EU344" s="129"/>
      <c r="EV344" s="129"/>
      <c r="EW344" s="129"/>
      <c r="EX344" s="129"/>
      <c r="EY344" s="129"/>
      <c r="EZ344" s="129"/>
      <c r="FA344" s="129"/>
      <c r="FB344" s="129"/>
      <c r="FC344" s="129"/>
      <c r="FD344" s="129"/>
      <c r="FE344" s="129"/>
      <c r="FF344" s="129"/>
      <c r="FG344" s="129"/>
      <c r="FH344" s="129"/>
      <c r="FI344" s="129"/>
      <c r="FJ344" s="129"/>
      <c r="FK344" s="129"/>
      <c r="FL344" s="129"/>
      <c r="FM344" s="129"/>
      <c r="FN344" s="129"/>
      <c r="FO344" s="129"/>
      <c r="FP344" s="129"/>
      <c r="FQ344" s="129"/>
      <c r="FR344" s="129"/>
      <c r="FS344" s="129"/>
      <c r="FT344" s="129"/>
      <c r="FU344" s="129"/>
      <c r="FV344" s="129"/>
      <c r="FW344" s="129"/>
      <c r="FX344" s="129"/>
      <c r="FY344" s="129"/>
      <c r="FZ344" s="129"/>
      <c r="GA344" s="129"/>
      <c r="GB344" s="129"/>
      <c r="GC344" s="129"/>
      <c r="GD344" s="129"/>
      <c r="GE344" s="129"/>
      <c r="GF344" s="129"/>
      <c r="GG344" s="129"/>
      <c r="GH344" s="129"/>
      <c r="GI344" s="129"/>
      <c r="GJ344" s="129"/>
      <c r="GK344" s="129"/>
      <c r="GL344" s="129"/>
      <c r="GM344" s="129"/>
      <c r="GN344" s="129"/>
      <c r="GO344" s="129"/>
      <c r="GP344" s="129"/>
      <c r="GQ344" s="129"/>
      <c r="GR344" s="129"/>
      <c r="GS344" s="129"/>
      <c r="GT344" s="129"/>
      <c r="GU344" s="129"/>
      <c r="GV344" s="129"/>
      <c r="GW344" s="129"/>
    </row>
    <row r="345" spans="32:205">
      <c r="AF345" s="2"/>
      <c r="AG345" s="2"/>
      <c r="AH345" s="2"/>
      <c r="AI345" s="2"/>
      <c r="AJ345" s="191">
        <v>3</v>
      </c>
      <c r="AK345" s="191">
        <v>1</v>
      </c>
      <c r="AL345" s="2"/>
      <c r="AM345" s="2">
        <v>2</v>
      </c>
      <c r="AN345" s="2">
        <v>3</v>
      </c>
      <c r="AO345" s="2">
        <v>4</v>
      </c>
      <c r="AP345" s="129">
        <v>1</v>
      </c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  <c r="BE345" s="129"/>
      <c r="BF345" s="129"/>
      <c r="BG345" s="129"/>
      <c r="BH345" s="129"/>
      <c r="BI345" s="129"/>
      <c r="BJ345" s="129"/>
      <c r="BK345" s="129"/>
      <c r="BL345" s="129"/>
      <c r="BM345" s="129"/>
      <c r="BN345" s="129"/>
      <c r="BO345" s="129"/>
      <c r="BP345" s="129"/>
      <c r="BQ345" s="129"/>
      <c r="BR345" s="129"/>
      <c r="BS345" s="129"/>
      <c r="BT345" s="129"/>
      <c r="BU345" s="129"/>
      <c r="BV345" s="129"/>
      <c r="BW345" s="129"/>
      <c r="BX345" s="152"/>
      <c r="BY345" s="129"/>
      <c r="BZ345" s="129"/>
      <c r="CA345" s="129"/>
      <c r="CB345" s="129"/>
      <c r="CC345" s="129"/>
      <c r="CD345" s="129"/>
      <c r="CE345" s="129"/>
      <c r="CF345" s="129"/>
      <c r="CG345" s="129"/>
      <c r="CH345" s="129"/>
      <c r="CI345" s="129"/>
      <c r="CJ345" s="129"/>
      <c r="CK345" s="129"/>
      <c r="CL345" s="129"/>
      <c r="CM345" s="129"/>
      <c r="CN345" s="129"/>
      <c r="CO345" s="129"/>
      <c r="CP345" s="129"/>
      <c r="CQ345" s="129"/>
      <c r="CR345" s="129"/>
      <c r="CS345" s="129"/>
      <c r="CT345" s="129"/>
      <c r="CU345" s="129"/>
      <c r="CV345" s="129"/>
      <c r="CW345" s="129"/>
      <c r="CX345" s="129"/>
      <c r="CY345" s="129"/>
      <c r="CZ345" s="129"/>
      <c r="DA345" s="129"/>
      <c r="DB345" s="129"/>
      <c r="DC345" s="129"/>
      <c r="DD345" s="129"/>
      <c r="DE345" s="129"/>
      <c r="DF345" s="129"/>
      <c r="DG345" s="129"/>
      <c r="DH345" s="129"/>
      <c r="DI345" s="129"/>
      <c r="DJ345" s="129"/>
      <c r="DK345" s="129"/>
      <c r="DL345" s="129"/>
      <c r="DM345" s="129"/>
      <c r="DN345" s="129"/>
      <c r="DO345" s="129"/>
      <c r="DP345" s="129"/>
      <c r="DQ345" s="129"/>
      <c r="DR345" s="129"/>
      <c r="DS345" s="129"/>
      <c r="DT345" s="129"/>
      <c r="DU345" s="129"/>
      <c r="DV345" s="129"/>
      <c r="DW345" s="129"/>
      <c r="DX345" s="129"/>
      <c r="DY345" s="129"/>
      <c r="DZ345" s="129"/>
      <c r="EA345" s="129"/>
      <c r="EB345" s="129"/>
      <c r="EC345" s="129"/>
      <c r="ED345" s="129"/>
      <c r="EE345" s="129"/>
      <c r="EF345" s="129"/>
      <c r="EG345" s="129"/>
      <c r="EH345" s="129"/>
      <c r="EI345" s="129"/>
      <c r="EJ345" s="129"/>
      <c r="EK345" s="129"/>
      <c r="EL345" s="129"/>
      <c r="EM345" s="129"/>
      <c r="EN345" s="129"/>
      <c r="EO345" s="129"/>
      <c r="EP345" s="129"/>
      <c r="EQ345" s="129"/>
      <c r="ER345" s="129"/>
      <c r="ES345" s="129"/>
      <c r="ET345" s="129"/>
      <c r="EU345" s="129"/>
      <c r="EV345" s="129"/>
      <c r="EW345" s="129"/>
      <c r="EX345" s="129"/>
      <c r="EY345" s="129"/>
      <c r="EZ345" s="129"/>
      <c r="FA345" s="129"/>
      <c r="FB345" s="129"/>
      <c r="FC345" s="129"/>
      <c r="FD345" s="129"/>
      <c r="FE345" s="129"/>
      <c r="FF345" s="129"/>
      <c r="FG345" s="129"/>
      <c r="FH345" s="129"/>
      <c r="FI345" s="129"/>
      <c r="FJ345" s="129"/>
      <c r="FK345" s="129"/>
      <c r="FL345" s="129"/>
      <c r="FM345" s="129"/>
      <c r="FN345" s="129"/>
      <c r="FO345" s="129"/>
      <c r="FP345" s="129"/>
      <c r="FQ345" s="129"/>
      <c r="FR345" s="129"/>
      <c r="FS345" s="129"/>
      <c r="FT345" s="129"/>
      <c r="FU345" s="129"/>
      <c r="FV345" s="129"/>
      <c r="FW345" s="129"/>
      <c r="FX345" s="129"/>
      <c r="FY345" s="129"/>
      <c r="FZ345" s="129"/>
      <c r="GA345" s="129"/>
      <c r="GB345" s="129"/>
      <c r="GC345" s="129"/>
      <c r="GD345" s="129"/>
      <c r="GE345" s="129"/>
      <c r="GF345" s="129"/>
      <c r="GG345" s="129"/>
      <c r="GH345" s="129"/>
      <c r="GI345" s="129"/>
      <c r="GJ345" s="129"/>
      <c r="GK345" s="129"/>
      <c r="GL345" s="129"/>
      <c r="GM345" s="129"/>
      <c r="GN345" s="129"/>
      <c r="GO345" s="129"/>
      <c r="GP345" s="129"/>
      <c r="GQ345" s="129"/>
      <c r="GR345" s="129"/>
      <c r="GS345" s="129"/>
      <c r="GT345" s="129"/>
      <c r="GU345" s="129"/>
      <c r="GV345" s="129"/>
      <c r="GW345" s="129"/>
    </row>
    <row r="346" spans="32:205">
      <c r="AF346" s="2"/>
      <c r="AG346" s="2"/>
      <c r="AH346" s="2"/>
      <c r="AI346" s="2"/>
      <c r="AJ346" s="191">
        <v>3</v>
      </c>
      <c r="AK346" s="191">
        <v>1</v>
      </c>
      <c r="AL346" s="2"/>
      <c r="AM346" s="2">
        <v>4</v>
      </c>
      <c r="AN346" s="2">
        <v>2</v>
      </c>
      <c r="AO346" s="2">
        <v>1</v>
      </c>
      <c r="AP346" s="129">
        <v>1</v>
      </c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  <c r="BE346" s="129"/>
      <c r="BF346" s="129"/>
      <c r="BG346" s="129"/>
      <c r="BH346" s="129"/>
      <c r="BI346" s="129"/>
      <c r="BJ346" s="129"/>
      <c r="BK346" s="129"/>
      <c r="BL346" s="129"/>
      <c r="BM346" s="129"/>
      <c r="BN346" s="129"/>
      <c r="BO346" s="129"/>
      <c r="BP346" s="129"/>
      <c r="BQ346" s="129"/>
      <c r="BR346" s="129"/>
      <c r="BS346" s="129"/>
      <c r="BT346" s="129"/>
      <c r="BU346" s="129"/>
      <c r="BV346" s="129"/>
      <c r="BW346" s="129"/>
      <c r="BX346" s="152"/>
      <c r="BY346" s="129"/>
      <c r="BZ346" s="129"/>
      <c r="CA346" s="129"/>
      <c r="CB346" s="129"/>
      <c r="CC346" s="129"/>
      <c r="CD346" s="129"/>
      <c r="CE346" s="129"/>
      <c r="CF346" s="129"/>
      <c r="CG346" s="129"/>
      <c r="CH346" s="129"/>
      <c r="CI346" s="129"/>
      <c r="CJ346" s="129"/>
      <c r="CK346" s="129"/>
      <c r="CL346" s="129"/>
      <c r="CM346" s="129"/>
      <c r="CN346" s="129"/>
      <c r="CO346" s="129"/>
      <c r="CP346" s="129"/>
      <c r="CQ346" s="129"/>
      <c r="CR346" s="129"/>
      <c r="CS346" s="129"/>
      <c r="CT346" s="129"/>
      <c r="CU346" s="129"/>
      <c r="CV346" s="129"/>
      <c r="CW346" s="129"/>
      <c r="CX346" s="129"/>
      <c r="CY346" s="129"/>
      <c r="CZ346" s="129"/>
      <c r="DA346" s="129"/>
      <c r="DB346" s="129"/>
      <c r="DC346" s="129"/>
      <c r="DD346" s="129"/>
      <c r="DE346" s="129"/>
      <c r="DF346" s="129"/>
      <c r="DG346" s="129"/>
      <c r="DH346" s="129"/>
      <c r="DI346" s="129"/>
      <c r="DJ346" s="129"/>
      <c r="DK346" s="129"/>
      <c r="DL346" s="129"/>
      <c r="DM346" s="129"/>
      <c r="DN346" s="129"/>
      <c r="DO346" s="129"/>
      <c r="DP346" s="129"/>
      <c r="DQ346" s="129"/>
      <c r="DR346" s="129"/>
      <c r="DS346" s="129"/>
      <c r="DT346" s="129"/>
      <c r="DU346" s="129"/>
      <c r="DV346" s="129"/>
      <c r="DW346" s="129"/>
      <c r="DX346" s="129"/>
      <c r="DY346" s="129"/>
      <c r="DZ346" s="129"/>
      <c r="EA346" s="129"/>
      <c r="EB346" s="129"/>
      <c r="EC346" s="129"/>
      <c r="ED346" s="129"/>
      <c r="EE346" s="129"/>
      <c r="EF346" s="129"/>
      <c r="EG346" s="129"/>
      <c r="EH346" s="129"/>
      <c r="EI346" s="129"/>
      <c r="EJ346" s="129"/>
      <c r="EK346" s="129"/>
      <c r="EL346" s="129"/>
      <c r="EM346" s="129"/>
      <c r="EN346" s="129"/>
      <c r="EO346" s="129"/>
      <c r="EP346" s="129"/>
      <c r="EQ346" s="129"/>
      <c r="ER346" s="129"/>
      <c r="ES346" s="129"/>
      <c r="ET346" s="129"/>
      <c r="EU346" s="129"/>
      <c r="EV346" s="129"/>
      <c r="EW346" s="129"/>
      <c r="EX346" s="129"/>
      <c r="EY346" s="129"/>
      <c r="EZ346" s="129"/>
      <c r="FA346" s="129"/>
      <c r="FB346" s="129"/>
      <c r="FC346" s="129"/>
      <c r="FD346" s="129"/>
      <c r="FE346" s="129"/>
      <c r="FF346" s="129"/>
      <c r="FG346" s="129"/>
      <c r="FH346" s="129"/>
      <c r="FI346" s="129"/>
      <c r="FJ346" s="129"/>
      <c r="FK346" s="129"/>
      <c r="FL346" s="129"/>
      <c r="FM346" s="129"/>
      <c r="FN346" s="129"/>
      <c r="FO346" s="129"/>
      <c r="FP346" s="129"/>
      <c r="FQ346" s="129"/>
      <c r="FR346" s="129"/>
      <c r="FS346" s="129"/>
      <c r="FT346" s="129"/>
      <c r="FU346" s="129"/>
      <c r="FV346" s="129"/>
      <c r="FW346" s="129"/>
      <c r="FX346" s="129"/>
      <c r="FY346" s="129"/>
      <c r="FZ346" s="129"/>
      <c r="GA346" s="129"/>
      <c r="GB346" s="129"/>
      <c r="GC346" s="129"/>
      <c r="GD346" s="129"/>
      <c r="GE346" s="129"/>
      <c r="GF346" s="129"/>
      <c r="GG346" s="129"/>
      <c r="GH346" s="129"/>
      <c r="GI346" s="129"/>
      <c r="GJ346" s="129"/>
      <c r="GK346" s="129"/>
      <c r="GL346" s="129"/>
      <c r="GM346" s="129"/>
      <c r="GN346" s="129"/>
      <c r="GO346" s="129"/>
      <c r="GP346" s="129"/>
      <c r="GQ346" s="129"/>
      <c r="GR346" s="129"/>
      <c r="GS346" s="129"/>
      <c r="GT346" s="129"/>
      <c r="GU346" s="129"/>
      <c r="GV346" s="129"/>
      <c r="GW346" s="129"/>
    </row>
    <row r="347" spans="32:205">
      <c r="AF347" s="2"/>
      <c r="AG347" s="2"/>
      <c r="AH347" s="2"/>
      <c r="AI347" s="2"/>
      <c r="AJ347" s="191">
        <v>5</v>
      </c>
      <c r="AK347" s="191">
        <v>0</v>
      </c>
      <c r="AL347" s="2"/>
      <c r="AM347" s="2">
        <v>2</v>
      </c>
      <c r="AN347" s="2">
        <v>1</v>
      </c>
      <c r="AO347" s="2">
        <v>4</v>
      </c>
      <c r="AP347" s="129">
        <v>2</v>
      </c>
      <c r="AQ347" s="129">
        <v>3</v>
      </c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  <c r="BE347" s="129"/>
      <c r="BF347" s="129"/>
      <c r="BG347" s="129"/>
      <c r="BH347" s="129"/>
      <c r="BI347" s="129"/>
      <c r="BJ347" s="129"/>
      <c r="BK347" s="129"/>
      <c r="BL347" s="129"/>
      <c r="BM347" s="129"/>
      <c r="BN347" s="129"/>
      <c r="BO347" s="129"/>
      <c r="BP347" s="129"/>
      <c r="BQ347" s="129"/>
      <c r="BR347" s="129"/>
      <c r="BS347" s="129"/>
      <c r="BT347" s="129"/>
      <c r="BU347" s="129"/>
      <c r="BV347" s="129"/>
      <c r="BW347" s="129"/>
      <c r="BX347" s="152"/>
      <c r="BY347" s="129"/>
      <c r="BZ347" s="129"/>
      <c r="CA347" s="129"/>
      <c r="CB347" s="129"/>
      <c r="CC347" s="129"/>
      <c r="CD347" s="129"/>
      <c r="CE347" s="129"/>
      <c r="CF347" s="129"/>
      <c r="CG347" s="129"/>
      <c r="CH347" s="129"/>
      <c r="CI347" s="129"/>
      <c r="CJ347" s="129"/>
      <c r="CK347" s="129"/>
      <c r="CL347" s="129"/>
      <c r="CM347" s="129"/>
      <c r="CN347" s="129"/>
      <c r="CO347" s="129"/>
      <c r="CP347" s="129"/>
      <c r="CQ347" s="129"/>
      <c r="CR347" s="129"/>
      <c r="CS347" s="129"/>
      <c r="CT347" s="129"/>
      <c r="CU347" s="129"/>
      <c r="CV347" s="129"/>
      <c r="CW347" s="129"/>
      <c r="CX347" s="129"/>
      <c r="CY347" s="129"/>
      <c r="CZ347" s="129"/>
      <c r="DA347" s="129"/>
      <c r="DB347" s="129"/>
      <c r="DC347" s="129"/>
      <c r="DD347" s="129"/>
      <c r="DE347" s="129"/>
      <c r="DF347" s="129"/>
      <c r="DG347" s="129"/>
      <c r="DH347" s="129"/>
      <c r="DI347" s="129"/>
      <c r="DJ347" s="129"/>
      <c r="DK347" s="129"/>
      <c r="DL347" s="129"/>
      <c r="DM347" s="129"/>
      <c r="DN347" s="129"/>
      <c r="DO347" s="129"/>
      <c r="DP347" s="129"/>
      <c r="DQ347" s="129"/>
      <c r="DR347" s="129"/>
      <c r="DS347" s="129"/>
      <c r="DT347" s="129"/>
      <c r="DU347" s="129"/>
      <c r="DV347" s="129"/>
      <c r="DW347" s="129"/>
      <c r="DX347" s="129"/>
      <c r="DY347" s="129"/>
      <c r="DZ347" s="129"/>
      <c r="EA347" s="129"/>
      <c r="EB347" s="129"/>
      <c r="EC347" s="129"/>
      <c r="ED347" s="129"/>
      <c r="EE347" s="129"/>
      <c r="EF347" s="129"/>
      <c r="EG347" s="129"/>
      <c r="EH347" s="129"/>
      <c r="EI347" s="129"/>
      <c r="EJ347" s="129"/>
      <c r="EK347" s="129"/>
      <c r="EL347" s="129"/>
      <c r="EM347" s="129"/>
      <c r="EN347" s="129"/>
      <c r="EO347" s="129"/>
      <c r="EP347" s="129"/>
      <c r="EQ347" s="129"/>
      <c r="ER347" s="129"/>
      <c r="ES347" s="129"/>
      <c r="ET347" s="129"/>
      <c r="EU347" s="129"/>
      <c r="EV347" s="129"/>
      <c r="EW347" s="129"/>
      <c r="EX347" s="129"/>
      <c r="EY347" s="129"/>
      <c r="EZ347" s="129"/>
      <c r="FA347" s="129"/>
      <c r="FB347" s="129"/>
      <c r="FC347" s="129"/>
      <c r="FD347" s="129"/>
      <c r="FE347" s="129"/>
      <c r="FF347" s="129"/>
      <c r="FG347" s="129"/>
      <c r="FH347" s="129"/>
      <c r="FI347" s="129"/>
      <c r="FJ347" s="129"/>
      <c r="FK347" s="129"/>
      <c r="FL347" s="129"/>
      <c r="FM347" s="129"/>
      <c r="FN347" s="129"/>
      <c r="FO347" s="129"/>
      <c r="FP347" s="129"/>
      <c r="FQ347" s="129"/>
      <c r="FR347" s="129"/>
      <c r="FS347" s="129"/>
      <c r="FT347" s="129"/>
      <c r="FU347" s="129"/>
      <c r="FV347" s="129"/>
      <c r="FW347" s="129"/>
      <c r="FX347" s="129"/>
      <c r="FY347" s="129"/>
      <c r="FZ347" s="129"/>
      <c r="GA347" s="129"/>
      <c r="GB347" s="129"/>
      <c r="GC347" s="129"/>
      <c r="GD347" s="129"/>
      <c r="GE347" s="129"/>
      <c r="GF347" s="129"/>
      <c r="GG347" s="129"/>
      <c r="GH347" s="129"/>
      <c r="GI347" s="129"/>
      <c r="GJ347" s="129"/>
      <c r="GK347" s="129"/>
      <c r="GL347" s="129"/>
      <c r="GM347" s="129"/>
      <c r="GN347" s="129"/>
      <c r="GO347" s="129"/>
      <c r="GP347" s="129"/>
      <c r="GQ347" s="129"/>
      <c r="GR347" s="129"/>
      <c r="GS347" s="129"/>
      <c r="GT347" s="129"/>
      <c r="GU347" s="129"/>
      <c r="GV347" s="129"/>
      <c r="GW347" s="129"/>
    </row>
    <row r="348" spans="32:205">
      <c r="AF348" s="2"/>
      <c r="AG348" s="2"/>
      <c r="AH348" s="2"/>
      <c r="AI348" s="2"/>
      <c r="AJ348" s="191">
        <v>3</v>
      </c>
      <c r="AK348" s="191">
        <v>1</v>
      </c>
      <c r="AL348" s="2"/>
      <c r="AM348" s="2">
        <v>1</v>
      </c>
      <c r="AN348" s="2">
        <v>1</v>
      </c>
      <c r="AO348" s="2">
        <v>5</v>
      </c>
      <c r="AP348" s="129">
        <v>3</v>
      </c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  <c r="BE348" s="129"/>
      <c r="BF348" s="129"/>
      <c r="BG348" s="129"/>
      <c r="BH348" s="129"/>
      <c r="BI348" s="129"/>
      <c r="BJ348" s="129"/>
      <c r="BK348" s="129"/>
      <c r="BL348" s="129"/>
      <c r="BM348" s="129"/>
      <c r="BN348" s="129"/>
      <c r="BO348" s="129"/>
      <c r="BP348" s="129"/>
      <c r="BQ348" s="129"/>
      <c r="BR348" s="129"/>
      <c r="BS348" s="129"/>
      <c r="BT348" s="129"/>
      <c r="BU348" s="129"/>
      <c r="BV348" s="129"/>
      <c r="BW348" s="129"/>
      <c r="BX348" s="152"/>
      <c r="BY348" s="129"/>
      <c r="BZ348" s="129"/>
      <c r="CA348" s="129"/>
      <c r="CB348" s="129"/>
      <c r="CC348" s="129"/>
      <c r="CD348" s="129"/>
      <c r="CE348" s="129"/>
      <c r="CF348" s="129"/>
      <c r="CG348" s="129"/>
      <c r="CH348" s="129"/>
      <c r="CI348" s="129"/>
      <c r="CJ348" s="129"/>
      <c r="CK348" s="129"/>
      <c r="CL348" s="129"/>
      <c r="CM348" s="129"/>
      <c r="CN348" s="129"/>
      <c r="CO348" s="129"/>
      <c r="CP348" s="129"/>
      <c r="CQ348" s="129"/>
      <c r="CR348" s="129"/>
      <c r="CS348" s="129"/>
      <c r="CT348" s="129"/>
      <c r="CU348" s="129"/>
      <c r="CV348" s="129"/>
      <c r="CW348" s="129"/>
      <c r="CX348" s="129"/>
      <c r="CY348" s="129"/>
      <c r="CZ348" s="129"/>
      <c r="DA348" s="129"/>
      <c r="DB348" s="129"/>
      <c r="DC348" s="129"/>
      <c r="DD348" s="129"/>
      <c r="DE348" s="129"/>
      <c r="DF348" s="129"/>
      <c r="DG348" s="129"/>
      <c r="DH348" s="129"/>
      <c r="DI348" s="129"/>
      <c r="DJ348" s="129"/>
      <c r="DK348" s="129"/>
      <c r="DL348" s="129"/>
      <c r="DM348" s="129"/>
      <c r="DN348" s="129"/>
      <c r="DO348" s="129"/>
      <c r="DP348" s="129"/>
      <c r="DQ348" s="129"/>
      <c r="DR348" s="129"/>
      <c r="DS348" s="129"/>
      <c r="DT348" s="129"/>
      <c r="DU348" s="129"/>
      <c r="DV348" s="129"/>
      <c r="DW348" s="129"/>
      <c r="DX348" s="129"/>
      <c r="DY348" s="129"/>
      <c r="DZ348" s="129"/>
      <c r="EA348" s="129"/>
      <c r="EB348" s="129"/>
      <c r="EC348" s="129"/>
      <c r="ED348" s="129"/>
      <c r="EE348" s="129"/>
      <c r="EF348" s="129"/>
      <c r="EG348" s="129"/>
      <c r="EH348" s="129"/>
      <c r="EI348" s="129"/>
      <c r="EJ348" s="129"/>
      <c r="EK348" s="129"/>
      <c r="EL348" s="129"/>
      <c r="EM348" s="129"/>
      <c r="EN348" s="129"/>
      <c r="EO348" s="129"/>
      <c r="EP348" s="129"/>
      <c r="EQ348" s="129"/>
      <c r="ER348" s="129"/>
      <c r="ES348" s="129"/>
      <c r="ET348" s="129"/>
      <c r="EU348" s="129"/>
      <c r="EV348" s="129"/>
      <c r="EW348" s="129"/>
      <c r="EX348" s="129"/>
      <c r="EY348" s="129"/>
      <c r="EZ348" s="129"/>
      <c r="FA348" s="129"/>
      <c r="FB348" s="129"/>
      <c r="FC348" s="129"/>
      <c r="FD348" s="129"/>
      <c r="FE348" s="129"/>
      <c r="FF348" s="129"/>
      <c r="FG348" s="129"/>
      <c r="FH348" s="129"/>
      <c r="FI348" s="129"/>
      <c r="FJ348" s="129"/>
      <c r="FK348" s="129"/>
      <c r="FL348" s="129"/>
      <c r="FM348" s="129"/>
      <c r="FN348" s="129"/>
      <c r="FO348" s="129"/>
      <c r="FP348" s="129"/>
      <c r="FQ348" s="129"/>
      <c r="FR348" s="129"/>
      <c r="FS348" s="129"/>
      <c r="FT348" s="129"/>
      <c r="FU348" s="129"/>
      <c r="FV348" s="129"/>
      <c r="FW348" s="129"/>
      <c r="FX348" s="129"/>
      <c r="FY348" s="129"/>
      <c r="FZ348" s="129"/>
      <c r="GA348" s="129"/>
      <c r="GB348" s="129"/>
      <c r="GC348" s="129"/>
      <c r="GD348" s="129"/>
      <c r="GE348" s="129"/>
      <c r="GF348" s="129"/>
      <c r="GG348" s="129"/>
      <c r="GH348" s="129"/>
      <c r="GI348" s="129"/>
      <c r="GJ348" s="129"/>
      <c r="GK348" s="129"/>
      <c r="GL348" s="129"/>
      <c r="GM348" s="129"/>
      <c r="GN348" s="129"/>
      <c r="GO348" s="129"/>
      <c r="GP348" s="129"/>
      <c r="GQ348" s="129"/>
      <c r="GR348" s="129"/>
      <c r="GS348" s="129"/>
      <c r="GT348" s="129"/>
      <c r="GU348" s="129"/>
      <c r="GV348" s="129"/>
      <c r="GW348" s="129"/>
    </row>
    <row r="349" spans="32:205">
      <c r="AF349" s="2"/>
      <c r="AG349" s="2"/>
      <c r="AH349" s="2"/>
      <c r="AI349" s="2"/>
      <c r="AJ349" s="191">
        <v>6</v>
      </c>
      <c r="AK349" s="191">
        <v>0</v>
      </c>
      <c r="AL349" s="2"/>
      <c r="AM349" s="2">
        <v>1</v>
      </c>
      <c r="AN349" s="2">
        <v>2</v>
      </c>
      <c r="AO349" s="2">
        <v>2</v>
      </c>
      <c r="AP349" s="129">
        <v>4</v>
      </c>
      <c r="AQ349" s="129">
        <v>3</v>
      </c>
      <c r="AR349" s="129">
        <v>2</v>
      </c>
      <c r="AS349" s="2"/>
      <c r="AT349" s="2"/>
      <c r="AU349" s="2"/>
      <c r="AV349" s="2"/>
      <c r="AW349" s="2"/>
      <c r="AX349" s="2"/>
      <c r="AY349" s="2"/>
      <c r="AZ349" s="2"/>
      <c r="BA349" s="2"/>
      <c r="BB349" s="2"/>
      <c r="BE349" s="129"/>
      <c r="BF349" s="129"/>
      <c r="BG349" s="129"/>
      <c r="BH349" s="129"/>
      <c r="BI349" s="129"/>
      <c r="BJ349" s="129"/>
      <c r="BK349" s="129"/>
      <c r="BL349" s="129"/>
      <c r="BM349" s="129"/>
      <c r="BN349" s="129"/>
      <c r="BO349" s="129"/>
      <c r="BP349" s="129"/>
      <c r="BQ349" s="129"/>
      <c r="BR349" s="129"/>
      <c r="BS349" s="129"/>
      <c r="BT349" s="129"/>
      <c r="BU349" s="129"/>
      <c r="BV349" s="129"/>
      <c r="BW349" s="129"/>
      <c r="BX349" s="152"/>
      <c r="BY349" s="129"/>
      <c r="BZ349" s="129"/>
      <c r="CA349" s="129"/>
      <c r="CB349" s="129"/>
      <c r="CC349" s="129"/>
      <c r="CD349" s="129"/>
      <c r="CE349" s="129"/>
      <c r="CF349" s="129"/>
      <c r="CG349" s="129"/>
      <c r="CH349" s="129"/>
      <c r="CI349" s="129"/>
      <c r="CJ349" s="129"/>
      <c r="CK349" s="129"/>
      <c r="CL349" s="129"/>
      <c r="CM349" s="129"/>
      <c r="CN349" s="129"/>
      <c r="CO349" s="129"/>
      <c r="CP349" s="129"/>
      <c r="CQ349" s="129"/>
      <c r="CR349" s="129"/>
      <c r="CS349" s="129"/>
      <c r="CT349" s="129"/>
      <c r="CU349" s="129"/>
      <c r="CV349" s="129"/>
      <c r="CW349" s="129"/>
      <c r="CX349" s="129"/>
      <c r="CY349" s="129"/>
      <c r="CZ349" s="129"/>
      <c r="DA349" s="129"/>
      <c r="DB349" s="129"/>
      <c r="DC349" s="129"/>
      <c r="DD349" s="129"/>
      <c r="DE349" s="129"/>
      <c r="DF349" s="129"/>
      <c r="DG349" s="129"/>
      <c r="DH349" s="129"/>
      <c r="DI349" s="129"/>
      <c r="DJ349" s="129"/>
      <c r="DK349" s="129"/>
      <c r="DL349" s="129"/>
      <c r="DM349" s="129"/>
      <c r="DN349" s="129"/>
      <c r="DO349" s="129"/>
      <c r="DP349" s="129"/>
      <c r="DQ349" s="129"/>
      <c r="DR349" s="129"/>
      <c r="DS349" s="129"/>
      <c r="DT349" s="129"/>
      <c r="DU349" s="129"/>
      <c r="DV349" s="129"/>
      <c r="DW349" s="129"/>
      <c r="DX349" s="129"/>
      <c r="DY349" s="129"/>
      <c r="DZ349" s="129"/>
      <c r="EA349" s="129"/>
      <c r="EB349" s="129"/>
      <c r="EC349" s="129"/>
      <c r="ED349" s="129"/>
      <c r="EE349" s="129"/>
      <c r="EF349" s="129"/>
      <c r="EG349" s="129"/>
      <c r="EH349" s="129"/>
      <c r="EI349" s="129"/>
      <c r="EJ349" s="129"/>
      <c r="EK349" s="129"/>
      <c r="EL349" s="129"/>
      <c r="EM349" s="129"/>
      <c r="EN349" s="129"/>
      <c r="EO349" s="129"/>
      <c r="EP349" s="129"/>
      <c r="EQ349" s="129"/>
      <c r="ER349" s="129"/>
      <c r="ES349" s="129"/>
      <c r="ET349" s="129"/>
      <c r="EU349" s="129"/>
      <c r="EV349" s="129"/>
      <c r="EW349" s="129"/>
      <c r="EX349" s="129"/>
      <c r="EY349" s="129"/>
      <c r="EZ349" s="129"/>
      <c r="FA349" s="129"/>
      <c r="FB349" s="129"/>
      <c r="FC349" s="129"/>
      <c r="FD349" s="129"/>
      <c r="FE349" s="129"/>
      <c r="FF349" s="129"/>
      <c r="FG349" s="129"/>
      <c r="FH349" s="129"/>
      <c r="FI349" s="129"/>
      <c r="FJ349" s="129"/>
      <c r="FK349" s="129"/>
      <c r="FL349" s="129"/>
      <c r="FM349" s="129"/>
      <c r="FN349" s="129"/>
      <c r="FO349" s="129"/>
      <c r="FP349" s="129"/>
      <c r="FQ349" s="129"/>
      <c r="FR349" s="129"/>
      <c r="FS349" s="129"/>
      <c r="FT349" s="129"/>
      <c r="FU349" s="129"/>
      <c r="FV349" s="129"/>
      <c r="FW349" s="129"/>
      <c r="FX349" s="129"/>
      <c r="FY349" s="129"/>
      <c r="FZ349" s="129"/>
      <c r="GA349" s="129"/>
      <c r="GB349" s="129"/>
      <c r="GC349" s="129"/>
      <c r="GD349" s="129"/>
      <c r="GE349" s="129"/>
      <c r="GF349" s="129"/>
      <c r="GG349" s="129"/>
      <c r="GH349" s="129"/>
      <c r="GI349" s="129"/>
      <c r="GJ349" s="129"/>
      <c r="GK349" s="129"/>
      <c r="GL349" s="129"/>
      <c r="GM349" s="129"/>
      <c r="GN349" s="129"/>
      <c r="GO349" s="129"/>
      <c r="GP349" s="129"/>
      <c r="GQ349" s="129"/>
      <c r="GR349" s="129"/>
      <c r="GS349" s="129"/>
      <c r="GT349" s="129"/>
      <c r="GU349" s="129"/>
      <c r="GV349" s="129"/>
      <c r="GW349" s="129"/>
    </row>
    <row r="350" spans="32:205"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  <c r="BE350" s="129"/>
      <c r="BF350" s="129"/>
      <c r="BG350" s="129"/>
      <c r="BH350" s="129"/>
      <c r="BI350" s="129"/>
      <c r="BJ350" s="129"/>
      <c r="BK350" s="129"/>
      <c r="BL350" s="129"/>
      <c r="BM350" s="129"/>
      <c r="BN350" s="129"/>
      <c r="BO350" s="129"/>
      <c r="BP350" s="129"/>
      <c r="BQ350" s="129"/>
      <c r="BR350" s="129"/>
      <c r="BS350" s="129"/>
      <c r="BT350" s="129"/>
      <c r="BU350" s="129"/>
      <c r="BV350" s="129"/>
      <c r="BW350" s="129"/>
      <c r="BX350" s="152"/>
      <c r="BY350" s="129"/>
      <c r="BZ350" s="129"/>
      <c r="CA350" s="129"/>
      <c r="CB350" s="129"/>
      <c r="CC350" s="129"/>
      <c r="CD350" s="129"/>
      <c r="CE350" s="129"/>
      <c r="CF350" s="129"/>
      <c r="CG350" s="129"/>
      <c r="CH350" s="129"/>
      <c r="CI350" s="129"/>
      <c r="CJ350" s="129"/>
      <c r="CK350" s="129"/>
      <c r="CL350" s="129"/>
      <c r="CM350" s="129"/>
      <c r="CN350" s="129"/>
      <c r="CO350" s="129"/>
      <c r="CP350" s="129"/>
      <c r="CQ350" s="129"/>
      <c r="CR350" s="129"/>
      <c r="CS350" s="129"/>
      <c r="CT350" s="129"/>
      <c r="CU350" s="129"/>
      <c r="CV350" s="129"/>
      <c r="CW350" s="129"/>
      <c r="CX350" s="129"/>
      <c r="CY350" s="129"/>
      <c r="CZ350" s="129"/>
      <c r="DA350" s="129"/>
      <c r="DB350" s="129"/>
      <c r="DC350" s="129"/>
      <c r="DD350" s="129"/>
      <c r="DE350" s="129"/>
      <c r="DF350" s="129"/>
      <c r="DG350" s="129"/>
      <c r="DH350" s="129"/>
      <c r="DI350" s="129"/>
      <c r="DJ350" s="129"/>
      <c r="DK350" s="129"/>
      <c r="DL350" s="129"/>
      <c r="DM350" s="129"/>
      <c r="DN350" s="129"/>
      <c r="DO350" s="129"/>
      <c r="DP350" s="129"/>
      <c r="DQ350" s="129"/>
      <c r="DR350" s="129"/>
      <c r="DS350" s="129"/>
      <c r="DT350" s="129"/>
      <c r="DU350" s="129"/>
      <c r="DV350" s="129"/>
      <c r="DW350" s="129"/>
      <c r="DX350" s="129"/>
      <c r="DY350" s="129"/>
      <c r="DZ350" s="129"/>
      <c r="EA350" s="129"/>
      <c r="EB350" s="129"/>
      <c r="EC350" s="129"/>
      <c r="ED350" s="129"/>
      <c r="EE350" s="129"/>
      <c r="EF350" s="129"/>
      <c r="EG350" s="129"/>
      <c r="EH350" s="129"/>
      <c r="EI350" s="129"/>
      <c r="EJ350" s="129"/>
      <c r="EK350" s="129"/>
      <c r="EL350" s="129"/>
      <c r="EM350" s="129"/>
      <c r="EN350" s="129"/>
      <c r="EO350" s="129"/>
      <c r="EP350" s="129"/>
      <c r="EQ350" s="129"/>
      <c r="ER350" s="129"/>
      <c r="ES350" s="129"/>
      <c r="ET350" s="129"/>
      <c r="EU350" s="129"/>
      <c r="EV350" s="129"/>
      <c r="EW350" s="129"/>
      <c r="EX350" s="129"/>
      <c r="EY350" s="129"/>
      <c r="EZ350" s="129"/>
      <c r="FA350" s="129"/>
      <c r="FB350" s="129"/>
      <c r="FC350" s="129"/>
      <c r="FD350" s="129"/>
      <c r="FE350" s="129"/>
      <c r="FF350" s="129"/>
      <c r="FG350" s="129"/>
      <c r="FH350" s="129"/>
      <c r="FI350" s="129"/>
      <c r="FJ350" s="129"/>
      <c r="FK350" s="129"/>
      <c r="FL350" s="129"/>
      <c r="FM350" s="129"/>
      <c r="FN350" s="129"/>
      <c r="FO350" s="129"/>
      <c r="FP350" s="129"/>
      <c r="FQ350" s="129"/>
      <c r="FR350" s="129"/>
      <c r="FS350" s="129"/>
      <c r="FT350" s="129"/>
      <c r="FU350" s="129"/>
      <c r="FV350" s="129"/>
      <c r="FW350" s="129"/>
      <c r="FX350" s="129"/>
      <c r="FY350" s="129"/>
      <c r="FZ350" s="129"/>
      <c r="GA350" s="129"/>
      <c r="GB350" s="129"/>
      <c r="GC350" s="129"/>
      <c r="GD350" s="129"/>
      <c r="GE350" s="129"/>
      <c r="GF350" s="129"/>
      <c r="GG350" s="129"/>
      <c r="GH350" s="129"/>
      <c r="GI350" s="129"/>
      <c r="GJ350" s="129"/>
      <c r="GK350" s="129"/>
      <c r="GL350" s="129"/>
      <c r="GM350" s="129"/>
      <c r="GN350" s="129"/>
      <c r="GO350" s="129"/>
      <c r="GP350" s="129"/>
      <c r="GQ350" s="129"/>
      <c r="GR350" s="129"/>
      <c r="GS350" s="129"/>
      <c r="GT350" s="129"/>
      <c r="GU350" s="129"/>
      <c r="GV350" s="129"/>
      <c r="GW350" s="129"/>
    </row>
    <row r="351" spans="32:205"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  <c r="BE351" s="129"/>
      <c r="BF351" s="129"/>
      <c r="BG351" s="129"/>
      <c r="BH351" s="129"/>
      <c r="BI351" s="129"/>
      <c r="BJ351" s="129"/>
      <c r="BK351" s="129"/>
      <c r="BL351" s="129"/>
      <c r="BM351" s="129"/>
      <c r="BN351" s="129"/>
      <c r="BO351" s="129"/>
      <c r="BP351" s="129"/>
      <c r="BQ351" s="129"/>
      <c r="BR351" s="129"/>
      <c r="BS351" s="129"/>
      <c r="BT351" s="129"/>
      <c r="BU351" s="129"/>
      <c r="BV351" s="129"/>
      <c r="BW351" s="129"/>
      <c r="BX351" s="152"/>
      <c r="BY351" s="129"/>
      <c r="BZ351" s="129"/>
      <c r="CA351" s="129"/>
      <c r="CB351" s="129"/>
      <c r="CC351" s="129"/>
      <c r="CD351" s="129"/>
      <c r="CE351" s="129"/>
      <c r="CF351" s="129"/>
      <c r="CG351" s="129"/>
      <c r="CH351" s="129"/>
      <c r="CI351" s="129"/>
      <c r="CJ351" s="129"/>
      <c r="CK351" s="129"/>
      <c r="CL351" s="129"/>
      <c r="CM351" s="129"/>
      <c r="CN351" s="129"/>
      <c r="CO351" s="129"/>
      <c r="CP351" s="129"/>
      <c r="CQ351" s="129"/>
      <c r="CR351" s="129"/>
      <c r="CS351" s="129"/>
      <c r="CT351" s="129"/>
      <c r="CU351" s="129"/>
      <c r="CV351" s="129"/>
      <c r="CW351" s="129"/>
      <c r="CX351" s="129"/>
      <c r="CY351" s="129"/>
      <c r="CZ351" s="129"/>
      <c r="DA351" s="129"/>
      <c r="DB351" s="129"/>
      <c r="DC351" s="129"/>
      <c r="DD351" s="129"/>
      <c r="DE351" s="129"/>
      <c r="DF351" s="129"/>
      <c r="DG351" s="129"/>
      <c r="DH351" s="129"/>
      <c r="DI351" s="129"/>
      <c r="DJ351" s="129"/>
      <c r="DK351" s="129"/>
      <c r="DL351" s="129"/>
      <c r="DM351" s="129"/>
      <c r="DN351" s="129"/>
      <c r="DO351" s="129"/>
      <c r="DP351" s="129"/>
      <c r="DQ351" s="129"/>
      <c r="DR351" s="129"/>
      <c r="DS351" s="129"/>
      <c r="DT351" s="129"/>
      <c r="DU351" s="129"/>
      <c r="DV351" s="129"/>
      <c r="DW351" s="129"/>
      <c r="DX351" s="129"/>
      <c r="DY351" s="129"/>
      <c r="DZ351" s="129"/>
      <c r="EA351" s="129"/>
      <c r="EB351" s="129"/>
      <c r="EC351" s="129"/>
      <c r="ED351" s="129"/>
      <c r="EE351" s="129"/>
      <c r="EF351" s="129"/>
      <c r="EG351" s="129"/>
      <c r="EH351" s="129"/>
      <c r="EI351" s="129"/>
      <c r="EJ351" s="129"/>
      <c r="EK351" s="129"/>
      <c r="EL351" s="129"/>
      <c r="EM351" s="129"/>
      <c r="EN351" s="129"/>
      <c r="EO351" s="129"/>
      <c r="EP351" s="129"/>
      <c r="EQ351" s="129"/>
      <c r="ER351" s="129"/>
      <c r="ES351" s="129"/>
      <c r="ET351" s="129"/>
      <c r="EU351" s="129"/>
      <c r="EV351" s="129"/>
      <c r="EW351" s="129"/>
      <c r="EX351" s="129"/>
      <c r="EY351" s="129"/>
      <c r="EZ351" s="129"/>
      <c r="FA351" s="129"/>
      <c r="FB351" s="129"/>
      <c r="FC351" s="129"/>
      <c r="FD351" s="129"/>
      <c r="FE351" s="129"/>
      <c r="FF351" s="129"/>
      <c r="FG351" s="129"/>
      <c r="FH351" s="129"/>
      <c r="FI351" s="129"/>
      <c r="FJ351" s="129"/>
      <c r="FK351" s="129"/>
      <c r="FL351" s="129"/>
      <c r="FM351" s="129"/>
      <c r="FN351" s="129"/>
      <c r="FO351" s="129"/>
      <c r="FP351" s="129"/>
      <c r="FQ351" s="129"/>
      <c r="FR351" s="129"/>
      <c r="FS351" s="129"/>
      <c r="FT351" s="129"/>
      <c r="FU351" s="129"/>
      <c r="FV351" s="129"/>
      <c r="FW351" s="129"/>
      <c r="FX351" s="129"/>
      <c r="FY351" s="129"/>
      <c r="FZ351" s="129"/>
      <c r="GA351" s="129"/>
      <c r="GB351" s="129"/>
      <c r="GC351" s="129"/>
      <c r="GD351" s="129"/>
      <c r="GE351" s="129"/>
      <c r="GF351" s="129"/>
      <c r="GG351" s="129"/>
      <c r="GH351" s="129"/>
      <c r="GI351" s="129"/>
      <c r="GJ351" s="129"/>
      <c r="GK351" s="129"/>
      <c r="GL351" s="129"/>
      <c r="GM351" s="129"/>
      <c r="GN351" s="129"/>
      <c r="GO351" s="129"/>
      <c r="GP351" s="129"/>
      <c r="GQ351" s="129"/>
      <c r="GR351" s="129"/>
      <c r="GS351" s="129"/>
      <c r="GT351" s="129"/>
      <c r="GU351" s="129"/>
      <c r="GV351" s="129"/>
      <c r="GW351" s="129"/>
    </row>
    <row r="352" spans="32:205"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  <c r="BE352" s="129"/>
      <c r="BF352" s="129"/>
      <c r="BG352" s="129"/>
      <c r="BH352" s="129"/>
      <c r="BI352" s="129"/>
      <c r="BJ352" s="129"/>
      <c r="BK352" s="129"/>
      <c r="BL352" s="129"/>
      <c r="BM352" s="129"/>
      <c r="BN352" s="129"/>
      <c r="BO352" s="129"/>
      <c r="BP352" s="129"/>
      <c r="BQ352" s="129"/>
      <c r="BR352" s="129"/>
      <c r="BS352" s="129"/>
      <c r="BT352" s="129"/>
      <c r="BU352" s="129"/>
      <c r="BV352" s="129"/>
      <c r="BW352" s="129"/>
      <c r="BX352" s="152"/>
      <c r="BY352" s="129"/>
      <c r="BZ352" s="129"/>
      <c r="CA352" s="129"/>
      <c r="CB352" s="129"/>
      <c r="CC352" s="129"/>
      <c r="CD352" s="129"/>
      <c r="CE352" s="129"/>
      <c r="CF352" s="129"/>
      <c r="CG352" s="129"/>
      <c r="CH352" s="129"/>
      <c r="CI352" s="129"/>
      <c r="CJ352" s="129"/>
      <c r="CK352" s="129"/>
      <c r="CL352" s="129"/>
      <c r="CM352" s="129"/>
      <c r="CN352" s="129"/>
      <c r="CO352" s="129"/>
      <c r="CP352" s="129"/>
      <c r="CQ352" s="129"/>
      <c r="CR352" s="129"/>
      <c r="CS352" s="129"/>
      <c r="CT352" s="129"/>
      <c r="CU352" s="129"/>
      <c r="CV352" s="129"/>
      <c r="CW352" s="129"/>
      <c r="CX352" s="129"/>
      <c r="CY352" s="129"/>
      <c r="CZ352" s="129"/>
      <c r="DA352" s="129"/>
      <c r="DB352" s="129"/>
      <c r="DC352" s="129"/>
      <c r="DD352" s="129"/>
      <c r="DE352" s="129"/>
      <c r="DF352" s="129"/>
      <c r="DG352" s="129"/>
      <c r="DH352" s="129"/>
      <c r="DI352" s="129"/>
      <c r="DJ352" s="129"/>
      <c r="DK352" s="129"/>
      <c r="DL352" s="129"/>
      <c r="DM352" s="129"/>
      <c r="DN352" s="129"/>
      <c r="DO352" s="129"/>
      <c r="DP352" s="129"/>
      <c r="DQ352" s="129"/>
      <c r="DR352" s="129"/>
      <c r="DS352" s="129"/>
      <c r="DT352" s="129"/>
      <c r="DU352" s="129"/>
      <c r="DV352" s="129"/>
      <c r="DW352" s="129"/>
      <c r="DX352" s="129"/>
      <c r="DY352" s="129"/>
      <c r="DZ352" s="129"/>
      <c r="EA352" s="129"/>
      <c r="EB352" s="129"/>
      <c r="EC352" s="129"/>
      <c r="ED352" s="129"/>
      <c r="EE352" s="129"/>
      <c r="EF352" s="129"/>
      <c r="EG352" s="129"/>
      <c r="EH352" s="129"/>
      <c r="EI352" s="129"/>
      <c r="EJ352" s="129"/>
      <c r="EK352" s="129"/>
      <c r="EL352" s="129"/>
      <c r="EM352" s="129"/>
      <c r="EN352" s="129"/>
      <c r="EO352" s="129"/>
      <c r="EP352" s="129"/>
      <c r="EQ352" s="129"/>
      <c r="ER352" s="129"/>
      <c r="ES352" s="129"/>
      <c r="ET352" s="129"/>
      <c r="EU352" s="129"/>
      <c r="EV352" s="129"/>
      <c r="EW352" s="129"/>
      <c r="EX352" s="129"/>
      <c r="EY352" s="129"/>
      <c r="EZ352" s="129"/>
      <c r="FA352" s="129"/>
      <c r="FB352" s="129"/>
      <c r="FC352" s="129"/>
      <c r="FD352" s="129"/>
      <c r="FE352" s="129"/>
      <c r="FF352" s="129"/>
      <c r="FG352" s="129"/>
      <c r="FH352" s="129"/>
      <c r="FI352" s="129"/>
      <c r="FJ352" s="129"/>
      <c r="FK352" s="129"/>
      <c r="FL352" s="129"/>
      <c r="FM352" s="129"/>
      <c r="FN352" s="129"/>
      <c r="FO352" s="129"/>
      <c r="FP352" s="129"/>
      <c r="FQ352" s="129"/>
      <c r="FR352" s="129"/>
      <c r="FS352" s="129"/>
      <c r="FT352" s="129"/>
      <c r="FU352" s="129"/>
      <c r="FV352" s="129"/>
      <c r="FW352" s="129"/>
      <c r="FX352" s="129"/>
      <c r="FY352" s="129"/>
      <c r="FZ352" s="129"/>
      <c r="GA352" s="129"/>
      <c r="GB352" s="129"/>
      <c r="GC352" s="129"/>
      <c r="GD352" s="129"/>
      <c r="GE352" s="129"/>
      <c r="GF352" s="129"/>
      <c r="GG352" s="129"/>
      <c r="GH352" s="129"/>
      <c r="GI352" s="129"/>
      <c r="GJ352" s="129"/>
      <c r="GK352" s="129"/>
      <c r="GL352" s="129"/>
      <c r="GM352" s="129"/>
      <c r="GN352" s="129"/>
      <c r="GO352" s="129"/>
      <c r="GP352" s="129"/>
      <c r="GQ352" s="129"/>
      <c r="GR352" s="129"/>
      <c r="GS352" s="129"/>
      <c r="GT352" s="129"/>
      <c r="GU352" s="129"/>
      <c r="GV352" s="129"/>
      <c r="GW352" s="129"/>
    </row>
    <row r="353" spans="32:205"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  <c r="BE353" s="129"/>
      <c r="BF353" s="129"/>
      <c r="BG353" s="129"/>
      <c r="BH353" s="129"/>
      <c r="BI353" s="129"/>
      <c r="BJ353" s="129"/>
      <c r="BK353" s="129"/>
      <c r="BL353" s="129"/>
      <c r="BM353" s="129"/>
      <c r="BN353" s="129"/>
      <c r="BO353" s="129"/>
      <c r="BP353" s="129"/>
      <c r="BQ353" s="129"/>
      <c r="BR353" s="129"/>
      <c r="BS353" s="129"/>
      <c r="BT353" s="129"/>
      <c r="BU353" s="129"/>
      <c r="BV353" s="129"/>
      <c r="BW353" s="129"/>
      <c r="BX353" s="152"/>
      <c r="BY353" s="129"/>
      <c r="BZ353" s="129"/>
      <c r="CA353" s="129"/>
      <c r="CB353" s="129"/>
      <c r="CC353" s="129"/>
      <c r="CD353" s="129"/>
      <c r="CE353" s="129"/>
      <c r="CF353" s="129"/>
      <c r="CG353" s="129"/>
      <c r="CH353" s="129"/>
      <c r="CI353" s="129"/>
      <c r="CJ353" s="129"/>
      <c r="CK353" s="129"/>
      <c r="CL353" s="129"/>
      <c r="CM353" s="129"/>
      <c r="CN353" s="129"/>
      <c r="CO353" s="129"/>
      <c r="CP353" s="129"/>
      <c r="CQ353" s="129"/>
      <c r="CR353" s="129"/>
      <c r="CS353" s="129"/>
      <c r="CT353" s="129"/>
      <c r="CU353" s="129"/>
      <c r="CV353" s="129"/>
      <c r="CW353" s="129"/>
      <c r="CX353" s="129"/>
      <c r="CY353" s="129"/>
      <c r="CZ353" s="129"/>
      <c r="DA353" s="129"/>
      <c r="DB353" s="129"/>
      <c r="DC353" s="129"/>
      <c r="DD353" s="129"/>
      <c r="DE353" s="129"/>
      <c r="DF353" s="129"/>
      <c r="DG353" s="129"/>
      <c r="DH353" s="129"/>
      <c r="DI353" s="129"/>
      <c r="DJ353" s="129"/>
      <c r="DK353" s="129"/>
      <c r="DL353" s="129"/>
      <c r="DM353" s="129"/>
      <c r="DN353" s="129"/>
      <c r="DO353" s="129"/>
      <c r="DP353" s="129"/>
      <c r="DQ353" s="129"/>
      <c r="DR353" s="129"/>
      <c r="DS353" s="129"/>
      <c r="DT353" s="129"/>
      <c r="DU353" s="129"/>
      <c r="DV353" s="129"/>
      <c r="DW353" s="129"/>
      <c r="DX353" s="129"/>
      <c r="DY353" s="129"/>
      <c r="DZ353" s="129"/>
      <c r="EA353" s="129"/>
      <c r="EB353" s="129"/>
      <c r="EC353" s="129"/>
      <c r="ED353" s="129"/>
      <c r="EE353" s="129"/>
      <c r="EF353" s="129"/>
      <c r="EG353" s="129"/>
      <c r="EH353" s="129"/>
      <c r="EI353" s="129"/>
      <c r="EJ353" s="129"/>
      <c r="EK353" s="129"/>
      <c r="EL353" s="129"/>
      <c r="EM353" s="129"/>
      <c r="EN353" s="129"/>
      <c r="EO353" s="129"/>
      <c r="EP353" s="129"/>
      <c r="EQ353" s="129"/>
      <c r="ER353" s="129"/>
      <c r="ES353" s="129"/>
      <c r="ET353" s="129"/>
      <c r="EU353" s="129"/>
      <c r="EV353" s="129"/>
      <c r="EW353" s="129"/>
      <c r="EX353" s="129"/>
      <c r="EY353" s="129"/>
      <c r="EZ353" s="129"/>
      <c r="FA353" s="129"/>
      <c r="FB353" s="129"/>
      <c r="FC353" s="129"/>
      <c r="FD353" s="129"/>
      <c r="FE353" s="129"/>
      <c r="FF353" s="129"/>
      <c r="FG353" s="129"/>
      <c r="FH353" s="129"/>
      <c r="FI353" s="129"/>
      <c r="FJ353" s="129"/>
      <c r="FK353" s="129"/>
      <c r="FL353" s="129"/>
      <c r="FM353" s="129"/>
      <c r="FN353" s="129"/>
      <c r="FO353" s="129"/>
      <c r="FP353" s="129"/>
      <c r="FQ353" s="129"/>
      <c r="FR353" s="129"/>
      <c r="FS353" s="129"/>
      <c r="FT353" s="129"/>
      <c r="FU353" s="129"/>
      <c r="FV353" s="129"/>
      <c r="FW353" s="129"/>
      <c r="FX353" s="129"/>
      <c r="FY353" s="129"/>
      <c r="FZ353" s="129"/>
      <c r="GA353" s="129"/>
      <c r="GB353" s="129"/>
      <c r="GC353" s="129"/>
      <c r="GD353" s="129"/>
      <c r="GE353" s="129"/>
      <c r="GF353" s="129"/>
      <c r="GG353" s="129"/>
      <c r="GH353" s="129"/>
      <c r="GI353" s="129"/>
      <c r="GJ353" s="129"/>
      <c r="GK353" s="129"/>
      <c r="GL353" s="129"/>
      <c r="GM353" s="129"/>
      <c r="GN353" s="129"/>
      <c r="GO353" s="129"/>
      <c r="GP353" s="129"/>
      <c r="GQ353" s="129"/>
      <c r="GR353" s="129"/>
      <c r="GS353" s="129"/>
      <c r="GT353" s="129"/>
      <c r="GU353" s="129"/>
      <c r="GV353" s="129"/>
      <c r="GW353" s="129"/>
    </row>
    <row r="354" spans="32:205"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  <c r="BE354" s="129"/>
      <c r="BF354" s="129"/>
      <c r="BG354" s="129"/>
      <c r="BH354" s="129"/>
      <c r="BI354" s="129"/>
      <c r="BJ354" s="129"/>
      <c r="BK354" s="129"/>
      <c r="BL354" s="129"/>
      <c r="BM354" s="129"/>
      <c r="BN354" s="129"/>
      <c r="BO354" s="129"/>
      <c r="BP354" s="129"/>
      <c r="BQ354" s="129"/>
      <c r="BR354" s="129"/>
      <c r="BS354" s="129"/>
      <c r="BT354" s="129"/>
      <c r="BU354" s="129"/>
      <c r="BV354" s="129"/>
      <c r="BW354" s="129"/>
      <c r="BX354" s="152"/>
      <c r="BZ354" s="129"/>
      <c r="CA354" s="129"/>
      <c r="CB354" s="129"/>
      <c r="CC354" s="129"/>
      <c r="CD354" s="129"/>
      <c r="CE354" s="129"/>
      <c r="CF354" s="129"/>
      <c r="CG354" s="129"/>
      <c r="CH354" s="129"/>
      <c r="CI354" s="129"/>
      <c r="CJ354" s="129"/>
      <c r="CK354" s="129"/>
      <c r="CL354" s="129"/>
      <c r="CM354" s="129"/>
      <c r="CN354" s="129"/>
      <c r="CO354" s="129"/>
      <c r="CP354" s="129"/>
      <c r="CQ354" s="129"/>
      <c r="CR354" s="129"/>
      <c r="CS354" s="129"/>
      <c r="CT354" s="129"/>
      <c r="CU354" s="129"/>
      <c r="CV354" s="129"/>
      <c r="CW354" s="129"/>
      <c r="CX354" s="129"/>
      <c r="CY354" s="129"/>
      <c r="CZ354" s="129"/>
      <c r="DA354" s="129"/>
      <c r="DB354" s="129"/>
      <c r="DC354" s="129"/>
      <c r="DD354" s="129"/>
      <c r="DE354" s="129"/>
      <c r="DF354" s="129"/>
      <c r="DG354" s="129"/>
      <c r="DH354" s="129"/>
      <c r="DI354" s="129"/>
      <c r="DJ354" s="129"/>
      <c r="DK354" s="129"/>
      <c r="DL354" s="129"/>
      <c r="DM354" s="129"/>
      <c r="DN354" s="129"/>
      <c r="DO354" s="129"/>
      <c r="DP354" s="129"/>
      <c r="DQ354" s="129"/>
      <c r="DR354" s="129"/>
      <c r="DS354" s="129"/>
      <c r="DT354" s="129"/>
      <c r="DU354" s="129"/>
      <c r="DV354" s="129"/>
      <c r="DW354" s="129"/>
      <c r="DX354" s="129"/>
      <c r="DY354" s="129"/>
      <c r="DZ354" s="129"/>
      <c r="EA354" s="129"/>
      <c r="EB354" s="129"/>
      <c r="EC354" s="129"/>
      <c r="ED354" s="129"/>
      <c r="EE354" s="129"/>
      <c r="EF354" s="129"/>
      <c r="EG354" s="129"/>
      <c r="EH354" s="129"/>
      <c r="EI354" s="129"/>
      <c r="EJ354" s="129"/>
      <c r="EK354" s="129"/>
      <c r="EL354" s="129"/>
      <c r="EM354" s="129"/>
      <c r="EN354" s="129"/>
      <c r="EO354" s="129"/>
      <c r="EP354" s="129"/>
      <c r="EQ354" s="129"/>
      <c r="ER354" s="129"/>
      <c r="ES354" s="129"/>
      <c r="ET354" s="129"/>
      <c r="EU354" s="129"/>
      <c r="EV354" s="129"/>
      <c r="EW354" s="129"/>
      <c r="EX354" s="129"/>
      <c r="EY354" s="129"/>
      <c r="EZ354" s="129"/>
      <c r="FA354" s="129"/>
      <c r="FB354" s="129"/>
      <c r="FC354" s="129"/>
      <c r="FD354" s="129"/>
      <c r="FE354" s="129"/>
      <c r="FF354" s="129"/>
      <c r="FG354" s="129"/>
      <c r="FH354" s="129"/>
      <c r="FI354" s="129"/>
      <c r="FJ354" s="129"/>
      <c r="FK354" s="129"/>
      <c r="FL354" s="129"/>
      <c r="FM354" s="129"/>
      <c r="FN354" s="129"/>
      <c r="FO354" s="129"/>
      <c r="FP354" s="129"/>
      <c r="FQ354" s="129"/>
      <c r="FR354" s="129"/>
      <c r="FS354" s="129"/>
      <c r="FT354" s="129"/>
      <c r="FU354" s="129"/>
      <c r="FV354" s="129"/>
      <c r="FW354" s="129"/>
      <c r="FX354" s="129"/>
      <c r="FY354" s="129"/>
      <c r="FZ354" s="129"/>
      <c r="GA354" s="129"/>
      <c r="GB354" s="129"/>
      <c r="GC354" s="129"/>
      <c r="GD354" s="129"/>
      <c r="GE354" s="129"/>
      <c r="GF354" s="129"/>
      <c r="GG354" s="129"/>
      <c r="GH354" s="129"/>
      <c r="GI354" s="129"/>
      <c r="GJ354" s="129"/>
      <c r="GK354" s="129"/>
      <c r="GL354" s="129"/>
      <c r="GM354" s="129"/>
      <c r="GN354" s="129"/>
      <c r="GO354" s="129"/>
      <c r="GP354" s="129"/>
      <c r="GQ354" s="129"/>
      <c r="GR354" s="129"/>
      <c r="GS354" s="129"/>
      <c r="GT354" s="129"/>
      <c r="GU354" s="129"/>
      <c r="GV354" s="129"/>
      <c r="GW354" s="129"/>
    </row>
    <row r="355" spans="32:205"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  <c r="BE355" s="129"/>
      <c r="BF355" s="129"/>
      <c r="BG355" s="129"/>
      <c r="BH355" s="129"/>
      <c r="BI355" s="129"/>
      <c r="BJ355" s="129"/>
      <c r="BK355" s="129"/>
      <c r="BL355" s="129"/>
      <c r="BM355" s="129"/>
      <c r="BN355" s="129"/>
      <c r="BO355" s="129"/>
      <c r="BP355" s="129"/>
      <c r="BQ355" s="129"/>
      <c r="BR355" s="129"/>
      <c r="BS355" s="129"/>
      <c r="BT355" s="129"/>
      <c r="BU355" s="129"/>
      <c r="BV355" s="129"/>
      <c r="BW355" s="129"/>
      <c r="BX355" s="152"/>
      <c r="BZ355" s="129"/>
      <c r="CA355" s="129"/>
      <c r="CB355" s="129"/>
      <c r="CC355" s="129"/>
      <c r="CD355" s="129"/>
      <c r="CE355" s="129"/>
      <c r="CF355" s="129"/>
      <c r="CG355" s="129"/>
      <c r="CH355" s="129"/>
      <c r="CI355" s="129"/>
      <c r="CJ355" s="129"/>
      <c r="CK355" s="129"/>
      <c r="CL355" s="129"/>
      <c r="CM355" s="129"/>
      <c r="CN355" s="129"/>
      <c r="CO355" s="129"/>
      <c r="CP355" s="129"/>
      <c r="CQ355" s="129"/>
      <c r="CR355" s="129"/>
      <c r="CS355" s="129"/>
      <c r="CT355" s="129"/>
      <c r="CU355" s="129"/>
      <c r="CV355" s="129"/>
      <c r="CW355" s="129"/>
      <c r="CX355" s="129"/>
      <c r="CY355" s="129"/>
      <c r="CZ355" s="129"/>
      <c r="DA355" s="129"/>
      <c r="DB355" s="129"/>
      <c r="DC355" s="129"/>
      <c r="DD355" s="129"/>
      <c r="DE355" s="129"/>
      <c r="DF355" s="129"/>
      <c r="DG355" s="129"/>
      <c r="DH355" s="129"/>
      <c r="DI355" s="129"/>
      <c r="DJ355" s="129"/>
      <c r="DK355" s="129"/>
      <c r="DL355" s="129"/>
      <c r="DM355" s="129"/>
      <c r="DN355" s="129"/>
      <c r="DO355" s="129"/>
      <c r="DP355" s="129"/>
      <c r="DQ355" s="129"/>
      <c r="DR355" s="129"/>
      <c r="DS355" s="129"/>
      <c r="DT355" s="129"/>
      <c r="DU355" s="129"/>
      <c r="DV355" s="129"/>
      <c r="DW355" s="129"/>
      <c r="DX355" s="129"/>
      <c r="DY355" s="129"/>
      <c r="DZ355" s="129"/>
      <c r="EA355" s="129"/>
      <c r="EB355" s="129"/>
      <c r="EC355" s="129"/>
      <c r="ED355" s="129"/>
      <c r="EE355" s="129"/>
      <c r="EF355" s="129"/>
      <c r="EG355" s="129"/>
      <c r="EH355" s="129"/>
      <c r="EI355" s="129"/>
      <c r="EJ355" s="129"/>
      <c r="EK355" s="129"/>
      <c r="EL355" s="129"/>
      <c r="EM355" s="129"/>
      <c r="EN355" s="129"/>
      <c r="EO355" s="129"/>
      <c r="EP355" s="129"/>
      <c r="EQ355" s="129"/>
      <c r="ER355" s="129"/>
      <c r="ES355" s="129"/>
      <c r="ET355" s="129"/>
      <c r="EU355" s="129"/>
      <c r="EV355" s="129"/>
      <c r="EW355" s="129"/>
      <c r="EX355" s="129"/>
      <c r="EY355" s="129"/>
      <c r="EZ355" s="129"/>
      <c r="FA355" s="129"/>
      <c r="FB355" s="129"/>
      <c r="FC355" s="129"/>
      <c r="FD355" s="129"/>
      <c r="FE355" s="129"/>
      <c r="FF355" s="129"/>
      <c r="FG355" s="129"/>
      <c r="FH355" s="129"/>
      <c r="FI355" s="129"/>
      <c r="FJ355" s="129"/>
      <c r="FK355" s="129"/>
      <c r="FL355" s="129"/>
      <c r="FM355" s="129"/>
      <c r="FN355" s="129"/>
      <c r="FO355" s="129"/>
      <c r="FP355" s="129"/>
      <c r="FQ355" s="129"/>
      <c r="FR355" s="129"/>
      <c r="FS355" s="129"/>
      <c r="FT355" s="129"/>
      <c r="FU355" s="129"/>
      <c r="FV355" s="129"/>
      <c r="FW355" s="129"/>
      <c r="FX355" s="129"/>
      <c r="FY355" s="129"/>
      <c r="FZ355" s="129"/>
      <c r="GA355" s="129"/>
      <c r="GB355" s="129"/>
      <c r="GC355" s="129"/>
      <c r="GD355" s="129"/>
      <c r="GE355" s="129"/>
      <c r="GF355" s="129"/>
      <c r="GG355" s="129"/>
      <c r="GH355" s="129"/>
      <c r="GI355" s="129"/>
      <c r="GJ355" s="129"/>
      <c r="GK355" s="129"/>
      <c r="GL355" s="129"/>
      <c r="GM355" s="129"/>
      <c r="GN355" s="129"/>
      <c r="GO355" s="129"/>
      <c r="GP355" s="129"/>
      <c r="GQ355" s="129"/>
      <c r="GR355" s="129"/>
      <c r="GS355" s="129"/>
      <c r="GT355" s="129"/>
      <c r="GU355" s="129"/>
      <c r="GV355" s="129"/>
      <c r="GW355" s="129"/>
    </row>
    <row r="356" spans="32:205"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  <c r="BE356" s="129"/>
      <c r="BF356" s="129"/>
      <c r="BG356" s="129"/>
      <c r="BH356" s="129"/>
      <c r="BI356" s="129"/>
      <c r="BJ356" s="129"/>
      <c r="BK356" s="129"/>
      <c r="BL356" s="129"/>
      <c r="BM356" s="129"/>
      <c r="BN356" s="129"/>
      <c r="BO356" s="129"/>
      <c r="BP356" s="129"/>
      <c r="BQ356" s="129"/>
      <c r="BR356" s="129"/>
      <c r="BS356" s="129"/>
      <c r="BT356" s="129"/>
      <c r="BU356" s="129"/>
      <c r="BV356" s="129"/>
      <c r="BW356" s="129"/>
      <c r="BX356" s="152"/>
      <c r="BZ356" s="129"/>
      <c r="CA356" s="129"/>
      <c r="CB356" s="129"/>
      <c r="CC356" s="129"/>
      <c r="CD356" s="129"/>
      <c r="CE356" s="129"/>
      <c r="CF356" s="129"/>
      <c r="CG356" s="129"/>
      <c r="CH356" s="129"/>
      <c r="CI356" s="129"/>
      <c r="CJ356" s="129"/>
      <c r="CK356" s="129"/>
      <c r="CL356" s="129"/>
      <c r="CM356" s="129"/>
      <c r="CN356" s="129"/>
      <c r="CO356" s="129"/>
      <c r="CP356" s="129"/>
      <c r="CQ356" s="129"/>
      <c r="CR356" s="129"/>
      <c r="CS356" s="129"/>
      <c r="CT356" s="129"/>
      <c r="CU356" s="129"/>
      <c r="CV356" s="129"/>
      <c r="CW356" s="129"/>
      <c r="CX356" s="129"/>
      <c r="CY356" s="129"/>
      <c r="CZ356" s="129"/>
      <c r="DA356" s="129"/>
      <c r="DB356" s="129"/>
      <c r="DC356" s="129"/>
      <c r="DD356" s="129"/>
      <c r="DE356" s="129"/>
      <c r="DF356" s="129"/>
      <c r="DG356" s="129"/>
      <c r="DH356" s="129"/>
      <c r="DI356" s="129"/>
      <c r="DJ356" s="129"/>
      <c r="DK356" s="129"/>
      <c r="DL356" s="129"/>
      <c r="DM356" s="129"/>
      <c r="DN356" s="129"/>
      <c r="DO356" s="129"/>
      <c r="DP356" s="129"/>
      <c r="DQ356" s="129"/>
      <c r="DR356" s="129"/>
      <c r="DS356" s="129"/>
      <c r="DT356" s="129"/>
      <c r="DU356" s="129"/>
      <c r="DV356" s="129"/>
      <c r="DW356" s="129"/>
      <c r="DX356" s="129"/>
      <c r="DY356" s="129"/>
      <c r="DZ356" s="129"/>
      <c r="EA356" s="129"/>
      <c r="EB356" s="129"/>
      <c r="EC356" s="129"/>
      <c r="ED356" s="129"/>
      <c r="EE356" s="129"/>
      <c r="EF356" s="129"/>
      <c r="EG356" s="129"/>
      <c r="EH356" s="129"/>
      <c r="EI356" s="129"/>
      <c r="EJ356" s="129"/>
      <c r="EK356" s="129"/>
      <c r="EL356" s="129"/>
      <c r="EM356" s="129"/>
      <c r="EN356" s="129"/>
      <c r="EO356" s="129"/>
      <c r="EP356" s="129"/>
      <c r="EQ356" s="129"/>
      <c r="ER356" s="129"/>
      <c r="ES356" s="129"/>
      <c r="ET356" s="129"/>
      <c r="EU356" s="129"/>
      <c r="EV356" s="129"/>
      <c r="EW356" s="129"/>
      <c r="EX356" s="129"/>
      <c r="EY356" s="129"/>
      <c r="EZ356" s="129"/>
      <c r="FA356" s="129"/>
      <c r="FB356" s="129"/>
      <c r="FC356" s="129"/>
      <c r="FD356" s="129"/>
      <c r="FE356" s="129"/>
      <c r="FF356" s="129"/>
      <c r="FG356" s="129"/>
      <c r="FH356" s="129"/>
      <c r="FI356" s="129"/>
      <c r="FJ356" s="129"/>
      <c r="FK356" s="129"/>
      <c r="FL356" s="129"/>
      <c r="FM356" s="129"/>
      <c r="FN356" s="129"/>
      <c r="FO356" s="129"/>
      <c r="FP356" s="129"/>
      <c r="FQ356" s="129"/>
      <c r="FR356" s="129"/>
      <c r="FS356" s="129"/>
      <c r="FT356" s="129"/>
      <c r="FU356" s="129"/>
      <c r="FV356" s="129"/>
      <c r="FW356" s="129"/>
      <c r="FX356" s="129"/>
      <c r="FY356" s="129"/>
      <c r="FZ356" s="129"/>
      <c r="GA356" s="129"/>
      <c r="GB356" s="129"/>
      <c r="GC356" s="129"/>
      <c r="GD356" s="129"/>
      <c r="GE356" s="129"/>
      <c r="GF356" s="129"/>
      <c r="GG356" s="129"/>
      <c r="GH356" s="129"/>
      <c r="GI356" s="129"/>
      <c r="GJ356" s="129"/>
      <c r="GK356" s="129"/>
      <c r="GL356" s="129"/>
      <c r="GM356" s="129"/>
      <c r="GN356" s="129"/>
      <c r="GO356" s="129"/>
      <c r="GP356" s="129"/>
      <c r="GQ356" s="129"/>
      <c r="GR356" s="129"/>
      <c r="GS356" s="129"/>
      <c r="GT356" s="129"/>
      <c r="GU356" s="129"/>
      <c r="GV356" s="129"/>
      <c r="GW356" s="129"/>
    </row>
    <row r="357" spans="32:205"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  <c r="BE357" s="129"/>
      <c r="BF357" s="129"/>
      <c r="BG357" s="129"/>
      <c r="BH357" s="129"/>
      <c r="BI357" s="129"/>
      <c r="BJ357" s="129"/>
      <c r="BK357" s="129"/>
      <c r="BL357" s="129"/>
      <c r="BM357" s="129"/>
      <c r="BN357" s="129"/>
      <c r="BO357" s="129"/>
      <c r="BP357" s="129"/>
      <c r="BQ357" s="129"/>
      <c r="BR357" s="129"/>
      <c r="BS357" s="129"/>
      <c r="BT357" s="129"/>
      <c r="BU357" s="129"/>
      <c r="BV357" s="129"/>
      <c r="BW357" s="129"/>
      <c r="BX357" s="152"/>
      <c r="BZ357" s="129"/>
      <c r="CA357" s="129"/>
      <c r="CB357" s="129"/>
      <c r="CC357" s="129"/>
      <c r="CD357" s="129"/>
      <c r="CE357" s="129"/>
      <c r="CF357" s="129"/>
      <c r="CG357" s="129"/>
      <c r="CH357" s="129"/>
      <c r="CI357" s="129"/>
      <c r="CJ357" s="129"/>
      <c r="CK357" s="129"/>
      <c r="CL357" s="129"/>
      <c r="CM357" s="129"/>
      <c r="CN357" s="129"/>
      <c r="CO357" s="129"/>
      <c r="CP357" s="129"/>
      <c r="CQ357" s="129"/>
      <c r="CR357" s="129"/>
      <c r="CS357" s="129"/>
      <c r="CT357" s="129"/>
      <c r="CU357" s="129"/>
      <c r="CV357" s="129"/>
      <c r="CW357" s="129"/>
      <c r="CX357" s="129"/>
      <c r="CY357" s="129"/>
      <c r="CZ357" s="129"/>
      <c r="DA357" s="129"/>
      <c r="DB357" s="129"/>
      <c r="DC357" s="129"/>
      <c r="DD357" s="129"/>
      <c r="DE357" s="129"/>
      <c r="DF357" s="129"/>
      <c r="DG357" s="129"/>
      <c r="DH357" s="129"/>
      <c r="DI357" s="129"/>
      <c r="DJ357" s="129"/>
      <c r="DK357" s="129"/>
      <c r="DL357" s="129"/>
      <c r="DM357" s="129"/>
      <c r="DN357" s="129"/>
      <c r="DO357" s="129"/>
      <c r="DP357" s="129"/>
      <c r="DQ357" s="129"/>
      <c r="DR357" s="129"/>
      <c r="DS357" s="129"/>
      <c r="DT357" s="129"/>
      <c r="DU357" s="129"/>
      <c r="DV357" s="129"/>
      <c r="DW357" s="129"/>
      <c r="DX357" s="129"/>
      <c r="DY357" s="129"/>
      <c r="DZ357" s="129"/>
      <c r="EA357" s="129"/>
      <c r="EB357" s="129"/>
      <c r="EC357" s="129"/>
      <c r="ED357" s="129"/>
      <c r="EE357" s="129"/>
      <c r="EF357" s="129"/>
      <c r="EG357" s="129"/>
      <c r="EH357" s="129"/>
      <c r="EI357" s="129"/>
      <c r="EJ357" s="129"/>
      <c r="EK357" s="129"/>
      <c r="EL357" s="129"/>
      <c r="EM357" s="129"/>
      <c r="EN357" s="129"/>
      <c r="EO357" s="129"/>
      <c r="EP357" s="129"/>
      <c r="EQ357" s="129"/>
      <c r="ER357" s="129"/>
      <c r="ES357" s="129"/>
      <c r="ET357" s="129"/>
      <c r="EU357" s="129"/>
      <c r="EV357" s="129"/>
      <c r="EW357" s="129"/>
      <c r="EX357" s="129"/>
      <c r="EY357" s="129"/>
      <c r="EZ357" s="129"/>
      <c r="FA357" s="129"/>
      <c r="FB357" s="129"/>
      <c r="FC357" s="129"/>
      <c r="FD357" s="129"/>
      <c r="FE357" s="129"/>
      <c r="FF357" s="129"/>
      <c r="FG357" s="129"/>
      <c r="FH357" s="129"/>
      <c r="FI357" s="129"/>
      <c r="FJ357" s="129"/>
      <c r="FK357" s="129"/>
      <c r="FL357" s="129"/>
      <c r="FM357" s="129"/>
      <c r="FN357" s="129"/>
      <c r="FO357" s="129"/>
      <c r="FP357" s="129"/>
      <c r="FQ357" s="129"/>
      <c r="FR357" s="129"/>
      <c r="FS357" s="129"/>
      <c r="FT357" s="129"/>
      <c r="FU357" s="129"/>
      <c r="FV357" s="129"/>
      <c r="FW357" s="129"/>
      <c r="FX357" s="129"/>
      <c r="FY357" s="129"/>
      <c r="FZ357" s="129"/>
      <c r="GA357" s="129"/>
      <c r="GB357" s="129"/>
      <c r="GC357" s="129"/>
      <c r="GD357" s="129"/>
      <c r="GE357" s="129"/>
      <c r="GF357" s="129"/>
      <c r="GG357" s="129"/>
      <c r="GH357" s="129"/>
      <c r="GI357" s="129"/>
      <c r="GJ357" s="129"/>
      <c r="GK357" s="129"/>
      <c r="GL357" s="129"/>
      <c r="GM357" s="129"/>
      <c r="GN357" s="129"/>
      <c r="GO357" s="129"/>
      <c r="GP357" s="129"/>
      <c r="GQ357" s="129"/>
      <c r="GR357" s="129"/>
      <c r="GS357" s="129"/>
      <c r="GT357" s="129"/>
      <c r="GU357" s="129"/>
      <c r="GV357" s="129"/>
      <c r="GW357" s="129"/>
    </row>
    <row r="358" spans="32:205"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  <c r="BE358" s="129"/>
      <c r="BF358" s="129"/>
      <c r="BG358" s="129"/>
      <c r="BH358" s="129"/>
      <c r="BI358" s="129"/>
      <c r="BJ358" s="129"/>
      <c r="BK358" s="129"/>
      <c r="BL358" s="129"/>
      <c r="BM358" s="129"/>
      <c r="BN358" s="129"/>
      <c r="BO358" s="129"/>
      <c r="BP358" s="129"/>
      <c r="BQ358" s="129"/>
      <c r="BR358" s="129"/>
      <c r="BS358" s="129"/>
      <c r="BT358" s="129"/>
      <c r="BU358" s="129"/>
      <c r="BV358" s="129"/>
      <c r="BW358" s="129"/>
      <c r="BX358" s="152"/>
      <c r="BZ358" s="129"/>
      <c r="CA358" s="129"/>
      <c r="CB358" s="129"/>
      <c r="CC358" s="129"/>
      <c r="CD358" s="129"/>
      <c r="CE358" s="129"/>
      <c r="CF358" s="129"/>
      <c r="CG358" s="129"/>
      <c r="CH358" s="129"/>
      <c r="CI358" s="129"/>
      <c r="CJ358" s="129"/>
      <c r="CK358" s="129"/>
      <c r="CL358" s="129"/>
      <c r="CM358" s="129"/>
      <c r="CN358" s="129"/>
      <c r="CO358" s="129"/>
      <c r="CP358" s="129"/>
      <c r="CQ358" s="129"/>
      <c r="CR358" s="129"/>
      <c r="CS358" s="129"/>
      <c r="CT358" s="129"/>
      <c r="CU358" s="129"/>
      <c r="CV358" s="129"/>
      <c r="CW358" s="129"/>
      <c r="CX358" s="129"/>
      <c r="CY358" s="129"/>
      <c r="CZ358" s="129"/>
      <c r="DA358" s="129"/>
      <c r="DB358" s="129"/>
      <c r="DC358" s="129"/>
      <c r="DD358" s="129"/>
      <c r="DE358" s="129"/>
      <c r="DF358" s="129"/>
      <c r="DG358" s="129"/>
      <c r="DH358" s="129"/>
      <c r="DI358" s="129"/>
      <c r="DJ358" s="129"/>
      <c r="DK358" s="129"/>
      <c r="DL358" s="129"/>
      <c r="DM358" s="129"/>
      <c r="DN358" s="129"/>
      <c r="DO358" s="129"/>
      <c r="DP358" s="129"/>
      <c r="DQ358" s="129"/>
      <c r="DR358" s="129"/>
      <c r="DS358" s="129"/>
      <c r="DT358" s="129"/>
      <c r="DU358" s="129"/>
      <c r="DV358" s="129"/>
      <c r="DW358" s="129"/>
      <c r="DX358" s="129"/>
      <c r="DY358" s="129"/>
      <c r="DZ358" s="129"/>
      <c r="EA358" s="129"/>
      <c r="EB358" s="129"/>
      <c r="EC358" s="129"/>
      <c r="ED358" s="129"/>
      <c r="EE358" s="129"/>
      <c r="EF358" s="129"/>
      <c r="EG358" s="129"/>
      <c r="EH358" s="129"/>
      <c r="EI358" s="129"/>
      <c r="EJ358" s="129"/>
      <c r="EK358" s="129"/>
      <c r="EL358" s="129"/>
      <c r="EM358" s="129"/>
      <c r="EN358" s="129"/>
      <c r="EO358" s="129"/>
      <c r="EP358" s="129"/>
      <c r="EQ358" s="129"/>
      <c r="ER358" s="129"/>
      <c r="ES358" s="129"/>
      <c r="ET358" s="129"/>
      <c r="EU358" s="129"/>
      <c r="EV358" s="129"/>
      <c r="EW358" s="129"/>
      <c r="EX358" s="129"/>
      <c r="EY358" s="129"/>
      <c r="EZ358" s="129"/>
      <c r="FA358" s="129"/>
      <c r="FB358" s="129"/>
      <c r="FC358" s="129"/>
      <c r="FD358" s="129"/>
      <c r="FE358" s="129"/>
      <c r="FF358" s="129"/>
      <c r="FG358" s="129"/>
      <c r="FH358" s="129"/>
      <c r="FI358" s="129"/>
      <c r="FJ358" s="129"/>
      <c r="FK358" s="129"/>
      <c r="FL358" s="129"/>
      <c r="FM358" s="129"/>
      <c r="FN358" s="129"/>
      <c r="FO358" s="129"/>
      <c r="FP358" s="129"/>
      <c r="FQ358" s="129"/>
      <c r="FR358" s="129"/>
      <c r="FS358" s="129"/>
      <c r="FT358" s="129"/>
      <c r="FU358" s="129"/>
      <c r="FV358" s="129"/>
      <c r="FW358" s="129"/>
      <c r="FX358" s="129"/>
      <c r="FY358" s="129"/>
      <c r="FZ358" s="129"/>
      <c r="GA358" s="129"/>
      <c r="GB358" s="129"/>
      <c r="GC358" s="129"/>
      <c r="GD358" s="129"/>
      <c r="GE358" s="129"/>
      <c r="GF358" s="129"/>
      <c r="GG358" s="129"/>
      <c r="GH358" s="129"/>
      <c r="GI358" s="129"/>
      <c r="GJ358" s="129"/>
      <c r="GK358" s="129"/>
      <c r="GL358" s="129"/>
      <c r="GM358" s="129"/>
      <c r="GN358" s="129"/>
      <c r="GO358" s="129"/>
      <c r="GP358" s="129"/>
      <c r="GQ358" s="129"/>
      <c r="GR358" s="129"/>
      <c r="GS358" s="129"/>
      <c r="GT358" s="129"/>
      <c r="GU358" s="129"/>
      <c r="GV358" s="129"/>
      <c r="GW358" s="129"/>
    </row>
    <row r="359" spans="32:205">
      <c r="BE359" s="129"/>
      <c r="BF359" s="129"/>
      <c r="BG359" s="129"/>
      <c r="BH359" s="129"/>
      <c r="BI359" s="129"/>
      <c r="BJ359" s="129"/>
      <c r="BK359" s="129"/>
      <c r="BL359" s="129"/>
      <c r="BM359" s="129"/>
      <c r="BN359" s="129"/>
      <c r="BO359" s="129"/>
      <c r="BP359" s="129"/>
      <c r="BQ359" s="129"/>
      <c r="BR359" s="129"/>
      <c r="BS359" s="129"/>
      <c r="BT359" s="129"/>
      <c r="BU359" s="129"/>
      <c r="BV359" s="129"/>
      <c r="BW359" s="129"/>
      <c r="BX359" s="152"/>
      <c r="BZ359" s="129"/>
      <c r="CA359" s="129"/>
      <c r="CB359" s="129"/>
      <c r="CC359" s="129"/>
      <c r="CD359" s="129"/>
      <c r="CE359" s="129"/>
      <c r="CF359" s="129"/>
      <c r="CG359" s="129"/>
      <c r="CH359" s="129"/>
      <c r="CI359" s="129"/>
      <c r="CJ359" s="129"/>
      <c r="CK359" s="129"/>
      <c r="CL359" s="129"/>
      <c r="CM359" s="129"/>
      <c r="CN359" s="129"/>
      <c r="CO359" s="129"/>
      <c r="CP359" s="129"/>
      <c r="CQ359" s="129"/>
      <c r="CR359" s="129"/>
      <c r="CS359" s="129"/>
      <c r="CT359" s="129"/>
      <c r="CU359" s="129"/>
      <c r="CV359" s="129"/>
      <c r="CW359" s="129"/>
      <c r="CX359" s="129"/>
      <c r="CY359" s="129"/>
      <c r="CZ359" s="129"/>
      <c r="DA359" s="129"/>
      <c r="DB359" s="129"/>
      <c r="DC359" s="129"/>
      <c r="DD359" s="129"/>
      <c r="DE359" s="129"/>
      <c r="DF359" s="129"/>
      <c r="DG359" s="129"/>
      <c r="DH359" s="129"/>
      <c r="DI359" s="129"/>
      <c r="DJ359" s="129"/>
      <c r="DK359" s="129"/>
      <c r="DL359" s="129"/>
      <c r="DM359" s="129"/>
      <c r="DN359" s="129"/>
      <c r="DO359" s="129"/>
      <c r="DP359" s="129"/>
      <c r="DQ359" s="129"/>
      <c r="DR359" s="129"/>
      <c r="DS359" s="129"/>
      <c r="DT359" s="129"/>
      <c r="DU359" s="129"/>
      <c r="DV359" s="129"/>
      <c r="DW359" s="129"/>
      <c r="DX359" s="129"/>
      <c r="DY359" s="129"/>
      <c r="DZ359" s="129"/>
      <c r="EA359" s="129"/>
      <c r="EB359" s="129"/>
      <c r="EC359" s="129"/>
      <c r="ED359" s="129"/>
      <c r="EE359" s="129"/>
      <c r="EF359" s="129"/>
      <c r="EG359" s="129"/>
      <c r="EH359" s="129"/>
      <c r="EI359" s="129"/>
      <c r="EJ359" s="129"/>
      <c r="EK359" s="129"/>
      <c r="EL359" s="129"/>
      <c r="EM359" s="129"/>
      <c r="EN359" s="129"/>
      <c r="EO359" s="129"/>
      <c r="EP359" s="129"/>
      <c r="EQ359" s="129"/>
      <c r="ER359" s="129"/>
      <c r="ES359" s="129"/>
      <c r="ET359" s="129"/>
      <c r="EU359" s="129"/>
      <c r="EV359" s="129"/>
      <c r="EW359" s="129"/>
      <c r="EX359" s="129"/>
      <c r="EY359" s="129"/>
      <c r="EZ359" s="129"/>
      <c r="FA359" s="129"/>
      <c r="FB359" s="129"/>
      <c r="FC359" s="129"/>
      <c r="FD359" s="129"/>
      <c r="FE359" s="129"/>
      <c r="FF359" s="129"/>
      <c r="FG359" s="129"/>
      <c r="FH359" s="129"/>
      <c r="FI359" s="129"/>
      <c r="FJ359" s="129"/>
      <c r="FK359" s="129"/>
      <c r="FL359" s="129"/>
      <c r="FM359" s="129"/>
      <c r="FN359" s="129"/>
      <c r="FO359" s="129"/>
      <c r="FP359" s="129"/>
      <c r="FQ359" s="129"/>
      <c r="FR359" s="129"/>
      <c r="FS359" s="129"/>
      <c r="FT359" s="129"/>
      <c r="FU359" s="129"/>
      <c r="FV359" s="129"/>
      <c r="FW359" s="129"/>
      <c r="FX359" s="129"/>
      <c r="FY359" s="129"/>
      <c r="FZ359" s="129"/>
      <c r="GA359" s="129"/>
      <c r="GB359" s="129"/>
      <c r="GC359" s="129"/>
      <c r="GD359" s="129"/>
      <c r="GE359" s="129"/>
      <c r="GF359" s="129"/>
      <c r="GG359" s="129"/>
      <c r="GH359" s="129"/>
      <c r="GI359" s="129"/>
      <c r="GJ359" s="129"/>
      <c r="GK359" s="129"/>
      <c r="GL359" s="129"/>
      <c r="GM359" s="129"/>
      <c r="GN359" s="129"/>
      <c r="GO359" s="129"/>
      <c r="GP359" s="129"/>
      <c r="GQ359" s="129"/>
      <c r="GR359" s="129"/>
      <c r="GS359" s="129"/>
      <c r="GT359" s="129"/>
      <c r="GU359" s="129"/>
      <c r="GV359" s="129"/>
      <c r="GW359" s="129"/>
    </row>
    <row r="360" spans="32:205">
      <c r="BE360" s="129"/>
      <c r="BF360" s="129"/>
      <c r="BG360" s="129"/>
      <c r="BH360" s="129"/>
      <c r="BI360" s="129"/>
      <c r="BJ360" s="129"/>
      <c r="BK360" s="129"/>
      <c r="BL360" s="129"/>
      <c r="BM360" s="129"/>
      <c r="BN360" s="129"/>
      <c r="BO360" s="129"/>
      <c r="BP360" s="129"/>
      <c r="BQ360" s="129"/>
      <c r="BR360" s="129"/>
      <c r="BS360" s="129"/>
      <c r="BT360" s="129"/>
      <c r="BU360" s="129"/>
      <c r="BV360" s="129"/>
      <c r="BW360" s="129"/>
      <c r="BX360" s="152"/>
      <c r="BZ360" s="129"/>
      <c r="CA360" s="129"/>
      <c r="CB360" s="129"/>
      <c r="CC360" s="129"/>
      <c r="CD360" s="129"/>
      <c r="CE360" s="129"/>
      <c r="CF360" s="129"/>
      <c r="CG360" s="129"/>
      <c r="CH360" s="129"/>
      <c r="CI360" s="129"/>
      <c r="CJ360" s="129"/>
      <c r="CK360" s="129"/>
      <c r="CL360" s="129"/>
      <c r="CM360" s="129"/>
      <c r="CN360" s="129"/>
      <c r="CO360" s="129"/>
      <c r="CP360" s="129"/>
      <c r="CQ360" s="129"/>
      <c r="CR360" s="129"/>
      <c r="CS360" s="129"/>
      <c r="CT360" s="129"/>
      <c r="CU360" s="129"/>
      <c r="CV360" s="129"/>
      <c r="CW360" s="129"/>
      <c r="CX360" s="129"/>
      <c r="CY360" s="129"/>
      <c r="CZ360" s="129"/>
      <c r="DA360" s="129"/>
      <c r="DB360" s="129"/>
      <c r="DC360" s="129"/>
      <c r="DD360" s="129"/>
      <c r="DE360" s="129"/>
      <c r="DF360" s="129"/>
      <c r="DG360" s="129"/>
      <c r="DH360" s="129"/>
      <c r="DI360" s="129"/>
      <c r="DJ360" s="129"/>
      <c r="DK360" s="129"/>
      <c r="DL360" s="129"/>
      <c r="DM360" s="129"/>
      <c r="DN360" s="129"/>
      <c r="DO360" s="129"/>
      <c r="DP360" s="129"/>
      <c r="DQ360" s="129"/>
      <c r="DR360" s="129"/>
      <c r="DS360" s="129"/>
      <c r="DT360" s="129"/>
      <c r="DU360" s="129"/>
      <c r="DV360" s="129"/>
      <c r="DW360" s="129"/>
      <c r="DX360" s="129"/>
      <c r="DY360" s="129"/>
      <c r="DZ360" s="129"/>
      <c r="EA360" s="129"/>
      <c r="EB360" s="129"/>
      <c r="EC360" s="129"/>
      <c r="ED360" s="129"/>
      <c r="EE360" s="129"/>
      <c r="EF360" s="129"/>
      <c r="EG360" s="129"/>
      <c r="EH360" s="129"/>
      <c r="EI360" s="129"/>
      <c r="EJ360" s="129"/>
      <c r="EK360" s="129"/>
      <c r="EL360" s="129"/>
      <c r="EM360" s="129"/>
      <c r="EN360" s="129"/>
      <c r="EO360" s="129"/>
      <c r="EP360" s="129"/>
      <c r="EQ360" s="129"/>
      <c r="ER360" s="129"/>
      <c r="ES360" s="129"/>
      <c r="ET360" s="129"/>
      <c r="EU360" s="129"/>
      <c r="EV360" s="129"/>
      <c r="EW360" s="129"/>
      <c r="EX360" s="129"/>
      <c r="EY360" s="129"/>
      <c r="EZ360" s="129"/>
      <c r="FA360" s="129"/>
      <c r="FB360" s="129"/>
      <c r="FC360" s="129"/>
      <c r="FD360" s="129"/>
      <c r="FE360" s="129"/>
      <c r="FF360" s="129"/>
      <c r="FG360" s="129"/>
      <c r="FH360" s="129"/>
      <c r="FI360" s="129"/>
      <c r="FJ360" s="129"/>
      <c r="FK360" s="129"/>
      <c r="FL360" s="129"/>
      <c r="FM360" s="129"/>
      <c r="FN360" s="129"/>
      <c r="FO360" s="129"/>
      <c r="FP360" s="129"/>
      <c r="FQ360" s="129"/>
      <c r="FR360" s="129"/>
      <c r="FS360" s="129"/>
      <c r="FT360" s="129"/>
      <c r="FU360" s="129"/>
      <c r="FV360" s="129"/>
      <c r="FW360" s="129"/>
      <c r="FX360" s="129"/>
      <c r="FY360" s="129"/>
      <c r="FZ360" s="129"/>
      <c r="GA360" s="129"/>
      <c r="GB360" s="129"/>
      <c r="GC360" s="129"/>
      <c r="GD360" s="129"/>
      <c r="GE360" s="129"/>
      <c r="GF360" s="129"/>
      <c r="GG360" s="129"/>
      <c r="GH360" s="129"/>
      <c r="GI360" s="129"/>
      <c r="GJ360" s="129"/>
      <c r="GK360" s="129"/>
      <c r="GL360" s="129"/>
      <c r="GM360" s="129"/>
      <c r="GN360" s="129"/>
      <c r="GO360" s="129"/>
      <c r="GP360" s="129"/>
      <c r="GQ360" s="129"/>
      <c r="GR360" s="129"/>
      <c r="GS360" s="129"/>
      <c r="GT360" s="129"/>
      <c r="GU360" s="129"/>
      <c r="GV360" s="129"/>
      <c r="GW360" s="129"/>
    </row>
    <row r="361" spans="32:205">
      <c r="BE361" s="129"/>
      <c r="BF361" s="129"/>
      <c r="BG361" s="129"/>
      <c r="BH361" s="129"/>
      <c r="BI361" s="129"/>
      <c r="BJ361" s="129"/>
      <c r="BK361" s="129"/>
      <c r="BL361" s="129"/>
      <c r="BM361" s="129"/>
      <c r="BN361" s="129"/>
      <c r="BO361" s="129"/>
      <c r="BP361" s="129"/>
      <c r="BQ361" s="129"/>
      <c r="BR361" s="129"/>
      <c r="BS361" s="129"/>
      <c r="BT361" s="129"/>
      <c r="BU361" s="129"/>
      <c r="BV361" s="129"/>
      <c r="BW361" s="129"/>
      <c r="BX361" s="152"/>
      <c r="BZ361" s="129"/>
      <c r="CA361" s="129"/>
      <c r="CB361" s="129"/>
      <c r="CC361" s="129"/>
      <c r="CD361" s="129"/>
      <c r="CE361" s="129"/>
      <c r="CF361" s="129"/>
      <c r="CG361" s="129"/>
      <c r="CH361" s="129"/>
      <c r="CI361" s="129"/>
      <c r="CJ361" s="129"/>
      <c r="CK361" s="129"/>
      <c r="CL361" s="129"/>
      <c r="CM361" s="129"/>
      <c r="CN361" s="129"/>
      <c r="CO361" s="129"/>
      <c r="CP361" s="129"/>
      <c r="CQ361" s="129"/>
      <c r="CR361" s="129"/>
      <c r="CS361" s="129"/>
      <c r="CT361" s="129"/>
      <c r="CU361" s="129"/>
      <c r="CV361" s="129"/>
      <c r="CW361" s="129"/>
      <c r="CX361" s="129"/>
      <c r="CY361" s="129"/>
      <c r="CZ361" s="129"/>
      <c r="DA361" s="129"/>
      <c r="DB361" s="129"/>
      <c r="DC361" s="129"/>
      <c r="DD361" s="129"/>
      <c r="DE361" s="129"/>
      <c r="DF361" s="129"/>
      <c r="DG361" s="129"/>
      <c r="DH361" s="129"/>
      <c r="DI361" s="129"/>
      <c r="DJ361" s="129"/>
      <c r="DK361" s="129"/>
      <c r="DL361" s="129"/>
      <c r="DM361" s="129"/>
      <c r="DN361" s="129"/>
      <c r="DO361" s="129"/>
      <c r="DP361" s="129"/>
      <c r="DQ361" s="129"/>
      <c r="DR361" s="129"/>
      <c r="DS361" s="129"/>
      <c r="DT361" s="129"/>
      <c r="DU361" s="129"/>
      <c r="DV361" s="129"/>
      <c r="DW361" s="129"/>
      <c r="DX361" s="129"/>
      <c r="DY361" s="129"/>
      <c r="DZ361" s="129"/>
      <c r="EA361" s="129"/>
      <c r="EB361" s="129"/>
      <c r="EC361" s="129"/>
      <c r="ED361" s="129"/>
      <c r="EE361" s="129"/>
      <c r="EF361" s="129"/>
      <c r="EG361" s="129"/>
      <c r="EH361" s="129"/>
      <c r="EI361" s="129"/>
      <c r="EJ361" s="129"/>
      <c r="EK361" s="129"/>
      <c r="EL361" s="129"/>
      <c r="EM361" s="129"/>
      <c r="EN361" s="129"/>
      <c r="EO361" s="129"/>
      <c r="EP361" s="129"/>
      <c r="EQ361" s="129"/>
      <c r="ER361" s="129"/>
      <c r="ES361" s="129"/>
      <c r="ET361" s="129"/>
      <c r="EU361" s="129"/>
      <c r="EV361" s="129"/>
      <c r="EW361" s="129"/>
      <c r="EX361" s="129"/>
      <c r="EY361" s="129"/>
      <c r="EZ361" s="129"/>
      <c r="FA361" s="129"/>
      <c r="FB361" s="129"/>
      <c r="FC361" s="129"/>
      <c r="FD361" s="129"/>
      <c r="FE361" s="129"/>
      <c r="FF361" s="129"/>
      <c r="FG361" s="129"/>
      <c r="FH361" s="129"/>
      <c r="FI361" s="129"/>
      <c r="FJ361" s="129"/>
      <c r="FK361" s="129"/>
      <c r="FL361" s="129"/>
      <c r="FM361" s="129"/>
      <c r="FN361" s="129"/>
      <c r="FO361" s="129"/>
      <c r="FP361" s="129"/>
      <c r="FQ361" s="129"/>
      <c r="FR361" s="129"/>
      <c r="FS361" s="129"/>
      <c r="FT361" s="129"/>
      <c r="FU361" s="129"/>
      <c r="FV361" s="129"/>
      <c r="FW361" s="129"/>
      <c r="FX361" s="129"/>
      <c r="FY361" s="129"/>
      <c r="FZ361" s="129"/>
      <c r="GA361" s="129"/>
      <c r="GB361" s="129"/>
      <c r="GC361" s="129"/>
      <c r="GD361" s="129"/>
      <c r="GE361" s="129"/>
      <c r="GF361" s="129"/>
      <c r="GG361" s="129"/>
      <c r="GH361" s="129"/>
      <c r="GI361" s="129"/>
      <c r="GJ361" s="129"/>
      <c r="GK361" s="129"/>
      <c r="GL361" s="129"/>
      <c r="GM361" s="129"/>
      <c r="GN361" s="129"/>
      <c r="GO361" s="129"/>
      <c r="GP361" s="129"/>
      <c r="GQ361" s="129"/>
      <c r="GR361" s="129"/>
      <c r="GS361" s="129"/>
      <c r="GT361" s="129"/>
      <c r="GU361" s="129"/>
      <c r="GV361" s="129"/>
      <c r="GW361" s="129"/>
    </row>
    <row r="362" spans="32:205">
      <c r="BE362" s="129"/>
      <c r="BF362" s="129"/>
      <c r="BG362" s="129"/>
      <c r="BH362" s="129"/>
      <c r="BI362" s="129"/>
      <c r="BJ362" s="129"/>
      <c r="BK362" s="129"/>
      <c r="BL362" s="129"/>
      <c r="BM362" s="129"/>
      <c r="BN362" s="129"/>
      <c r="BO362" s="129"/>
      <c r="BP362" s="129"/>
      <c r="BQ362" s="129"/>
      <c r="BR362" s="129"/>
      <c r="BS362" s="129"/>
      <c r="BT362" s="129"/>
      <c r="BU362" s="129"/>
      <c r="BV362" s="129"/>
      <c r="BW362" s="129"/>
      <c r="BX362" s="152"/>
      <c r="BZ362" s="129"/>
      <c r="CA362" s="129"/>
      <c r="CB362" s="129"/>
      <c r="CC362" s="129"/>
      <c r="CD362" s="129"/>
      <c r="CE362" s="129"/>
      <c r="CF362" s="129"/>
      <c r="CG362" s="129"/>
      <c r="CH362" s="129"/>
      <c r="CI362" s="129"/>
      <c r="CJ362" s="129"/>
      <c r="CK362" s="129"/>
      <c r="CL362" s="129"/>
      <c r="CM362" s="129"/>
      <c r="CN362" s="129"/>
      <c r="CO362" s="129"/>
      <c r="CP362" s="129"/>
      <c r="CQ362" s="129"/>
      <c r="CR362" s="129"/>
      <c r="CS362" s="129"/>
      <c r="CT362" s="129"/>
      <c r="CU362" s="129"/>
      <c r="CV362" s="129"/>
      <c r="CW362" s="129"/>
      <c r="CX362" s="129"/>
      <c r="CY362" s="129"/>
      <c r="CZ362" s="129"/>
      <c r="DA362" s="129"/>
      <c r="DB362" s="129"/>
      <c r="DC362" s="129"/>
      <c r="DD362" s="129"/>
      <c r="DE362" s="129"/>
      <c r="DF362" s="129"/>
      <c r="DG362" s="129"/>
      <c r="DH362" s="129"/>
      <c r="DI362" s="129"/>
      <c r="DJ362" s="129"/>
      <c r="DK362" s="129"/>
      <c r="DL362" s="129"/>
      <c r="DM362" s="129"/>
      <c r="DN362" s="129"/>
      <c r="DO362" s="129"/>
      <c r="DP362" s="129"/>
      <c r="DQ362" s="129"/>
      <c r="DR362" s="129"/>
      <c r="DS362" s="129"/>
      <c r="DT362" s="129"/>
      <c r="DU362" s="129"/>
      <c r="DV362" s="129"/>
      <c r="DW362" s="129"/>
      <c r="DX362" s="129"/>
      <c r="DY362" s="129"/>
      <c r="DZ362" s="129"/>
      <c r="EA362" s="129"/>
      <c r="EB362" s="129"/>
      <c r="EC362" s="129"/>
      <c r="ED362" s="129"/>
      <c r="EE362" s="129"/>
      <c r="EF362" s="129"/>
      <c r="EG362" s="129"/>
      <c r="EH362" s="129"/>
      <c r="EI362" s="129"/>
      <c r="EJ362" s="129"/>
      <c r="EK362" s="129"/>
      <c r="EL362" s="129"/>
      <c r="EM362" s="129"/>
      <c r="EN362" s="129"/>
      <c r="EO362" s="129"/>
      <c r="EP362" s="129"/>
      <c r="EQ362" s="129"/>
      <c r="ER362" s="129"/>
      <c r="ES362" s="129"/>
      <c r="ET362" s="129"/>
      <c r="EU362" s="129"/>
      <c r="EV362" s="129"/>
      <c r="EW362" s="129"/>
      <c r="EX362" s="129"/>
      <c r="EY362" s="129"/>
      <c r="EZ362" s="129"/>
      <c r="FA362" s="129"/>
      <c r="FB362" s="129"/>
      <c r="FC362" s="129"/>
      <c r="FD362" s="129"/>
      <c r="FE362" s="129"/>
      <c r="FF362" s="129"/>
      <c r="FG362" s="129"/>
      <c r="FH362" s="129"/>
      <c r="FI362" s="129"/>
      <c r="FJ362" s="129"/>
      <c r="FK362" s="129"/>
      <c r="FL362" s="129"/>
      <c r="FM362" s="129"/>
      <c r="FN362" s="129"/>
      <c r="FO362" s="129"/>
      <c r="FP362" s="129"/>
      <c r="FQ362" s="129"/>
      <c r="FR362" s="129"/>
      <c r="FS362" s="129"/>
      <c r="FT362" s="129"/>
      <c r="FU362" s="129"/>
      <c r="FV362" s="129"/>
      <c r="FW362" s="129"/>
      <c r="FX362" s="129"/>
      <c r="FY362" s="129"/>
      <c r="FZ362" s="129"/>
      <c r="GA362" s="129"/>
      <c r="GB362" s="129"/>
      <c r="GC362" s="129"/>
      <c r="GD362" s="129"/>
      <c r="GE362" s="129"/>
      <c r="GF362" s="129"/>
      <c r="GG362" s="129"/>
      <c r="GH362" s="129"/>
      <c r="GI362" s="129"/>
      <c r="GJ362" s="129"/>
      <c r="GK362" s="129"/>
      <c r="GL362" s="129"/>
      <c r="GM362" s="129"/>
      <c r="GN362" s="129"/>
      <c r="GO362" s="129"/>
      <c r="GP362" s="129"/>
      <c r="GQ362" s="129"/>
      <c r="GR362" s="129"/>
      <c r="GS362" s="129"/>
      <c r="GT362" s="129"/>
      <c r="GU362" s="129"/>
      <c r="GV362" s="129"/>
      <c r="GW362" s="129"/>
    </row>
    <row r="363" spans="32:205">
      <c r="BE363" s="129"/>
      <c r="BF363" s="129"/>
      <c r="BG363" s="129"/>
      <c r="BH363" s="129"/>
      <c r="BI363" s="129"/>
      <c r="BJ363" s="129"/>
      <c r="BK363" s="129"/>
      <c r="BL363" s="129"/>
      <c r="BM363" s="129"/>
      <c r="BN363" s="129"/>
      <c r="BO363" s="129"/>
      <c r="BP363" s="129"/>
      <c r="BQ363" s="129"/>
      <c r="BR363" s="129"/>
      <c r="BS363" s="129"/>
      <c r="BT363" s="129"/>
      <c r="BU363" s="129"/>
      <c r="BV363" s="129"/>
      <c r="BW363" s="129"/>
      <c r="BX363" s="152"/>
      <c r="BZ363" s="129"/>
      <c r="CA363" s="129"/>
      <c r="CB363" s="129"/>
      <c r="CC363" s="129"/>
      <c r="CD363" s="129"/>
      <c r="CE363" s="129"/>
      <c r="CF363" s="129"/>
      <c r="CG363" s="129"/>
      <c r="CH363" s="129"/>
      <c r="CI363" s="129"/>
      <c r="CJ363" s="129"/>
      <c r="CK363" s="129"/>
      <c r="CL363" s="129"/>
      <c r="CM363" s="129"/>
      <c r="CN363" s="129"/>
      <c r="CO363" s="129"/>
      <c r="CP363" s="129"/>
      <c r="CQ363" s="129"/>
      <c r="CR363" s="129"/>
      <c r="CS363" s="129"/>
      <c r="CT363" s="129"/>
      <c r="CU363" s="129"/>
      <c r="CV363" s="129"/>
      <c r="CW363" s="129"/>
      <c r="CX363" s="129"/>
      <c r="CY363" s="129"/>
      <c r="CZ363" s="129"/>
      <c r="DA363" s="129"/>
      <c r="DB363" s="129"/>
      <c r="DC363" s="129"/>
      <c r="DD363" s="129"/>
      <c r="DE363" s="129"/>
      <c r="DF363" s="129"/>
      <c r="DG363" s="129"/>
      <c r="DH363" s="129"/>
      <c r="DI363" s="129"/>
      <c r="DJ363" s="129"/>
      <c r="DK363" s="129"/>
      <c r="DL363" s="129"/>
      <c r="DM363" s="129"/>
      <c r="DN363" s="129"/>
      <c r="DO363" s="129"/>
      <c r="DP363" s="129"/>
      <c r="DQ363" s="129"/>
      <c r="DR363" s="129"/>
      <c r="DS363" s="129"/>
      <c r="DT363" s="129"/>
      <c r="DU363" s="129"/>
      <c r="DV363" s="129"/>
      <c r="DW363" s="129"/>
      <c r="DX363" s="129"/>
      <c r="DY363" s="129"/>
      <c r="DZ363" s="129"/>
      <c r="EA363" s="129"/>
      <c r="EB363" s="129"/>
      <c r="EC363" s="129"/>
      <c r="ED363" s="129"/>
      <c r="EE363" s="129"/>
      <c r="EF363" s="129"/>
      <c r="EG363" s="129"/>
      <c r="EH363" s="129"/>
      <c r="EI363" s="129"/>
      <c r="EJ363" s="129"/>
      <c r="EK363" s="129"/>
      <c r="EL363" s="129"/>
      <c r="EM363" s="129"/>
      <c r="EN363" s="129"/>
      <c r="EO363" s="129"/>
      <c r="EP363" s="129"/>
      <c r="EQ363" s="129"/>
      <c r="ER363" s="129"/>
      <c r="ES363" s="129"/>
      <c r="ET363" s="129"/>
      <c r="EU363" s="129"/>
      <c r="EV363" s="129"/>
      <c r="EW363" s="129"/>
      <c r="EX363" s="129"/>
      <c r="EY363" s="129"/>
      <c r="EZ363" s="129"/>
      <c r="FA363" s="129"/>
      <c r="FB363" s="129"/>
      <c r="FC363" s="129"/>
      <c r="FD363" s="129"/>
      <c r="FE363" s="129"/>
      <c r="FF363" s="129"/>
      <c r="FG363" s="129"/>
      <c r="FH363" s="129"/>
      <c r="FI363" s="129"/>
      <c r="FJ363" s="129"/>
      <c r="FK363" s="129"/>
      <c r="FL363" s="129"/>
      <c r="FM363" s="129"/>
      <c r="FN363" s="129"/>
      <c r="FO363" s="129"/>
      <c r="FP363" s="129"/>
      <c r="FQ363" s="129"/>
      <c r="FR363" s="129"/>
      <c r="FS363" s="129"/>
      <c r="FT363" s="129"/>
      <c r="FU363" s="129"/>
      <c r="FV363" s="129"/>
      <c r="FW363" s="129"/>
      <c r="FX363" s="129"/>
      <c r="FY363" s="129"/>
      <c r="FZ363" s="129"/>
      <c r="GA363" s="129"/>
      <c r="GB363" s="129"/>
      <c r="GC363" s="129"/>
      <c r="GD363" s="129"/>
      <c r="GE363" s="129"/>
      <c r="GF363" s="129"/>
      <c r="GG363" s="129"/>
      <c r="GH363" s="129"/>
      <c r="GI363" s="129"/>
      <c r="GJ363" s="129"/>
      <c r="GK363" s="129"/>
      <c r="GL363" s="129"/>
      <c r="GM363" s="129"/>
      <c r="GN363" s="129"/>
      <c r="GO363" s="129"/>
      <c r="GP363" s="129"/>
      <c r="GQ363" s="129"/>
      <c r="GR363" s="129"/>
      <c r="GS363" s="129"/>
      <c r="GT363" s="129"/>
      <c r="GU363" s="129"/>
      <c r="GV363" s="129"/>
      <c r="GW363" s="129"/>
    </row>
    <row r="364" spans="32:205">
      <c r="BE364" s="129"/>
      <c r="BF364" s="129"/>
      <c r="BG364" s="129"/>
      <c r="BH364" s="129"/>
      <c r="BI364" s="129"/>
      <c r="BJ364" s="129"/>
      <c r="BK364" s="129"/>
      <c r="BL364" s="129"/>
      <c r="BM364" s="129"/>
      <c r="BN364" s="129"/>
      <c r="BO364" s="129"/>
      <c r="BP364" s="129"/>
      <c r="BQ364" s="129"/>
      <c r="BR364" s="129"/>
      <c r="BS364" s="129"/>
      <c r="BT364" s="129"/>
      <c r="BU364" s="129"/>
      <c r="BV364" s="129"/>
      <c r="BW364" s="129"/>
      <c r="BX364" s="152"/>
      <c r="BZ364" s="129"/>
      <c r="CA364" s="129"/>
      <c r="CB364" s="129"/>
      <c r="CC364" s="129"/>
      <c r="CD364" s="129"/>
      <c r="CE364" s="129"/>
      <c r="CF364" s="129"/>
      <c r="CG364" s="129"/>
      <c r="CH364" s="129"/>
      <c r="CI364" s="129"/>
      <c r="CJ364" s="129"/>
      <c r="CK364" s="129"/>
      <c r="CL364" s="129"/>
      <c r="CM364" s="129"/>
      <c r="CN364" s="129"/>
      <c r="CO364" s="129"/>
      <c r="CP364" s="129"/>
      <c r="CQ364" s="129"/>
      <c r="CR364" s="129"/>
      <c r="CS364" s="129"/>
      <c r="CT364" s="129"/>
      <c r="CU364" s="129"/>
      <c r="CV364" s="129"/>
      <c r="CW364" s="129"/>
      <c r="CX364" s="129"/>
      <c r="CY364" s="129"/>
      <c r="CZ364" s="129"/>
      <c r="DA364" s="129"/>
      <c r="DB364" s="129"/>
      <c r="DC364" s="129"/>
      <c r="DD364" s="129"/>
      <c r="DE364" s="129"/>
      <c r="DF364" s="129"/>
      <c r="DG364" s="129"/>
      <c r="DH364" s="129"/>
      <c r="DI364" s="129"/>
      <c r="DJ364" s="129"/>
      <c r="DK364" s="129"/>
      <c r="DL364" s="129"/>
      <c r="DM364" s="129"/>
      <c r="DN364" s="129"/>
      <c r="DO364" s="129"/>
      <c r="DP364" s="129"/>
      <c r="DQ364" s="129"/>
      <c r="DR364" s="129"/>
      <c r="DS364" s="129"/>
      <c r="DT364" s="129"/>
      <c r="DU364" s="129"/>
      <c r="DV364" s="129"/>
      <c r="DW364" s="129"/>
      <c r="DX364" s="129"/>
      <c r="DY364" s="129"/>
      <c r="DZ364" s="129"/>
      <c r="EA364" s="129"/>
      <c r="EB364" s="129"/>
      <c r="EC364" s="129"/>
      <c r="ED364" s="129"/>
      <c r="EE364" s="129"/>
      <c r="EF364" s="129"/>
      <c r="EG364" s="129"/>
      <c r="EH364" s="129"/>
      <c r="EI364" s="129"/>
      <c r="EJ364" s="129"/>
      <c r="EK364" s="129"/>
      <c r="EL364" s="129"/>
      <c r="EM364" s="129"/>
      <c r="EN364" s="129"/>
      <c r="EO364" s="129"/>
      <c r="EP364" s="129"/>
      <c r="EQ364" s="129"/>
      <c r="ER364" s="129"/>
      <c r="ES364" s="129"/>
      <c r="ET364" s="129"/>
      <c r="EU364" s="129"/>
      <c r="EV364" s="129"/>
      <c r="EW364" s="129"/>
      <c r="EX364" s="129"/>
      <c r="EY364" s="129"/>
      <c r="EZ364" s="129"/>
      <c r="FA364" s="129"/>
      <c r="FB364" s="129"/>
      <c r="FC364" s="129"/>
      <c r="FD364" s="129"/>
      <c r="FE364" s="129"/>
      <c r="FF364" s="129"/>
      <c r="FG364" s="129"/>
      <c r="FH364" s="129"/>
      <c r="FI364" s="129"/>
      <c r="FJ364" s="129"/>
      <c r="FK364" s="129"/>
      <c r="FL364" s="129"/>
      <c r="FM364" s="129"/>
      <c r="FN364" s="129"/>
      <c r="FO364" s="129"/>
      <c r="FP364" s="129"/>
      <c r="FQ364" s="129"/>
      <c r="FR364" s="129"/>
      <c r="FS364" s="129"/>
      <c r="FT364" s="129"/>
      <c r="FU364" s="129"/>
      <c r="FV364" s="129"/>
      <c r="FW364" s="129"/>
      <c r="FX364" s="129"/>
      <c r="FY364" s="129"/>
      <c r="FZ364" s="129"/>
      <c r="GA364" s="129"/>
      <c r="GB364" s="129"/>
      <c r="GC364" s="129"/>
      <c r="GD364" s="129"/>
      <c r="GE364" s="129"/>
      <c r="GF364" s="129"/>
      <c r="GG364" s="129"/>
      <c r="GH364" s="129"/>
      <c r="GI364" s="129"/>
      <c r="GJ364" s="129"/>
      <c r="GK364" s="129"/>
      <c r="GL364" s="129"/>
      <c r="GM364" s="129"/>
      <c r="GN364" s="129"/>
      <c r="GO364" s="129"/>
      <c r="GP364" s="129"/>
      <c r="GQ364" s="129"/>
      <c r="GR364" s="129"/>
      <c r="GS364" s="129"/>
      <c r="GT364" s="129"/>
      <c r="GU364" s="129"/>
      <c r="GV364" s="129"/>
      <c r="GW364" s="129"/>
    </row>
    <row r="365" spans="32:205">
      <c r="BE365" s="129"/>
      <c r="BF365" s="129"/>
      <c r="BG365" s="129"/>
      <c r="BH365" s="129"/>
      <c r="BI365" s="129"/>
      <c r="BJ365" s="129"/>
      <c r="BK365" s="129"/>
      <c r="BL365" s="129"/>
      <c r="BM365" s="129"/>
      <c r="BN365" s="129"/>
      <c r="BO365" s="129"/>
      <c r="BP365" s="129"/>
      <c r="BQ365" s="129"/>
      <c r="BR365" s="129"/>
      <c r="BS365" s="129"/>
      <c r="BT365" s="129"/>
      <c r="BU365" s="129"/>
      <c r="BV365" s="129"/>
      <c r="BW365" s="129"/>
      <c r="BX365" s="152"/>
      <c r="BZ365" s="129"/>
      <c r="CA365" s="129"/>
      <c r="CB365" s="129"/>
      <c r="CC365" s="129"/>
      <c r="CD365" s="129"/>
      <c r="CE365" s="129"/>
      <c r="CF365" s="129"/>
      <c r="CG365" s="129"/>
      <c r="CH365" s="129"/>
      <c r="CI365" s="129"/>
      <c r="CJ365" s="129"/>
      <c r="CK365" s="129"/>
      <c r="CL365" s="129"/>
      <c r="CM365" s="129"/>
      <c r="CN365" s="129"/>
      <c r="CO365" s="129"/>
      <c r="CP365" s="129"/>
      <c r="CQ365" s="129"/>
      <c r="CR365" s="129"/>
      <c r="CS365" s="129"/>
      <c r="CT365" s="129"/>
      <c r="CU365" s="129"/>
      <c r="CV365" s="129"/>
      <c r="CW365" s="129"/>
      <c r="CX365" s="129"/>
      <c r="CY365" s="129"/>
      <c r="CZ365" s="129"/>
      <c r="DA365" s="129"/>
      <c r="DB365" s="129"/>
      <c r="DC365" s="129"/>
      <c r="DD365" s="129"/>
      <c r="DE365" s="129"/>
      <c r="DF365" s="129"/>
      <c r="DG365" s="129"/>
      <c r="DH365" s="129"/>
      <c r="DI365" s="129"/>
      <c r="DJ365" s="129"/>
      <c r="DK365" s="129"/>
      <c r="DL365" s="129"/>
      <c r="DM365" s="129"/>
      <c r="DN365" s="129"/>
      <c r="DO365" s="129"/>
      <c r="DP365" s="129"/>
      <c r="DQ365" s="129"/>
      <c r="DR365" s="129"/>
      <c r="DS365" s="129"/>
      <c r="DT365" s="129"/>
      <c r="DU365" s="129"/>
      <c r="DV365" s="129"/>
      <c r="DW365" s="129"/>
      <c r="DX365" s="129"/>
      <c r="DY365" s="129"/>
      <c r="DZ365" s="129"/>
      <c r="EA365" s="129"/>
      <c r="EB365" s="129"/>
      <c r="EC365" s="129"/>
      <c r="ED365" s="129"/>
      <c r="EE365" s="129"/>
      <c r="EF365" s="129"/>
      <c r="EG365" s="129"/>
      <c r="EH365" s="129"/>
      <c r="EI365" s="129"/>
      <c r="EJ365" s="129"/>
      <c r="EK365" s="129"/>
      <c r="EL365" s="129"/>
      <c r="EM365" s="129"/>
      <c r="EN365" s="129"/>
      <c r="EO365" s="129"/>
      <c r="EP365" s="129"/>
      <c r="EQ365" s="129"/>
      <c r="ER365" s="129"/>
      <c r="ES365" s="129"/>
      <c r="ET365" s="129"/>
      <c r="EU365" s="129"/>
      <c r="EV365" s="129"/>
      <c r="EW365" s="129"/>
      <c r="EX365" s="129"/>
      <c r="EY365" s="129"/>
      <c r="EZ365" s="129"/>
      <c r="FA365" s="129"/>
      <c r="FB365" s="129"/>
      <c r="FC365" s="129"/>
      <c r="FD365" s="129"/>
      <c r="FE365" s="129"/>
      <c r="FF365" s="129"/>
      <c r="FG365" s="129"/>
      <c r="FH365" s="129"/>
      <c r="FI365" s="129"/>
      <c r="FJ365" s="129"/>
      <c r="FK365" s="129"/>
      <c r="FL365" s="129"/>
      <c r="FM365" s="129"/>
      <c r="FN365" s="129"/>
      <c r="FO365" s="129"/>
      <c r="FP365" s="129"/>
      <c r="FQ365" s="129"/>
      <c r="FR365" s="129"/>
      <c r="FS365" s="129"/>
      <c r="FT365" s="129"/>
      <c r="FU365" s="129"/>
      <c r="FV365" s="129"/>
      <c r="FW365" s="129"/>
      <c r="FX365" s="129"/>
      <c r="FY365" s="129"/>
      <c r="FZ365" s="129"/>
      <c r="GA365" s="129"/>
      <c r="GB365" s="129"/>
      <c r="GC365" s="129"/>
      <c r="GD365" s="129"/>
      <c r="GE365" s="129"/>
      <c r="GF365" s="129"/>
      <c r="GG365" s="129"/>
      <c r="GH365" s="129"/>
      <c r="GI365" s="129"/>
      <c r="GJ365" s="129"/>
      <c r="GK365" s="129"/>
      <c r="GL365" s="129"/>
      <c r="GM365" s="129"/>
      <c r="GN365" s="129"/>
      <c r="GO365" s="129"/>
      <c r="GP365" s="129"/>
      <c r="GQ365" s="129"/>
      <c r="GR365" s="129"/>
      <c r="GS365" s="129"/>
      <c r="GT365" s="129"/>
      <c r="GU365" s="129"/>
      <c r="GV365" s="129"/>
      <c r="GW365" s="129"/>
    </row>
    <row r="366" spans="32:205">
      <c r="BE366" s="129"/>
      <c r="BF366" s="129"/>
      <c r="BG366" s="129"/>
      <c r="BH366" s="129"/>
      <c r="BI366" s="129"/>
      <c r="BJ366" s="129"/>
      <c r="BK366" s="129"/>
      <c r="BL366" s="129"/>
      <c r="BM366" s="129"/>
      <c r="BN366" s="129"/>
      <c r="BO366" s="129"/>
      <c r="BP366" s="129"/>
      <c r="BQ366" s="129"/>
      <c r="BR366" s="129"/>
      <c r="BS366" s="129"/>
      <c r="BT366" s="129"/>
      <c r="BU366" s="129"/>
      <c r="BV366" s="129"/>
      <c r="BW366" s="129"/>
      <c r="BX366" s="152"/>
      <c r="BZ366" s="129"/>
      <c r="CA366" s="129"/>
      <c r="CB366" s="129"/>
      <c r="CC366" s="129"/>
      <c r="CD366" s="129"/>
      <c r="CE366" s="129"/>
      <c r="CF366" s="129"/>
      <c r="CG366" s="129"/>
      <c r="CH366" s="129"/>
      <c r="CI366" s="129"/>
      <c r="CJ366" s="129"/>
      <c r="CK366" s="129"/>
      <c r="CL366" s="129"/>
      <c r="CM366" s="129"/>
      <c r="CN366" s="129"/>
      <c r="CO366" s="129"/>
      <c r="CP366" s="129"/>
      <c r="CQ366" s="129"/>
      <c r="CR366" s="129"/>
      <c r="CS366" s="129"/>
      <c r="CT366" s="129"/>
      <c r="CU366" s="129"/>
      <c r="CV366" s="129"/>
      <c r="CW366" s="129"/>
      <c r="CX366" s="129"/>
      <c r="CY366" s="129"/>
      <c r="CZ366" s="129"/>
      <c r="DA366" s="129"/>
      <c r="DB366" s="129"/>
      <c r="DC366" s="129"/>
      <c r="DD366" s="129"/>
      <c r="DE366" s="129"/>
      <c r="DF366" s="129"/>
      <c r="DG366" s="129"/>
      <c r="DH366" s="129"/>
      <c r="DI366" s="129"/>
      <c r="DJ366" s="129"/>
      <c r="DK366" s="129"/>
      <c r="DL366" s="129"/>
      <c r="DM366" s="129"/>
      <c r="DN366" s="129"/>
      <c r="DO366" s="129"/>
      <c r="DP366" s="129"/>
      <c r="DQ366" s="129"/>
      <c r="DR366" s="129"/>
      <c r="DS366" s="129"/>
      <c r="DT366" s="129"/>
      <c r="DU366" s="129"/>
      <c r="DV366" s="129"/>
      <c r="DW366" s="129"/>
      <c r="DX366" s="129"/>
      <c r="DY366" s="129"/>
      <c r="DZ366" s="129"/>
      <c r="EA366" s="129"/>
      <c r="EB366" s="129"/>
      <c r="EC366" s="129"/>
      <c r="ED366" s="129"/>
      <c r="EE366" s="129"/>
      <c r="EF366" s="129"/>
      <c r="EG366" s="129"/>
      <c r="EH366" s="129"/>
      <c r="EI366" s="129"/>
      <c r="EJ366" s="129"/>
      <c r="EK366" s="129"/>
      <c r="EL366" s="129"/>
      <c r="EM366" s="129"/>
      <c r="EN366" s="129"/>
      <c r="EO366" s="129"/>
      <c r="EP366" s="129"/>
      <c r="EQ366" s="129"/>
      <c r="ER366" s="129"/>
      <c r="ES366" s="129"/>
      <c r="ET366" s="129"/>
      <c r="EU366" s="129"/>
      <c r="EV366" s="129"/>
      <c r="EW366" s="129"/>
      <c r="EX366" s="129"/>
      <c r="EY366" s="129"/>
      <c r="EZ366" s="129"/>
      <c r="FA366" s="129"/>
      <c r="FB366" s="129"/>
      <c r="FC366" s="129"/>
      <c r="FD366" s="129"/>
      <c r="FE366" s="129"/>
      <c r="FF366" s="129"/>
      <c r="FG366" s="129"/>
      <c r="FH366" s="129"/>
      <c r="FI366" s="129"/>
      <c r="FJ366" s="129"/>
      <c r="FK366" s="129"/>
      <c r="FL366" s="129"/>
      <c r="FM366" s="129"/>
      <c r="FN366" s="129"/>
      <c r="FO366" s="129"/>
      <c r="FP366" s="129"/>
      <c r="FQ366" s="129"/>
      <c r="FR366" s="129"/>
      <c r="FS366" s="129"/>
      <c r="FT366" s="129"/>
      <c r="FU366" s="129"/>
      <c r="FV366" s="129"/>
      <c r="FW366" s="129"/>
      <c r="FX366" s="129"/>
      <c r="FY366" s="129"/>
      <c r="FZ366" s="129"/>
      <c r="GA366" s="129"/>
      <c r="GB366" s="129"/>
      <c r="GC366" s="129"/>
      <c r="GD366" s="129"/>
      <c r="GE366" s="129"/>
      <c r="GF366" s="129"/>
      <c r="GG366" s="129"/>
      <c r="GH366" s="129"/>
      <c r="GI366" s="129"/>
      <c r="GJ366" s="129"/>
      <c r="GK366" s="129"/>
      <c r="GL366" s="129"/>
      <c r="GM366" s="129"/>
      <c r="GN366" s="129"/>
      <c r="GO366" s="129"/>
      <c r="GP366" s="129"/>
      <c r="GQ366" s="129"/>
      <c r="GR366" s="129"/>
      <c r="GS366" s="129"/>
      <c r="GT366" s="129"/>
      <c r="GU366" s="129"/>
      <c r="GV366" s="129"/>
      <c r="GW366" s="129"/>
    </row>
    <row r="367" spans="32:205">
      <c r="BE367" s="129"/>
      <c r="BF367" s="129"/>
      <c r="BG367" s="129"/>
      <c r="BH367" s="129"/>
      <c r="BI367" s="129"/>
      <c r="BJ367" s="129"/>
      <c r="BK367" s="129"/>
      <c r="BL367" s="129"/>
      <c r="BM367" s="129"/>
      <c r="BN367" s="129"/>
      <c r="BO367" s="129"/>
      <c r="BP367" s="129"/>
      <c r="BQ367" s="129"/>
      <c r="BR367" s="129"/>
      <c r="BS367" s="129"/>
      <c r="BT367" s="129"/>
      <c r="BU367" s="129"/>
      <c r="BV367" s="129"/>
      <c r="BW367" s="129"/>
      <c r="BX367" s="152"/>
      <c r="BZ367" s="129"/>
      <c r="CA367" s="129"/>
      <c r="CB367" s="129"/>
      <c r="CC367" s="129"/>
      <c r="CD367" s="129"/>
      <c r="CE367" s="129"/>
      <c r="CF367" s="129"/>
      <c r="CG367" s="129"/>
      <c r="CH367" s="129"/>
      <c r="CI367" s="129"/>
      <c r="CJ367" s="129"/>
      <c r="CK367" s="129"/>
      <c r="CL367" s="129"/>
      <c r="CM367" s="129"/>
      <c r="CN367" s="129"/>
      <c r="CO367" s="129"/>
      <c r="CP367" s="129"/>
      <c r="CQ367" s="129"/>
      <c r="CR367" s="129"/>
      <c r="CS367" s="129"/>
      <c r="CT367" s="129"/>
      <c r="CU367" s="129"/>
      <c r="CV367" s="129"/>
      <c r="CW367" s="129"/>
      <c r="CX367" s="129"/>
      <c r="CY367" s="129"/>
      <c r="CZ367" s="129"/>
      <c r="DA367" s="129"/>
      <c r="DB367" s="129"/>
      <c r="DC367" s="129"/>
      <c r="DD367" s="129"/>
      <c r="DE367" s="129"/>
      <c r="DF367" s="129"/>
      <c r="DG367" s="129"/>
      <c r="DH367" s="129"/>
      <c r="DI367" s="129"/>
      <c r="DJ367" s="129"/>
      <c r="DK367" s="129"/>
      <c r="DL367" s="129"/>
      <c r="DM367" s="129"/>
      <c r="DN367" s="129"/>
      <c r="DO367" s="129"/>
      <c r="DP367" s="129"/>
      <c r="DQ367" s="129"/>
      <c r="DR367" s="129"/>
      <c r="DS367" s="129"/>
      <c r="DT367" s="129"/>
      <c r="DU367" s="129"/>
      <c r="DV367" s="129"/>
      <c r="DW367" s="129"/>
      <c r="DX367" s="129"/>
      <c r="DY367" s="129"/>
      <c r="DZ367" s="129"/>
      <c r="EA367" s="129"/>
      <c r="EB367" s="129"/>
      <c r="EC367" s="129"/>
      <c r="ED367" s="129"/>
      <c r="EE367" s="129"/>
      <c r="EF367" s="129"/>
      <c r="EG367" s="129"/>
      <c r="EH367" s="129"/>
      <c r="EI367" s="129"/>
      <c r="EJ367" s="129"/>
      <c r="EK367" s="129"/>
      <c r="EL367" s="129"/>
      <c r="EM367" s="129"/>
      <c r="EN367" s="129"/>
      <c r="EO367" s="129"/>
      <c r="EP367" s="129"/>
      <c r="EQ367" s="129"/>
      <c r="ER367" s="129"/>
      <c r="ES367" s="129"/>
      <c r="ET367" s="129"/>
      <c r="EU367" s="129"/>
      <c r="EV367" s="129"/>
      <c r="EW367" s="129"/>
      <c r="EX367" s="129"/>
      <c r="EY367" s="129"/>
      <c r="EZ367" s="129"/>
      <c r="FA367" s="129"/>
      <c r="FB367" s="129"/>
      <c r="FC367" s="129"/>
      <c r="FD367" s="129"/>
      <c r="FE367" s="129"/>
      <c r="FF367" s="129"/>
      <c r="FG367" s="129"/>
      <c r="FH367" s="129"/>
      <c r="FI367" s="129"/>
      <c r="FJ367" s="129"/>
      <c r="FK367" s="129"/>
      <c r="FL367" s="129"/>
      <c r="FM367" s="129"/>
      <c r="FN367" s="129"/>
      <c r="FO367" s="129"/>
      <c r="FP367" s="129"/>
      <c r="FQ367" s="129"/>
      <c r="FR367" s="129"/>
      <c r="FS367" s="129"/>
      <c r="FT367" s="129"/>
      <c r="FU367" s="129"/>
      <c r="FV367" s="129"/>
      <c r="FW367" s="129"/>
      <c r="FX367" s="129"/>
      <c r="FY367" s="129"/>
      <c r="FZ367" s="129"/>
      <c r="GA367" s="129"/>
      <c r="GB367" s="129"/>
      <c r="GC367" s="129"/>
      <c r="GD367" s="129"/>
      <c r="GE367" s="129"/>
      <c r="GF367" s="129"/>
      <c r="GG367" s="129"/>
      <c r="GH367" s="129"/>
      <c r="GI367" s="129"/>
      <c r="GJ367" s="129"/>
      <c r="GK367" s="129"/>
      <c r="GL367" s="129"/>
      <c r="GM367" s="129"/>
      <c r="GN367" s="129"/>
      <c r="GO367" s="129"/>
      <c r="GP367" s="129"/>
      <c r="GQ367" s="129"/>
      <c r="GR367" s="129"/>
      <c r="GS367" s="129"/>
      <c r="GT367" s="129"/>
      <c r="GU367" s="129"/>
      <c r="GV367" s="129"/>
      <c r="GW367" s="129"/>
    </row>
    <row r="368" spans="32:205">
      <c r="BE368" s="129"/>
      <c r="BF368" s="129"/>
      <c r="BG368" s="129"/>
      <c r="BH368" s="129"/>
      <c r="BI368" s="129"/>
      <c r="BJ368" s="129"/>
      <c r="BK368" s="129"/>
      <c r="BL368" s="129"/>
      <c r="BM368" s="129"/>
      <c r="BN368" s="129"/>
      <c r="BO368" s="129"/>
      <c r="BP368" s="129"/>
      <c r="BQ368" s="129"/>
      <c r="BR368" s="129"/>
      <c r="BS368" s="129"/>
      <c r="BT368" s="129"/>
      <c r="BU368" s="129"/>
      <c r="BV368" s="129"/>
      <c r="BW368" s="129"/>
      <c r="BX368" s="152"/>
      <c r="CA368" s="129"/>
      <c r="CB368" s="129"/>
      <c r="CC368" s="129"/>
      <c r="CD368" s="129"/>
      <c r="CE368" s="129"/>
      <c r="CF368" s="129"/>
      <c r="CG368" s="129"/>
      <c r="CH368" s="129"/>
      <c r="CI368" s="129"/>
      <c r="CJ368" s="129"/>
      <c r="CK368" s="129"/>
      <c r="CL368" s="129"/>
      <c r="CM368" s="129"/>
      <c r="CN368" s="129"/>
      <c r="CO368" s="129"/>
      <c r="CP368" s="129"/>
      <c r="CQ368" s="129"/>
      <c r="CR368" s="129"/>
      <c r="CS368" s="129"/>
      <c r="CT368" s="129"/>
      <c r="CU368" s="129"/>
      <c r="CV368" s="129"/>
      <c r="CW368" s="129"/>
      <c r="CX368" s="129"/>
      <c r="CY368" s="129"/>
      <c r="CZ368" s="129"/>
      <c r="DA368" s="129"/>
      <c r="DB368" s="129"/>
      <c r="DC368" s="129"/>
      <c r="DD368" s="129"/>
      <c r="DE368" s="129"/>
      <c r="DF368" s="129"/>
      <c r="DG368" s="129"/>
      <c r="DH368" s="129"/>
      <c r="DI368" s="129"/>
      <c r="DJ368" s="129"/>
      <c r="DK368" s="129"/>
      <c r="DL368" s="129"/>
      <c r="DM368" s="129"/>
      <c r="DN368" s="129"/>
      <c r="DO368" s="129"/>
      <c r="DP368" s="129"/>
      <c r="DQ368" s="129"/>
      <c r="DR368" s="129"/>
      <c r="DS368" s="129"/>
      <c r="DT368" s="129"/>
      <c r="DU368" s="129"/>
      <c r="DV368" s="129"/>
      <c r="DW368" s="129"/>
      <c r="DX368" s="129"/>
      <c r="DY368" s="129"/>
      <c r="DZ368" s="129"/>
      <c r="EA368" s="129"/>
      <c r="EB368" s="129"/>
      <c r="EC368" s="129"/>
      <c r="ED368" s="129"/>
      <c r="EE368" s="129"/>
      <c r="EF368" s="129"/>
      <c r="EG368" s="129"/>
      <c r="EH368" s="129"/>
      <c r="EI368" s="129"/>
      <c r="EJ368" s="129"/>
      <c r="EK368" s="129"/>
      <c r="EL368" s="129"/>
      <c r="EM368" s="129"/>
      <c r="EN368" s="129"/>
      <c r="EO368" s="129"/>
      <c r="EP368" s="129"/>
      <c r="EQ368" s="129"/>
      <c r="ER368" s="129"/>
      <c r="ES368" s="129"/>
      <c r="ET368" s="129"/>
      <c r="EU368" s="129"/>
      <c r="EV368" s="129"/>
      <c r="EW368" s="129"/>
      <c r="EX368" s="129"/>
      <c r="EY368" s="129"/>
      <c r="EZ368" s="129"/>
      <c r="FA368" s="129"/>
      <c r="FB368" s="129"/>
      <c r="FC368" s="129"/>
      <c r="FD368" s="129"/>
      <c r="FE368" s="129"/>
      <c r="FF368" s="129"/>
      <c r="FG368" s="129"/>
      <c r="FH368" s="129"/>
      <c r="FI368" s="129"/>
      <c r="FJ368" s="129"/>
      <c r="FK368" s="129"/>
      <c r="FL368" s="129"/>
      <c r="FM368" s="129"/>
      <c r="FN368" s="129"/>
      <c r="FO368" s="129"/>
      <c r="FP368" s="129"/>
      <c r="FQ368" s="129"/>
      <c r="FR368" s="129"/>
      <c r="FS368" s="129"/>
      <c r="FT368" s="129"/>
      <c r="FU368" s="129"/>
      <c r="FV368" s="129"/>
      <c r="FW368" s="129"/>
      <c r="FX368" s="129"/>
      <c r="FY368" s="129"/>
      <c r="FZ368" s="129"/>
      <c r="GA368" s="129"/>
      <c r="GB368" s="129"/>
      <c r="GC368" s="129"/>
      <c r="GD368" s="129"/>
      <c r="GE368" s="129"/>
      <c r="GF368" s="129"/>
      <c r="GG368" s="129"/>
      <c r="GH368" s="129"/>
      <c r="GI368" s="129"/>
      <c r="GJ368" s="129"/>
      <c r="GK368" s="129"/>
      <c r="GL368" s="129"/>
      <c r="GM368" s="129"/>
      <c r="GN368" s="129"/>
      <c r="GO368" s="129"/>
      <c r="GP368" s="129"/>
      <c r="GQ368" s="129"/>
      <c r="GR368" s="129"/>
      <c r="GS368" s="129"/>
      <c r="GT368" s="129"/>
      <c r="GU368" s="129"/>
      <c r="GV368" s="129"/>
      <c r="GW368" s="129"/>
    </row>
    <row r="369" spans="57:205">
      <c r="BE369" s="129"/>
      <c r="BF369" s="129"/>
      <c r="BG369" s="129"/>
      <c r="BH369" s="129"/>
      <c r="BI369" s="129"/>
      <c r="BJ369" s="129"/>
      <c r="BK369" s="129"/>
      <c r="BL369" s="129"/>
      <c r="BM369" s="129"/>
      <c r="BN369" s="129"/>
      <c r="BO369" s="129"/>
      <c r="BP369" s="129"/>
      <c r="BQ369" s="129"/>
      <c r="BR369" s="129"/>
      <c r="BS369" s="129"/>
      <c r="BT369" s="129"/>
      <c r="BU369" s="129"/>
      <c r="BV369" s="129"/>
      <c r="BW369" s="129"/>
      <c r="BX369" s="152"/>
      <c r="CA369" s="129"/>
      <c r="CB369" s="129"/>
      <c r="CC369" s="129"/>
      <c r="CD369" s="129"/>
      <c r="CE369" s="129"/>
      <c r="CF369" s="129"/>
      <c r="CG369" s="129"/>
      <c r="CH369" s="129"/>
      <c r="CI369" s="129"/>
      <c r="CJ369" s="129"/>
      <c r="CK369" s="129"/>
      <c r="CL369" s="129"/>
      <c r="CM369" s="129"/>
      <c r="CN369" s="129"/>
      <c r="CO369" s="129"/>
      <c r="CP369" s="129"/>
      <c r="CQ369" s="129"/>
      <c r="CR369" s="129"/>
      <c r="CS369" s="129"/>
      <c r="CT369" s="129"/>
      <c r="CU369" s="129"/>
      <c r="CV369" s="129"/>
      <c r="CW369" s="129"/>
      <c r="CX369" s="129"/>
      <c r="CY369" s="129"/>
      <c r="CZ369" s="129"/>
      <c r="DA369" s="129"/>
      <c r="DB369" s="129"/>
      <c r="DC369" s="129"/>
      <c r="DD369" s="129"/>
      <c r="DE369" s="129"/>
      <c r="DF369" s="129"/>
      <c r="DG369" s="129"/>
      <c r="DH369" s="129"/>
      <c r="DI369" s="129"/>
      <c r="DJ369" s="129"/>
      <c r="DK369" s="129"/>
      <c r="DL369" s="129"/>
      <c r="DM369" s="129"/>
      <c r="DN369" s="129"/>
      <c r="DO369" s="129"/>
      <c r="DP369" s="129"/>
      <c r="DQ369" s="129"/>
      <c r="DR369" s="129"/>
      <c r="DS369" s="129"/>
      <c r="DT369" s="129"/>
      <c r="DU369" s="129"/>
      <c r="DV369" s="129"/>
      <c r="DW369" s="129"/>
      <c r="DX369" s="129"/>
      <c r="DY369" s="129"/>
      <c r="DZ369" s="129"/>
      <c r="EA369" s="129"/>
      <c r="EB369" s="129"/>
      <c r="EC369" s="129"/>
      <c r="ED369" s="129"/>
      <c r="EE369" s="129"/>
      <c r="EF369" s="129"/>
      <c r="EG369" s="129"/>
      <c r="EH369" s="129"/>
      <c r="EI369" s="129"/>
      <c r="EJ369" s="129"/>
      <c r="EK369" s="129"/>
      <c r="EL369" s="129"/>
      <c r="EM369" s="129"/>
      <c r="EN369" s="129"/>
      <c r="EO369" s="129"/>
      <c r="EP369" s="129"/>
      <c r="EQ369" s="129"/>
      <c r="ER369" s="129"/>
      <c r="ES369" s="129"/>
      <c r="ET369" s="129"/>
      <c r="EU369" s="129"/>
      <c r="EV369" s="129"/>
      <c r="EW369" s="129"/>
      <c r="EX369" s="129"/>
      <c r="EY369" s="129"/>
      <c r="EZ369" s="129"/>
      <c r="FA369" s="129"/>
      <c r="FB369" s="129"/>
      <c r="FC369" s="129"/>
      <c r="FD369" s="129"/>
      <c r="FE369" s="129"/>
      <c r="FF369" s="129"/>
      <c r="FG369" s="129"/>
      <c r="FH369" s="129"/>
      <c r="FI369" s="129"/>
      <c r="FJ369" s="129"/>
      <c r="FK369" s="129"/>
      <c r="FL369" s="129"/>
      <c r="FM369" s="129"/>
      <c r="FN369" s="129"/>
      <c r="FO369" s="129"/>
      <c r="FP369" s="129"/>
      <c r="FQ369" s="129"/>
      <c r="FR369" s="129"/>
      <c r="FS369" s="129"/>
      <c r="FT369" s="129"/>
      <c r="FU369" s="129"/>
      <c r="FV369" s="129"/>
      <c r="FW369" s="129"/>
      <c r="FX369" s="129"/>
      <c r="FY369" s="129"/>
      <c r="FZ369" s="129"/>
      <c r="GA369" s="129"/>
      <c r="GB369" s="129"/>
      <c r="GC369" s="129"/>
      <c r="GD369" s="129"/>
      <c r="GE369" s="129"/>
      <c r="GF369" s="129"/>
      <c r="GG369" s="129"/>
      <c r="GH369" s="129"/>
      <c r="GI369" s="129"/>
      <c r="GJ369" s="129"/>
      <c r="GK369" s="129"/>
      <c r="GL369" s="129"/>
      <c r="GM369" s="129"/>
      <c r="GN369" s="129"/>
      <c r="GO369" s="129"/>
      <c r="GP369" s="129"/>
      <c r="GQ369" s="129"/>
      <c r="GR369" s="129"/>
      <c r="GS369" s="129"/>
      <c r="GT369" s="129"/>
      <c r="GU369" s="129"/>
      <c r="GV369" s="129"/>
      <c r="GW369" s="129"/>
    </row>
    <row r="370" spans="57:205">
      <c r="BE370" s="129"/>
      <c r="BF370" s="129"/>
      <c r="BG370" s="129"/>
      <c r="BH370" s="129"/>
      <c r="BI370" s="129"/>
      <c r="BJ370" s="129"/>
      <c r="BK370" s="129"/>
      <c r="BL370" s="129"/>
      <c r="BM370" s="129"/>
      <c r="BN370" s="129"/>
      <c r="BO370" s="129"/>
      <c r="BP370" s="129"/>
      <c r="BQ370" s="129"/>
      <c r="BR370" s="129"/>
      <c r="BS370" s="129"/>
      <c r="BT370" s="129"/>
      <c r="BU370" s="129"/>
      <c r="BV370" s="129"/>
      <c r="BW370" s="129"/>
      <c r="BX370" s="152"/>
      <c r="CA370" s="129"/>
      <c r="CB370" s="129"/>
      <c r="CC370" s="129"/>
      <c r="CD370" s="129"/>
      <c r="CE370" s="129"/>
      <c r="CF370" s="129"/>
      <c r="CG370" s="129"/>
      <c r="CH370" s="129"/>
      <c r="CI370" s="129"/>
      <c r="CJ370" s="129"/>
      <c r="CK370" s="129"/>
      <c r="CL370" s="129"/>
      <c r="CM370" s="129"/>
      <c r="CN370" s="129"/>
      <c r="CO370" s="129"/>
      <c r="CP370" s="129"/>
      <c r="CQ370" s="129"/>
      <c r="CR370" s="129"/>
      <c r="CS370" s="129"/>
      <c r="CT370" s="129"/>
      <c r="CU370" s="129"/>
      <c r="CV370" s="129"/>
      <c r="CW370" s="129"/>
      <c r="CX370" s="129"/>
      <c r="CY370" s="129"/>
      <c r="CZ370" s="129"/>
      <c r="DA370" s="129"/>
      <c r="DB370" s="129"/>
      <c r="DC370" s="129"/>
      <c r="DD370" s="129"/>
      <c r="DE370" s="129"/>
      <c r="DF370" s="129"/>
      <c r="DG370" s="129"/>
      <c r="DH370" s="129"/>
      <c r="DI370" s="129"/>
      <c r="DJ370" s="129"/>
      <c r="DK370" s="129"/>
      <c r="DL370" s="129"/>
      <c r="DM370" s="129"/>
      <c r="DN370" s="129"/>
      <c r="DO370" s="129"/>
      <c r="DP370" s="129"/>
      <c r="DQ370" s="129"/>
      <c r="DR370" s="129"/>
      <c r="DS370" s="129"/>
      <c r="DT370" s="129"/>
      <c r="DU370" s="129"/>
      <c r="DV370" s="129"/>
      <c r="DW370" s="129"/>
      <c r="DX370" s="129"/>
      <c r="DY370" s="129"/>
      <c r="DZ370" s="129"/>
      <c r="EA370" s="129"/>
      <c r="EB370" s="129"/>
      <c r="EC370" s="129"/>
      <c r="ED370" s="129"/>
      <c r="EE370" s="129"/>
      <c r="EF370" s="129"/>
      <c r="EG370" s="129"/>
      <c r="EH370" s="129"/>
      <c r="EI370" s="129"/>
      <c r="EJ370" s="129"/>
      <c r="EK370" s="129"/>
      <c r="EL370" s="129"/>
      <c r="EM370" s="129"/>
      <c r="EN370" s="129"/>
      <c r="EO370" s="129"/>
      <c r="EP370" s="129"/>
      <c r="EQ370" s="129"/>
      <c r="ER370" s="129"/>
      <c r="ES370" s="129"/>
      <c r="ET370" s="129"/>
      <c r="EU370" s="129"/>
      <c r="EV370" s="129"/>
      <c r="EW370" s="129"/>
      <c r="EX370" s="129"/>
      <c r="EY370" s="129"/>
      <c r="EZ370" s="129"/>
      <c r="FA370" s="129"/>
      <c r="FB370" s="129"/>
      <c r="FC370" s="129"/>
      <c r="FD370" s="129"/>
      <c r="FE370" s="129"/>
      <c r="FF370" s="129"/>
      <c r="FG370" s="129"/>
      <c r="FH370" s="129"/>
      <c r="FI370" s="129"/>
      <c r="FJ370" s="129"/>
      <c r="FK370" s="129"/>
      <c r="FL370" s="129"/>
      <c r="FM370" s="129"/>
      <c r="FN370" s="129"/>
      <c r="FO370" s="129"/>
      <c r="FP370" s="129"/>
      <c r="FQ370" s="129"/>
      <c r="FR370" s="129"/>
      <c r="FS370" s="129"/>
      <c r="FT370" s="129"/>
      <c r="FU370" s="129"/>
      <c r="FV370" s="129"/>
      <c r="FW370" s="129"/>
      <c r="FX370" s="129"/>
      <c r="FY370" s="129"/>
      <c r="FZ370" s="129"/>
      <c r="GA370" s="129"/>
      <c r="GB370" s="129"/>
      <c r="GC370" s="129"/>
      <c r="GD370" s="129"/>
      <c r="GE370" s="129"/>
      <c r="GF370" s="129"/>
      <c r="GG370" s="129"/>
      <c r="GH370" s="129"/>
      <c r="GI370" s="129"/>
      <c r="GJ370" s="129"/>
      <c r="GK370" s="129"/>
      <c r="GL370" s="129"/>
      <c r="GM370" s="129"/>
      <c r="GN370" s="129"/>
      <c r="GO370" s="129"/>
      <c r="GP370" s="129"/>
      <c r="GQ370" s="129"/>
      <c r="GR370" s="129"/>
      <c r="GS370" s="129"/>
      <c r="GT370" s="129"/>
      <c r="GU370" s="129"/>
      <c r="GV370" s="129"/>
      <c r="GW370" s="129"/>
    </row>
    <row r="371" spans="57:205">
      <c r="BE371" s="129"/>
      <c r="BF371" s="129"/>
      <c r="BG371" s="129"/>
      <c r="BH371" s="129"/>
      <c r="BI371" s="129"/>
      <c r="BJ371" s="129"/>
      <c r="BK371" s="129"/>
      <c r="BL371" s="129"/>
      <c r="BM371" s="129"/>
      <c r="BN371" s="129"/>
      <c r="BO371" s="129"/>
      <c r="BP371" s="129"/>
      <c r="BQ371" s="129"/>
      <c r="BR371" s="129"/>
      <c r="BT371" s="129"/>
      <c r="BV371" s="129"/>
      <c r="BW371" s="129"/>
      <c r="BX371" s="152"/>
      <c r="CA371" s="129"/>
      <c r="CB371" s="129"/>
      <c r="CC371" s="129"/>
      <c r="CD371" s="129"/>
      <c r="CE371" s="129"/>
      <c r="CF371" s="129"/>
      <c r="CG371" s="129"/>
      <c r="CH371" s="129"/>
      <c r="CK371" s="129"/>
      <c r="CL371" s="129"/>
      <c r="CM371" s="129"/>
      <c r="CN371" s="129"/>
      <c r="CO371" s="129"/>
      <c r="CP371" s="129"/>
      <c r="CQ371" s="129"/>
      <c r="CR371" s="129"/>
      <c r="CS371" s="129"/>
      <c r="CT371" s="129"/>
      <c r="CU371" s="129"/>
      <c r="CV371" s="129"/>
      <c r="CW371" s="129"/>
      <c r="CX371" s="129"/>
      <c r="CY371" s="129"/>
      <c r="CZ371" s="129"/>
      <c r="DA371" s="129"/>
      <c r="DB371" s="129"/>
      <c r="DC371" s="129"/>
      <c r="DD371" s="129"/>
      <c r="DE371" s="129"/>
      <c r="DF371" s="129"/>
      <c r="DG371" s="129"/>
      <c r="DH371" s="129"/>
      <c r="DI371" s="129"/>
      <c r="DJ371" s="129"/>
      <c r="DK371" s="129"/>
      <c r="DL371" s="129"/>
      <c r="DM371" s="129"/>
      <c r="DN371" s="129"/>
      <c r="DO371" s="129"/>
      <c r="DP371" s="129"/>
      <c r="DQ371" s="129"/>
      <c r="DR371" s="129"/>
      <c r="DS371" s="129"/>
      <c r="DT371" s="129"/>
      <c r="DU371" s="129"/>
      <c r="DV371" s="129"/>
      <c r="DW371" s="129"/>
      <c r="DX371" s="129"/>
      <c r="DY371" s="129"/>
      <c r="DZ371" s="129"/>
      <c r="EA371" s="129"/>
      <c r="EB371" s="129"/>
      <c r="EC371" s="129"/>
      <c r="ED371" s="129"/>
      <c r="EE371" s="129"/>
      <c r="EF371" s="129"/>
      <c r="EG371" s="129"/>
      <c r="EH371" s="129"/>
      <c r="EI371" s="129"/>
      <c r="EJ371" s="129"/>
      <c r="EK371" s="129"/>
      <c r="EL371" s="129"/>
      <c r="EM371" s="129"/>
      <c r="EN371" s="129"/>
      <c r="EO371" s="129"/>
      <c r="EP371" s="129"/>
      <c r="EQ371" s="129"/>
      <c r="ER371" s="129"/>
      <c r="ES371" s="129"/>
      <c r="ET371" s="129"/>
      <c r="EU371" s="129"/>
      <c r="EV371" s="129"/>
      <c r="EW371" s="129"/>
      <c r="EX371" s="129"/>
      <c r="EY371" s="129"/>
      <c r="EZ371" s="129"/>
      <c r="FA371" s="129"/>
      <c r="FB371" s="129"/>
      <c r="FC371" s="129"/>
      <c r="FD371" s="129"/>
      <c r="FE371" s="129"/>
      <c r="FF371" s="129"/>
      <c r="FG371" s="129"/>
      <c r="FH371" s="129"/>
      <c r="FI371" s="129"/>
      <c r="FJ371" s="129"/>
      <c r="FK371" s="129"/>
      <c r="FL371" s="129"/>
      <c r="FM371" s="129"/>
      <c r="FN371" s="129"/>
      <c r="FO371" s="129"/>
      <c r="FP371" s="129"/>
      <c r="FQ371" s="129"/>
      <c r="FR371" s="129"/>
      <c r="FS371" s="129"/>
      <c r="FT371" s="129"/>
      <c r="FU371" s="129"/>
      <c r="FV371" s="129"/>
      <c r="FW371" s="129"/>
      <c r="FX371" s="129"/>
      <c r="FY371" s="129"/>
      <c r="FZ371" s="129"/>
      <c r="GA371" s="129"/>
      <c r="GB371" s="129"/>
      <c r="GC371" s="129"/>
      <c r="GD371" s="129"/>
      <c r="GE371" s="129"/>
      <c r="GF371" s="129"/>
      <c r="GG371" s="129"/>
      <c r="GH371" s="129"/>
      <c r="GI371" s="129"/>
      <c r="GJ371" s="129"/>
      <c r="GK371" s="129"/>
      <c r="GL371" s="129"/>
      <c r="GM371" s="129"/>
      <c r="GN371" s="129"/>
      <c r="GO371" s="129"/>
      <c r="GP371" s="129"/>
      <c r="GQ371" s="129"/>
      <c r="GR371" s="129"/>
      <c r="GS371" s="129"/>
      <c r="GT371" s="129"/>
      <c r="GU371" s="129"/>
      <c r="GV371" s="129"/>
      <c r="GW371" s="129"/>
    </row>
    <row r="372" spans="57:205">
      <c r="BE372" s="129"/>
      <c r="BF372" s="129"/>
      <c r="BG372" s="129"/>
      <c r="BH372" s="129"/>
      <c r="BI372" s="129"/>
      <c r="BJ372" s="129"/>
      <c r="BK372" s="129"/>
      <c r="BL372" s="129"/>
      <c r="BM372" s="129"/>
      <c r="BN372" s="129"/>
      <c r="BO372" s="129"/>
      <c r="BT372" s="129"/>
      <c r="BW372" s="129"/>
      <c r="BX372" s="152"/>
      <c r="CA372" s="129"/>
      <c r="CC372" s="129"/>
      <c r="CD372" s="129"/>
      <c r="CE372" s="129"/>
      <c r="CG372" s="129"/>
      <c r="CK372" s="129"/>
      <c r="CL372" s="129"/>
      <c r="CM372" s="129"/>
      <c r="CN372" s="129"/>
      <c r="CO372" s="129"/>
      <c r="CP372" s="129"/>
      <c r="CQ372" s="129"/>
      <c r="CR372" s="129"/>
      <c r="CS372" s="129"/>
      <c r="CT372" s="129"/>
      <c r="CU372" s="129"/>
      <c r="CV372" s="129"/>
      <c r="CW372" s="129"/>
      <c r="CX372" s="129"/>
      <c r="CY372" s="129"/>
      <c r="CZ372" s="129"/>
      <c r="DA372" s="129"/>
      <c r="DB372" s="129"/>
      <c r="DC372" s="129"/>
      <c r="DD372" s="129"/>
      <c r="DE372" s="129"/>
      <c r="DF372" s="129"/>
      <c r="DG372" s="129"/>
      <c r="DH372" s="129"/>
      <c r="DI372" s="129"/>
      <c r="DJ372" s="129"/>
      <c r="DK372" s="129"/>
      <c r="DL372" s="129"/>
      <c r="DM372" s="129"/>
      <c r="DN372" s="129"/>
      <c r="DO372" s="129"/>
      <c r="DP372" s="129"/>
      <c r="DQ372" s="129"/>
      <c r="DR372" s="129"/>
      <c r="DS372" s="129"/>
      <c r="DT372" s="129"/>
      <c r="DU372" s="129"/>
      <c r="DV372" s="129"/>
      <c r="DW372" s="129"/>
      <c r="DX372" s="129"/>
      <c r="DY372" s="129"/>
      <c r="DZ372" s="129"/>
      <c r="EA372" s="129"/>
      <c r="EB372" s="129"/>
      <c r="EC372" s="129"/>
      <c r="ED372" s="129"/>
      <c r="EE372" s="129"/>
      <c r="EF372" s="129"/>
      <c r="EG372" s="129"/>
      <c r="EH372" s="129"/>
      <c r="EI372" s="129"/>
      <c r="EJ372" s="129"/>
      <c r="EK372" s="129"/>
      <c r="EL372" s="129"/>
      <c r="EM372" s="129"/>
      <c r="EN372" s="129"/>
      <c r="EO372" s="129"/>
      <c r="EP372" s="129"/>
      <c r="EQ372" s="129"/>
      <c r="ER372" s="129"/>
      <c r="ES372" s="129"/>
      <c r="ET372" s="129"/>
      <c r="EU372" s="129"/>
      <c r="EV372" s="129"/>
      <c r="EW372" s="129"/>
      <c r="EX372" s="129"/>
      <c r="EY372" s="129"/>
      <c r="EZ372" s="129"/>
      <c r="FA372" s="129"/>
      <c r="FB372" s="129"/>
      <c r="FC372" s="129"/>
      <c r="FD372" s="129"/>
      <c r="FE372" s="129"/>
      <c r="FF372" s="129"/>
      <c r="FG372" s="129"/>
      <c r="FH372" s="129"/>
      <c r="FI372" s="129"/>
      <c r="FJ372" s="129"/>
      <c r="FK372" s="129"/>
      <c r="FL372" s="129"/>
      <c r="FM372" s="129"/>
      <c r="FN372" s="129"/>
      <c r="FO372" s="129"/>
      <c r="FP372" s="129"/>
      <c r="FQ372" s="129"/>
      <c r="FR372" s="129"/>
      <c r="FS372" s="129"/>
      <c r="FT372" s="129"/>
      <c r="FU372" s="129"/>
      <c r="FV372" s="129"/>
      <c r="FW372" s="129"/>
      <c r="FX372" s="129"/>
      <c r="FY372" s="129"/>
      <c r="FZ372" s="129"/>
      <c r="GA372" s="129"/>
      <c r="GB372" s="129"/>
      <c r="GC372" s="129"/>
      <c r="GD372" s="129"/>
      <c r="GE372" s="129"/>
      <c r="GF372" s="129"/>
      <c r="GG372" s="129"/>
      <c r="GH372" s="129"/>
      <c r="GI372" s="129"/>
      <c r="GJ372" s="129"/>
      <c r="GK372" s="129"/>
      <c r="GL372" s="129"/>
      <c r="GM372" s="129"/>
      <c r="GN372" s="129"/>
      <c r="GO372" s="129"/>
      <c r="GP372" s="129"/>
      <c r="GQ372" s="129"/>
      <c r="GR372" s="129"/>
      <c r="GS372" s="129"/>
      <c r="GT372" s="129"/>
      <c r="GU372" s="129"/>
      <c r="GV372" s="129"/>
      <c r="GW372" s="129"/>
    </row>
    <row r="373" spans="57:205">
      <c r="BE373" s="129"/>
      <c r="BF373" s="129"/>
      <c r="BG373" s="129"/>
      <c r="BH373" s="129"/>
      <c r="BI373" s="129"/>
      <c r="BJ373" s="129"/>
      <c r="BK373" s="129"/>
      <c r="BL373" s="129"/>
      <c r="BM373" s="129"/>
      <c r="BN373" s="129"/>
      <c r="BO373" s="129"/>
      <c r="BW373" s="129"/>
      <c r="CA373" s="129"/>
      <c r="CD373" s="129"/>
      <c r="CE373" s="129"/>
      <c r="CG373" s="129"/>
      <c r="CK373" s="129"/>
      <c r="CL373" s="129"/>
      <c r="CM373" s="129"/>
      <c r="CN373" s="129"/>
      <c r="CO373" s="129"/>
      <c r="CP373" s="129"/>
      <c r="CQ373" s="129"/>
      <c r="CR373" s="129"/>
      <c r="CS373" s="129"/>
      <c r="CT373" s="129"/>
      <c r="CU373" s="129"/>
      <c r="CV373" s="129"/>
      <c r="CW373" s="129"/>
      <c r="CX373" s="129"/>
      <c r="CY373" s="129"/>
      <c r="CZ373" s="129"/>
      <c r="DA373" s="129"/>
      <c r="DB373" s="129"/>
      <c r="DC373" s="129"/>
      <c r="DD373" s="129"/>
      <c r="DE373" s="129"/>
      <c r="DF373" s="129"/>
      <c r="DG373" s="129"/>
      <c r="DH373" s="129"/>
      <c r="DI373" s="129"/>
      <c r="DJ373" s="129"/>
      <c r="DK373" s="129"/>
      <c r="DL373" s="129"/>
      <c r="DM373" s="129"/>
      <c r="DN373" s="129"/>
      <c r="DO373" s="129"/>
      <c r="DP373" s="129"/>
      <c r="DQ373" s="129"/>
      <c r="DR373" s="129"/>
      <c r="DS373" s="129"/>
      <c r="DT373" s="129"/>
      <c r="DU373" s="129"/>
      <c r="DV373" s="129"/>
      <c r="DW373" s="129"/>
      <c r="DX373" s="129"/>
      <c r="DY373" s="129"/>
      <c r="DZ373" s="129"/>
      <c r="EA373" s="129"/>
      <c r="EB373" s="129"/>
      <c r="EC373" s="129"/>
      <c r="ED373" s="129"/>
      <c r="EE373" s="129"/>
      <c r="EF373" s="129"/>
      <c r="EG373" s="129"/>
      <c r="EH373" s="129"/>
      <c r="EI373" s="129"/>
      <c r="EJ373" s="129"/>
      <c r="EK373" s="129"/>
      <c r="EL373" s="129"/>
      <c r="EM373" s="129"/>
      <c r="EN373" s="129"/>
      <c r="EO373" s="129"/>
      <c r="EP373" s="129"/>
      <c r="EQ373" s="129"/>
      <c r="ER373" s="129"/>
      <c r="ES373" s="129"/>
      <c r="ET373" s="129"/>
      <c r="EU373" s="129"/>
      <c r="EV373" s="129"/>
      <c r="EW373" s="129"/>
      <c r="EX373" s="129"/>
      <c r="EY373" s="129"/>
      <c r="EZ373" s="129"/>
      <c r="FA373" s="129"/>
      <c r="FB373" s="129"/>
      <c r="FC373" s="129"/>
      <c r="FD373" s="129"/>
      <c r="FE373" s="129"/>
      <c r="FF373" s="129"/>
      <c r="FG373" s="129"/>
      <c r="FH373" s="129"/>
      <c r="FI373" s="129"/>
      <c r="FJ373" s="129"/>
      <c r="FK373" s="129"/>
      <c r="FL373" s="129"/>
      <c r="FM373" s="129"/>
      <c r="FN373" s="129"/>
      <c r="FO373" s="129"/>
      <c r="FP373" s="129"/>
      <c r="FQ373" s="129"/>
      <c r="FR373" s="129"/>
      <c r="FS373" s="129"/>
      <c r="FT373" s="129"/>
      <c r="FU373" s="129"/>
      <c r="FV373" s="129"/>
      <c r="FW373" s="129"/>
      <c r="FX373" s="129"/>
      <c r="FY373" s="129"/>
      <c r="FZ373" s="129"/>
      <c r="GA373" s="129"/>
      <c r="GB373" s="129"/>
      <c r="GC373" s="129"/>
      <c r="GD373" s="129"/>
      <c r="GE373" s="129"/>
      <c r="GF373" s="129"/>
      <c r="GG373" s="129"/>
      <c r="GH373" s="129"/>
      <c r="GI373" s="129"/>
      <c r="GJ373" s="129"/>
      <c r="GK373" s="129"/>
      <c r="GL373" s="129"/>
      <c r="GM373" s="129"/>
      <c r="GN373" s="129"/>
      <c r="GO373" s="129"/>
      <c r="GP373" s="129"/>
      <c r="GQ373" s="129"/>
      <c r="GR373" s="129"/>
      <c r="GS373" s="129"/>
      <c r="GT373" s="129"/>
      <c r="GU373" s="129"/>
      <c r="GV373" s="129"/>
      <c r="GW373" s="129"/>
    </row>
    <row r="374" spans="57:205">
      <c r="BE374" s="129"/>
      <c r="BF374" s="129"/>
      <c r="BG374" s="129"/>
      <c r="BH374" s="129"/>
      <c r="BI374" s="129"/>
      <c r="BJ374" s="129"/>
      <c r="BK374" s="129"/>
      <c r="BL374" s="129"/>
      <c r="BM374" s="129"/>
      <c r="BN374" s="129"/>
      <c r="BO374" s="129"/>
      <c r="CE374" s="129"/>
      <c r="CK374" s="129"/>
      <c r="CL374" s="129"/>
      <c r="CM374" s="129"/>
      <c r="CN374" s="129"/>
      <c r="CO374" s="129"/>
      <c r="CP374" s="129"/>
      <c r="CQ374" s="129"/>
      <c r="CR374" s="129"/>
      <c r="CS374" s="129"/>
      <c r="CT374" s="129"/>
      <c r="CU374" s="129"/>
      <c r="CV374" s="129"/>
      <c r="CW374" s="129"/>
      <c r="CX374" s="129"/>
      <c r="CY374" s="129"/>
      <c r="CZ374" s="129"/>
      <c r="DA374" s="129"/>
      <c r="DB374" s="129"/>
      <c r="DC374" s="129"/>
      <c r="DD374" s="129"/>
      <c r="DE374" s="129"/>
      <c r="DF374" s="129"/>
      <c r="DG374" s="129"/>
      <c r="DH374" s="129"/>
      <c r="DI374" s="129"/>
      <c r="DJ374" s="129"/>
      <c r="DK374" s="129"/>
      <c r="DL374" s="129"/>
      <c r="DM374" s="129"/>
      <c r="DN374" s="129"/>
      <c r="DO374" s="129"/>
      <c r="DP374" s="129"/>
      <c r="DQ374" s="129"/>
      <c r="DR374" s="129"/>
      <c r="DS374" s="129"/>
      <c r="DT374" s="129"/>
      <c r="DU374" s="129"/>
      <c r="DV374" s="129"/>
      <c r="DW374" s="129"/>
      <c r="DX374" s="129"/>
      <c r="DY374" s="129"/>
      <c r="DZ374" s="129"/>
      <c r="EA374" s="129"/>
      <c r="EB374" s="129"/>
      <c r="EC374" s="129"/>
      <c r="ED374" s="129"/>
      <c r="EE374" s="129"/>
      <c r="EF374" s="129"/>
      <c r="EG374" s="129"/>
      <c r="EH374" s="129"/>
      <c r="EI374" s="129"/>
      <c r="EJ374" s="129"/>
      <c r="EK374" s="129"/>
      <c r="EL374" s="129"/>
      <c r="EM374" s="129"/>
      <c r="EN374" s="129"/>
      <c r="EO374" s="129"/>
      <c r="EP374" s="129"/>
      <c r="EQ374" s="129"/>
      <c r="ER374" s="129"/>
      <c r="ES374" s="129"/>
      <c r="ET374" s="129"/>
      <c r="EU374" s="129"/>
      <c r="EV374" s="129"/>
      <c r="EW374" s="129"/>
      <c r="EX374" s="129"/>
      <c r="EY374" s="129"/>
      <c r="EZ374" s="129"/>
      <c r="FA374" s="129"/>
      <c r="FB374" s="129"/>
      <c r="FC374" s="129"/>
      <c r="FD374" s="129"/>
      <c r="FE374" s="129"/>
      <c r="FF374" s="129"/>
      <c r="FG374" s="129"/>
      <c r="FH374" s="129"/>
      <c r="FI374" s="129"/>
      <c r="FJ374" s="129"/>
      <c r="FK374" s="129"/>
      <c r="FL374" s="129"/>
      <c r="FM374" s="129"/>
      <c r="FN374" s="129"/>
      <c r="FO374" s="129"/>
      <c r="FP374" s="129"/>
      <c r="FQ374" s="129"/>
      <c r="FR374" s="129"/>
      <c r="FS374" s="129"/>
      <c r="FT374" s="129"/>
      <c r="FU374" s="129"/>
      <c r="FV374" s="129"/>
      <c r="FW374" s="129"/>
      <c r="FX374" s="129"/>
      <c r="FY374" s="129"/>
      <c r="FZ374" s="129"/>
      <c r="GA374" s="129"/>
      <c r="GB374" s="129"/>
      <c r="GC374" s="129"/>
      <c r="GD374" s="129"/>
      <c r="GE374" s="129"/>
      <c r="GF374" s="129"/>
      <c r="GG374" s="129"/>
      <c r="GH374" s="129"/>
      <c r="GI374" s="129"/>
      <c r="GJ374" s="129"/>
      <c r="GK374" s="129"/>
      <c r="GL374" s="129"/>
      <c r="GM374" s="129"/>
      <c r="GN374" s="129"/>
      <c r="GO374" s="129"/>
      <c r="GP374" s="129"/>
      <c r="GQ374" s="129"/>
      <c r="GR374" s="129"/>
      <c r="GS374" s="129"/>
      <c r="GT374" s="129"/>
      <c r="GU374" s="129"/>
      <c r="GV374" s="129"/>
      <c r="GW374" s="129"/>
    </row>
    <row r="375" spans="57:205">
      <c r="BE375" s="129"/>
      <c r="BF375" s="129"/>
      <c r="BG375" s="129"/>
      <c r="BH375" s="129"/>
      <c r="BI375" s="129"/>
      <c r="BJ375" s="129"/>
      <c r="BK375" s="129"/>
      <c r="BL375" s="129"/>
      <c r="BM375" s="129"/>
      <c r="BN375" s="129"/>
      <c r="BO375" s="129"/>
      <c r="CE375" s="129"/>
      <c r="CK375" s="129"/>
      <c r="CL375" s="129"/>
      <c r="CO375" s="129"/>
      <c r="CP375" s="129"/>
      <c r="CQ375" s="129"/>
      <c r="CR375" s="129"/>
      <c r="CS375" s="129"/>
      <c r="CT375" s="129"/>
      <c r="CU375" s="129"/>
      <c r="CV375" s="129"/>
      <c r="CW375" s="129"/>
      <c r="CX375" s="129"/>
      <c r="CY375" s="129"/>
      <c r="CZ375" s="129"/>
      <c r="DA375" s="129"/>
      <c r="DB375" s="129"/>
      <c r="DC375" s="129"/>
      <c r="DD375" s="129"/>
      <c r="DE375" s="129"/>
      <c r="DF375" s="129"/>
      <c r="DG375" s="129"/>
      <c r="DH375" s="129"/>
      <c r="DI375" s="129"/>
      <c r="DJ375" s="129"/>
      <c r="DK375" s="129"/>
      <c r="DL375" s="129"/>
      <c r="DM375" s="129"/>
      <c r="DN375" s="129"/>
      <c r="DO375" s="129"/>
      <c r="DP375" s="129"/>
      <c r="DQ375" s="129"/>
      <c r="DR375" s="129"/>
      <c r="DS375" s="129"/>
      <c r="DT375" s="129"/>
      <c r="DU375" s="129"/>
      <c r="DV375" s="129"/>
      <c r="DW375" s="129"/>
      <c r="DX375" s="129"/>
      <c r="DY375" s="129"/>
      <c r="DZ375" s="129"/>
      <c r="EA375" s="129"/>
      <c r="EB375" s="129"/>
      <c r="EC375" s="129"/>
      <c r="ED375" s="129"/>
      <c r="EE375" s="129"/>
      <c r="EF375" s="129"/>
      <c r="EG375" s="129"/>
      <c r="EH375" s="129"/>
      <c r="EI375" s="129"/>
      <c r="EJ375" s="129"/>
      <c r="EK375" s="129"/>
      <c r="EL375" s="129"/>
      <c r="EM375" s="129"/>
      <c r="EN375" s="129"/>
      <c r="EO375" s="129"/>
      <c r="EP375" s="129"/>
      <c r="EQ375" s="129"/>
      <c r="ER375" s="129"/>
      <c r="ES375" s="129"/>
      <c r="ET375" s="129"/>
      <c r="EU375" s="129"/>
      <c r="EV375" s="129"/>
      <c r="EW375" s="129"/>
      <c r="EX375" s="129"/>
      <c r="EY375" s="129"/>
      <c r="EZ375" s="129"/>
      <c r="FA375" s="129"/>
      <c r="FB375" s="129"/>
      <c r="FC375" s="129"/>
      <c r="FD375" s="129"/>
      <c r="FE375" s="129"/>
      <c r="FF375" s="129"/>
      <c r="FG375" s="129"/>
      <c r="FH375" s="129"/>
      <c r="FI375" s="129"/>
      <c r="FJ375" s="129"/>
      <c r="FK375" s="129"/>
      <c r="FL375" s="129"/>
      <c r="FM375" s="129"/>
      <c r="FN375" s="129"/>
      <c r="FO375" s="129"/>
      <c r="FP375" s="129"/>
      <c r="FQ375" s="129"/>
      <c r="FR375" s="129"/>
      <c r="FS375" s="129"/>
      <c r="FT375" s="129"/>
      <c r="FU375" s="129"/>
      <c r="FV375" s="129"/>
      <c r="FW375" s="129"/>
      <c r="FX375" s="129"/>
      <c r="FY375" s="129"/>
      <c r="FZ375" s="129"/>
      <c r="GA375" s="129"/>
      <c r="GB375" s="129"/>
      <c r="GC375" s="129"/>
      <c r="GD375" s="129"/>
      <c r="GE375" s="129"/>
      <c r="GF375" s="129"/>
      <c r="GG375" s="129"/>
      <c r="GH375" s="129"/>
      <c r="GI375" s="129"/>
      <c r="GJ375" s="129"/>
      <c r="GK375" s="129"/>
      <c r="GL375" s="129"/>
      <c r="GM375" s="129"/>
      <c r="GN375" s="129"/>
      <c r="GO375" s="129"/>
      <c r="GP375" s="129"/>
      <c r="GQ375" s="129"/>
      <c r="GR375" s="129"/>
      <c r="GS375" s="129"/>
      <c r="GT375" s="129"/>
      <c r="GU375" s="129"/>
      <c r="GV375" s="129"/>
      <c r="GW375" s="129"/>
    </row>
    <row r="376" spans="57:205">
      <c r="BE376" s="129"/>
      <c r="BF376" s="129"/>
      <c r="BG376" s="129"/>
      <c r="BH376" s="129"/>
      <c r="BI376" s="129"/>
      <c r="BJ376" s="129"/>
      <c r="BK376" s="129"/>
      <c r="BL376" s="129"/>
      <c r="BM376" s="129"/>
      <c r="BN376" s="129"/>
      <c r="BO376" s="129"/>
      <c r="CO376" s="129"/>
      <c r="CP376" s="129"/>
      <c r="CQ376" s="129"/>
      <c r="CR376" s="129"/>
      <c r="CS376" s="129"/>
      <c r="CT376" s="129"/>
      <c r="CU376" s="129"/>
      <c r="CV376" s="129"/>
      <c r="CW376" s="129"/>
      <c r="CX376" s="129"/>
      <c r="CY376" s="129"/>
      <c r="CZ376" s="129"/>
      <c r="DA376" s="129"/>
      <c r="DB376" s="129"/>
      <c r="DC376" s="129"/>
      <c r="DD376" s="129"/>
      <c r="DE376" s="129"/>
      <c r="DF376" s="129"/>
      <c r="DG376" s="129"/>
      <c r="DH376" s="129"/>
      <c r="DI376" s="129"/>
      <c r="DJ376" s="129"/>
      <c r="DK376" s="129"/>
      <c r="DL376" s="129"/>
      <c r="DM376" s="129"/>
      <c r="DN376" s="129"/>
      <c r="DO376" s="129"/>
      <c r="DP376" s="129"/>
      <c r="DQ376" s="129"/>
      <c r="DR376" s="129"/>
      <c r="DS376" s="129"/>
      <c r="DT376" s="129"/>
      <c r="DU376" s="129"/>
      <c r="DV376" s="129"/>
      <c r="DW376" s="129"/>
      <c r="DX376" s="129"/>
      <c r="DY376" s="129"/>
      <c r="DZ376" s="129"/>
      <c r="EA376" s="129"/>
      <c r="EB376" s="129"/>
      <c r="EC376" s="129"/>
      <c r="ED376" s="129"/>
      <c r="EE376" s="129"/>
      <c r="EF376" s="129"/>
      <c r="EG376" s="129"/>
      <c r="EH376" s="129"/>
      <c r="EI376" s="129"/>
      <c r="EJ376" s="129"/>
      <c r="EK376" s="129"/>
      <c r="EL376" s="129"/>
      <c r="EM376" s="129"/>
      <c r="EN376" s="129"/>
      <c r="EO376" s="129"/>
      <c r="EP376" s="129"/>
      <c r="EQ376" s="129"/>
      <c r="ER376" s="129"/>
      <c r="ES376" s="129"/>
      <c r="ET376" s="129"/>
      <c r="EU376" s="129"/>
      <c r="EV376" s="129"/>
      <c r="EW376" s="129"/>
      <c r="EX376" s="129"/>
      <c r="EY376" s="129"/>
      <c r="EZ376" s="129"/>
      <c r="FA376" s="129"/>
      <c r="FB376" s="129"/>
      <c r="FC376" s="129"/>
      <c r="FD376" s="129"/>
      <c r="FE376" s="129"/>
      <c r="FF376" s="129"/>
      <c r="FG376" s="129"/>
      <c r="FH376" s="129"/>
      <c r="FI376" s="129"/>
      <c r="FJ376" s="129"/>
      <c r="FK376" s="129"/>
      <c r="FL376" s="129"/>
      <c r="FM376" s="129"/>
      <c r="FN376" s="129"/>
      <c r="FO376" s="129"/>
      <c r="FP376" s="129"/>
      <c r="FQ376" s="129"/>
      <c r="FR376" s="129"/>
      <c r="FS376" s="129"/>
      <c r="FT376" s="129"/>
      <c r="FU376" s="129"/>
      <c r="FV376" s="129"/>
      <c r="FW376" s="129"/>
      <c r="FX376" s="129"/>
      <c r="FY376" s="129"/>
      <c r="FZ376" s="129"/>
      <c r="GA376" s="129"/>
      <c r="GB376" s="129"/>
      <c r="GC376" s="129"/>
      <c r="GD376" s="129"/>
      <c r="GE376" s="129"/>
      <c r="GF376" s="129"/>
      <c r="GG376" s="129"/>
      <c r="GH376" s="129"/>
      <c r="GI376" s="129"/>
      <c r="GJ376" s="129"/>
      <c r="GK376" s="129"/>
      <c r="GL376" s="129"/>
      <c r="GM376" s="129"/>
      <c r="GN376" s="129"/>
      <c r="GO376" s="129"/>
      <c r="GP376" s="129"/>
      <c r="GQ376" s="129"/>
      <c r="GR376" s="129"/>
      <c r="GS376" s="129"/>
      <c r="GT376" s="129"/>
      <c r="GU376" s="129"/>
      <c r="GV376" s="129"/>
      <c r="GW376" s="129"/>
    </row>
    <row r="377" spans="57:205">
      <c r="BE377" s="129"/>
      <c r="BF377" s="129"/>
      <c r="BG377" s="129"/>
      <c r="BH377" s="129"/>
      <c r="BI377" s="129"/>
      <c r="BJ377" s="129"/>
      <c r="BK377" s="129"/>
      <c r="BL377" s="129"/>
      <c r="BM377" s="129"/>
      <c r="BN377" s="129"/>
      <c r="BO377" s="129"/>
      <c r="CP377" s="129"/>
      <c r="CQ377" s="129"/>
      <c r="CR377" s="129"/>
      <c r="CS377" s="129"/>
      <c r="CT377" s="129"/>
      <c r="CU377" s="129"/>
      <c r="CV377" s="129"/>
      <c r="CW377" s="129"/>
      <c r="CX377" s="129"/>
      <c r="CY377" s="129"/>
      <c r="CZ377" s="129"/>
      <c r="DA377" s="129"/>
      <c r="DB377" s="129"/>
      <c r="DC377" s="129"/>
      <c r="DD377" s="129"/>
      <c r="DE377" s="129"/>
      <c r="DF377" s="129"/>
      <c r="DG377" s="129"/>
      <c r="DH377" s="129"/>
      <c r="DI377" s="129"/>
      <c r="DJ377" s="129"/>
      <c r="DK377" s="129"/>
      <c r="DL377" s="129"/>
      <c r="DM377" s="129"/>
      <c r="DN377" s="129"/>
      <c r="DO377" s="129"/>
      <c r="DP377" s="129"/>
      <c r="DQ377" s="129"/>
      <c r="DR377" s="129"/>
      <c r="DS377" s="129"/>
      <c r="DT377" s="129"/>
      <c r="DU377" s="129"/>
      <c r="DV377" s="129"/>
      <c r="DW377" s="129"/>
      <c r="DX377" s="129"/>
      <c r="DY377" s="129"/>
      <c r="DZ377" s="129"/>
      <c r="EA377" s="129"/>
      <c r="EB377" s="129"/>
      <c r="EC377" s="129"/>
      <c r="ED377" s="129"/>
      <c r="EE377" s="129"/>
      <c r="EF377" s="129"/>
      <c r="EG377" s="129"/>
      <c r="EH377" s="129"/>
      <c r="EI377" s="129"/>
      <c r="EJ377" s="129"/>
      <c r="EK377" s="129"/>
      <c r="EL377" s="129"/>
      <c r="EM377" s="129"/>
      <c r="EN377" s="129"/>
      <c r="EO377" s="129"/>
      <c r="EP377" s="129"/>
      <c r="EQ377" s="129"/>
      <c r="ER377" s="129"/>
      <c r="ES377" s="129"/>
      <c r="ET377" s="129"/>
      <c r="EU377" s="129"/>
      <c r="EV377" s="129"/>
      <c r="EW377" s="129"/>
      <c r="EX377" s="129"/>
      <c r="EY377" s="129"/>
      <c r="EZ377" s="129"/>
      <c r="FA377" s="129"/>
      <c r="FB377" s="129"/>
      <c r="FC377" s="129"/>
      <c r="FD377" s="129"/>
      <c r="FE377" s="129"/>
      <c r="FF377" s="129"/>
      <c r="FG377" s="129"/>
      <c r="FH377" s="129"/>
      <c r="FI377" s="129"/>
      <c r="FJ377" s="129"/>
      <c r="FK377" s="129"/>
      <c r="FL377" s="129"/>
      <c r="FM377" s="129"/>
      <c r="FN377" s="129"/>
      <c r="FO377" s="129"/>
      <c r="FP377" s="129"/>
      <c r="FQ377" s="129"/>
      <c r="FR377" s="129"/>
      <c r="FS377" s="129"/>
      <c r="FT377" s="129"/>
      <c r="FU377" s="129"/>
      <c r="FV377" s="129"/>
      <c r="FW377" s="129"/>
      <c r="FX377" s="129"/>
      <c r="FY377" s="129"/>
      <c r="FZ377" s="129"/>
      <c r="GA377" s="129"/>
      <c r="GB377" s="129"/>
      <c r="GC377" s="129"/>
      <c r="GD377" s="129"/>
      <c r="GE377" s="129"/>
      <c r="GF377" s="129"/>
      <c r="GG377" s="129"/>
      <c r="GH377" s="129"/>
      <c r="GI377" s="129"/>
      <c r="GJ377" s="129"/>
      <c r="GK377" s="129"/>
      <c r="GL377" s="129"/>
      <c r="GM377" s="129"/>
      <c r="GN377" s="129"/>
      <c r="GO377" s="129"/>
      <c r="GP377" s="129"/>
      <c r="GQ377" s="129"/>
      <c r="GR377" s="129"/>
      <c r="GS377" s="129"/>
      <c r="GT377" s="129"/>
      <c r="GU377" s="129"/>
      <c r="GV377" s="129"/>
      <c r="GW377" s="129"/>
    </row>
    <row r="378" spans="57:205">
      <c r="BE378" s="129"/>
      <c r="BF378" s="129"/>
      <c r="BG378" s="129"/>
      <c r="BH378" s="129"/>
      <c r="BI378" s="129"/>
      <c r="BJ378" s="129"/>
      <c r="BK378" s="129"/>
      <c r="BL378" s="129"/>
      <c r="BM378" s="129"/>
      <c r="BN378" s="129"/>
      <c r="BO378" s="129"/>
      <c r="CP378" s="129"/>
      <c r="CQ378" s="129"/>
      <c r="CR378" s="129"/>
      <c r="CS378" s="129"/>
      <c r="CT378" s="129"/>
      <c r="CU378" s="129"/>
      <c r="CV378" s="129"/>
      <c r="CW378" s="129"/>
      <c r="CX378" s="129"/>
      <c r="CY378" s="129"/>
      <c r="CZ378" s="129"/>
      <c r="DA378" s="129"/>
      <c r="DB378" s="129"/>
      <c r="DC378" s="129"/>
      <c r="DD378" s="129"/>
      <c r="DE378" s="129"/>
      <c r="DF378" s="129"/>
      <c r="DG378" s="129"/>
      <c r="DH378" s="129"/>
      <c r="DI378" s="129"/>
      <c r="DJ378" s="129"/>
      <c r="DK378" s="129"/>
      <c r="DL378" s="129"/>
      <c r="DM378" s="129"/>
      <c r="DN378" s="129"/>
      <c r="DO378" s="129"/>
      <c r="DP378" s="129"/>
      <c r="DQ378" s="129"/>
      <c r="DR378" s="129"/>
      <c r="DS378" s="129"/>
      <c r="DT378" s="129"/>
      <c r="DU378" s="129"/>
      <c r="DV378" s="129"/>
      <c r="DW378" s="129"/>
      <c r="DX378" s="129"/>
      <c r="DY378" s="129"/>
      <c r="DZ378" s="129"/>
      <c r="EA378" s="129"/>
      <c r="EB378" s="129"/>
      <c r="EC378" s="129"/>
      <c r="ED378" s="129"/>
      <c r="EE378" s="129"/>
      <c r="EF378" s="129"/>
      <c r="EG378" s="129"/>
      <c r="EH378" s="129"/>
      <c r="EI378" s="129"/>
      <c r="EJ378" s="129"/>
      <c r="EK378" s="129"/>
      <c r="EL378" s="129"/>
      <c r="EM378" s="129"/>
      <c r="EN378" s="129"/>
      <c r="EO378" s="129"/>
      <c r="EP378" s="129"/>
      <c r="EQ378" s="129"/>
      <c r="ER378" s="129"/>
      <c r="ES378" s="129"/>
      <c r="ET378" s="129"/>
      <c r="EU378" s="129"/>
      <c r="EV378" s="129"/>
      <c r="EW378" s="129"/>
      <c r="EX378" s="129"/>
      <c r="EY378" s="129"/>
      <c r="EZ378" s="129"/>
      <c r="FA378" s="129"/>
      <c r="FB378" s="129"/>
      <c r="FC378" s="129"/>
      <c r="FD378" s="129"/>
      <c r="FE378" s="129"/>
      <c r="FF378" s="129"/>
      <c r="FG378" s="129"/>
      <c r="FH378" s="129"/>
      <c r="FI378" s="129"/>
      <c r="FJ378" s="129"/>
      <c r="FK378" s="129"/>
      <c r="FL378" s="129"/>
      <c r="FM378" s="129"/>
      <c r="FN378" s="129"/>
      <c r="FO378" s="129"/>
      <c r="FP378" s="129"/>
      <c r="FQ378" s="129"/>
      <c r="FR378" s="129"/>
      <c r="FS378" s="129"/>
      <c r="FT378" s="129"/>
      <c r="FU378" s="129"/>
      <c r="FV378" s="129"/>
      <c r="FW378" s="129"/>
      <c r="FX378" s="129"/>
      <c r="FY378" s="129"/>
      <c r="FZ378" s="129"/>
      <c r="GA378" s="129"/>
      <c r="GB378" s="129"/>
      <c r="GC378" s="129"/>
      <c r="GD378" s="129"/>
      <c r="GE378" s="129"/>
      <c r="GF378" s="129"/>
      <c r="GG378" s="129"/>
      <c r="GH378" s="129"/>
      <c r="GI378" s="129"/>
      <c r="GJ378" s="129"/>
      <c r="GK378" s="129"/>
      <c r="GL378" s="129"/>
      <c r="GM378" s="129"/>
      <c r="GN378" s="129"/>
      <c r="GO378" s="129"/>
      <c r="GP378" s="129"/>
      <c r="GQ378" s="129"/>
      <c r="GR378" s="129"/>
      <c r="GS378" s="129"/>
      <c r="GT378" s="129"/>
      <c r="GU378" s="129"/>
      <c r="GV378" s="129"/>
      <c r="GW378" s="129"/>
    </row>
    <row r="379" spans="57:205">
      <c r="BE379" s="129"/>
      <c r="BF379" s="129"/>
      <c r="BG379" s="129"/>
      <c r="BH379" s="129"/>
      <c r="BI379" s="129"/>
      <c r="BJ379" s="129"/>
      <c r="BK379" s="129"/>
      <c r="BL379" s="129"/>
      <c r="BM379" s="129"/>
      <c r="BN379" s="129"/>
      <c r="BO379" s="129"/>
      <c r="CP379" s="129"/>
      <c r="CQ379" s="129"/>
      <c r="CR379" s="129"/>
      <c r="CS379" s="129"/>
      <c r="CT379" s="129"/>
      <c r="CU379" s="129"/>
      <c r="CV379" s="129"/>
      <c r="CW379" s="129"/>
      <c r="CX379" s="129"/>
      <c r="CY379" s="129"/>
      <c r="CZ379" s="129"/>
      <c r="DA379" s="129"/>
      <c r="DB379" s="129"/>
      <c r="DC379" s="129"/>
      <c r="DD379" s="129"/>
      <c r="DE379" s="129"/>
      <c r="DF379" s="129"/>
      <c r="DG379" s="129"/>
      <c r="DH379" s="129"/>
      <c r="DI379" s="129"/>
      <c r="DJ379" s="129"/>
      <c r="DK379" s="129"/>
      <c r="DL379" s="129"/>
      <c r="DM379" s="129"/>
      <c r="DN379" s="129"/>
      <c r="DO379" s="129"/>
      <c r="DP379" s="129"/>
      <c r="DQ379" s="129"/>
      <c r="DR379" s="129"/>
      <c r="DS379" s="129"/>
      <c r="DT379" s="129"/>
      <c r="DU379" s="129"/>
      <c r="DV379" s="129"/>
      <c r="DW379" s="129"/>
      <c r="DX379" s="129"/>
      <c r="DY379" s="129"/>
      <c r="DZ379" s="129"/>
      <c r="EA379" s="129"/>
      <c r="EB379" s="129"/>
      <c r="EC379" s="129"/>
      <c r="ED379" s="129"/>
      <c r="EE379" s="129"/>
      <c r="EF379" s="129"/>
      <c r="EG379" s="129"/>
      <c r="EH379" s="129"/>
      <c r="EI379" s="129"/>
      <c r="EJ379" s="129"/>
      <c r="EK379" s="129"/>
      <c r="EL379" s="129"/>
      <c r="EM379" s="129"/>
      <c r="EN379" s="129"/>
      <c r="EO379" s="129"/>
      <c r="EP379" s="129"/>
      <c r="EQ379" s="129"/>
      <c r="ER379" s="129"/>
      <c r="ES379" s="129"/>
      <c r="ET379" s="129"/>
      <c r="EU379" s="129"/>
      <c r="EV379" s="129"/>
      <c r="EW379" s="129"/>
      <c r="EX379" s="129"/>
      <c r="EY379" s="129"/>
      <c r="EZ379" s="129"/>
      <c r="FA379" s="129"/>
      <c r="FB379" s="129"/>
      <c r="FC379" s="129"/>
      <c r="FD379" s="129"/>
      <c r="FE379" s="129"/>
      <c r="FF379" s="129"/>
      <c r="FG379" s="129"/>
      <c r="FH379" s="129"/>
      <c r="FI379" s="129"/>
      <c r="FJ379" s="129"/>
      <c r="FK379" s="129"/>
      <c r="FL379" s="129"/>
      <c r="FM379" s="129"/>
      <c r="FN379" s="129"/>
      <c r="FO379" s="129"/>
      <c r="FP379" s="129"/>
      <c r="FQ379" s="129"/>
      <c r="FR379" s="129"/>
      <c r="FS379" s="129"/>
      <c r="FT379" s="129"/>
      <c r="FU379" s="129"/>
      <c r="FV379" s="129"/>
      <c r="FW379" s="129"/>
      <c r="FX379" s="129"/>
      <c r="FY379" s="129"/>
      <c r="FZ379" s="129"/>
      <c r="GA379" s="129"/>
      <c r="GB379" s="129"/>
      <c r="GC379" s="129"/>
      <c r="GD379" s="129"/>
      <c r="GE379" s="129"/>
      <c r="GF379" s="129"/>
      <c r="GG379" s="129"/>
      <c r="GH379" s="129"/>
      <c r="GI379" s="129"/>
      <c r="GJ379" s="129"/>
      <c r="GK379" s="129"/>
      <c r="GL379" s="129"/>
      <c r="GM379" s="129"/>
      <c r="GN379" s="129"/>
      <c r="GO379" s="129"/>
      <c r="GP379" s="129"/>
      <c r="GQ379" s="129"/>
      <c r="GR379" s="129"/>
      <c r="GS379" s="129"/>
      <c r="GT379" s="129"/>
      <c r="GU379" s="129"/>
      <c r="GV379" s="129"/>
      <c r="GW379" s="129"/>
    </row>
    <row r="380" spans="57:205">
      <c r="BE380" s="129"/>
      <c r="BF380" s="129"/>
      <c r="BG380" s="129"/>
      <c r="BH380" s="129"/>
      <c r="BI380" s="129"/>
      <c r="BJ380" s="129"/>
      <c r="BK380" s="129"/>
      <c r="BL380" s="129"/>
      <c r="BM380" s="129"/>
      <c r="BN380" s="129"/>
      <c r="BO380" s="129"/>
      <c r="CP380" s="129"/>
      <c r="CQ380" s="129"/>
      <c r="CR380" s="129"/>
      <c r="CS380" s="129"/>
      <c r="CT380" s="129"/>
      <c r="CU380" s="129"/>
      <c r="CV380" s="129"/>
      <c r="CW380" s="129"/>
      <c r="CX380" s="129"/>
      <c r="CY380" s="129"/>
      <c r="CZ380" s="129"/>
      <c r="DA380" s="129"/>
      <c r="DB380" s="129"/>
      <c r="DC380" s="129"/>
      <c r="DD380" s="129"/>
      <c r="DE380" s="129"/>
      <c r="DF380" s="129"/>
      <c r="DG380" s="129"/>
      <c r="DH380" s="129"/>
      <c r="DI380" s="129"/>
      <c r="DJ380" s="129"/>
      <c r="DK380" s="129"/>
      <c r="DL380" s="129"/>
      <c r="DM380" s="129"/>
      <c r="DN380" s="129"/>
      <c r="DO380" s="129"/>
      <c r="DP380" s="129"/>
      <c r="DQ380" s="129"/>
      <c r="DR380" s="129"/>
      <c r="DS380" s="129"/>
      <c r="DT380" s="129"/>
      <c r="DU380" s="129"/>
      <c r="DV380" s="129"/>
      <c r="DW380" s="129"/>
      <c r="DX380" s="129"/>
      <c r="DY380" s="129"/>
      <c r="DZ380" s="129"/>
      <c r="EA380" s="129"/>
      <c r="EB380" s="129"/>
      <c r="EC380" s="129"/>
      <c r="ED380" s="129"/>
      <c r="EE380" s="129"/>
      <c r="EF380" s="129"/>
      <c r="EG380" s="129"/>
      <c r="EH380" s="129"/>
      <c r="EI380" s="129"/>
      <c r="EJ380" s="129"/>
      <c r="EK380" s="129"/>
      <c r="EL380" s="129"/>
      <c r="EM380" s="129"/>
      <c r="EN380" s="129"/>
      <c r="EO380" s="129"/>
      <c r="EP380" s="129"/>
      <c r="EQ380" s="129"/>
      <c r="ER380" s="129"/>
      <c r="ES380" s="129"/>
      <c r="ET380" s="129"/>
      <c r="EU380" s="129"/>
      <c r="EV380" s="129"/>
      <c r="EW380" s="129"/>
      <c r="EX380" s="129"/>
      <c r="EY380" s="129"/>
      <c r="EZ380" s="129"/>
      <c r="FA380" s="129"/>
      <c r="FB380" s="129"/>
      <c r="FC380" s="129"/>
      <c r="FD380" s="129"/>
      <c r="FE380" s="129"/>
      <c r="FF380" s="129"/>
      <c r="FG380" s="129"/>
      <c r="FH380" s="129"/>
      <c r="FI380" s="129"/>
      <c r="FJ380" s="129"/>
      <c r="FK380" s="129"/>
      <c r="FL380" s="129"/>
      <c r="FM380" s="129"/>
      <c r="FN380" s="129"/>
      <c r="FO380" s="129"/>
      <c r="FP380" s="129"/>
      <c r="FQ380" s="129"/>
      <c r="FR380" s="129"/>
      <c r="FS380" s="129"/>
      <c r="FT380" s="129"/>
      <c r="FU380" s="129"/>
      <c r="FV380" s="129"/>
      <c r="FW380" s="129"/>
      <c r="FX380" s="129"/>
      <c r="FY380" s="129"/>
      <c r="FZ380" s="129"/>
      <c r="GA380" s="129"/>
      <c r="GB380" s="129"/>
      <c r="GC380" s="129"/>
      <c r="GD380" s="129"/>
      <c r="GE380" s="129"/>
      <c r="GF380" s="129"/>
      <c r="GG380" s="129"/>
      <c r="GH380" s="129"/>
      <c r="GI380" s="129"/>
      <c r="GJ380" s="129"/>
      <c r="GK380" s="129"/>
      <c r="GL380" s="129"/>
      <c r="GM380" s="129"/>
      <c r="GN380" s="129"/>
      <c r="GO380" s="129"/>
      <c r="GP380" s="129"/>
      <c r="GQ380" s="129"/>
      <c r="GR380" s="129"/>
      <c r="GS380" s="129"/>
      <c r="GT380" s="129"/>
      <c r="GU380" s="129"/>
      <c r="GV380" s="129"/>
      <c r="GW380" s="129"/>
    </row>
    <row r="381" spans="57:205">
      <c r="BE381" s="129"/>
      <c r="BF381" s="129"/>
      <c r="BG381" s="129"/>
      <c r="BH381" s="129"/>
      <c r="BI381" s="129"/>
      <c r="BJ381" s="129"/>
      <c r="BK381" s="129"/>
      <c r="BL381" s="129"/>
      <c r="BM381" s="129"/>
      <c r="BN381" s="129"/>
      <c r="BO381" s="129"/>
      <c r="CP381" s="129"/>
      <c r="CQ381" s="129"/>
      <c r="CR381" s="129"/>
      <c r="CS381" s="129"/>
      <c r="CT381" s="129"/>
      <c r="CU381" s="129"/>
      <c r="CV381" s="129"/>
      <c r="CW381" s="129"/>
      <c r="CX381" s="129"/>
      <c r="CY381" s="129"/>
      <c r="CZ381" s="129"/>
      <c r="DA381" s="129"/>
      <c r="DB381" s="129"/>
      <c r="DC381" s="129"/>
      <c r="DD381" s="129"/>
      <c r="DE381" s="129"/>
      <c r="DF381" s="129"/>
      <c r="DG381" s="129"/>
      <c r="DH381" s="129"/>
      <c r="DI381" s="129"/>
      <c r="DJ381" s="129"/>
      <c r="DK381" s="129"/>
      <c r="DL381" s="129"/>
      <c r="DM381" s="129"/>
      <c r="DN381" s="129"/>
      <c r="DO381" s="129"/>
      <c r="DP381" s="129"/>
      <c r="DQ381" s="129"/>
      <c r="DR381" s="129"/>
      <c r="DS381" s="129"/>
      <c r="DT381" s="129"/>
      <c r="DU381" s="129"/>
      <c r="DV381" s="129"/>
      <c r="DW381" s="129"/>
      <c r="DX381" s="129"/>
      <c r="DY381" s="129"/>
      <c r="DZ381" s="129"/>
      <c r="EA381" s="129"/>
      <c r="EB381" s="129"/>
      <c r="EC381" s="129"/>
      <c r="ED381" s="129"/>
      <c r="EE381" s="129"/>
      <c r="EF381" s="129"/>
      <c r="EG381" s="129"/>
      <c r="EH381" s="129"/>
      <c r="EI381" s="129"/>
      <c r="EJ381" s="129"/>
      <c r="EK381" s="129"/>
      <c r="EL381" s="129"/>
      <c r="EM381" s="129"/>
      <c r="EN381" s="129"/>
      <c r="EO381" s="129"/>
      <c r="EP381" s="129"/>
      <c r="EQ381" s="129"/>
      <c r="ER381" s="129"/>
      <c r="ES381" s="129"/>
      <c r="ET381" s="129"/>
      <c r="EU381" s="129"/>
      <c r="EV381" s="129"/>
      <c r="EW381" s="129"/>
      <c r="EX381" s="129"/>
      <c r="EY381" s="129"/>
      <c r="EZ381" s="129"/>
      <c r="FA381" s="129"/>
      <c r="FB381" s="129"/>
      <c r="FC381" s="129"/>
      <c r="FD381" s="129"/>
      <c r="FE381" s="129"/>
      <c r="FF381" s="129"/>
      <c r="FG381" s="129"/>
      <c r="FH381" s="129"/>
      <c r="FI381" s="129"/>
      <c r="FJ381" s="129"/>
      <c r="FK381" s="129"/>
      <c r="FL381" s="129"/>
      <c r="FM381" s="129"/>
      <c r="FN381" s="129"/>
      <c r="FO381" s="129"/>
      <c r="FP381" s="129"/>
      <c r="FQ381" s="129"/>
      <c r="FR381" s="129"/>
      <c r="FS381" s="129"/>
      <c r="FT381" s="129"/>
      <c r="FU381" s="129"/>
      <c r="FV381" s="129"/>
      <c r="FW381" s="129"/>
      <c r="FX381" s="129"/>
      <c r="FY381" s="129"/>
      <c r="FZ381" s="129"/>
      <c r="GA381" s="129"/>
      <c r="GB381" s="129"/>
      <c r="GC381" s="129"/>
      <c r="GD381" s="129"/>
      <c r="GE381" s="129"/>
      <c r="GF381" s="129"/>
      <c r="GG381" s="129"/>
      <c r="GH381" s="129"/>
      <c r="GI381" s="129"/>
      <c r="GJ381" s="129"/>
      <c r="GK381" s="129"/>
      <c r="GL381" s="129"/>
      <c r="GM381" s="129"/>
      <c r="GN381" s="129"/>
      <c r="GO381" s="129"/>
      <c r="GP381" s="129"/>
      <c r="GQ381" s="129"/>
      <c r="GR381" s="129"/>
      <c r="GS381" s="129"/>
      <c r="GT381" s="129"/>
      <c r="GU381" s="129"/>
      <c r="GV381" s="129"/>
      <c r="GW381" s="129"/>
    </row>
    <row r="382" spans="57:205">
      <c r="BE382" s="129"/>
      <c r="BF382" s="129"/>
      <c r="BG382" s="129"/>
      <c r="BH382" s="129"/>
      <c r="BI382" s="129"/>
      <c r="BJ382" s="129"/>
      <c r="BK382" s="129"/>
      <c r="BL382" s="129"/>
      <c r="BM382" s="129"/>
      <c r="BN382" s="129"/>
      <c r="BO382" s="129"/>
      <c r="CP382" s="129"/>
      <c r="CQ382" s="129"/>
      <c r="CR382" s="129"/>
      <c r="CS382" s="129"/>
      <c r="CT382" s="129"/>
      <c r="CU382" s="129"/>
      <c r="CV382" s="129"/>
      <c r="CW382" s="129"/>
      <c r="CX382" s="129"/>
      <c r="CY382" s="129"/>
      <c r="CZ382" s="129"/>
      <c r="DA382" s="129"/>
      <c r="DB382" s="129"/>
      <c r="DC382" s="129"/>
      <c r="DD382" s="129"/>
      <c r="DE382" s="129"/>
      <c r="DF382" s="129"/>
      <c r="DG382" s="129"/>
      <c r="DH382" s="129"/>
      <c r="DI382" s="129"/>
      <c r="DJ382" s="129"/>
      <c r="DK382" s="129"/>
      <c r="DL382" s="129"/>
      <c r="DM382" s="129"/>
      <c r="DN382" s="129"/>
      <c r="DO382" s="129"/>
      <c r="DP382" s="129"/>
      <c r="DQ382" s="129"/>
      <c r="DR382" s="129"/>
      <c r="DS382" s="129"/>
      <c r="DT382" s="129"/>
      <c r="DU382" s="129"/>
      <c r="DV382" s="129"/>
      <c r="DW382" s="129"/>
      <c r="DX382" s="129"/>
      <c r="DY382" s="129"/>
      <c r="DZ382" s="129"/>
      <c r="EA382" s="129"/>
      <c r="EB382" s="129"/>
      <c r="EC382" s="129"/>
      <c r="ED382" s="129"/>
      <c r="EE382" s="129"/>
      <c r="EF382" s="129"/>
      <c r="EG382" s="129"/>
      <c r="EH382" s="129"/>
      <c r="EI382" s="129"/>
      <c r="EJ382" s="129"/>
      <c r="EK382" s="129"/>
      <c r="EL382" s="129"/>
      <c r="EM382" s="129"/>
      <c r="EN382" s="129"/>
      <c r="EO382" s="129"/>
      <c r="EP382" s="129"/>
      <c r="EQ382" s="129"/>
      <c r="ER382" s="129"/>
      <c r="ES382" s="129"/>
      <c r="ET382" s="129"/>
      <c r="EU382" s="129"/>
      <c r="EV382" s="129"/>
      <c r="EW382" s="129"/>
      <c r="EX382" s="129"/>
      <c r="EY382" s="129"/>
      <c r="EZ382" s="129"/>
      <c r="FA382" s="129"/>
      <c r="FB382" s="129"/>
      <c r="FC382" s="129"/>
      <c r="FD382" s="129"/>
      <c r="FE382" s="129"/>
      <c r="FF382" s="129"/>
      <c r="FG382" s="129"/>
      <c r="FH382" s="129"/>
      <c r="FI382" s="129"/>
      <c r="FJ382" s="129"/>
      <c r="FK382" s="129"/>
      <c r="FL382" s="129"/>
      <c r="FM382" s="129"/>
      <c r="FN382" s="129"/>
      <c r="FO382" s="129"/>
      <c r="FP382" s="129"/>
      <c r="FQ382" s="129"/>
      <c r="FR382" s="129"/>
      <c r="FS382" s="129"/>
      <c r="FT382" s="129"/>
      <c r="FU382" s="129"/>
      <c r="FV382" s="129"/>
      <c r="FW382" s="129"/>
      <c r="FX382" s="129"/>
      <c r="FY382" s="129"/>
      <c r="FZ382" s="129"/>
      <c r="GA382" s="129"/>
      <c r="GB382" s="129"/>
      <c r="GC382" s="129"/>
      <c r="GD382" s="129"/>
      <c r="GE382" s="129"/>
      <c r="GF382" s="129"/>
      <c r="GG382" s="129"/>
      <c r="GH382" s="129"/>
      <c r="GI382" s="129"/>
      <c r="GJ382" s="129"/>
      <c r="GK382" s="129"/>
      <c r="GL382" s="129"/>
      <c r="GM382" s="129"/>
      <c r="GN382" s="129"/>
      <c r="GO382" s="129"/>
      <c r="GP382" s="129"/>
      <c r="GQ382" s="129"/>
      <c r="GR382" s="129"/>
      <c r="GS382" s="129"/>
      <c r="GT382" s="129"/>
      <c r="GU382" s="129"/>
      <c r="GV382" s="129"/>
      <c r="GW382" s="129"/>
    </row>
    <row r="383" spans="57:205">
      <c r="BE383" s="129"/>
      <c r="BF383" s="129"/>
      <c r="BG383" s="129"/>
      <c r="BH383" s="129"/>
      <c r="BI383" s="129"/>
      <c r="BJ383" s="129"/>
      <c r="BK383" s="129"/>
      <c r="BL383" s="129"/>
      <c r="BM383" s="129"/>
      <c r="BN383" s="129"/>
      <c r="BO383" s="129"/>
      <c r="CP383" s="129"/>
      <c r="CQ383" s="129"/>
      <c r="CR383" s="129"/>
      <c r="CS383" s="129"/>
      <c r="CT383" s="129"/>
      <c r="CU383" s="129"/>
      <c r="CV383" s="129"/>
      <c r="CW383" s="129"/>
      <c r="CX383" s="129"/>
      <c r="CY383" s="129"/>
      <c r="CZ383" s="129"/>
      <c r="DA383" s="129"/>
      <c r="DB383" s="129"/>
      <c r="DC383" s="129"/>
      <c r="DD383" s="129"/>
      <c r="DE383" s="129"/>
      <c r="DF383" s="129"/>
      <c r="DG383" s="129"/>
      <c r="DH383" s="129"/>
      <c r="DI383" s="129"/>
      <c r="DJ383" s="129"/>
      <c r="DK383" s="129"/>
      <c r="DL383" s="129"/>
      <c r="DM383" s="129"/>
      <c r="DN383" s="129"/>
      <c r="DO383" s="129"/>
      <c r="DP383" s="129"/>
      <c r="DQ383" s="129"/>
      <c r="DR383" s="129"/>
      <c r="DS383" s="129"/>
      <c r="DT383" s="129"/>
      <c r="DU383" s="129"/>
      <c r="DV383" s="129"/>
      <c r="DW383" s="129"/>
      <c r="DX383" s="129"/>
      <c r="DY383" s="129"/>
      <c r="DZ383" s="129"/>
      <c r="EA383" s="129"/>
      <c r="EB383" s="129"/>
      <c r="EC383" s="129"/>
      <c r="ED383" s="129"/>
      <c r="EE383" s="129"/>
      <c r="EF383" s="129"/>
      <c r="EG383" s="129"/>
      <c r="EH383" s="129"/>
      <c r="EI383" s="129"/>
      <c r="EJ383" s="129"/>
      <c r="EK383" s="129"/>
      <c r="EL383" s="129"/>
      <c r="EM383" s="129"/>
      <c r="EN383" s="129"/>
      <c r="EO383" s="129"/>
      <c r="EP383" s="129"/>
      <c r="EQ383" s="129"/>
      <c r="ER383" s="129"/>
      <c r="ES383" s="129"/>
      <c r="ET383" s="129"/>
      <c r="EU383" s="129"/>
      <c r="EV383" s="129"/>
      <c r="EW383" s="129"/>
      <c r="EX383" s="129"/>
      <c r="EY383" s="129"/>
      <c r="EZ383" s="129"/>
      <c r="FA383" s="129"/>
      <c r="FB383" s="129"/>
      <c r="FC383" s="129"/>
      <c r="FD383" s="129"/>
      <c r="FE383" s="129"/>
      <c r="FF383" s="129"/>
      <c r="FG383" s="129"/>
      <c r="FH383" s="129"/>
      <c r="FI383" s="129"/>
      <c r="FJ383" s="129"/>
      <c r="FK383" s="129"/>
      <c r="FL383" s="129"/>
      <c r="FM383" s="129"/>
      <c r="FN383" s="129"/>
      <c r="FO383" s="129"/>
      <c r="FP383" s="129"/>
      <c r="FQ383" s="129"/>
      <c r="FR383" s="129"/>
      <c r="FS383" s="129"/>
      <c r="FT383" s="129"/>
      <c r="FU383" s="129"/>
      <c r="FV383" s="129"/>
      <c r="FW383" s="129"/>
      <c r="FX383" s="129"/>
      <c r="FY383" s="129"/>
      <c r="FZ383" s="129"/>
      <c r="GA383" s="129"/>
      <c r="GB383" s="129"/>
      <c r="GC383" s="129"/>
      <c r="GD383" s="129"/>
      <c r="GE383" s="129"/>
      <c r="GF383" s="129"/>
      <c r="GG383" s="129"/>
      <c r="GH383" s="129"/>
      <c r="GI383" s="129"/>
      <c r="GJ383" s="129"/>
      <c r="GK383" s="129"/>
      <c r="GL383" s="129"/>
      <c r="GM383" s="129"/>
      <c r="GN383" s="129"/>
      <c r="GO383" s="129"/>
      <c r="GP383" s="129"/>
      <c r="GQ383" s="129"/>
      <c r="GR383" s="129"/>
      <c r="GS383" s="129"/>
      <c r="GT383" s="129"/>
      <c r="GU383" s="129"/>
      <c r="GV383" s="129"/>
      <c r="GW383" s="129"/>
    </row>
    <row r="384" spans="57:205">
      <c r="BE384" s="129"/>
      <c r="BF384" s="129"/>
      <c r="BG384" s="129"/>
      <c r="BH384" s="129"/>
      <c r="BI384" s="129"/>
      <c r="BJ384" s="129"/>
      <c r="BK384" s="129"/>
      <c r="BL384" s="129"/>
      <c r="BM384" s="129"/>
      <c r="BN384" s="129"/>
      <c r="BO384" s="129"/>
    </row>
    <row r="385" spans="54:60">
      <c r="BB385" s="64"/>
      <c r="BC385" s="64"/>
      <c r="BD385" s="64"/>
      <c r="BE385" s="64"/>
      <c r="BF385" s="64"/>
      <c r="BG385" s="64"/>
      <c r="BH385" s="64"/>
    </row>
  </sheetData>
  <sortState ref="GM114:GM130">
    <sortCondition ref="GM113"/>
  </sortState>
  <mergeCells count="2">
    <mergeCell ref="CF1:CP1"/>
    <mergeCell ref="CE2:CL2"/>
  </mergeCells>
  <phoneticPr fontId="2" type="noConversion"/>
  <conditionalFormatting sqref="DD258:DF302">
    <cfRule type="cellIs" dxfId="571" priority="63" operator="equal">
      <formula>0</formula>
    </cfRule>
    <cfRule type="cellIs" dxfId="570" priority="64" operator="greaterThan">
      <formula>3.5</formula>
    </cfRule>
  </conditionalFormatting>
  <conditionalFormatting sqref="DH258:DH302">
    <cfRule type="cellIs" dxfId="569" priority="37" operator="equal">
      <formula>0</formula>
    </cfRule>
    <cfRule type="cellIs" dxfId="568" priority="38" operator="greaterThan">
      <formula>3.5</formula>
    </cfRule>
  </conditionalFormatting>
  <conditionalFormatting sqref="DG258:DG302">
    <cfRule type="cellIs" dxfId="567" priority="35" operator="equal">
      <formula>0</formula>
    </cfRule>
    <cfRule type="cellIs" dxfId="566" priority="36" operator="greaterThan">
      <formula>3.5</formula>
    </cfRule>
  </conditionalFormatting>
  <conditionalFormatting sqref="DI258:DM302">
    <cfRule type="cellIs" dxfId="565" priority="33" operator="equal">
      <formula>0</formula>
    </cfRule>
    <cfRule type="cellIs" dxfId="564" priority="34" operator="greaterThan">
      <formula>3.5</formula>
    </cfRule>
  </conditionalFormatting>
  <conditionalFormatting sqref="DL258:DT302">
    <cfRule type="cellIs" dxfId="563" priority="29" operator="equal">
      <formula>0</formula>
    </cfRule>
    <cfRule type="cellIs" dxfId="562" priority="30" operator="greaterThan">
      <formula>3.5</formula>
    </cfRule>
  </conditionalFormatting>
  <conditionalFormatting sqref="H258:DC302 G258">
    <cfRule type="cellIs" dxfId="561" priority="11" operator="equal">
      <formula>0</formula>
    </cfRule>
    <cfRule type="cellIs" dxfId="560" priority="12" operator="greaterThan">
      <formula>3.5</formula>
    </cfRule>
  </conditionalFormatting>
  <conditionalFormatting sqref="A105:XFD105 C129:C130 C132:C133 C135:C136 C138:C139 C141:C142 C144:C145 C147:C148 C150:C151 C107:BV107 C109:BV109 C111:BV111 C113:BV113 C115:BV115 C117:BV117 C119:BV119 C121:BV121 C123:BV123 C125:BV125 C127:BV127 D129:BV129 D131:BV131 D133:BV133 D135:BV135 D137:BV137 D139:BV139 D141:BV141 D143:BV143 D145:BV145 D147:BV147 D149:BV149 D151:BV151 C153:BV153">
    <cfRule type="cellIs" dxfId="559" priority="3" operator="lessThan">
      <formula>1</formula>
    </cfRule>
    <cfRule type="cellIs" dxfId="558" priority="4" operator="greaterThan">
      <formula>45</formula>
    </cfRule>
  </conditionalFormatting>
  <conditionalFormatting sqref="A154:XFD154 C155:BV254">
    <cfRule type="cellIs" dxfId="557" priority="1" operator="lessThan">
      <formula>1</formula>
    </cfRule>
    <cfRule type="cellIs" dxfId="556" priority="2" operator="greaterThan">
      <formula>45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N137"/>
  <sheetViews>
    <sheetView zoomScale="70" zoomScaleNormal="70" workbookViewId="0">
      <pane xSplit="3" ySplit="1" topLeftCell="FC11" activePane="bottomRight" state="frozen"/>
      <selection pane="topRight" activeCell="D1" sqref="D1"/>
      <selection pane="bottomLeft" activeCell="A3" sqref="A3"/>
      <selection pane="bottomRight" activeCell="HN17" sqref="HN17:HN43"/>
    </sheetView>
  </sheetViews>
  <sheetFormatPr defaultColWidth="4.625" defaultRowHeight="16.5"/>
  <cols>
    <col min="4" max="12" width="5.625" customWidth="1"/>
    <col min="13" max="13" width="5.625" style="39" customWidth="1"/>
    <col min="14" max="19" width="5.625" customWidth="1"/>
    <col min="20" max="20" width="5.625" style="16" customWidth="1"/>
    <col min="21" max="55" width="5.625" customWidth="1"/>
    <col min="56" max="59" width="5.625" style="37" customWidth="1"/>
    <col min="60" max="70" width="5.625" customWidth="1"/>
    <col min="86" max="86" width="6.75" bestFit="1" customWidth="1"/>
    <col min="97" max="97" width="6.75" bestFit="1" customWidth="1"/>
    <col min="100" max="100" width="6.75" bestFit="1" customWidth="1"/>
    <col min="103" max="103" width="6.75" bestFit="1" customWidth="1"/>
    <col min="106" max="106" width="6.75" bestFit="1" customWidth="1"/>
    <col min="109" max="109" width="6.75" bestFit="1" customWidth="1"/>
    <col min="112" max="112" width="6.75" bestFit="1" customWidth="1"/>
    <col min="151" max="151" width="6.75" bestFit="1" customWidth="1"/>
    <col min="154" max="154" width="6.75" bestFit="1" customWidth="1"/>
    <col min="157" max="157" width="6.75" bestFit="1" customWidth="1"/>
    <col min="160" max="160" width="6.75" bestFit="1" customWidth="1"/>
    <col min="163" max="163" width="6.75" bestFit="1" customWidth="1"/>
    <col min="166" max="166" width="6.75" bestFit="1" customWidth="1"/>
    <col min="205" max="205" width="8.375" bestFit="1" customWidth="1"/>
    <col min="208" max="208" width="6.75" bestFit="1" customWidth="1"/>
    <col min="211" max="211" width="6.75" bestFit="1" customWidth="1"/>
    <col min="214" max="214" width="6.75" bestFit="1" customWidth="1"/>
    <col min="217" max="217" width="6.75" bestFit="1" customWidth="1"/>
    <col min="220" max="220" width="6.75" bestFit="1" customWidth="1"/>
  </cols>
  <sheetData>
    <row r="1" spans="1:220" s="128" customFormat="1" ht="17.25">
      <c r="B1" s="148"/>
      <c r="C1" s="53"/>
      <c r="D1" s="54"/>
      <c r="E1" s="54"/>
      <c r="F1" s="54"/>
      <c r="G1" s="54"/>
      <c r="H1" s="54"/>
      <c r="I1" s="54"/>
      <c r="J1" s="54"/>
      <c r="K1" s="54"/>
      <c r="M1" s="39"/>
      <c r="T1" s="60"/>
      <c r="U1" s="129"/>
      <c r="V1" s="129"/>
      <c r="W1" s="129"/>
      <c r="X1" s="129"/>
      <c r="Y1" s="129"/>
      <c r="Z1" s="129"/>
      <c r="AA1" s="129"/>
      <c r="AB1" s="135"/>
      <c r="AC1" s="136"/>
      <c r="AD1" s="2"/>
      <c r="AE1" s="60"/>
      <c r="AF1" s="60"/>
      <c r="AG1" s="60"/>
      <c r="AH1" s="60"/>
      <c r="AI1" s="60"/>
      <c r="AJ1" s="60"/>
      <c r="AK1" s="60"/>
      <c r="AL1" s="60"/>
    </row>
    <row r="2" spans="1:220" s="128" customFormat="1" ht="17.25">
      <c r="B2" s="148"/>
      <c r="C2" s="53"/>
      <c r="D2" s="54"/>
      <c r="E2" s="54"/>
      <c r="F2" s="54"/>
      <c r="G2" s="54"/>
      <c r="H2" s="54"/>
      <c r="I2" s="54"/>
      <c r="J2" s="54"/>
      <c r="K2" s="54"/>
      <c r="M2" s="39"/>
      <c r="T2" s="60"/>
      <c r="U2" s="129"/>
      <c r="V2" s="129"/>
      <c r="W2" s="129"/>
      <c r="X2" s="129"/>
      <c r="Y2" s="129"/>
      <c r="Z2" s="129"/>
      <c r="AA2" s="129"/>
      <c r="AB2" s="135"/>
      <c r="AC2" s="136"/>
      <c r="AD2" s="2"/>
      <c r="AE2" s="60"/>
      <c r="AF2" s="60"/>
      <c r="AG2" s="60"/>
      <c r="AH2" s="60"/>
      <c r="AI2" s="60"/>
      <c r="AJ2" s="60"/>
      <c r="AK2" s="60"/>
      <c r="AL2" s="60"/>
    </row>
    <row r="3" spans="1:220" s="128" customFormat="1" ht="17.25">
      <c r="B3" s="148"/>
      <c r="C3" s="53"/>
      <c r="D3" s="54"/>
      <c r="E3" s="54"/>
      <c r="F3" s="54"/>
      <c r="G3" s="54"/>
      <c r="H3" s="54"/>
      <c r="I3" s="54"/>
      <c r="J3" s="54"/>
      <c r="K3" s="54"/>
      <c r="M3" s="39"/>
      <c r="T3" s="60"/>
      <c r="U3" s="129"/>
      <c r="V3" s="129"/>
      <c r="W3" s="129"/>
      <c r="X3" s="129"/>
      <c r="Y3" s="129"/>
      <c r="Z3" s="129"/>
      <c r="AA3" s="129"/>
      <c r="AB3" s="135"/>
      <c r="AC3" s="136"/>
      <c r="AD3" s="2"/>
      <c r="AE3" s="60"/>
      <c r="AF3" s="60"/>
      <c r="AG3" s="60"/>
      <c r="AH3" s="60"/>
      <c r="AI3" s="60"/>
      <c r="AJ3" s="60"/>
      <c r="AK3" s="60"/>
      <c r="AL3" s="60"/>
    </row>
    <row r="4" spans="1:220" s="128" customFormat="1" ht="17.25">
      <c r="B4" s="148"/>
      <c r="C4" s="53"/>
      <c r="D4" s="54"/>
      <c r="E4" s="54"/>
      <c r="F4" s="54"/>
      <c r="G4" s="54"/>
      <c r="H4" s="54"/>
      <c r="I4" s="54"/>
      <c r="J4" s="54"/>
      <c r="K4" s="54"/>
      <c r="M4" s="39"/>
      <c r="T4" s="60"/>
      <c r="U4" s="129"/>
      <c r="V4" s="129"/>
      <c r="W4" s="129"/>
      <c r="X4" s="129"/>
      <c r="Y4" s="129"/>
      <c r="Z4" s="129"/>
      <c r="AA4" s="129"/>
      <c r="AB4" s="135"/>
      <c r="AC4" s="136"/>
      <c r="AD4" s="2"/>
      <c r="AE4" s="60"/>
      <c r="AF4" s="60"/>
      <c r="AG4" s="60"/>
      <c r="AH4" s="60"/>
      <c r="AI4" s="60"/>
      <c r="AJ4" s="60"/>
      <c r="AK4" s="60"/>
      <c r="AL4" s="60"/>
    </row>
    <row r="5" spans="1:220" s="128" customFormat="1" ht="17.25">
      <c r="B5" s="148"/>
      <c r="C5" s="53"/>
      <c r="D5" s="54"/>
      <c r="E5" s="54"/>
      <c r="F5" s="54"/>
      <c r="G5" s="54"/>
      <c r="H5" s="54"/>
      <c r="I5" s="54"/>
      <c r="J5" s="54"/>
      <c r="K5" s="54"/>
      <c r="M5" s="39"/>
      <c r="T5" s="60"/>
      <c r="U5" s="129"/>
      <c r="V5" s="129"/>
      <c r="W5" s="129"/>
      <c r="X5" s="129"/>
      <c r="Y5" s="129"/>
      <c r="Z5" s="129"/>
      <c r="AA5" s="129"/>
      <c r="AB5" s="135"/>
      <c r="AC5" s="136"/>
      <c r="AD5" s="2"/>
      <c r="AE5" s="60"/>
      <c r="AF5" s="60"/>
      <c r="AG5" s="60"/>
      <c r="AH5" s="60"/>
      <c r="AI5" s="60"/>
      <c r="AJ5" s="60"/>
      <c r="AK5" s="60"/>
      <c r="AL5" s="60"/>
    </row>
    <row r="6" spans="1:220" s="128" customFormat="1" ht="17.25">
      <c r="B6" s="148"/>
      <c r="C6" s="53"/>
      <c r="D6" s="54"/>
      <c r="E6" s="54"/>
      <c r="F6" s="54"/>
      <c r="G6" s="54"/>
      <c r="H6" s="54"/>
      <c r="I6" s="54"/>
      <c r="J6" s="54"/>
      <c r="K6" s="54"/>
      <c r="M6" s="39"/>
      <c r="T6" s="60"/>
      <c r="U6" s="129"/>
      <c r="V6" s="129"/>
      <c r="W6" s="129"/>
      <c r="X6" s="129"/>
      <c r="Y6" s="129"/>
      <c r="Z6" s="129"/>
      <c r="AA6" s="129"/>
      <c r="AB6" s="135"/>
      <c r="AC6" s="136"/>
      <c r="AD6" s="2"/>
      <c r="AE6" s="60"/>
      <c r="AF6" s="60"/>
      <c r="AG6" s="60"/>
      <c r="AH6" s="60"/>
      <c r="AI6" s="60"/>
      <c r="AJ6" s="60"/>
      <c r="AK6" s="60"/>
      <c r="AL6" s="60"/>
    </row>
    <row r="7" spans="1:220" s="71" customFormat="1">
      <c r="B7" s="104"/>
      <c r="M7" s="39"/>
      <c r="T7" s="68"/>
    </row>
    <row r="8" spans="1:220" s="71" customFormat="1">
      <c r="M8" s="39"/>
      <c r="T8" s="68"/>
    </row>
    <row r="9" spans="1:220" s="71" customFormat="1">
      <c r="M9" s="39"/>
      <c r="T9" s="68"/>
    </row>
    <row r="10" spans="1:220" s="71" customFormat="1">
      <c r="M10" s="39"/>
    </row>
    <row r="11" spans="1:220" s="71" customFormat="1">
      <c r="A11" s="186"/>
      <c r="B11" s="186"/>
      <c r="C11" s="129"/>
      <c r="M11" s="39"/>
      <c r="T11" s="68"/>
    </row>
    <row r="12" spans="1:220" s="71" customFormat="1">
      <c r="A12" s="186"/>
      <c r="B12" s="186"/>
      <c r="C12" s="129"/>
      <c r="M12" s="39"/>
      <c r="T12" s="68"/>
    </row>
    <row r="13" spans="1:220" s="71" customFormat="1">
      <c r="A13" s="186"/>
      <c r="B13" s="186"/>
      <c r="C13" s="129"/>
      <c r="M13" s="39"/>
      <c r="T13" s="68"/>
    </row>
    <row r="14" spans="1:220" s="71" customFormat="1">
      <c r="A14" s="186"/>
      <c r="B14" s="186"/>
      <c r="C14" s="129"/>
      <c r="M14" s="39"/>
      <c r="T14" s="68"/>
    </row>
    <row r="15" spans="1:220" s="71" customFormat="1">
      <c r="A15" s="186"/>
      <c r="B15" s="186"/>
      <c r="C15" s="129"/>
      <c r="F15" s="633" t="s">
        <v>313</v>
      </c>
      <c r="G15" s="633"/>
      <c r="H15" s="633"/>
      <c r="I15" s="633"/>
      <c r="J15" s="633"/>
      <c r="K15" s="633"/>
      <c r="L15" s="633"/>
      <c r="M15" s="633"/>
      <c r="N15" s="633"/>
      <c r="O15" s="633"/>
      <c r="P15" s="633"/>
      <c r="Q15" s="633"/>
      <c r="R15" s="633"/>
      <c r="S15" s="633"/>
      <c r="T15" s="633"/>
      <c r="U15" s="633"/>
      <c r="V15" s="633"/>
      <c r="W15" s="633"/>
      <c r="X15" s="633"/>
      <c r="Y15" s="633"/>
      <c r="Z15" s="633"/>
      <c r="AA15" s="633"/>
      <c r="AB15" s="633"/>
      <c r="AC15" s="633"/>
      <c r="AD15" s="633"/>
      <c r="AE15" s="633"/>
      <c r="AF15" s="633"/>
      <c r="AG15" s="633"/>
      <c r="AH15" s="633"/>
      <c r="AI15" s="633"/>
      <c r="AJ15" s="633"/>
      <c r="AK15" s="633"/>
      <c r="AL15" s="633"/>
      <c r="AM15" s="633"/>
      <c r="AN15" s="633"/>
      <c r="AO15" s="633"/>
      <c r="AP15" s="633"/>
      <c r="AQ15" s="633"/>
      <c r="AR15" s="633"/>
      <c r="AS15" s="633"/>
      <c r="AT15" s="633"/>
      <c r="AU15" s="633"/>
      <c r="AV15" s="633"/>
      <c r="AW15" s="633"/>
      <c r="AX15" s="633"/>
      <c r="AY15" s="633"/>
      <c r="AZ15" s="633"/>
      <c r="BA15" s="633"/>
      <c r="BB15" s="633"/>
      <c r="BC15" s="633"/>
      <c r="BD15" s="633"/>
      <c r="BE15" s="633"/>
      <c r="BF15" s="633"/>
      <c r="BH15" s="633" t="s">
        <v>321</v>
      </c>
      <c r="BI15" s="633"/>
      <c r="BJ15" s="633"/>
      <c r="BK15" s="633"/>
      <c r="BL15" s="633"/>
      <c r="BM15" s="633"/>
      <c r="BN15" s="633"/>
      <c r="BO15" s="633"/>
      <c r="BP15" s="633"/>
      <c r="BQ15" s="633"/>
      <c r="BR15" s="633"/>
      <c r="BS15" s="633"/>
      <c r="BT15" s="633"/>
      <c r="BU15" s="633"/>
      <c r="BV15" s="633"/>
      <c r="BW15" s="633"/>
      <c r="BX15" s="633"/>
      <c r="BY15" s="633"/>
      <c r="BZ15" s="633"/>
      <c r="CA15" s="633"/>
      <c r="CB15" s="633"/>
      <c r="CC15" s="633"/>
      <c r="CD15" s="633"/>
      <c r="CE15" s="633"/>
      <c r="CF15" s="633"/>
      <c r="CG15" s="633"/>
      <c r="CH15" s="633"/>
      <c r="CI15" s="633"/>
      <c r="CJ15" s="633"/>
      <c r="CK15" s="633"/>
      <c r="CL15" s="633"/>
      <c r="CM15" s="633"/>
      <c r="CN15" s="633"/>
      <c r="CO15" s="633"/>
      <c r="CP15" s="633"/>
      <c r="CQ15" s="633"/>
      <c r="CR15" s="633"/>
      <c r="CS15" s="633"/>
      <c r="CT15" s="633"/>
      <c r="CU15" s="633"/>
      <c r="CV15" s="633"/>
      <c r="CW15" s="633"/>
      <c r="CX15" s="633"/>
      <c r="CY15" s="633"/>
      <c r="CZ15" s="633"/>
      <c r="DA15" s="633"/>
      <c r="DB15" s="633"/>
      <c r="DC15" s="633"/>
      <c r="DD15" s="633"/>
      <c r="DE15" s="633"/>
      <c r="DF15" s="633"/>
      <c r="DG15" s="633"/>
      <c r="DH15" s="633"/>
      <c r="DJ15" s="633" t="s">
        <v>322</v>
      </c>
      <c r="DK15" s="633"/>
      <c r="DL15" s="633"/>
      <c r="DM15" s="633"/>
      <c r="DN15" s="633"/>
      <c r="DO15" s="633"/>
      <c r="DP15" s="633"/>
      <c r="DQ15" s="633"/>
      <c r="DR15" s="633"/>
      <c r="DS15" s="633"/>
      <c r="DT15" s="633"/>
      <c r="DU15" s="633"/>
      <c r="DV15" s="633"/>
      <c r="DW15" s="633"/>
      <c r="DX15" s="633"/>
      <c r="DY15" s="633"/>
      <c r="DZ15" s="633"/>
      <c r="EA15" s="633"/>
      <c r="EB15" s="633"/>
      <c r="EC15" s="633"/>
      <c r="ED15" s="633"/>
      <c r="EE15" s="633"/>
      <c r="EF15" s="633"/>
      <c r="EG15" s="633"/>
      <c r="EH15" s="633"/>
      <c r="EI15" s="633"/>
      <c r="EJ15" s="633"/>
      <c r="EK15" s="633"/>
      <c r="EL15" s="633"/>
      <c r="EM15" s="633"/>
      <c r="EN15" s="633"/>
      <c r="EO15" s="633"/>
      <c r="EP15" s="633"/>
      <c r="EQ15" s="633"/>
      <c r="ER15" s="633"/>
      <c r="ES15" s="633"/>
      <c r="ET15" s="633"/>
      <c r="EU15" s="633"/>
      <c r="EV15" s="633"/>
      <c r="EW15" s="633"/>
      <c r="EX15" s="633"/>
      <c r="EY15" s="633"/>
      <c r="EZ15" s="633"/>
      <c r="FA15" s="633"/>
      <c r="FB15" s="633"/>
      <c r="FC15" s="633"/>
      <c r="FD15" s="633"/>
      <c r="FE15" s="633"/>
      <c r="FF15" s="633"/>
      <c r="FG15" s="633"/>
      <c r="FH15" s="633"/>
      <c r="FI15" s="633"/>
      <c r="FJ15" s="633"/>
      <c r="FL15" s="633" t="s">
        <v>323</v>
      </c>
      <c r="FM15" s="633"/>
      <c r="FN15" s="633"/>
      <c r="FO15" s="633"/>
      <c r="FP15" s="633"/>
      <c r="FQ15" s="633"/>
      <c r="FR15" s="633"/>
      <c r="FS15" s="633"/>
      <c r="FT15" s="633"/>
      <c r="FU15" s="633"/>
      <c r="FV15" s="633"/>
      <c r="FW15" s="633"/>
      <c r="FX15" s="633"/>
      <c r="FY15" s="633"/>
      <c r="FZ15" s="633"/>
      <c r="GA15" s="633"/>
      <c r="GB15" s="633"/>
      <c r="GC15" s="633"/>
      <c r="GD15" s="633"/>
      <c r="GE15" s="633"/>
      <c r="GF15" s="633"/>
      <c r="GG15" s="633"/>
      <c r="GH15" s="633"/>
      <c r="GI15" s="633"/>
      <c r="GJ15" s="633"/>
      <c r="GK15" s="633"/>
      <c r="GL15" s="633"/>
      <c r="GM15" s="633"/>
      <c r="GN15" s="633"/>
      <c r="GO15" s="633"/>
      <c r="GP15" s="633"/>
      <c r="GQ15" s="633"/>
      <c r="GR15" s="633"/>
      <c r="GS15" s="633"/>
      <c r="GT15" s="633"/>
      <c r="GU15" s="633"/>
      <c r="GV15" s="633"/>
      <c r="GW15" s="633"/>
      <c r="GX15" s="633"/>
      <c r="GY15" s="633"/>
      <c r="GZ15" s="633"/>
      <c r="HA15" s="633"/>
      <c r="HB15" s="633"/>
      <c r="HC15" s="633"/>
      <c r="HD15" s="633"/>
      <c r="HE15" s="633"/>
      <c r="HF15" s="633"/>
      <c r="HG15" s="633"/>
      <c r="HH15" s="633"/>
      <c r="HI15" s="633"/>
      <c r="HJ15" s="633"/>
      <c r="HK15" s="633"/>
      <c r="HL15" s="633"/>
    </row>
    <row r="16" spans="1:220" s="71" customFormat="1">
      <c r="A16" s="186"/>
      <c r="B16" s="186"/>
      <c r="C16" s="129"/>
      <c r="F16" s="179"/>
      <c r="G16" s="180" t="s">
        <v>299</v>
      </c>
      <c r="H16" s="180" t="s">
        <v>300</v>
      </c>
      <c r="I16" s="180" t="s">
        <v>112</v>
      </c>
      <c r="J16" s="180" t="s">
        <v>113</v>
      </c>
      <c r="K16" s="180" t="s">
        <v>114</v>
      </c>
      <c r="L16" s="180" t="s">
        <v>120</v>
      </c>
      <c r="M16" s="180" t="s">
        <v>122</v>
      </c>
      <c r="N16" s="180" t="s">
        <v>129</v>
      </c>
      <c r="O16" s="180" t="s">
        <v>152</v>
      </c>
      <c r="P16" s="180" t="s">
        <v>163</v>
      </c>
      <c r="Q16" s="180" t="s">
        <v>165</v>
      </c>
      <c r="R16" s="180" t="s">
        <v>168</v>
      </c>
      <c r="S16" s="180" t="s">
        <v>172</v>
      </c>
      <c r="T16" s="180" t="s">
        <v>173</v>
      </c>
      <c r="U16" s="180" t="s">
        <v>174</v>
      </c>
      <c r="V16" s="180" t="s">
        <v>181</v>
      </c>
      <c r="W16" s="180" t="s">
        <v>200</v>
      </c>
      <c r="X16" s="180" t="s">
        <v>201</v>
      </c>
      <c r="Y16" s="180" t="s">
        <v>202</v>
      </c>
      <c r="Z16" s="180" t="s">
        <v>203</v>
      </c>
      <c r="AA16" s="180" t="s">
        <v>204</v>
      </c>
      <c r="AB16" s="180" t="s">
        <v>301</v>
      </c>
      <c r="AC16" s="180" t="s">
        <v>302</v>
      </c>
      <c r="AD16" s="180" t="s">
        <v>303</v>
      </c>
      <c r="AE16" s="180" t="s">
        <v>304</v>
      </c>
      <c r="AF16" s="180" t="s">
        <v>305</v>
      </c>
      <c r="AG16" s="180" t="s">
        <v>306</v>
      </c>
      <c r="AH16" s="180" t="s">
        <v>307</v>
      </c>
      <c r="AI16" s="180" t="s">
        <v>308</v>
      </c>
      <c r="AJ16" s="180" t="s">
        <v>309</v>
      </c>
      <c r="AK16" s="180" t="s">
        <v>310</v>
      </c>
      <c r="AL16" s="180" t="s">
        <v>311</v>
      </c>
      <c r="AM16" s="180" t="s">
        <v>312</v>
      </c>
      <c r="AO16" s="631" t="s">
        <v>314</v>
      </c>
      <c r="AP16" s="632"/>
      <c r="AQ16" s="632"/>
      <c r="AR16" s="631" t="s">
        <v>315</v>
      </c>
      <c r="AS16" s="632"/>
      <c r="AT16" s="632"/>
      <c r="AU16" s="631" t="s">
        <v>112</v>
      </c>
      <c r="AV16" s="632"/>
      <c r="AW16" s="632"/>
      <c r="AX16" s="631" t="s">
        <v>113</v>
      </c>
      <c r="AY16" s="632"/>
      <c r="AZ16" s="632"/>
      <c r="BA16" s="631" t="s">
        <v>114</v>
      </c>
      <c r="BB16" s="632"/>
      <c r="BC16" s="632"/>
      <c r="BD16" s="631" t="s">
        <v>316</v>
      </c>
      <c r="BE16" s="632"/>
      <c r="BF16" s="632"/>
      <c r="BG16" s="194">
        <v>3</v>
      </c>
      <c r="BH16" s="179"/>
      <c r="BI16" s="180" t="s">
        <v>299</v>
      </c>
      <c r="BJ16" s="180" t="s">
        <v>300</v>
      </c>
      <c r="BK16" s="180" t="s">
        <v>112</v>
      </c>
      <c r="BL16" s="180" t="s">
        <v>113</v>
      </c>
      <c r="BM16" s="180" t="s">
        <v>114</v>
      </c>
      <c r="BN16" s="180" t="s">
        <v>120</v>
      </c>
      <c r="BO16" s="180" t="s">
        <v>122</v>
      </c>
      <c r="BP16" s="180" t="s">
        <v>129</v>
      </c>
      <c r="BQ16" s="180" t="s">
        <v>152</v>
      </c>
      <c r="BR16" s="180" t="s">
        <v>163</v>
      </c>
      <c r="BS16" s="180" t="s">
        <v>165</v>
      </c>
      <c r="BT16" s="180" t="s">
        <v>168</v>
      </c>
      <c r="BU16" s="180" t="s">
        <v>172</v>
      </c>
      <c r="BV16" s="180" t="s">
        <v>173</v>
      </c>
      <c r="BW16" s="180" t="s">
        <v>174</v>
      </c>
      <c r="BX16" s="180" t="s">
        <v>181</v>
      </c>
      <c r="BY16" s="180" t="s">
        <v>200</v>
      </c>
      <c r="BZ16" s="180" t="s">
        <v>201</v>
      </c>
      <c r="CA16" s="180" t="s">
        <v>202</v>
      </c>
      <c r="CB16" s="180" t="s">
        <v>203</v>
      </c>
      <c r="CC16" s="180" t="s">
        <v>204</v>
      </c>
      <c r="CD16" s="180" t="s">
        <v>301</v>
      </c>
      <c r="CE16" s="180" t="s">
        <v>302</v>
      </c>
      <c r="CF16" s="180" t="s">
        <v>303</v>
      </c>
      <c r="CG16" s="180" t="s">
        <v>304</v>
      </c>
      <c r="CH16" s="180" t="s">
        <v>305</v>
      </c>
      <c r="CI16" s="180" t="s">
        <v>306</v>
      </c>
      <c r="CJ16" s="180" t="s">
        <v>307</v>
      </c>
      <c r="CK16" s="180" t="s">
        <v>308</v>
      </c>
      <c r="CL16" s="180" t="s">
        <v>309</v>
      </c>
      <c r="CM16" s="180" t="s">
        <v>310</v>
      </c>
      <c r="CN16" s="180" t="s">
        <v>311</v>
      </c>
      <c r="CO16" s="180" t="s">
        <v>312</v>
      </c>
      <c r="CP16" s="128"/>
      <c r="CQ16" s="631" t="s">
        <v>314</v>
      </c>
      <c r="CR16" s="632"/>
      <c r="CS16" s="632"/>
      <c r="CT16" s="631" t="s">
        <v>315</v>
      </c>
      <c r="CU16" s="632"/>
      <c r="CV16" s="632"/>
      <c r="CW16" s="631" t="s">
        <v>112</v>
      </c>
      <c r="CX16" s="632"/>
      <c r="CY16" s="632"/>
      <c r="CZ16" s="631" t="s">
        <v>113</v>
      </c>
      <c r="DA16" s="632"/>
      <c r="DB16" s="632"/>
      <c r="DC16" s="631" t="s">
        <v>114</v>
      </c>
      <c r="DD16" s="632"/>
      <c r="DE16" s="632"/>
      <c r="DF16" s="631" t="s">
        <v>316</v>
      </c>
      <c r="DG16" s="632"/>
      <c r="DH16" s="632"/>
      <c r="DJ16" s="179"/>
      <c r="DK16" s="180" t="s">
        <v>299</v>
      </c>
      <c r="DL16" s="180" t="s">
        <v>300</v>
      </c>
      <c r="DM16" s="180" t="s">
        <v>112</v>
      </c>
      <c r="DN16" s="180" t="s">
        <v>113</v>
      </c>
      <c r="DO16" s="180" t="s">
        <v>114</v>
      </c>
      <c r="DP16" s="180" t="s">
        <v>120</v>
      </c>
      <c r="DQ16" s="180" t="s">
        <v>122</v>
      </c>
      <c r="DR16" s="180" t="s">
        <v>129</v>
      </c>
      <c r="DS16" s="180" t="s">
        <v>152</v>
      </c>
      <c r="DT16" s="180" t="s">
        <v>163</v>
      </c>
      <c r="DU16" s="180" t="s">
        <v>165</v>
      </c>
      <c r="DV16" s="180" t="s">
        <v>168</v>
      </c>
      <c r="DW16" s="180" t="s">
        <v>172</v>
      </c>
      <c r="DX16" s="180" t="s">
        <v>173</v>
      </c>
      <c r="DY16" s="180" t="s">
        <v>174</v>
      </c>
      <c r="DZ16" s="180" t="s">
        <v>181</v>
      </c>
      <c r="EA16" s="180" t="s">
        <v>200</v>
      </c>
      <c r="EB16" s="180" t="s">
        <v>201</v>
      </c>
      <c r="EC16" s="180" t="s">
        <v>202</v>
      </c>
      <c r="ED16" s="180" t="s">
        <v>203</v>
      </c>
      <c r="EE16" s="180" t="s">
        <v>204</v>
      </c>
      <c r="EF16" s="180" t="s">
        <v>301</v>
      </c>
      <c r="EG16" s="180" t="s">
        <v>302</v>
      </c>
      <c r="EH16" s="180" t="s">
        <v>303</v>
      </c>
      <c r="EI16" s="180" t="s">
        <v>304</v>
      </c>
      <c r="EJ16" s="180" t="s">
        <v>305</v>
      </c>
      <c r="EK16" s="180" t="s">
        <v>306</v>
      </c>
      <c r="EL16" s="180" t="s">
        <v>307</v>
      </c>
      <c r="EM16" s="180" t="s">
        <v>308</v>
      </c>
      <c r="EN16" s="180" t="s">
        <v>309</v>
      </c>
      <c r="EO16" s="180" t="s">
        <v>310</v>
      </c>
      <c r="EP16" s="180" t="s">
        <v>311</v>
      </c>
      <c r="EQ16" s="180" t="s">
        <v>312</v>
      </c>
      <c r="ER16" s="128"/>
      <c r="ES16" s="631" t="s">
        <v>314</v>
      </c>
      <c r="ET16" s="632"/>
      <c r="EU16" s="632"/>
      <c r="EV16" s="631" t="s">
        <v>315</v>
      </c>
      <c r="EW16" s="632"/>
      <c r="EX16" s="632"/>
      <c r="EY16" s="631" t="s">
        <v>112</v>
      </c>
      <c r="EZ16" s="632"/>
      <c r="FA16" s="632"/>
      <c r="FB16" s="631" t="s">
        <v>113</v>
      </c>
      <c r="FC16" s="632"/>
      <c r="FD16" s="632"/>
      <c r="FE16" s="631" t="s">
        <v>114</v>
      </c>
      <c r="FF16" s="632"/>
      <c r="FG16" s="632"/>
      <c r="FH16" s="631" t="s">
        <v>316</v>
      </c>
      <c r="FI16" s="632"/>
      <c r="FJ16" s="632"/>
      <c r="FL16" s="179"/>
      <c r="FM16" s="180" t="s">
        <v>299</v>
      </c>
      <c r="FN16" s="180" t="s">
        <v>300</v>
      </c>
      <c r="FO16" s="180" t="s">
        <v>112</v>
      </c>
      <c r="FP16" s="180" t="s">
        <v>113</v>
      </c>
      <c r="FQ16" s="180" t="s">
        <v>114</v>
      </c>
      <c r="FR16" s="180" t="s">
        <v>120</v>
      </c>
      <c r="FS16" s="180" t="s">
        <v>122</v>
      </c>
      <c r="FT16" s="180" t="s">
        <v>129</v>
      </c>
      <c r="FU16" s="180" t="s">
        <v>152</v>
      </c>
      <c r="FV16" s="180" t="s">
        <v>163</v>
      </c>
      <c r="FW16" s="180" t="s">
        <v>165</v>
      </c>
      <c r="FX16" s="180" t="s">
        <v>168</v>
      </c>
      <c r="FY16" s="180" t="s">
        <v>172</v>
      </c>
      <c r="FZ16" s="180" t="s">
        <v>173</v>
      </c>
      <c r="GA16" s="180" t="s">
        <v>174</v>
      </c>
      <c r="GB16" s="180" t="s">
        <v>181</v>
      </c>
      <c r="GC16" s="180" t="s">
        <v>200</v>
      </c>
      <c r="GD16" s="180" t="s">
        <v>201</v>
      </c>
      <c r="GE16" s="180" t="s">
        <v>202</v>
      </c>
      <c r="GF16" s="180" t="s">
        <v>203</v>
      </c>
      <c r="GG16" s="180" t="s">
        <v>204</v>
      </c>
      <c r="GH16" s="180" t="s">
        <v>301</v>
      </c>
      <c r="GI16" s="180" t="s">
        <v>302</v>
      </c>
      <c r="GJ16" s="180" t="s">
        <v>303</v>
      </c>
      <c r="GK16" s="180" t="s">
        <v>304</v>
      </c>
      <c r="GL16" s="180" t="s">
        <v>305</v>
      </c>
      <c r="GM16" s="180" t="s">
        <v>306</v>
      </c>
      <c r="GN16" s="180" t="s">
        <v>307</v>
      </c>
      <c r="GO16" s="180" t="s">
        <v>308</v>
      </c>
      <c r="GP16" s="180" t="s">
        <v>309</v>
      </c>
      <c r="GQ16" s="180" t="s">
        <v>310</v>
      </c>
      <c r="GR16" s="180" t="s">
        <v>311</v>
      </c>
      <c r="GS16" s="180" t="s">
        <v>312</v>
      </c>
      <c r="GT16" s="128"/>
      <c r="GU16" s="631" t="s">
        <v>314</v>
      </c>
      <c r="GV16" s="632"/>
      <c r="GW16" s="632"/>
      <c r="GX16" s="631" t="s">
        <v>315</v>
      </c>
      <c r="GY16" s="632"/>
      <c r="GZ16" s="632"/>
      <c r="HA16" s="631" t="s">
        <v>112</v>
      </c>
      <c r="HB16" s="632"/>
      <c r="HC16" s="632"/>
      <c r="HD16" s="631" t="s">
        <v>113</v>
      </c>
      <c r="HE16" s="632"/>
      <c r="HF16" s="632"/>
      <c r="HG16" s="631" t="s">
        <v>114</v>
      </c>
      <c r="HH16" s="632"/>
      <c r="HI16" s="632"/>
      <c r="HJ16" s="631" t="s">
        <v>316</v>
      </c>
      <c r="HK16" s="632"/>
      <c r="HL16" s="632"/>
    </row>
    <row r="17" spans="1:222" s="71" customFormat="1" ht="17.25">
      <c r="A17" s="186"/>
      <c r="B17" s="186"/>
      <c r="C17" s="129"/>
      <c r="F17" s="174">
        <v>509</v>
      </c>
      <c r="G17" s="151">
        <v>5</v>
      </c>
      <c r="H17" s="151">
        <v>5</v>
      </c>
      <c r="I17" s="151">
        <v>5</v>
      </c>
      <c r="J17" s="151">
        <v>5</v>
      </c>
      <c r="K17" s="151">
        <v>5</v>
      </c>
      <c r="L17" s="151">
        <v>4</v>
      </c>
      <c r="M17" s="151">
        <v>3</v>
      </c>
      <c r="N17" s="151">
        <v>4</v>
      </c>
      <c r="O17" s="151">
        <v>6</v>
      </c>
      <c r="P17" s="151">
        <v>4</v>
      </c>
      <c r="Q17" s="151">
        <v>5</v>
      </c>
      <c r="R17" s="151">
        <v>3</v>
      </c>
      <c r="S17" s="151">
        <v>6</v>
      </c>
      <c r="T17" s="151">
        <v>5</v>
      </c>
      <c r="U17" s="151">
        <v>2</v>
      </c>
      <c r="V17" s="151">
        <v>4</v>
      </c>
      <c r="W17" s="151">
        <v>5</v>
      </c>
      <c r="X17" s="151">
        <v>5</v>
      </c>
      <c r="Y17" s="151">
        <v>6</v>
      </c>
      <c r="Z17" s="151">
        <v>5</v>
      </c>
      <c r="AA17" s="151">
        <v>6</v>
      </c>
      <c r="AB17" s="151">
        <v>4</v>
      </c>
      <c r="AC17" s="151">
        <v>5</v>
      </c>
      <c r="AD17" s="151">
        <v>4</v>
      </c>
      <c r="AE17" s="151">
        <v>5</v>
      </c>
      <c r="AF17" s="151">
        <v>5</v>
      </c>
      <c r="AG17" s="151"/>
      <c r="AH17" s="151"/>
      <c r="AI17" s="151"/>
      <c r="AJ17" s="151"/>
      <c r="AK17" s="151"/>
      <c r="AL17" s="151"/>
      <c r="AM17" s="151"/>
      <c r="AO17" s="11">
        <v>6</v>
      </c>
      <c r="AP17" s="11">
        <f>COUNTIF(G17:G383,AO17)</f>
        <v>17</v>
      </c>
      <c r="AQ17" s="62">
        <f>(AP17/AP24)</f>
        <v>0.25757575757575757</v>
      </c>
      <c r="AR17" s="11">
        <v>6</v>
      </c>
      <c r="AS17" s="11">
        <f>COUNTIF(H17:H383,AR17)</f>
        <v>16</v>
      </c>
      <c r="AT17" s="62">
        <f>(AS17/AS24)</f>
        <v>0.24615384615384617</v>
      </c>
      <c r="AU17" s="11">
        <v>6</v>
      </c>
      <c r="AV17" s="11">
        <f>COUNTIF(I17:I383,AU17)</f>
        <v>18</v>
      </c>
      <c r="AW17" s="62">
        <f>(AV17/AV24)</f>
        <v>0.28125</v>
      </c>
      <c r="AX17" s="11">
        <v>6</v>
      </c>
      <c r="AY17" s="11">
        <f>COUNTIF(J17:J383,AX17)</f>
        <v>17</v>
      </c>
      <c r="AZ17" s="62">
        <f>(AY17/AY24)</f>
        <v>0.26984126984126983</v>
      </c>
      <c r="BA17" s="11">
        <v>6</v>
      </c>
      <c r="BB17" s="11">
        <f>COUNTIF(K17:K383,BA17)</f>
        <v>15</v>
      </c>
      <c r="BC17" s="62">
        <f>(BB17/BB24)</f>
        <v>0.24193548387096775</v>
      </c>
      <c r="BD17" s="11">
        <v>6</v>
      </c>
      <c r="BE17" s="11">
        <f>COUNTIF(L17:L383,BD17)</f>
        <v>12</v>
      </c>
      <c r="BF17" s="62">
        <f>(BE17/BE24)</f>
        <v>0.19672131147540983</v>
      </c>
      <c r="BG17" s="194">
        <v>4</v>
      </c>
      <c r="BH17" s="174">
        <v>509</v>
      </c>
      <c r="BI17" s="56">
        <v>5</v>
      </c>
      <c r="BJ17" s="56">
        <v>4</v>
      </c>
      <c r="BK17" s="56">
        <v>4</v>
      </c>
      <c r="BL17" s="56">
        <v>5</v>
      </c>
      <c r="BM17" s="56">
        <v>4</v>
      </c>
      <c r="BN17" s="56">
        <v>4</v>
      </c>
      <c r="BO17" s="81" t="s">
        <v>184</v>
      </c>
      <c r="BP17" s="81" t="s">
        <v>183</v>
      </c>
      <c r="BQ17" s="56">
        <v>5</v>
      </c>
      <c r="BR17" s="56">
        <v>3</v>
      </c>
      <c r="BS17" s="56">
        <v>5</v>
      </c>
      <c r="BT17" s="56">
        <v>3</v>
      </c>
      <c r="BU17" s="120">
        <v>6</v>
      </c>
      <c r="BV17" s="120">
        <v>4</v>
      </c>
      <c r="BW17" s="120">
        <v>1</v>
      </c>
      <c r="BX17" s="120">
        <v>3</v>
      </c>
      <c r="BY17" s="120">
        <v>4</v>
      </c>
      <c r="BZ17" s="120">
        <v>4</v>
      </c>
      <c r="CA17" s="120">
        <v>4</v>
      </c>
      <c r="CB17" s="120">
        <v>5</v>
      </c>
      <c r="CC17" s="120">
        <v>6</v>
      </c>
      <c r="CD17" s="120">
        <v>3</v>
      </c>
      <c r="CE17" s="120">
        <v>4</v>
      </c>
      <c r="CF17" s="120">
        <v>4</v>
      </c>
      <c r="CG17" s="120">
        <v>3</v>
      </c>
      <c r="CH17" s="120">
        <v>5</v>
      </c>
      <c r="CI17" s="120"/>
      <c r="CJ17" s="120"/>
      <c r="CK17" s="151"/>
      <c r="CL17" s="151"/>
      <c r="CM17" s="151"/>
      <c r="CN17" s="151"/>
      <c r="CO17" s="151"/>
      <c r="CP17" s="128"/>
      <c r="CQ17" s="11">
        <v>6</v>
      </c>
      <c r="CR17" s="11">
        <f>COUNTIF(BI17:BI383,CQ17)</f>
        <v>17</v>
      </c>
      <c r="CS17" s="62">
        <f>(CR17/CR24)</f>
        <v>0.26153846153846155</v>
      </c>
      <c r="CT17" s="11">
        <v>6</v>
      </c>
      <c r="CU17" s="11">
        <f>COUNTIF(BJ17:BJ383,CT17)</f>
        <v>18</v>
      </c>
      <c r="CV17" s="62">
        <f>(CU17/CU24)</f>
        <v>0.28125</v>
      </c>
      <c r="CW17" s="11">
        <v>6</v>
      </c>
      <c r="CX17" s="11">
        <f>COUNTIF(BK17:BK383,CW17)</f>
        <v>17</v>
      </c>
      <c r="CY17" s="62">
        <f>(CX17/CX24)</f>
        <v>0.26984126984126983</v>
      </c>
      <c r="CZ17" s="11">
        <v>6</v>
      </c>
      <c r="DA17" s="11">
        <f>COUNTIF(BL17:BL383,CZ17)</f>
        <v>16</v>
      </c>
      <c r="DB17" s="62">
        <f>(DA17/DA24)</f>
        <v>0.25806451612903225</v>
      </c>
      <c r="DC17" s="11">
        <v>6</v>
      </c>
      <c r="DD17" s="11">
        <f>COUNTIF(BM17:BM383,DC17)</f>
        <v>16</v>
      </c>
      <c r="DE17" s="62">
        <f>(DD17/DD24)</f>
        <v>0.26229508196721313</v>
      </c>
      <c r="DF17" s="11">
        <v>6</v>
      </c>
      <c r="DG17" s="11">
        <f>COUNTIF(BN17:BN383,DF17)</f>
        <v>9</v>
      </c>
      <c r="DH17" s="62">
        <f>(DG17/DG24)</f>
        <v>0.15</v>
      </c>
      <c r="DI17" s="71">
        <v>5</v>
      </c>
      <c r="DJ17" s="174">
        <v>509</v>
      </c>
      <c r="DK17" s="81" t="s">
        <v>192</v>
      </c>
      <c r="DL17" s="81" t="s">
        <v>195</v>
      </c>
      <c r="DM17" s="81" t="s">
        <v>194</v>
      </c>
      <c r="DN17" s="81" t="s">
        <v>193</v>
      </c>
      <c r="DO17" s="120">
        <v>1</v>
      </c>
      <c r="DP17" s="81" t="s">
        <v>194</v>
      </c>
      <c r="DQ17" s="81" t="s">
        <v>194</v>
      </c>
      <c r="DR17" s="120">
        <v>0</v>
      </c>
      <c r="DS17" s="81" t="s">
        <v>194</v>
      </c>
      <c r="DT17" s="81" t="s">
        <v>194</v>
      </c>
      <c r="DU17" s="81" t="s">
        <v>192</v>
      </c>
      <c r="DV17" s="81" t="s">
        <v>193</v>
      </c>
      <c r="DW17" s="120">
        <v>0</v>
      </c>
      <c r="DX17" s="120">
        <v>1</v>
      </c>
      <c r="DY17" s="120">
        <v>1</v>
      </c>
      <c r="DZ17" s="120">
        <v>1</v>
      </c>
      <c r="EA17" s="120">
        <v>1</v>
      </c>
      <c r="EB17" s="120">
        <v>1</v>
      </c>
      <c r="EC17" s="120">
        <v>2</v>
      </c>
      <c r="ED17" s="120">
        <v>0</v>
      </c>
      <c r="EE17" s="120">
        <v>0</v>
      </c>
      <c r="EF17" s="120">
        <v>1</v>
      </c>
      <c r="EG17" s="120">
        <v>1</v>
      </c>
      <c r="EH17" s="120">
        <v>0</v>
      </c>
      <c r="EI17" s="120">
        <v>2</v>
      </c>
      <c r="EJ17" s="120">
        <v>0</v>
      </c>
      <c r="EK17" s="120"/>
      <c r="EL17" s="120"/>
      <c r="EM17" s="151"/>
      <c r="EN17" s="151"/>
      <c r="EO17" s="151"/>
      <c r="EP17" s="151"/>
      <c r="EQ17" s="151"/>
      <c r="ER17" s="128"/>
      <c r="ES17" s="11">
        <v>6</v>
      </c>
      <c r="ET17" s="11">
        <f>COUNTIF(DK17:DK383,ES17)</f>
        <v>0</v>
      </c>
      <c r="EU17" s="62">
        <f>(ET17/ET24)</f>
        <v>0</v>
      </c>
      <c r="EV17" s="11">
        <v>6</v>
      </c>
      <c r="EW17" s="11">
        <f>COUNTIF(DL17:DL383,EV17)</f>
        <v>0</v>
      </c>
      <c r="EX17" s="62">
        <f>(EW17/EW24)</f>
        <v>0</v>
      </c>
      <c r="EY17" s="11">
        <v>6</v>
      </c>
      <c r="EZ17" s="11">
        <f>COUNTIF(DM17:DM383,EY17)</f>
        <v>0</v>
      </c>
      <c r="FA17" s="62">
        <f>(EZ17/EZ24)</f>
        <v>0</v>
      </c>
      <c r="FB17" s="11">
        <v>6</v>
      </c>
      <c r="FC17" s="11">
        <f>COUNTIF(DN17:DN383,FB17)</f>
        <v>0</v>
      </c>
      <c r="FD17" s="62">
        <f>(FC17/FC24)</f>
        <v>0</v>
      </c>
      <c r="FE17" s="11">
        <v>6</v>
      </c>
      <c r="FF17" s="11">
        <f>COUNTIF(DO17:DO383,FE17)</f>
        <v>0</v>
      </c>
      <c r="FG17" s="62">
        <f>(FF17/FF24)</f>
        <v>0</v>
      </c>
      <c r="FH17" s="11">
        <v>6</v>
      </c>
      <c r="FI17" s="11">
        <f>COUNTIF(DP17:DP383,FH17)</f>
        <v>0</v>
      </c>
      <c r="FJ17" s="62">
        <f>(FI17/FI24)</f>
        <v>0</v>
      </c>
      <c r="FK17" s="71">
        <v>5</v>
      </c>
      <c r="FL17" s="174">
        <v>509</v>
      </c>
      <c r="FM17" s="81"/>
      <c r="FN17" s="56"/>
      <c r="FO17" s="56">
        <v>2</v>
      </c>
      <c r="FP17" s="56"/>
      <c r="FQ17" s="45"/>
      <c r="FR17" s="56"/>
      <c r="FS17" s="56"/>
      <c r="FT17" s="56"/>
      <c r="FU17" s="56">
        <v>2</v>
      </c>
      <c r="FV17" s="56">
        <v>1</v>
      </c>
      <c r="FW17" s="56">
        <v>4</v>
      </c>
      <c r="FX17" s="56">
        <v>1</v>
      </c>
      <c r="FY17" s="56">
        <v>2</v>
      </c>
      <c r="FZ17" s="56">
        <v>3</v>
      </c>
      <c r="GA17" s="56">
        <v>2</v>
      </c>
      <c r="GB17" s="56">
        <v>1</v>
      </c>
      <c r="GC17" s="56">
        <v>1</v>
      </c>
      <c r="GD17" s="56">
        <v>2</v>
      </c>
      <c r="GE17" s="56">
        <v>3</v>
      </c>
      <c r="GF17" s="56">
        <v>2</v>
      </c>
      <c r="GG17" s="56">
        <v>2</v>
      </c>
      <c r="GH17" s="56">
        <v>1</v>
      </c>
      <c r="GI17" s="56">
        <v>3</v>
      </c>
      <c r="GJ17" s="56">
        <v>2</v>
      </c>
      <c r="GK17" s="56">
        <v>0</v>
      </c>
      <c r="GL17" s="56">
        <v>2</v>
      </c>
      <c r="GM17" s="120"/>
      <c r="GN17" s="120"/>
      <c r="GO17" s="151"/>
      <c r="GP17" s="151"/>
      <c r="GQ17" s="151"/>
      <c r="GR17" s="151"/>
      <c r="GS17" s="151"/>
      <c r="GT17" s="128"/>
      <c r="GU17" s="11"/>
      <c r="GV17" s="11"/>
      <c r="GW17" s="62"/>
      <c r="GX17" s="11">
        <v>6</v>
      </c>
      <c r="GY17" s="11">
        <f>COUNTIF(FN17:FN383,GX17)</f>
        <v>0</v>
      </c>
      <c r="GZ17" s="62">
        <f>(GY17/GY24)</f>
        <v>0</v>
      </c>
      <c r="HA17" s="11">
        <v>6</v>
      </c>
      <c r="HB17" s="11">
        <f>COUNTIF(FO17:FO383,HA17)</f>
        <v>0</v>
      </c>
      <c r="HC17" s="62">
        <f>(HB17/HB24)</f>
        <v>0</v>
      </c>
      <c r="HD17" s="11">
        <v>6</v>
      </c>
      <c r="HE17" s="11">
        <f>COUNTIF(FP17:FP383,HD17)</f>
        <v>0</v>
      </c>
      <c r="HF17" s="62">
        <f>(HE17/HE24)</f>
        <v>0</v>
      </c>
      <c r="HG17" s="11">
        <v>6</v>
      </c>
      <c r="HH17" s="11">
        <f>COUNTIF(FQ17:FQ383,HG17)</f>
        <v>0</v>
      </c>
      <c r="HI17" s="62">
        <f>(HH17/HH24)</f>
        <v>0</v>
      </c>
      <c r="HJ17" s="11">
        <v>6</v>
      </c>
      <c r="HK17" s="11">
        <f>COUNTIF(FR17:FR383,HJ17)</f>
        <v>0</v>
      </c>
      <c r="HL17" s="62">
        <f>(HK17/HK24)</f>
        <v>0</v>
      </c>
      <c r="HN17" s="71">
        <v>13</v>
      </c>
    </row>
    <row r="18" spans="1:222" s="69" customFormat="1" ht="17.25">
      <c r="A18" s="186"/>
      <c r="B18" s="186"/>
      <c r="C18" s="129"/>
      <c r="D18" s="71"/>
      <c r="E18" s="71"/>
      <c r="F18" s="174">
        <v>510</v>
      </c>
      <c r="G18" s="151">
        <v>5</v>
      </c>
      <c r="H18" s="151">
        <v>6</v>
      </c>
      <c r="I18" s="151">
        <v>6</v>
      </c>
      <c r="J18" s="151">
        <v>6</v>
      </c>
      <c r="K18" s="151">
        <v>4</v>
      </c>
      <c r="L18" s="151">
        <v>6</v>
      </c>
      <c r="M18" s="151">
        <v>5</v>
      </c>
      <c r="N18" s="151">
        <v>5</v>
      </c>
      <c r="O18" s="151">
        <v>4</v>
      </c>
      <c r="P18" s="151">
        <v>4</v>
      </c>
      <c r="Q18" s="151">
        <v>5</v>
      </c>
      <c r="R18" s="151">
        <v>5</v>
      </c>
      <c r="S18" s="151">
        <v>6</v>
      </c>
      <c r="T18" s="151">
        <v>5</v>
      </c>
      <c r="U18" s="151">
        <v>6</v>
      </c>
      <c r="V18" s="151">
        <v>6</v>
      </c>
      <c r="W18" s="151">
        <v>4</v>
      </c>
      <c r="X18" s="151">
        <v>6</v>
      </c>
      <c r="Y18" s="151">
        <v>5</v>
      </c>
      <c r="Z18" s="151">
        <v>4</v>
      </c>
      <c r="AA18" s="151">
        <v>5</v>
      </c>
      <c r="AB18" s="151">
        <v>5</v>
      </c>
      <c r="AC18" s="151">
        <v>4</v>
      </c>
      <c r="AD18" s="151">
        <v>6</v>
      </c>
      <c r="AE18" s="151">
        <v>5</v>
      </c>
      <c r="AF18" s="151">
        <v>6</v>
      </c>
      <c r="AG18" s="151"/>
      <c r="AH18" s="151"/>
      <c r="AI18" s="151"/>
      <c r="AJ18" s="151"/>
      <c r="AK18" s="151"/>
      <c r="AL18" s="151"/>
      <c r="AM18" s="151"/>
      <c r="AO18" s="11">
        <v>5</v>
      </c>
      <c r="AP18" s="11">
        <f>COUNTIF(G17:G607,AO18)</f>
        <v>25</v>
      </c>
      <c r="AQ18" s="62">
        <f>(AP18/AP24)</f>
        <v>0.37878787878787878</v>
      </c>
      <c r="AR18" s="11">
        <v>5</v>
      </c>
      <c r="AS18" s="11">
        <f>COUNTIF(H17:H607,AR18)</f>
        <v>26</v>
      </c>
      <c r="AT18" s="62">
        <f>(AS18/AS24)</f>
        <v>0.4</v>
      </c>
      <c r="AU18" s="11">
        <v>5</v>
      </c>
      <c r="AV18" s="11">
        <f>COUNTIF(I17:I607,AU18)</f>
        <v>25</v>
      </c>
      <c r="AW18" s="62">
        <f>(AV18/AV24)</f>
        <v>0.390625</v>
      </c>
      <c r="AX18" s="11">
        <v>5</v>
      </c>
      <c r="AY18" s="11">
        <f>COUNTIF(J17:J607,AX18)</f>
        <v>20</v>
      </c>
      <c r="AZ18" s="62">
        <f>(AY18/AY24)</f>
        <v>0.31746031746031744</v>
      </c>
      <c r="BA18" s="11">
        <v>5</v>
      </c>
      <c r="BB18" s="11">
        <f>COUNTIF(K17:K607,BA18)</f>
        <v>25</v>
      </c>
      <c r="BC18" s="62">
        <f>(BB18/BB24)</f>
        <v>0.40322580645161288</v>
      </c>
      <c r="BD18" s="11">
        <v>5</v>
      </c>
      <c r="BE18" s="11">
        <f>COUNTIF(L17:L383,BD18)</f>
        <v>27</v>
      </c>
      <c r="BF18" s="62">
        <f>(BE18/BE24)</f>
        <v>0.44262295081967212</v>
      </c>
      <c r="BG18" s="194">
        <v>3</v>
      </c>
      <c r="BH18" s="174">
        <v>510</v>
      </c>
      <c r="BI18" s="56">
        <v>4</v>
      </c>
      <c r="BJ18" s="56">
        <v>6</v>
      </c>
      <c r="BK18" s="56">
        <v>6</v>
      </c>
      <c r="BL18" s="56">
        <v>6</v>
      </c>
      <c r="BM18" s="56">
        <v>4</v>
      </c>
      <c r="BN18" s="56">
        <v>5</v>
      </c>
      <c r="BO18" s="177">
        <v>5</v>
      </c>
      <c r="BP18" s="177">
        <v>6</v>
      </c>
      <c r="BQ18" s="56">
        <v>4</v>
      </c>
      <c r="BR18" s="56">
        <v>4</v>
      </c>
      <c r="BS18" s="56">
        <v>5</v>
      </c>
      <c r="BT18" s="56">
        <v>4</v>
      </c>
      <c r="BU18" s="120">
        <v>6</v>
      </c>
      <c r="BV18" s="120">
        <v>5</v>
      </c>
      <c r="BW18" s="120">
        <v>4</v>
      </c>
      <c r="BX18" s="120">
        <v>4</v>
      </c>
      <c r="BY18" s="120">
        <v>4</v>
      </c>
      <c r="BZ18" s="120">
        <v>6</v>
      </c>
      <c r="CA18" s="120">
        <v>5</v>
      </c>
      <c r="CB18" s="120">
        <v>4</v>
      </c>
      <c r="CC18" s="120">
        <v>4</v>
      </c>
      <c r="CD18" s="120">
        <v>5</v>
      </c>
      <c r="CE18" s="120">
        <v>3</v>
      </c>
      <c r="CF18" s="120">
        <v>6</v>
      </c>
      <c r="CG18" s="120">
        <v>4</v>
      </c>
      <c r="CH18" s="120">
        <v>5</v>
      </c>
      <c r="CI18" s="120"/>
      <c r="CJ18" s="120"/>
      <c r="CK18" s="151"/>
      <c r="CL18" s="151"/>
      <c r="CM18" s="151"/>
      <c r="CN18" s="151"/>
      <c r="CO18" s="151"/>
      <c r="CP18" s="128"/>
      <c r="CQ18" s="11">
        <v>5</v>
      </c>
      <c r="CR18" s="11">
        <f>COUNTIF(BI17:BI607,CQ18)</f>
        <v>18</v>
      </c>
      <c r="CS18" s="62">
        <f>(CR18/CR24)</f>
        <v>0.27692307692307694</v>
      </c>
      <c r="CT18" s="11">
        <v>5</v>
      </c>
      <c r="CU18" s="11">
        <f>COUNTIF(BJ17:BJ607,CT18)</f>
        <v>18</v>
      </c>
      <c r="CV18" s="62">
        <f>(CU18/CU24)</f>
        <v>0.28125</v>
      </c>
      <c r="CW18" s="11">
        <v>5</v>
      </c>
      <c r="CX18" s="11">
        <f>COUNTIF(BK17:BK607,CW18)</f>
        <v>18</v>
      </c>
      <c r="CY18" s="62">
        <f>(CX18/CX24)</f>
        <v>0.2857142857142857</v>
      </c>
      <c r="CZ18" s="11">
        <v>5</v>
      </c>
      <c r="DA18" s="11">
        <f>COUNTIF(BL17:BL607,CZ18)</f>
        <v>18</v>
      </c>
      <c r="DB18" s="62">
        <f>(DA18/DA24)</f>
        <v>0.29032258064516131</v>
      </c>
      <c r="DC18" s="11">
        <v>5</v>
      </c>
      <c r="DD18" s="11">
        <f>COUNTIF(BM17:BM607,DC18)</f>
        <v>19</v>
      </c>
      <c r="DE18" s="62">
        <f>(DD18/DD24)</f>
        <v>0.31147540983606559</v>
      </c>
      <c r="DF18" s="11">
        <v>5</v>
      </c>
      <c r="DG18" s="11">
        <f>COUNTIF(BN17:BN383,DF18)</f>
        <v>24</v>
      </c>
      <c r="DH18" s="62">
        <f>(DG18/DG24)</f>
        <v>0.4</v>
      </c>
      <c r="DI18" s="69">
        <v>4</v>
      </c>
      <c r="DJ18" s="174">
        <v>510</v>
      </c>
      <c r="DK18" s="177">
        <v>1</v>
      </c>
      <c r="DL18" s="177">
        <v>0</v>
      </c>
      <c r="DM18" s="177">
        <v>0</v>
      </c>
      <c r="DN18" s="177">
        <v>0</v>
      </c>
      <c r="DO18" s="120">
        <v>0</v>
      </c>
      <c r="DP18" s="177">
        <v>1</v>
      </c>
      <c r="DQ18" s="177">
        <v>0</v>
      </c>
      <c r="DR18" s="177">
        <v>0</v>
      </c>
      <c r="DS18" s="177">
        <v>0</v>
      </c>
      <c r="DT18" s="177">
        <v>0</v>
      </c>
      <c r="DU18" s="177">
        <v>0</v>
      </c>
      <c r="DV18" s="177">
        <v>1</v>
      </c>
      <c r="DW18" s="120">
        <v>0</v>
      </c>
      <c r="DX18" s="120">
        <v>0</v>
      </c>
      <c r="DY18" s="120">
        <v>2</v>
      </c>
      <c r="DZ18" s="120">
        <v>2</v>
      </c>
      <c r="EA18" s="120">
        <v>0</v>
      </c>
      <c r="EB18" s="120">
        <v>0</v>
      </c>
      <c r="EC18" s="120">
        <v>0</v>
      </c>
      <c r="ED18" s="120">
        <v>0</v>
      </c>
      <c r="EE18" s="120">
        <v>1</v>
      </c>
      <c r="EF18" s="120">
        <v>0</v>
      </c>
      <c r="EG18" s="120">
        <v>1</v>
      </c>
      <c r="EH18" s="120">
        <v>0</v>
      </c>
      <c r="EI18" s="120">
        <v>1</v>
      </c>
      <c r="EJ18" s="120">
        <v>1</v>
      </c>
      <c r="EK18" s="120"/>
      <c r="EL18" s="120"/>
      <c r="EM18" s="151"/>
      <c r="EN18" s="151"/>
      <c r="EO18" s="151"/>
      <c r="EP18" s="151"/>
      <c r="EQ18" s="151"/>
      <c r="ER18" s="128"/>
      <c r="ES18" s="11">
        <v>5</v>
      </c>
      <c r="ET18" s="11">
        <f>COUNTIF(DK17:DK607,ES18)</f>
        <v>0</v>
      </c>
      <c r="EU18" s="62">
        <f>(ET18/ET24)</f>
        <v>0</v>
      </c>
      <c r="EV18" s="11">
        <v>5</v>
      </c>
      <c r="EW18" s="11">
        <f>COUNTIF(DL17:DL607,EV18)</f>
        <v>0</v>
      </c>
      <c r="EX18" s="62">
        <f>(EW18/EW24)</f>
        <v>0</v>
      </c>
      <c r="EY18" s="11">
        <v>5</v>
      </c>
      <c r="EZ18" s="11">
        <f>COUNTIF(DM17:DM607,EY18)</f>
        <v>0</v>
      </c>
      <c r="FA18" s="62">
        <f>(EZ18/EZ24)</f>
        <v>0</v>
      </c>
      <c r="FB18" s="11">
        <v>5</v>
      </c>
      <c r="FC18" s="11">
        <f>COUNTIF(DN17:DN607,FB18)</f>
        <v>0</v>
      </c>
      <c r="FD18" s="62">
        <f>(FC18/FC24)</f>
        <v>0</v>
      </c>
      <c r="FE18" s="11">
        <v>5</v>
      </c>
      <c r="FF18" s="11">
        <f>COUNTIF(DO17:DO607,FE18)</f>
        <v>0</v>
      </c>
      <c r="FG18" s="62">
        <f>(FF18/FF24)</f>
        <v>0</v>
      </c>
      <c r="FH18" s="11">
        <v>5</v>
      </c>
      <c r="FI18" s="11">
        <f>COUNTIF(DP17:DP383,FH18)</f>
        <v>0</v>
      </c>
      <c r="FJ18" s="62">
        <f>(FI18/FI24)</f>
        <v>0</v>
      </c>
      <c r="FK18" s="69">
        <v>5</v>
      </c>
      <c r="FL18" s="174">
        <v>510</v>
      </c>
      <c r="FM18" s="82"/>
      <c r="FN18" s="56"/>
      <c r="FO18" s="56">
        <v>1</v>
      </c>
      <c r="FP18" s="56"/>
      <c r="FQ18" s="56"/>
      <c r="FR18" s="45"/>
      <c r="FS18" s="56"/>
      <c r="FT18" s="56"/>
      <c r="FU18" s="56">
        <v>1</v>
      </c>
      <c r="FV18" s="56">
        <v>1</v>
      </c>
      <c r="FW18" s="56">
        <v>1</v>
      </c>
      <c r="FX18" s="56">
        <v>3</v>
      </c>
      <c r="FY18" s="56">
        <v>1</v>
      </c>
      <c r="FZ18" s="56">
        <v>2</v>
      </c>
      <c r="GA18" s="56">
        <v>1</v>
      </c>
      <c r="GB18" s="56">
        <v>2</v>
      </c>
      <c r="GC18" s="56">
        <v>2</v>
      </c>
      <c r="GD18" s="56">
        <v>5</v>
      </c>
      <c r="GE18" s="56">
        <v>5</v>
      </c>
      <c r="GF18" s="56">
        <v>1</v>
      </c>
      <c r="GG18" s="56">
        <v>2</v>
      </c>
      <c r="GH18" s="56">
        <v>2</v>
      </c>
      <c r="GI18" s="56">
        <v>2</v>
      </c>
      <c r="GJ18" s="56">
        <v>2</v>
      </c>
      <c r="GK18" s="56">
        <v>1</v>
      </c>
      <c r="GL18" s="56">
        <v>2</v>
      </c>
      <c r="GM18" s="120"/>
      <c r="GN18" s="120"/>
      <c r="GO18" s="151"/>
      <c r="GP18" s="151"/>
      <c r="GQ18" s="151"/>
      <c r="GR18" s="151"/>
      <c r="GS18" s="151"/>
      <c r="GT18" s="128"/>
      <c r="GU18" s="11"/>
      <c r="GV18" s="11"/>
      <c r="GW18" s="62"/>
      <c r="GX18" s="11">
        <v>5</v>
      </c>
      <c r="GY18" s="11">
        <f>COUNTIF(FN17:FN607,GX18)</f>
        <v>0</v>
      </c>
      <c r="GZ18" s="62">
        <f>(GY18/GY24)</f>
        <v>0</v>
      </c>
      <c r="HA18" s="11">
        <v>5</v>
      </c>
      <c r="HB18" s="11">
        <f>COUNTIF(FO17:FO607,HA18)</f>
        <v>1</v>
      </c>
      <c r="HC18" s="62">
        <f>(HB18/HB24)</f>
        <v>1.5873015873015872E-2</v>
      </c>
      <c r="HD18" s="11">
        <v>5</v>
      </c>
      <c r="HE18" s="11">
        <f>COUNTIF(FP17:FP607,HD18)</f>
        <v>0</v>
      </c>
      <c r="HF18" s="62">
        <f>(HE18/HE24)</f>
        <v>0</v>
      </c>
      <c r="HG18" s="11">
        <v>5</v>
      </c>
      <c r="HH18" s="11">
        <f>COUNTIF(FQ17:FQ607,HG18)</f>
        <v>0</v>
      </c>
      <c r="HI18" s="62">
        <f>(HH18/HH24)</f>
        <v>0</v>
      </c>
      <c r="HJ18" s="11">
        <v>5</v>
      </c>
      <c r="HK18" s="11">
        <f>COUNTIF(FR17:FR383,HJ18)</f>
        <v>1</v>
      </c>
      <c r="HL18" s="62">
        <f>(HK18/HK24)</f>
        <v>2.0408163265306121E-2</v>
      </c>
      <c r="HN18" s="69">
        <v>4</v>
      </c>
    </row>
    <row r="19" spans="1:222" s="69" customFormat="1" ht="17.25">
      <c r="A19" s="186"/>
      <c r="B19" s="186"/>
      <c r="C19" s="129"/>
      <c r="F19" s="174">
        <v>511</v>
      </c>
      <c r="G19" s="151">
        <v>6</v>
      </c>
      <c r="H19" s="151">
        <v>3</v>
      </c>
      <c r="I19" s="151">
        <v>4</v>
      </c>
      <c r="J19" s="151">
        <v>3</v>
      </c>
      <c r="K19" s="151">
        <v>6</v>
      </c>
      <c r="L19" s="151">
        <v>6</v>
      </c>
      <c r="M19" s="151">
        <v>4</v>
      </c>
      <c r="N19" s="151">
        <v>5</v>
      </c>
      <c r="O19" s="151">
        <v>6</v>
      </c>
      <c r="P19" s="151">
        <v>4</v>
      </c>
      <c r="Q19" s="151">
        <v>6</v>
      </c>
      <c r="R19" s="151">
        <v>5</v>
      </c>
      <c r="S19" s="151">
        <v>3</v>
      </c>
      <c r="T19" s="151">
        <v>4</v>
      </c>
      <c r="U19" s="151">
        <v>6</v>
      </c>
      <c r="V19" s="151">
        <v>4</v>
      </c>
      <c r="W19" s="151">
        <v>4</v>
      </c>
      <c r="X19" s="151">
        <v>5</v>
      </c>
      <c r="Y19" s="151">
        <v>4</v>
      </c>
      <c r="Z19" s="151">
        <v>4</v>
      </c>
      <c r="AA19" s="151">
        <v>2</v>
      </c>
      <c r="AB19" s="151">
        <v>6</v>
      </c>
      <c r="AC19" s="151">
        <v>4</v>
      </c>
      <c r="AD19" s="151">
        <v>6</v>
      </c>
      <c r="AE19" s="151">
        <v>6</v>
      </c>
      <c r="AF19" s="151">
        <v>6</v>
      </c>
      <c r="AG19" s="151"/>
      <c r="AH19" s="151"/>
      <c r="AI19" s="151"/>
      <c r="AJ19" s="151"/>
      <c r="AK19" s="151"/>
      <c r="AL19" s="151"/>
      <c r="AM19" s="151"/>
      <c r="AO19" s="11">
        <v>4</v>
      </c>
      <c r="AP19" s="11">
        <f>COUNTIF(G17:G607,AO19)</f>
        <v>14</v>
      </c>
      <c r="AQ19" s="62">
        <f>(AP19/AP24)</f>
        <v>0.21212121212121213</v>
      </c>
      <c r="AR19" s="11">
        <v>4</v>
      </c>
      <c r="AS19" s="11">
        <f>COUNTIF(H17:H607,AR19)</f>
        <v>11</v>
      </c>
      <c r="AT19" s="62">
        <f>(AS19/AS24)</f>
        <v>0.16923076923076924</v>
      </c>
      <c r="AU19" s="11">
        <v>4</v>
      </c>
      <c r="AV19" s="11">
        <f>COUNTIF(I17:I607,AU19)</f>
        <v>14</v>
      </c>
      <c r="AW19" s="62">
        <f>(AV19/AV24)</f>
        <v>0.21875</v>
      </c>
      <c r="AX19" s="11">
        <v>4</v>
      </c>
      <c r="AY19" s="11">
        <f>COUNTIF(J17:J607,AX19)</f>
        <v>11</v>
      </c>
      <c r="AZ19" s="62">
        <f>(AY19/AY24)</f>
        <v>0.17460317460317459</v>
      </c>
      <c r="BA19" s="11">
        <v>4</v>
      </c>
      <c r="BB19" s="11">
        <f>COUNTIF(K17:K607,BA19)</f>
        <v>17</v>
      </c>
      <c r="BC19" s="62">
        <f>(BB19/BB24)</f>
        <v>0.27419354838709675</v>
      </c>
      <c r="BD19" s="11">
        <v>4</v>
      </c>
      <c r="BE19" s="11">
        <f>COUNTIF(L17:L383,BD19)</f>
        <v>16</v>
      </c>
      <c r="BF19" s="62">
        <f>(BE19/BE24)</f>
        <v>0.26229508196721313</v>
      </c>
      <c r="BG19" s="57">
        <v>3</v>
      </c>
      <c r="BH19" s="174">
        <v>511</v>
      </c>
      <c r="BI19" s="56">
        <v>5</v>
      </c>
      <c r="BJ19" s="56">
        <v>3</v>
      </c>
      <c r="BK19" s="56">
        <v>4</v>
      </c>
      <c r="BL19" s="56">
        <v>3</v>
      </c>
      <c r="BM19" s="56">
        <v>6</v>
      </c>
      <c r="BN19" s="56">
        <v>6</v>
      </c>
      <c r="BO19" s="177">
        <v>3</v>
      </c>
      <c r="BP19" s="177">
        <v>5</v>
      </c>
      <c r="BQ19" s="56">
        <v>6</v>
      </c>
      <c r="BR19" s="56">
        <v>3</v>
      </c>
      <c r="BS19" s="56">
        <v>6</v>
      </c>
      <c r="BT19" s="56">
        <v>4</v>
      </c>
      <c r="BU19" s="120">
        <v>3</v>
      </c>
      <c r="BV19" s="120">
        <v>4</v>
      </c>
      <c r="BW19" s="120">
        <v>6</v>
      </c>
      <c r="BX19" s="120">
        <v>3</v>
      </c>
      <c r="BY19" s="120">
        <v>4</v>
      </c>
      <c r="BZ19" s="120">
        <v>5</v>
      </c>
      <c r="CA19" s="120">
        <v>4</v>
      </c>
      <c r="CB19" s="120">
        <v>4</v>
      </c>
      <c r="CC19" s="120">
        <v>2</v>
      </c>
      <c r="CD19" s="120">
        <v>6</v>
      </c>
      <c r="CE19" s="120">
        <v>3</v>
      </c>
      <c r="CF19" s="120">
        <v>6</v>
      </c>
      <c r="CG19" s="120">
        <v>5</v>
      </c>
      <c r="CH19" s="120">
        <v>6</v>
      </c>
      <c r="CI19" s="120"/>
      <c r="CJ19" s="120"/>
      <c r="CK19" s="151"/>
      <c r="CL19" s="151"/>
      <c r="CM19" s="151"/>
      <c r="CN19" s="151"/>
      <c r="CO19" s="151"/>
      <c r="CP19" s="128"/>
      <c r="CQ19" s="11">
        <v>4</v>
      </c>
      <c r="CR19" s="11">
        <f>COUNTIF(BI17:BI607,CQ19)</f>
        <v>18</v>
      </c>
      <c r="CS19" s="62">
        <f>(CR19/CR24)</f>
        <v>0.27692307692307694</v>
      </c>
      <c r="CT19" s="11">
        <v>4</v>
      </c>
      <c r="CU19" s="11">
        <f>COUNTIF(BJ17:BJ607,CT19)</f>
        <v>13</v>
      </c>
      <c r="CV19" s="62">
        <f>(CU19/CU24)</f>
        <v>0.203125</v>
      </c>
      <c r="CW19" s="11">
        <v>4</v>
      </c>
      <c r="CX19" s="11">
        <f>COUNTIF(BK17:BK607,CW19)</f>
        <v>14</v>
      </c>
      <c r="CY19" s="62">
        <f>(CX19/CX24)</f>
        <v>0.22222222222222221</v>
      </c>
      <c r="CZ19" s="11">
        <v>4</v>
      </c>
      <c r="DA19" s="11">
        <f>COUNTIF(BL17:BL607,CZ19)</f>
        <v>13</v>
      </c>
      <c r="DB19" s="62">
        <f>(DA19/DA24)</f>
        <v>0.20967741935483872</v>
      </c>
      <c r="DC19" s="11">
        <v>4</v>
      </c>
      <c r="DD19" s="11">
        <f>COUNTIF(BM17:BM607,DC19)</f>
        <v>17</v>
      </c>
      <c r="DE19" s="62">
        <f>(DD19/DD24)</f>
        <v>0.27868852459016391</v>
      </c>
      <c r="DF19" s="11">
        <v>4</v>
      </c>
      <c r="DG19" s="11">
        <f>COUNTIF(BN17:BN383,DF19)</f>
        <v>17</v>
      </c>
      <c r="DH19" s="62">
        <f>(DG19/DG24)</f>
        <v>0.28333333333333333</v>
      </c>
      <c r="DI19" s="69">
        <v>5</v>
      </c>
      <c r="DJ19" s="174">
        <v>511</v>
      </c>
      <c r="DK19" s="177">
        <v>1</v>
      </c>
      <c r="DL19" s="177">
        <v>0</v>
      </c>
      <c r="DM19" s="177">
        <v>0</v>
      </c>
      <c r="DN19" s="177">
        <v>0</v>
      </c>
      <c r="DO19" s="120">
        <v>0</v>
      </c>
      <c r="DP19" s="177">
        <v>0</v>
      </c>
      <c r="DQ19" s="177">
        <v>1</v>
      </c>
      <c r="DR19" s="177">
        <v>1</v>
      </c>
      <c r="DS19" s="177">
        <v>0</v>
      </c>
      <c r="DT19" s="177">
        <v>1</v>
      </c>
      <c r="DU19" s="177">
        <v>0</v>
      </c>
      <c r="DV19" s="177">
        <v>1</v>
      </c>
      <c r="DW19" s="120">
        <v>0</v>
      </c>
      <c r="DX19" s="120">
        <v>0</v>
      </c>
      <c r="DY19" s="120">
        <v>0</v>
      </c>
      <c r="DZ19" s="120">
        <v>1</v>
      </c>
      <c r="EA19" s="120">
        <v>0</v>
      </c>
      <c r="EB19" s="120">
        <v>0</v>
      </c>
      <c r="EC19" s="120">
        <v>0</v>
      </c>
      <c r="ED19" s="120">
        <v>0</v>
      </c>
      <c r="EE19" s="120">
        <v>0</v>
      </c>
      <c r="EF19" s="120">
        <v>0</v>
      </c>
      <c r="EG19" s="120">
        <v>1</v>
      </c>
      <c r="EH19" s="120">
        <v>0</v>
      </c>
      <c r="EI19" s="120">
        <v>1</v>
      </c>
      <c r="EJ19" s="120">
        <v>0</v>
      </c>
      <c r="EK19" s="120"/>
      <c r="EL19" s="120"/>
      <c r="EM19" s="151"/>
      <c r="EN19" s="151"/>
      <c r="EO19" s="151"/>
      <c r="EP19" s="151"/>
      <c r="EQ19" s="151"/>
      <c r="ER19" s="128"/>
      <c r="ES19" s="11">
        <v>4</v>
      </c>
      <c r="ET19" s="11">
        <f>COUNTIF(DK17:DK607,ES19)</f>
        <v>0</v>
      </c>
      <c r="EU19" s="62">
        <f>(ET19/ET24)</f>
        <v>0</v>
      </c>
      <c r="EV19" s="11">
        <v>4</v>
      </c>
      <c r="EW19" s="11">
        <f>COUNTIF(DL17:DL607,EV19)</f>
        <v>0</v>
      </c>
      <c r="EX19" s="62">
        <f>(EW19/EW24)</f>
        <v>0</v>
      </c>
      <c r="EY19" s="11">
        <v>4</v>
      </c>
      <c r="EZ19" s="11">
        <f>COUNTIF(DM17:DM607,EY19)</f>
        <v>0</v>
      </c>
      <c r="FA19" s="62">
        <f>(EZ19/EZ24)</f>
        <v>0</v>
      </c>
      <c r="FB19" s="11">
        <v>4</v>
      </c>
      <c r="FC19" s="11">
        <f>COUNTIF(DN17:DN607,FB19)</f>
        <v>0</v>
      </c>
      <c r="FD19" s="62">
        <f>(FC19/FC24)</f>
        <v>0</v>
      </c>
      <c r="FE19" s="11">
        <v>4</v>
      </c>
      <c r="FF19" s="11">
        <f>COUNTIF(DO17:DO607,FE19)</f>
        <v>0</v>
      </c>
      <c r="FG19" s="62">
        <f>(FF19/FF24)</f>
        <v>0</v>
      </c>
      <c r="FH19" s="11">
        <v>4</v>
      </c>
      <c r="FI19" s="11">
        <f>COUNTIF(DP17:DP383,FH19)</f>
        <v>0</v>
      </c>
      <c r="FJ19" s="62">
        <f>(FI19/FI24)</f>
        <v>0</v>
      </c>
      <c r="FK19" s="69">
        <v>5</v>
      </c>
      <c r="FL19" s="174">
        <v>511</v>
      </c>
      <c r="FM19" s="82"/>
      <c r="FN19" s="56"/>
      <c r="FO19" s="56">
        <v>1</v>
      </c>
      <c r="FP19" s="56"/>
      <c r="FQ19" s="56"/>
      <c r="FR19" s="56"/>
      <c r="FS19" s="45"/>
      <c r="FT19" s="56"/>
      <c r="FU19" s="56">
        <v>1</v>
      </c>
      <c r="FV19" s="56">
        <v>1</v>
      </c>
      <c r="FW19" s="56">
        <v>3</v>
      </c>
      <c r="FX19" s="56">
        <v>3</v>
      </c>
      <c r="FY19" s="56">
        <v>2</v>
      </c>
      <c r="FZ19" s="56">
        <v>0</v>
      </c>
      <c r="GA19" s="56">
        <v>2</v>
      </c>
      <c r="GB19" s="56">
        <v>2</v>
      </c>
      <c r="GC19" s="56">
        <v>1</v>
      </c>
      <c r="GD19" s="56">
        <v>1</v>
      </c>
      <c r="GE19" s="56">
        <v>3</v>
      </c>
      <c r="GF19" s="56">
        <v>2</v>
      </c>
      <c r="GG19" s="56">
        <v>1</v>
      </c>
      <c r="GH19" s="56">
        <v>3</v>
      </c>
      <c r="GI19" s="56">
        <v>2</v>
      </c>
      <c r="GJ19" s="56">
        <v>3</v>
      </c>
      <c r="GK19" s="56">
        <v>2</v>
      </c>
      <c r="GL19" s="56">
        <v>3</v>
      </c>
      <c r="GM19" s="120"/>
      <c r="GN19" s="120"/>
      <c r="GO19" s="151"/>
      <c r="GP19" s="151"/>
      <c r="GQ19" s="151"/>
      <c r="GR19" s="151"/>
      <c r="GS19" s="151"/>
      <c r="GT19" s="128"/>
      <c r="GU19" s="11"/>
      <c r="GV19" s="11"/>
      <c r="GW19" s="62"/>
      <c r="GX19" s="11">
        <v>4</v>
      </c>
      <c r="GY19" s="11">
        <f>COUNTIF(FN17:FN607,GX19)</f>
        <v>0</v>
      </c>
      <c r="GZ19" s="62">
        <f>(GY19/GY24)</f>
        <v>0</v>
      </c>
      <c r="HA19" s="11">
        <v>4</v>
      </c>
      <c r="HB19" s="11">
        <f>COUNTIF(FO17:FO607,HA19)</f>
        <v>3</v>
      </c>
      <c r="HC19" s="62">
        <f>(HB19/HB24)</f>
        <v>4.7619047619047616E-2</v>
      </c>
      <c r="HD19" s="11">
        <v>4</v>
      </c>
      <c r="HE19" s="11">
        <f>COUNTIF(FP17:FP607,HD19)</f>
        <v>3</v>
      </c>
      <c r="HF19" s="62">
        <f>(HE19/HE24)</f>
        <v>6.1224489795918366E-2</v>
      </c>
      <c r="HG19" s="11">
        <v>4</v>
      </c>
      <c r="HH19" s="11">
        <f>COUNTIF(FQ17:FQ607,HG19)</f>
        <v>1</v>
      </c>
      <c r="HI19" s="62">
        <f>(HH19/HH24)</f>
        <v>2.0408163265306121E-2</v>
      </c>
      <c r="HJ19" s="11">
        <v>4</v>
      </c>
      <c r="HK19" s="11">
        <f>COUNTIF(FR17:FR383,HJ19)</f>
        <v>4</v>
      </c>
      <c r="HL19" s="62">
        <f>(HK19/HK24)</f>
        <v>8.1632653061224483E-2</v>
      </c>
      <c r="HN19" s="69">
        <v>4</v>
      </c>
    </row>
    <row r="20" spans="1:222" s="69" customFormat="1" ht="17.25">
      <c r="A20" s="186"/>
      <c r="B20" s="186"/>
      <c r="C20" s="129"/>
      <c r="F20" s="174">
        <v>512</v>
      </c>
      <c r="G20" s="151">
        <v>6</v>
      </c>
      <c r="H20" s="151">
        <v>5</v>
      </c>
      <c r="I20" s="151">
        <v>5</v>
      </c>
      <c r="J20" s="151">
        <v>3</v>
      </c>
      <c r="K20" s="151">
        <v>4</v>
      </c>
      <c r="L20" s="151">
        <v>4</v>
      </c>
      <c r="M20" s="151">
        <v>4</v>
      </c>
      <c r="N20" s="151">
        <v>5</v>
      </c>
      <c r="O20" s="151">
        <v>5</v>
      </c>
      <c r="P20" s="151">
        <v>5</v>
      </c>
      <c r="Q20" s="151">
        <v>6</v>
      </c>
      <c r="R20" s="151">
        <v>4</v>
      </c>
      <c r="S20" s="151">
        <v>6</v>
      </c>
      <c r="T20" s="151">
        <v>5</v>
      </c>
      <c r="U20" s="151">
        <v>6</v>
      </c>
      <c r="V20" s="151">
        <v>3</v>
      </c>
      <c r="W20" s="151">
        <v>4</v>
      </c>
      <c r="X20" s="151">
        <v>6</v>
      </c>
      <c r="Y20" s="151">
        <v>4</v>
      </c>
      <c r="Z20" s="151">
        <v>5</v>
      </c>
      <c r="AA20" s="151">
        <v>4</v>
      </c>
      <c r="AB20" s="151">
        <v>6</v>
      </c>
      <c r="AC20" s="151">
        <v>6</v>
      </c>
      <c r="AD20" s="151">
        <v>5</v>
      </c>
      <c r="AE20" s="151">
        <v>5</v>
      </c>
      <c r="AF20" s="151">
        <v>4</v>
      </c>
      <c r="AG20" s="151"/>
      <c r="AH20" s="151"/>
      <c r="AI20" s="151"/>
      <c r="AJ20" s="151"/>
      <c r="AK20" s="151"/>
      <c r="AL20" s="151"/>
      <c r="AM20" s="151"/>
      <c r="AO20" s="11">
        <v>3</v>
      </c>
      <c r="AP20" s="11">
        <f>COUNTIF(G17:G607,AO20)</f>
        <v>7</v>
      </c>
      <c r="AQ20" s="62">
        <f>(AP20/AP24)</f>
        <v>0.10606060606060606</v>
      </c>
      <c r="AR20" s="11">
        <v>3</v>
      </c>
      <c r="AS20" s="11">
        <f>COUNTIF(H17:H607,AR20)</f>
        <v>8</v>
      </c>
      <c r="AT20" s="62">
        <f>(AS20/AS24)</f>
        <v>0.12307692307692308</v>
      </c>
      <c r="AU20" s="11">
        <v>3</v>
      </c>
      <c r="AV20" s="11">
        <f>COUNTIF(I17:I607,AU20)</f>
        <v>5</v>
      </c>
      <c r="AW20" s="62">
        <f>(AV20/AV24)</f>
        <v>7.8125E-2</v>
      </c>
      <c r="AX20" s="11">
        <v>3</v>
      </c>
      <c r="AY20" s="11">
        <f>COUNTIF(J17:J607,AX20)</f>
        <v>14</v>
      </c>
      <c r="AZ20" s="62">
        <f>(AY20/AY24)</f>
        <v>0.22222222222222221</v>
      </c>
      <c r="BA20" s="11">
        <v>3</v>
      </c>
      <c r="BB20" s="11">
        <f>COUNTIF(K17:K607,BA20)</f>
        <v>4</v>
      </c>
      <c r="BC20" s="62">
        <f>(BB20/BB24)</f>
        <v>6.4516129032258063E-2</v>
      </c>
      <c r="BD20" s="11">
        <v>3</v>
      </c>
      <c r="BE20" s="11">
        <f>COUNTIF(L17:L383,BD20)</f>
        <v>5</v>
      </c>
      <c r="BF20" s="62">
        <f>(BE20/BE24)</f>
        <v>8.1967213114754092E-2</v>
      </c>
      <c r="BG20" s="57">
        <v>3</v>
      </c>
      <c r="BH20" s="174">
        <v>512</v>
      </c>
      <c r="BI20" s="56">
        <v>6</v>
      </c>
      <c r="BJ20" s="56">
        <v>5</v>
      </c>
      <c r="BK20" s="56">
        <v>5</v>
      </c>
      <c r="BL20" s="56">
        <v>3</v>
      </c>
      <c r="BM20" s="56">
        <v>4</v>
      </c>
      <c r="BN20" s="56">
        <v>5</v>
      </c>
      <c r="BO20" s="120">
        <v>5</v>
      </c>
      <c r="BP20" s="120">
        <v>6</v>
      </c>
      <c r="BQ20" s="56">
        <v>5</v>
      </c>
      <c r="BR20" s="56">
        <v>3</v>
      </c>
      <c r="BS20" s="56">
        <v>6</v>
      </c>
      <c r="BT20" s="56">
        <v>4</v>
      </c>
      <c r="BU20" s="120">
        <v>6</v>
      </c>
      <c r="BV20" s="120">
        <v>5</v>
      </c>
      <c r="BW20" s="120">
        <v>5</v>
      </c>
      <c r="BX20" s="120">
        <v>3</v>
      </c>
      <c r="BY20" s="120">
        <v>4</v>
      </c>
      <c r="BZ20" s="120">
        <v>5</v>
      </c>
      <c r="CA20" s="120">
        <v>4</v>
      </c>
      <c r="CB20" s="120">
        <v>5</v>
      </c>
      <c r="CC20" s="120">
        <v>4</v>
      </c>
      <c r="CD20" s="120">
        <v>6</v>
      </c>
      <c r="CE20" s="120">
        <v>6</v>
      </c>
      <c r="CF20" s="120">
        <v>4</v>
      </c>
      <c r="CG20" s="120">
        <v>3</v>
      </c>
      <c r="CH20" s="120">
        <v>4</v>
      </c>
      <c r="CI20" s="120"/>
      <c r="CJ20" s="120"/>
      <c r="CK20" s="151"/>
      <c r="CL20" s="151"/>
      <c r="CM20" s="151"/>
      <c r="CN20" s="151"/>
      <c r="CO20" s="151"/>
      <c r="CP20" s="128"/>
      <c r="CQ20" s="11">
        <v>3</v>
      </c>
      <c r="CR20" s="11">
        <f>COUNTIF(BI17:BI607,CQ20)</f>
        <v>8</v>
      </c>
      <c r="CS20" s="62">
        <f>(CR20/CR24)</f>
        <v>0.12307692307692308</v>
      </c>
      <c r="CT20" s="11">
        <v>3</v>
      </c>
      <c r="CU20" s="11">
        <f>COUNTIF(BJ17:BJ607,CT20)</f>
        <v>8</v>
      </c>
      <c r="CV20" s="62">
        <f>(CU20/CU24)</f>
        <v>0.125</v>
      </c>
      <c r="CW20" s="11">
        <v>3</v>
      </c>
      <c r="CX20" s="11">
        <f>COUNTIF(BK17:BK607,CW20)</f>
        <v>10</v>
      </c>
      <c r="CY20" s="62">
        <f>(CX20/CX24)</f>
        <v>0.15873015873015872</v>
      </c>
      <c r="CZ20" s="11">
        <v>3</v>
      </c>
      <c r="DA20" s="11">
        <f>COUNTIF(BL17:BL607,CZ20)</f>
        <v>11</v>
      </c>
      <c r="DB20" s="62">
        <f>(DA20/DA24)</f>
        <v>0.17741935483870969</v>
      </c>
      <c r="DC20" s="11">
        <v>3</v>
      </c>
      <c r="DD20" s="11">
        <f>COUNTIF(BM17:BM607,DC20)</f>
        <v>7</v>
      </c>
      <c r="DE20" s="62">
        <f>(DD20/DD24)</f>
        <v>0.11475409836065574</v>
      </c>
      <c r="DF20" s="11">
        <v>3</v>
      </c>
      <c r="DG20" s="11">
        <f>COUNTIF(BN17:BN383,DF20)</f>
        <v>7</v>
      </c>
      <c r="DH20" s="62">
        <f>(DG20/DG24)</f>
        <v>0.11666666666666667</v>
      </c>
      <c r="DI20" s="129">
        <v>4</v>
      </c>
      <c r="DJ20" s="174">
        <v>512</v>
      </c>
      <c r="DK20" s="120">
        <v>0</v>
      </c>
      <c r="DL20" s="120">
        <v>0</v>
      </c>
      <c r="DM20" s="120">
        <v>0</v>
      </c>
      <c r="DN20" s="120">
        <v>0</v>
      </c>
      <c r="DO20" s="120">
        <v>0</v>
      </c>
      <c r="DP20" s="120">
        <v>0</v>
      </c>
      <c r="DQ20" s="120">
        <v>0</v>
      </c>
      <c r="DR20" s="120">
        <v>0</v>
      </c>
      <c r="DS20" s="120">
        <v>0</v>
      </c>
      <c r="DT20" s="120">
        <v>2</v>
      </c>
      <c r="DU20" s="120">
        <v>0</v>
      </c>
      <c r="DV20" s="120">
        <v>0</v>
      </c>
      <c r="DW20" s="120">
        <v>0</v>
      </c>
      <c r="DX20" s="120">
        <v>0</v>
      </c>
      <c r="DY20" s="120">
        <v>1</v>
      </c>
      <c r="DZ20" s="120">
        <v>0</v>
      </c>
      <c r="EA20" s="120">
        <v>0</v>
      </c>
      <c r="EB20" s="120">
        <v>1</v>
      </c>
      <c r="EC20" s="120">
        <v>0</v>
      </c>
      <c r="ED20" s="120">
        <v>0</v>
      </c>
      <c r="EE20" s="120">
        <v>0</v>
      </c>
      <c r="EF20" s="120">
        <v>0</v>
      </c>
      <c r="EG20" s="120">
        <v>0</v>
      </c>
      <c r="EH20" s="120">
        <v>1</v>
      </c>
      <c r="EI20" s="120">
        <v>2</v>
      </c>
      <c r="EJ20" s="120">
        <v>0</v>
      </c>
      <c r="EK20" s="120"/>
      <c r="EL20" s="120"/>
      <c r="EM20" s="151"/>
      <c r="EN20" s="151"/>
      <c r="EO20" s="151"/>
      <c r="EP20" s="151"/>
      <c r="EQ20" s="151"/>
      <c r="ER20" s="128"/>
      <c r="ES20" s="11">
        <v>3</v>
      </c>
      <c r="ET20" s="11">
        <f>COUNTIF(DK17:DK607,ES20)</f>
        <v>0</v>
      </c>
      <c r="EU20" s="62">
        <f>(ET20/ET24)</f>
        <v>0</v>
      </c>
      <c r="EV20" s="11">
        <v>3</v>
      </c>
      <c r="EW20" s="11">
        <f>COUNTIF(DL17:DL607,EV20)</f>
        <v>1</v>
      </c>
      <c r="EX20" s="62">
        <f>(EW20/EW24)</f>
        <v>1.5625E-2</v>
      </c>
      <c r="EY20" s="11">
        <v>3</v>
      </c>
      <c r="EZ20" s="11">
        <f>COUNTIF(DM17:DM607,EY20)</f>
        <v>1</v>
      </c>
      <c r="FA20" s="62">
        <f>(EZ20/EZ24)</f>
        <v>1.5873015873015872E-2</v>
      </c>
      <c r="FB20" s="11">
        <v>3</v>
      </c>
      <c r="FC20" s="11">
        <f>COUNTIF(DN17:DN607,FB20)</f>
        <v>0</v>
      </c>
      <c r="FD20" s="62">
        <f>(FC20/FC24)</f>
        <v>0</v>
      </c>
      <c r="FE20" s="11">
        <v>3</v>
      </c>
      <c r="FF20" s="11">
        <f>COUNTIF(DO17:DO607,FE20)</f>
        <v>0</v>
      </c>
      <c r="FG20" s="62">
        <f>(FF20/FF24)</f>
        <v>0</v>
      </c>
      <c r="FH20" s="11">
        <v>3</v>
      </c>
      <c r="FI20" s="11">
        <f>COUNTIF(DP17:DP383,FH20)</f>
        <v>0</v>
      </c>
      <c r="FJ20" s="62">
        <f>(FI20/FI24)</f>
        <v>0</v>
      </c>
      <c r="FK20" s="129">
        <v>1</v>
      </c>
      <c r="FL20" s="174">
        <v>512</v>
      </c>
      <c r="FM20" s="56"/>
      <c r="FN20" s="56"/>
      <c r="FO20" s="56">
        <v>2</v>
      </c>
      <c r="FP20" s="56"/>
      <c r="FQ20" s="56"/>
      <c r="FR20" s="56"/>
      <c r="FS20" s="56"/>
      <c r="FT20" s="45"/>
      <c r="FU20" s="56">
        <v>3</v>
      </c>
      <c r="FV20" s="56">
        <v>0</v>
      </c>
      <c r="FW20" s="56">
        <v>3</v>
      </c>
      <c r="FX20" s="56">
        <v>3</v>
      </c>
      <c r="FY20" s="56">
        <v>0</v>
      </c>
      <c r="FZ20" s="56">
        <v>2</v>
      </c>
      <c r="GA20" s="56">
        <v>2</v>
      </c>
      <c r="GB20" s="56">
        <v>1</v>
      </c>
      <c r="GC20" s="56">
        <v>3</v>
      </c>
      <c r="GD20" s="56">
        <v>1</v>
      </c>
      <c r="GE20" s="56">
        <v>1</v>
      </c>
      <c r="GF20" s="56">
        <v>3</v>
      </c>
      <c r="GG20" s="56">
        <v>0</v>
      </c>
      <c r="GH20" s="56">
        <v>1</v>
      </c>
      <c r="GI20" s="56">
        <v>1</v>
      </c>
      <c r="GJ20" s="56">
        <v>1</v>
      </c>
      <c r="GK20" s="56">
        <v>1</v>
      </c>
      <c r="GL20" s="56">
        <v>1</v>
      </c>
      <c r="GM20" s="120"/>
      <c r="GN20" s="120"/>
      <c r="GO20" s="151"/>
      <c r="GP20" s="151"/>
      <c r="GQ20" s="151"/>
      <c r="GR20" s="151"/>
      <c r="GS20" s="151"/>
      <c r="GT20" s="128"/>
      <c r="GU20" s="11"/>
      <c r="GV20" s="11"/>
      <c r="GW20" s="62"/>
      <c r="GX20" s="11">
        <v>3</v>
      </c>
      <c r="GY20" s="11">
        <f>COUNTIF(FN17:FN607,GX20)</f>
        <v>15</v>
      </c>
      <c r="GZ20" s="62">
        <f>(GY20/GY24)</f>
        <v>0.30612244897959184</v>
      </c>
      <c r="HA20" s="11">
        <v>3</v>
      </c>
      <c r="HB20" s="11">
        <f>COUNTIF(FO17:FO607,HA20)</f>
        <v>15</v>
      </c>
      <c r="HC20" s="62">
        <f>(HB20/HB24)</f>
        <v>0.23809523809523808</v>
      </c>
      <c r="HD20" s="11">
        <v>3</v>
      </c>
      <c r="HE20" s="11">
        <f>COUNTIF(FP17:FP607,HD20)</f>
        <v>11</v>
      </c>
      <c r="HF20" s="62">
        <f>(HE20/HE24)</f>
        <v>0.22448979591836735</v>
      </c>
      <c r="HG20" s="11">
        <v>3</v>
      </c>
      <c r="HH20" s="11">
        <f>COUNTIF(FQ17:FQ607,HG20)</f>
        <v>11</v>
      </c>
      <c r="HI20" s="62">
        <f>(HH20/HH24)</f>
        <v>0.22448979591836735</v>
      </c>
      <c r="HJ20" s="11">
        <v>3</v>
      </c>
      <c r="HK20" s="11">
        <f>COUNTIF(FR17:FR383,HJ20)</f>
        <v>9</v>
      </c>
      <c r="HL20" s="62">
        <f>(HK20/HK24)</f>
        <v>0.18367346938775511</v>
      </c>
      <c r="HN20" s="69">
        <v>3</v>
      </c>
    </row>
    <row r="21" spans="1:222" s="66" customFormat="1" ht="17.25">
      <c r="A21" s="186"/>
      <c r="B21" s="186"/>
      <c r="C21" s="129"/>
      <c r="D21" s="69"/>
      <c r="E21" s="69"/>
      <c r="F21" s="174">
        <v>513</v>
      </c>
      <c r="G21" s="151">
        <v>4</v>
      </c>
      <c r="H21" s="151">
        <v>5</v>
      </c>
      <c r="I21" s="151">
        <v>6</v>
      </c>
      <c r="J21" s="151">
        <v>5</v>
      </c>
      <c r="K21" s="151">
        <v>5</v>
      </c>
      <c r="L21" s="151">
        <v>5</v>
      </c>
      <c r="M21" s="151">
        <v>5</v>
      </c>
      <c r="N21" s="151">
        <v>5</v>
      </c>
      <c r="O21" s="151">
        <v>4</v>
      </c>
      <c r="P21" s="151">
        <v>6</v>
      </c>
      <c r="Q21" s="151">
        <v>4</v>
      </c>
      <c r="R21" s="151">
        <v>5</v>
      </c>
      <c r="S21" s="151">
        <v>6</v>
      </c>
      <c r="T21" s="151">
        <v>6</v>
      </c>
      <c r="U21" s="151">
        <v>3</v>
      </c>
      <c r="V21" s="151">
        <v>4</v>
      </c>
      <c r="W21" s="151">
        <v>4</v>
      </c>
      <c r="X21" s="151">
        <v>5</v>
      </c>
      <c r="Y21" s="151">
        <v>5</v>
      </c>
      <c r="Z21" s="151">
        <v>5</v>
      </c>
      <c r="AA21" s="151">
        <v>5</v>
      </c>
      <c r="AB21" s="151">
        <v>4</v>
      </c>
      <c r="AC21" s="151">
        <v>5</v>
      </c>
      <c r="AD21" s="151">
        <v>3</v>
      </c>
      <c r="AE21" s="151">
        <v>6</v>
      </c>
      <c r="AF21" s="151">
        <v>3</v>
      </c>
      <c r="AG21" s="151"/>
      <c r="AH21" s="151"/>
      <c r="AI21" s="151"/>
      <c r="AJ21" s="151"/>
      <c r="AK21" s="151"/>
      <c r="AL21" s="151"/>
      <c r="AM21" s="151"/>
      <c r="AO21" s="11">
        <v>2</v>
      </c>
      <c r="AP21" s="11">
        <f>COUNTIF(G17:G607,AO21)</f>
        <v>1</v>
      </c>
      <c r="AQ21" s="62">
        <f>(AP21/AP24)</f>
        <v>1.5151515151515152E-2</v>
      </c>
      <c r="AR21" s="11">
        <v>2</v>
      </c>
      <c r="AS21" s="11">
        <f>COUNTIF(H17:H607,AR21)</f>
        <v>3</v>
      </c>
      <c r="AT21" s="62">
        <f>(AS21/AS24)</f>
        <v>4.6153846153846156E-2</v>
      </c>
      <c r="AU21" s="11">
        <v>2</v>
      </c>
      <c r="AV21" s="11">
        <f>COUNTIF(I17:I607,AU21)</f>
        <v>0</v>
      </c>
      <c r="AW21" s="62">
        <f>(AV21/AV24)</f>
        <v>0</v>
      </c>
      <c r="AX21" s="11">
        <v>2</v>
      </c>
      <c r="AY21" s="11">
        <f>COUNTIF(J17:J607,AX21)</f>
        <v>0</v>
      </c>
      <c r="AZ21" s="62">
        <f>(AY21/AY24)</f>
        <v>0</v>
      </c>
      <c r="BA21" s="11">
        <v>2</v>
      </c>
      <c r="BB21" s="11">
        <f>COUNTIF(K17:K607,BA21)</f>
        <v>0</v>
      </c>
      <c r="BC21" s="62">
        <f>(BB21/BB24)</f>
        <v>0</v>
      </c>
      <c r="BD21" s="11">
        <v>2</v>
      </c>
      <c r="BE21" s="11">
        <f>COUNTIF(L17:L383,BD21)</f>
        <v>1</v>
      </c>
      <c r="BF21" s="62">
        <f>(BE21/BE24)</f>
        <v>1.6393442622950821E-2</v>
      </c>
      <c r="BG21" s="57">
        <v>3</v>
      </c>
      <c r="BH21" s="174">
        <v>513</v>
      </c>
      <c r="BI21" s="56">
        <v>4</v>
      </c>
      <c r="BJ21" s="56">
        <v>5</v>
      </c>
      <c r="BK21" s="56">
        <v>6</v>
      </c>
      <c r="BL21" s="56">
        <v>6</v>
      </c>
      <c r="BM21" s="56">
        <v>5</v>
      </c>
      <c r="BN21" s="56">
        <v>6</v>
      </c>
      <c r="BO21" s="120">
        <v>6</v>
      </c>
      <c r="BP21" s="120">
        <v>5</v>
      </c>
      <c r="BQ21" s="56">
        <v>3</v>
      </c>
      <c r="BR21" s="56">
        <v>6</v>
      </c>
      <c r="BS21" s="56">
        <v>4</v>
      </c>
      <c r="BT21" s="56">
        <v>4</v>
      </c>
      <c r="BU21" s="120">
        <v>4</v>
      </c>
      <c r="BV21" s="120">
        <v>6</v>
      </c>
      <c r="BW21" s="120">
        <v>3</v>
      </c>
      <c r="BX21" s="120">
        <v>4</v>
      </c>
      <c r="BY21" s="120">
        <v>4</v>
      </c>
      <c r="BZ21" s="120">
        <v>4</v>
      </c>
      <c r="CA21" s="120">
        <v>5</v>
      </c>
      <c r="CB21" s="120">
        <v>4</v>
      </c>
      <c r="CC21" s="120">
        <v>5</v>
      </c>
      <c r="CD21" s="120">
        <v>2</v>
      </c>
      <c r="CE21" s="120">
        <v>5</v>
      </c>
      <c r="CF21" s="120">
        <v>3</v>
      </c>
      <c r="CG21" s="120">
        <v>5</v>
      </c>
      <c r="CH21" s="120">
        <v>3</v>
      </c>
      <c r="CI21" s="120"/>
      <c r="CJ21" s="120"/>
      <c r="CK21" s="151"/>
      <c r="CL21" s="151"/>
      <c r="CM21" s="151"/>
      <c r="CN21" s="151"/>
      <c r="CO21" s="151"/>
      <c r="CP21" s="128"/>
      <c r="CQ21" s="11">
        <v>2</v>
      </c>
      <c r="CR21" s="11">
        <f>COUNTIF(BI17:BI607,CQ21)</f>
        <v>2</v>
      </c>
      <c r="CS21" s="62">
        <f>(CR21/CR24)</f>
        <v>3.0769230769230771E-2</v>
      </c>
      <c r="CT21" s="11">
        <v>2</v>
      </c>
      <c r="CU21" s="11">
        <f>COUNTIF(BJ17:BJ607,CT21)</f>
        <v>6</v>
      </c>
      <c r="CV21" s="62">
        <f>(CU21/CU24)</f>
        <v>9.375E-2</v>
      </c>
      <c r="CW21" s="11">
        <v>2</v>
      </c>
      <c r="CX21" s="11">
        <f>COUNTIF(BK17:BK607,CW21)</f>
        <v>2</v>
      </c>
      <c r="CY21" s="62">
        <f>(CX21/CX24)</f>
        <v>3.1746031746031744E-2</v>
      </c>
      <c r="CZ21" s="11">
        <v>2</v>
      </c>
      <c r="DA21" s="11">
        <f>COUNTIF(BL17:BL607,CZ21)</f>
        <v>3</v>
      </c>
      <c r="DB21" s="62">
        <f>(DA21/DA24)</f>
        <v>4.8387096774193547E-2</v>
      </c>
      <c r="DC21" s="11">
        <v>2</v>
      </c>
      <c r="DD21" s="11">
        <f>COUNTIF(BM17:BM607,DC21)</f>
        <v>0</v>
      </c>
      <c r="DE21" s="62">
        <f>(DD21/DD24)</f>
        <v>0</v>
      </c>
      <c r="DF21" s="11">
        <v>2</v>
      </c>
      <c r="DG21" s="11">
        <f>COUNTIF(BN17:BN383,DF21)</f>
        <v>2</v>
      </c>
      <c r="DH21" s="62">
        <f>(DG21/DG24)</f>
        <v>3.3333333333333333E-2</v>
      </c>
      <c r="DI21" s="129">
        <v>4</v>
      </c>
      <c r="DJ21" s="174">
        <v>513</v>
      </c>
      <c r="DK21" s="120">
        <v>0</v>
      </c>
      <c r="DL21" s="120">
        <v>1</v>
      </c>
      <c r="DM21" s="120">
        <v>0</v>
      </c>
      <c r="DN21" s="120">
        <v>0</v>
      </c>
      <c r="DO21" s="120">
        <v>0</v>
      </c>
      <c r="DP21" s="120">
        <v>0</v>
      </c>
      <c r="DQ21" s="120">
        <v>0</v>
      </c>
      <c r="DR21" s="120">
        <v>0</v>
      </c>
      <c r="DS21" s="120">
        <v>0</v>
      </c>
      <c r="DT21" s="120">
        <v>0</v>
      </c>
      <c r="DU21" s="120">
        <v>0</v>
      </c>
      <c r="DV21" s="120">
        <v>1</v>
      </c>
      <c r="DW21" s="120">
        <v>2</v>
      </c>
      <c r="DX21" s="120">
        <v>0</v>
      </c>
      <c r="DY21" s="120">
        <v>0</v>
      </c>
      <c r="DZ21" s="120">
        <v>0</v>
      </c>
      <c r="EA21" s="120">
        <v>0</v>
      </c>
      <c r="EB21" s="120">
        <v>1</v>
      </c>
      <c r="EC21" s="120">
        <v>0</v>
      </c>
      <c r="ED21" s="120">
        <v>1</v>
      </c>
      <c r="EE21" s="120">
        <v>0</v>
      </c>
      <c r="EF21" s="120">
        <v>2</v>
      </c>
      <c r="EG21" s="120">
        <v>0</v>
      </c>
      <c r="EH21" s="120">
        <v>0</v>
      </c>
      <c r="EI21" s="120">
        <v>1</v>
      </c>
      <c r="EJ21" s="120">
        <v>0</v>
      </c>
      <c r="EK21" s="120"/>
      <c r="EL21" s="120"/>
      <c r="EM21" s="151"/>
      <c r="EN21" s="151"/>
      <c r="EO21" s="151"/>
      <c r="EP21" s="151"/>
      <c r="EQ21" s="151"/>
      <c r="ER21" s="128"/>
      <c r="ES21" s="11">
        <v>2</v>
      </c>
      <c r="ET21" s="11">
        <f>COUNTIF(DK17:DK607,ES21)</f>
        <v>4</v>
      </c>
      <c r="EU21" s="62">
        <f>(ET21/ET24)</f>
        <v>6.1538461538461542E-2</v>
      </c>
      <c r="EV21" s="11">
        <v>2</v>
      </c>
      <c r="EW21" s="11">
        <f>COUNTIF(DL17:DL607,EV21)</f>
        <v>2</v>
      </c>
      <c r="EX21" s="62">
        <f>(EW21/EW24)</f>
        <v>3.125E-2</v>
      </c>
      <c r="EY21" s="11">
        <v>2</v>
      </c>
      <c r="EZ21" s="11">
        <f>COUNTIF(DM17:DM607,EY21)</f>
        <v>4</v>
      </c>
      <c r="FA21" s="62">
        <f>(EZ21/EZ24)</f>
        <v>6.3492063492063489E-2</v>
      </c>
      <c r="FB21" s="11">
        <v>2</v>
      </c>
      <c r="FC21" s="11">
        <f>COUNTIF(DN17:DN607,FB21)</f>
        <v>1</v>
      </c>
      <c r="FD21" s="62">
        <f>(FC21/FC24)</f>
        <v>1.6129032258064516E-2</v>
      </c>
      <c r="FE21" s="11">
        <v>2</v>
      </c>
      <c r="FF21" s="11">
        <f>COUNTIF(DO17:DO607,FE21)</f>
        <v>2</v>
      </c>
      <c r="FG21" s="62">
        <f>(FF21/FF24)</f>
        <v>3.2786885245901641E-2</v>
      </c>
      <c r="FH21" s="11">
        <v>2</v>
      </c>
      <c r="FI21" s="11">
        <f>COUNTIF(DP17:DP383,FH21)</f>
        <v>0</v>
      </c>
      <c r="FJ21" s="62">
        <f>(FI21/FI24)</f>
        <v>0</v>
      </c>
      <c r="FK21" s="129">
        <v>1</v>
      </c>
      <c r="FL21" s="174">
        <v>513</v>
      </c>
      <c r="FM21" s="56"/>
      <c r="FN21" s="56"/>
      <c r="FO21" s="56">
        <v>3</v>
      </c>
      <c r="FP21" s="56"/>
      <c r="FQ21" s="56"/>
      <c r="FR21" s="56"/>
      <c r="FS21" s="56"/>
      <c r="FT21" s="56"/>
      <c r="FU21" s="56">
        <v>1</v>
      </c>
      <c r="FV21" s="56">
        <v>3</v>
      </c>
      <c r="FW21" s="56">
        <v>1</v>
      </c>
      <c r="FX21" s="56">
        <v>0</v>
      </c>
      <c r="FY21" s="56">
        <v>2</v>
      </c>
      <c r="FZ21" s="56">
        <v>1</v>
      </c>
      <c r="GA21" s="56">
        <v>2</v>
      </c>
      <c r="GB21" s="56">
        <v>2</v>
      </c>
      <c r="GC21" s="56">
        <v>1</v>
      </c>
      <c r="GD21" s="56">
        <v>3</v>
      </c>
      <c r="GE21" s="56">
        <v>4</v>
      </c>
      <c r="GF21" s="56">
        <v>1</v>
      </c>
      <c r="GG21" s="56">
        <v>2</v>
      </c>
      <c r="GH21" s="56">
        <v>0</v>
      </c>
      <c r="GI21" s="56">
        <v>2</v>
      </c>
      <c r="GJ21" s="56">
        <v>1</v>
      </c>
      <c r="GK21" s="56">
        <v>2</v>
      </c>
      <c r="GL21" s="56">
        <v>1</v>
      </c>
      <c r="GM21" s="120"/>
      <c r="GN21" s="120"/>
      <c r="GO21" s="151"/>
      <c r="GP21" s="151"/>
      <c r="GQ21" s="151"/>
      <c r="GR21" s="151"/>
      <c r="GS21" s="151"/>
      <c r="GT21" s="128"/>
      <c r="GU21" s="11"/>
      <c r="GV21" s="11"/>
      <c r="GW21" s="62"/>
      <c r="GX21" s="11">
        <v>2</v>
      </c>
      <c r="GY21" s="11">
        <f>COUNTIF(FN17:FN607,GX21)</f>
        <v>19</v>
      </c>
      <c r="GZ21" s="62">
        <f>(GY21/GY24)</f>
        <v>0.38775510204081631</v>
      </c>
      <c r="HA21" s="11">
        <v>2</v>
      </c>
      <c r="HB21" s="11">
        <f>COUNTIF(FO17:FO607,HA21)</f>
        <v>20</v>
      </c>
      <c r="HC21" s="62">
        <f>(HB21/HB24)</f>
        <v>0.31746031746031744</v>
      </c>
      <c r="HD21" s="11">
        <v>2</v>
      </c>
      <c r="HE21" s="11">
        <f>COUNTIF(FP17:FP607,HD21)</f>
        <v>15</v>
      </c>
      <c r="HF21" s="62">
        <f>(HE21/HE24)</f>
        <v>0.30612244897959184</v>
      </c>
      <c r="HG21" s="11">
        <v>2</v>
      </c>
      <c r="HH21" s="11">
        <f>COUNTIF(FQ17:FQ607,HG21)</f>
        <v>20</v>
      </c>
      <c r="HI21" s="62">
        <f>(HH21/HH24)</f>
        <v>0.40816326530612246</v>
      </c>
      <c r="HJ21" s="11">
        <v>2</v>
      </c>
      <c r="HK21" s="11">
        <f>COUNTIF(FR17:FR383,HJ21)</f>
        <v>16</v>
      </c>
      <c r="HL21" s="62">
        <f>(HK21/HK24)</f>
        <v>0.32653061224489793</v>
      </c>
      <c r="HN21" s="66">
        <v>4</v>
      </c>
    </row>
    <row r="22" spans="1:222" s="66" customFormat="1" ht="17.25">
      <c r="A22" s="186"/>
      <c r="B22" s="186"/>
      <c r="C22" s="129"/>
      <c r="F22" s="174">
        <v>514</v>
      </c>
      <c r="G22" s="151">
        <v>4</v>
      </c>
      <c r="H22" s="151">
        <v>4</v>
      </c>
      <c r="I22" s="151">
        <v>5</v>
      </c>
      <c r="J22" s="151">
        <v>5</v>
      </c>
      <c r="K22" s="151">
        <v>4</v>
      </c>
      <c r="L22" s="151">
        <v>5</v>
      </c>
      <c r="M22" s="151">
        <v>4</v>
      </c>
      <c r="N22" s="151">
        <v>4</v>
      </c>
      <c r="O22" s="151">
        <v>6</v>
      </c>
      <c r="P22" s="151">
        <v>5</v>
      </c>
      <c r="Q22" s="151">
        <v>4</v>
      </c>
      <c r="R22" s="151">
        <v>3</v>
      </c>
      <c r="S22" s="151">
        <v>5</v>
      </c>
      <c r="T22" s="151">
        <v>4</v>
      </c>
      <c r="U22" s="151">
        <v>5</v>
      </c>
      <c r="V22" s="151">
        <v>4</v>
      </c>
      <c r="W22" s="151">
        <v>4</v>
      </c>
      <c r="X22" s="151">
        <v>5</v>
      </c>
      <c r="Y22" s="151">
        <v>5</v>
      </c>
      <c r="Z22" s="151">
        <v>4</v>
      </c>
      <c r="AA22" s="151">
        <v>5</v>
      </c>
      <c r="AB22" s="151">
        <v>3</v>
      </c>
      <c r="AC22" s="151">
        <v>6</v>
      </c>
      <c r="AD22" s="151">
        <v>4</v>
      </c>
      <c r="AE22" s="151">
        <v>6</v>
      </c>
      <c r="AF22" s="151">
        <v>4</v>
      </c>
      <c r="AG22" s="151"/>
      <c r="AH22" s="151"/>
      <c r="AI22" s="151"/>
      <c r="AJ22" s="151"/>
      <c r="AK22" s="151"/>
      <c r="AL22" s="151"/>
      <c r="AM22" s="151"/>
      <c r="AO22" s="11">
        <v>1</v>
      </c>
      <c r="AP22" s="11">
        <f>COUNTIF(G17:G607,AO22)</f>
        <v>2</v>
      </c>
      <c r="AQ22" s="62">
        <f>(AP22/AP24)</f>
        <v>3.0303030303030304E-2</v>
      </c>
      <c r="AR22" s="11">
        <v>1</v>
      </c>
      <c r="AS22" s="11">
        <f>COUNTIF(H17:H607,AR22)</f>
        <v>1</v>
      </c>
      <c r="AT22" s="62">
        <f>(AS22/AS24)</f>
        <v>1.5384615384615385E-2</v>
      </c>
      <c r="AU22" s="11">
        <v>1</v>
      </c>
      <c r="AV22" s="11">
        <f>COUNTIF(I17:I607,AU22)</f>
        <v>2</v>
      </c>
      <c r="AW22" s="62">
        <f>(AV22/AV24)</f>
        <v>3.125E-2</v>
      </c>
      <c r="AX22" s="11">
        <v>1</v>
      </c>
      <c r="AY22" s="11">
        <f>COUNTIF(J17:J607,AX22)</f>
        <v>1</v>
      </c>
      <c r="AZ22" s="62">
        <f>(AY22/AY24)</f>
        <v>1.5873015873015872E-2</v>
      </c>
      <c r="BA22" s="11">
        <v>1</v>
      </c>
      <c r="BB22" s="11">
        <f>COUNTIF(K17:K607,BA22)</f>
        <v>1</v>
      </c>
      <c r="BC22" s="62">
        <f>(BB22/BB24)</f>
        <v>1.6129032258064516E-2</v>
      </c>
      <c r="BD22" s="11">
        <v>1</v>
      </c>
      <c r="BE22" s="11">
        <f>COUNTIF(L17:L383,BD22)</f>
        <v>0</v>
      </c>
      <c r="BF22" s="62">
        <f>(BE22/BE24)</f>
        <v>0</v>
      </c>
      <c r="BG22" s="57">
        <v>3</v>
      </c>
      <c r="BH22" s="174">
        <v>514</v>
      </c>
      <c r="BI22" s="56">
        <v>4</v>
      </c>
      <c r="BJ22" s="56">
        <v>4</v>
      </c>
      <c r="BK22" s="56">
        <v>5</v>
      </c>
      <c r="BL22" s="56">
        <v>5</v>
      </c>
      <c r="BM22" s="56">
        <v>4</v>
      </c>
      <c r="BN22" s="56">
        <v>4</v>
      </c>
      <c r="BO22" s="120">
        <v>5</v>
      </c>
      <c r="BP22" s="120">
        <v>5</v>
      </c>
      <c r="BQ22" s="56">
        <v>5</v>
      </c>
      <c r="BR22" s="56">
        <v>4</v>
      </c>
      <c r="BS22" s="56">
        <v>3</v>
      </c>
      <c r="BT22" s="56">
        <v>3</v>
      </c>
      <c r="BU22" s="120">
        <v>5</v>
      </c>
      <c r="BV22" s="120">
        <v>4</v>
      </c>
      <c r="BW22" s="120">
        <v>5</v>
      </c>
      <c r="BX22" s="120">
        <v>4</v>
      </c>
      <c r="BY22" s="120">
        <v>3</v>
      </c>
      <c r="BZ22" s="120">
        <v>5</v>
      </c>
      <c r="CA22" s="120">
        <v>4</v>
      </c>
      <c r="CB22" s="120">
        <v>4</v>
      </c>
      <c r="CC22" s="120">
        <v>3</v>
      </c>
      <c r="CD22" s="120">
        <v>3</v>
      </c>
      <c r="CE22" s="120">
        <v>5</v>
      </c>
      <c r="CF22" s="120">
        <v>4</v>
      </c>
      <c r="CG22" s="120">
        <v>5</v>
      </c>
      <c r="CH22" s="120">
        <v>4</v>
      </c>
      <c r="CI22" s="120"/>
      <c r="CJ22" s="120"/>
      <c r="CK22" s="151"/>
      <c r="CL22" s="151"/>
      <c r="CM22" s="151"/>
      <c r="CN22" s="151"/>
      <c r="CO22" s="151"/>
      <c r="CP22" s="128"/>
      <c r="CQ22" s="11">
        <v>1</v>
      </c>
      <c r="CR22" s="11">
        <f>COUNTIF(BI17:BI607,CQ22)</f>
        <v>2</v>
      </c>
      <c r="CS22" s="62">
        <f>(CR22/CR24)</f>
        <v>3.0769230769230771E-2</v>
      </c>
      <c r="CT22" s="11">
        <v>1</v>
      </c>
      <c r="CU22" s="11">
        <f>COUNTIF(BJ17:BJ607,CT22)</f>
        <v>1</v>
      </c>
      <c r="CV22" s="62">
        <f>(CU22/CU24)</f>
        <v>1.5625E-2</v>
      </c>
      <c r="CW22" s="11">
        <v>1</v>
      </c>
      <c r="CX22" s="11">
        <f>COUNTIF(BK17:BK607,CW22)</f>
        <v>2</v>
      </c>
      <c r="CY22" s="62">
        <f>(CX22/CX24)</f>
        <v>3.1746031746031744E-2</v>
      </c>
      <c r="CZ22" s="11">
        <v>1</v>
      </c>
      <c r="DA22" s="11">
        <f>COUNTIF(BL17:BL607,CZ22)</f>
        <v>0</v>
      </c>
      <c r="DB22" s="62">
        <f>(DA22/DA24)</f>
        <v>0</v>
      </c>
      <c r="DC22" s="11">
        <v>1</v>
      </c>
      <c r="DD22" s="11">
        <f>COUNTIF(BM17:BM607,DC22)</f>
        <v>2</v>
      </c>
      <c r="DE22" s="62">
        <f>(DD22/DD24)</f>
        <v>3.2786885245901641E-2</v>
      </c>
      <c r="DF22" s="11">
        <v>1</v>
      </c>
      <c r="DG22" s="11">
        <f>COUNTIF(BN17:BN383,DF22)</f>
        <v>1</v>
      </c>
      <c r="DH22" s="62">
        <f>(DG22/DG24)</f>
        <v>1.6666666666666666E-2</v>
      </c>
      <c r="DI22" s="129">
        <v>4</v>
      </c>
      <c r="DJ22" s="174">
        <v>514</v>
      </c>
      <c r="DK22" s="120">
        <v>0</v>
      </c>
      <c r="DL22" s="120">
        <v>1</v>
      </c>
      <c r="DM22" s="120">
        <v>0</v>
      </c>
      <c r="DN22" s="120">
        <v>1</v>
      </c>
      <c r="DO22" s="120">
        <v>0</v>
      </c>
      <c r="DP22" s="120">
        <v>1</v>
      </c>
      <c r="DQ22" s="120">
        <v>0</v>
      </c>
      <c r="DR22" s="120">
        <v>0</v>
      </c>
      <c r="DS22" s="120">
        <v>1</v>
      </c>
      <c r="DT22" s="120">
        <v>1</v>
      </c>
      <c r="DU22" s="120">
        <v>1</v>
      </c>
      <c r="DV22" s="120">
        <v>0</v>
      </c>
      <c r="DW22" s="120">
        <v>0</v>
      </c>
      <c r="DX22" s="120">
        <v>0</v>
      </c>
      <c r="DY22" s="120">
        <v>0</v>
      </c>
      <c r="DZ22" s="120">
        <v>0</v>
      </c>
      <c r="EA22" s="120">
        <v>1</v>
      </c>
      <c r="EB22" s="120">
        <v>0</v>
      </c>
      <c r="EC22" s="120">
        <v>1</v>
      </c>
      <c r="ED22" s="120">
        <v>0</v>
      </c>
      <c r="EE22" s="120">
        <v>2</v>
      </c>
      <c r="EF22" s="120">
        <v>0</v>
      </c>
      <c r="EG22" s="120">
        <v>1</v>
      </c>
      <c r="EH22" s="120">
        <v>0</v>
      </c>
      <c r="EI22" s="120">
        <v>1</v>
      </c>
      <c r="EJ22" s="120">
        <v>0</v>
      </c>
      <c r="EK22" s="120"/>
      <c r="EL22" s="120"/>
      <c r="EM22" s="151"/>
      <c r="EN22" s="151"/>
      <c r="EO22" s="151"/>
      <c r="EP22" s="151"/>
      <c r="EQ22" s="151"/>
      <c r="ER22" s="128"/>
      <c r="ES22" s="11">
        <v>1</v>
      </c>
      <c r="ET22" s="11">
        <f>COUNTIF(DK17:DK607,ES22)</f>
        <v>17</v>
      </c>
      <c r="EU22" s="62">
        <f>(ET22/ET24)</f>
        <v>0.26153846153846155</v>
      </c>
      <c r="EV22" s="11">
        <v>1</v>
      </c>
      <c r="EW22" s="11">
        <f>COUNTIF(DL17:DL607,EV22)</f>
        <v>18</v>
      </c>
      <c r="EX22" s="62">
        <f>(EW22/EW24)</f>
        <v>0.28125</v>
      </c>
      <c r="EY22" s="11">
        <v>1</v>
      </c>
      <c r="EZ22" s="11">
        <f>COUNTIF(DM17:DM607,EY22)</f>
        <v>22</v>
      </c>
      <c r="FA22" s="62">
        <f>(EZ22/EZ24)</f>
        <v>0.34920634920634919</v>
      </c>
      <c r="FB22" s="11">
        <v>1</v>
      </c>
      <c r="FC22" s="11">
        <f>COUNTIF(DN17:DN607,FB22)</f>
        <v>19</v>
      </c>
      <c r="FD22" s="62">
        <f>(FC22/FC24)</f>
        <v>0.30645161290322581</v>
      </c>
      <c r="FE22" s="11">
        <v>1</v>
      </c>
      <c r="FF22" s="11">
        <f>COUNTIF(DO17:DO607,FE22)</f>
        <v>16</v>
      </c>
      <c r="FG22" s="62">
        <f>(FF22/FF24)</f>
        <v>0.26229508196721313</v>
      </c>
      <c r="FH22" s="11">
        <v>1</v>
      </c>
      <c r="FI22" s="11">
        <f>COUNTIF(DP17:DP383,FH22)</f>
        <v>27</v>
      </c>
      <c r="FJ22" s="62">
        <f>(FI22/FI24)</f>
        <v>0.45</v>
      </c>
      <c r="FK22" s="129">
        <v>1</v>
      </c>
      <c r="FL22" s="174">
        <v>514</v>
      </c>
      <c r="FM22" s="56"/>
      <c r="FN22" s="56"/>
      <c r="FO22" s="56">
        <v>0</v>
      </c>
      <c r="FP22" s="56"/>
      <c r="FQ22" s="56"/>
      <c r="FR22" s="56"/>
      <c r="FS22" s="56"/>
      <c r="FT22" s="56"/>
      <c r="FU22" s="56">
        <v>4</v>
      </c>
      <c r="FV22" s="56">
        <v>2</v>
      </c>
      <c r="FW22" s="56">
        <v>0</v>
      </c>
      <c r="FX22" s="56">
        <v>1</v>
      </c>
      <c r="FY22" s="56">
        <v>4</v>
      </c>
      <c r="FZ22" s="56">
        <v>3</v>
      </c>
      <c r="GA22" s="56">
        <v>1</v>
      </c>
      <c r="GB22" s="56">
        <v>2</v>
      </c>
      <c r="GC22" s="56">
        <v>1</v>
      </c>
      <c r="GD22" s="56">
        <v>4</v>
      </c>
      <c r="GE22" s="56">
        <v>0</v>
      </c>
      <c r="GF22" s="56">
        <v>4</v>
      </c>
      <c r="GG22" s="56">
        <v>1</v>
      </c>
      <c r="GH22" s="56">
        <v>2</v>
      </c>
      <c r="GI22" s="56">
        <v>1</v>
      </c>
      <c r="GJ22" s="56">
        <v>2</v>
      </c>
      <c r="GK22" s="56">
        <v>1</v>
      </c>
      <c r="GL22" s="56">
        <v>2</v>
      </c>
      <c r="GM22" s="120"/>
      <c r="GN22" s="120"/>
      <c r="GO22" s="151"/>
      <c r="GP22" s="151"/>
      <c r="GQ22" s="151"/>
      <c r="GR22" s="151"/>
      <c r="GS22" s="151"/>
      <c r="GT22" s="128"/>
      <c r="GU22" s="11"/>
      <c r="GV22" s="11"/>
      <c r="GW22" s="62"/>
      <c r="GX22" s="11">
        <v>1</v>
      </c>
      <c r="GY22" s="11">
        <f>COUNTIF(FN17:FN607,GX22)</f>
        <v>13</v>
      </c>
      <c r="GZ22" s="62">
        <f>(GY22/GY24)</f>
        <v>0.26530612244897961</v>
      </c>
      <c r="HA22" s="11">
        <v>1</v>
      </c>
      <c r="HB22" s="11">
        <f>COUNTIF(FO17:FO607,HA22)</f>
        <v>18</v>
      </c>
      <c r="HC22" s="62">
        <f>(HB22/HB24)</f>
        <v>0.2857142857142857</v>
      </c>
      <c r="HD22" s="11">
        <v>1</v>
      </c>
      <c r="HE22" s="11">
        <f>COUNTIF(FP17:FP607,HD22)</f>
        <v>17</v>
      </c>
      <c r="HF22" s="62">
        <f>(HE22/HE24)</f>
        <v>0.34693877551020408</v>
      </c>
      <c r="HG22" s="11">
        <v>1</v>
      </c>
      <c r="HH22" s="11">
        <f>COUNTIF(FQ17:FQ607,HG22)</f>
        <v>12</v>
      </c>
      <c r="HI22" s="62">
        <f>(HH22/HH24)</f>
        <v>0.24489795918367346</v>
      </c>
      <c r="HJ22" s="11">
        <v>1</v>
      </c>
      <c r="HK22" s="11">
        <f>COUNTIF(FR17:FR383,HJ22)</f>
        <v>15</v>
      </c>
      <c r="HL22" s="62">
        <f>(HK22/HK24)</f>
        <v>0.30612244897959184</v>
      </c>
      <c r="HN22" s="66">
        <v>3</v>
      </c>
    </row>
    <row r="23" spans="1:222" ht="17.25">
      <c r="A23" s="186"/>
      <c r="B23" s="186"/>
      <c r="C23" s="129"/>
      <c r="D23" s="66"/>
      <c r="E23" s="66"/>
      <c r="F23" s="174">
        <v>515</v>
      </c>
      <c r="G23" s="151">
        <v>4</v>
      </c>
      <c r="H23" s="151">
        <v>2</v>
      </c>
      <c r="I23" s="151">
        <v>3</v>
      </c>
      <c r="J23" s="151">
        <v>6</v>
      </c>
      <c r="K23" s="151">
        <v>4</v>
      </c>
      <c r="L23" s="151">
        <v>6</v>
      </c>
      <c r="M23" s="151">
        <v>5</v>
      </c>
      <c r="N23" s="151">
        <v>4</v>
      </c>
      <c r="O23" s="151">
        <v>3</v>
      </c>
      <c r="P23" s="151">
        <v>3</v>
      </c>
      <c r="Q23" s="151">
        <v>3</v>
      </c>
      <c r="R23" s="151">
        <v>6</v>
      </c>
      <c r="S23" s="151">
        <v>4</v>
      </c>
      <c r="T23" s="151">
        <v>6</v>
      </c>
      <c r="U23" s="151">
        <v>6</v>
      </c>
      <c r="V23" s="151">
        <v>4</v>
      </c>
      <c r="W23" s="151">
        <v>5</v>
      </c>
      <c r="X23" s="151">
        <v>4</v>
      </c>
      <c r="Y23" s="151">
        <v>6</v>
      </c>
      <c r="Z23" s="151">
        <v>3</v>
      </c>
      <c r="AA23" s="151">
        <v>5</v>
      </c>
      <c r="AB23" s="151">
        <v>3</v>
      </c>
      <c r="AC23" s="151">
        <v>3</v>
      </c>
      <c r="AD23" s="151">
        <v>6</v>
      </c>
      <c r="AE23" s="151">
        <v>4</v>
      </c>
      <c r="AF23" s="151">
        <v>5</v>
      </c>
      <c r="AG23" s="151"/>
      <c r="AH23" s="151"/>
      <c r="AI23" s="151"/>
      <c r="AJ23" s="151"/>
      <c r="AK23" s="151"/>
      <c r="AL23" s="151"/>
      <c r="AM23" s="151"/>
      <c r="AN23" s="70"/>
      <c r="AO23" s="11">
        <v>0</v>
      </c>
      <c r="AP23" s="11">
        <f>COUNTIF(G17:G607,AO23)</f>
        <v>0</v>
      </c>
      <c r="AQ23" s="62">
        <f>(AP23/AP24)</f>
        <v>0</v>
      </c>
      <c r="AR23" s="11">
        <v>0</v>
      </c>
      <c r="AS23" s="11">
        <f>COUNTIF(H17:H607,AR23)</f>
        <v>0</v>
      </c>
      <c r="AT23" s="62">
        <f>(AS23/AS24)</f>
        <v>0</v>
      </c>
      <c r="AU23" s="11">
        <v>0</v>
      </c>
      <c r="AV23" s="11">
        <f>COUNTIF(I17:I607,AU23)</f>
        <v>0</v>
      </c>
      <c r="AW23" s="62">
        <f>(AV23/AV24)</f>
        <v>0</v>
      </c>
      <c r="AX23" s="11">
        <v>0</v>
      </c>
      <c r="AY23" s="11">
        <f>COUNTIF(J17:J607,AX23)</f>
        <v>0</v>
      </c>
      <c r="AZ23" s="62">
        <f>(AY23/AY24)</f>
        <v>0</v>
      </c>
      <c r="BA23" s="11">
        <v>0</v>
      </c>
      <c r="BB23" s="11">
        <f>COUNTIF(K17:K607,BA23)</f>
        <v>0</v>
      </c>
      <c r="BC23" s="62">
        <f>(BB23/BB24)</f>
        <v>0</v>
      </c>
      <c r="BD23" s="11">
        <v>0</v>
      </c>
      <c r="BE23" s="11">
        <f>COUNTIF(L17:L383,BD23)</f>
        <v>0</v>
      </c>
      <c r="BF23" s="62">
        <f>(BE23/BE24)</f>
        <v>0</v>
      </c>
      <c r="BG23" s="57">
        <v>24</v>
      </c>
      <c r="BH23" s="174">
        <v>515</v>
      </c>
      <c r="BI23" s="56">
        <v>3</v>
      </c>
      <c r="BJ23" s="56">
        <v>1</v>
      </c>
      <c r="BK23" s="56">
        <v>2</v>
      </c>
      <c r="BL23" s="56">
        <v>4</v>
      </c>
      <c r="BM23" s="56">
        <v>4</v>
      </c>
      <c r="BN23" s="56">
        <v>6</v>
      </c>
      <c r="BO23" s="120">
        <v>4</v>
      </c>
      <c r="BP23" s="120">
        <v>5</v>
      </c>
      <c r="BQ23" s="56">
        <v>3</v>
      </c>
      <c r="BR23" s="56">
        <v>3</v>
      </c>
      <c r="BS23" s="56">
        <v>2</v>
      </c>
      <c r="BT23" s="56">
        <v>4</v>
      </c>
      <c r="BU23" s="120">
        <v>4</v>
      </c>
      <c r="BV23" s="120">
        <v>6</v>
      </c>
      <c r="BW23" s="120">
        <v>5</v>
      </c>
      <c r="BX23" s="120">
        <v>3</v>
      </c>
      <c r="BY23" s="120">
        <v>4</v>
      </c>
      <c r="BZ23" s="120">
        <v>3</v>
      </c>
      <c r="CA23" s="120">
        <v>6</v>
      </c>
      <c r="CB23" s="120">
        <v>3</v>
      </c>
      <c r="CC23" s="120">
        <v>5</v>
      </c>
      <c r="CD23" s="120">
        <v>3</v>
      </c>
      <c r="CE23" s="120">
        <v>0</v>
      </c>
      <c r="CF23" s="120">
        <v>6</v>
      </c>
      <c r="CG23" s="120">
        <v>4</v>
      </c>
      <c r="CH23" s="120">
        <v>4</v>
      </c>
      <c r="CI23" s="120"/>
      <c r="CJ23" s="120"/>
      <c r="CK23" s="151"/>
      <c r="CL23" s="151"/>
      <c r="CM23" s="151"/>
      <c r="CN23" s="151"/>
      <c r="CO23" s="151"/>
      <c r="CP23" s="129"/>
      <c r="CQ23" s="11">
        <v>0</v>
      </c>
      <c r="CR23" s="11">
        <f>COUNTIF(BI17:BI607,CQ23)</f>
        <v>0</v>
      </c>
      <c r="CS23" s="62">
        <f>(CR23/CR24)</f>
        <v>0</v>
      </c>
      <c r="CT23" s="11">
        <v>0</v>
      </c>
      <c r="CU23" s="11">
        <f>COUNTIF(BJ17:BJ607,CT23)</f>
        <v>0</v>
      </c>
      <c r="CV23" s="62">
        <f>(CU23/CU24)</f>
        <v>0</v>
      </c>
      <c r="CW23" s="11">
        <v>0</v>
      </c>
      <c r="CX23" s="11">
        <f>COUNTIF(BK17:BK607,CW23)</f>
        <v>0</v>
      </c>
      <c r="CY23" s="62">
        <f>(CX23/CX24)</f>
        <v>0</v>
      </c>
      <c r="CZ23" s="11">
        <v>0</v>
      </c>
      <c r="DA23" s="11">
        <f>COUNTIF(BL17:BL607,CZ23)</f>
        <v>1</v>
      </c>
      <c r="DB23" s="62">
        <f>(DA23/DA24)</f>
        <v>1.6129032258064516E-2</v>
      </c>
      <c r="DC23" s="11">
        <v>0</v>
      </c>
      <c r="DD23" s="11">
        <f>COUNTIF(BM17:BM607,DC23)</f>
        <v>0</v>
      </c>
      <c r="DE23" s="62">
        <f>(DD23/DD24)</f>
        <v>0</v>
      </c>
      <c r="DF23" s="11">
        <v>0</v>
      </c>
      <c r="DG23" s="11">
        <f>COUNTIF(BN17:BN383,DF23)</f>
        <v>0</v>
      </c>
      <c r="DH23" s="62">
        <f>(DG23/DG24)</f>
        <v>0</v>
      </c>
      <c r="DI23" s="70"/>
      <c r="DJ23" s="174">
        <v>515</v>
      </c>
      <c r="DK23" s="120">
        <v>1</v>
      </c>
      <c r="DL23" s="120">
        <v>2</v>
      </c>
      <c r="DM23" s="120">
        <v>1</v>
      </c>
      <c r="DN23" s="120">
        <v>2</v>
      </c>
      <c r="DO23" s="120">
        <v>1</v>
      </c>
      <c r="DP23" s="120">
        <v>0</v>
      </c>
      <c r="DQ23" s="120">
        <v>1</v>
      </c>
      <c r="DR23" s="120">
        <v>0</v>
      </c>
      <c r="DS23" s="120">
        <v>0</v>
      </c>
      <c r="DT23" s="120">
        <v>0</v>
      </c>
      <c r="DU23" s="120">
        <v>1</v>
      </c>
      <c r="DV23" s="120">
        <v>2</v>
      </c>
      <c r="DW23" s="120">
        <v>0</v>
      </c>
      <c r="DX23" s="120">
        <v>0</v>
      </c>
      <c r="DY23" s="120">
        <v>1</v>
      </c>
      <c r="DZ23" s="120">
        <v>1</v>
      </c>
      <c r="EA23" s="120">
        <v>1</v>
      </c>
      <c r="EB23" s="120">
        <v>1</v>
      </c>
      <c r="EC23" s="120">
        <v>0</v>
      </c>
      <c r="ED23" s="120">
        <v>0</v>
      </c>
      <c r="EE23" s="120">
        <v>0</v>
      </c>
      <c r="EF23" s="120">
        <v>0</v>
      </c>
      <c r="EG23" s="120">
        <v>3</v>
      </c>
      <c r="EH23" s="120">
        <v>0</v>
      </c>
      <c r="EI23" s="120">
        <v>0</v>
      </c>
      <c r="EJ23" s="120">
        <v>1</v>
      </c>
      <c r="EK23" s="120"/>
      <c r="EL23" s="120"/>
      <c r="EM23" s="151"/>
      <c r="EN23" s="151"/>
      <c r="EO23" s="151"/>
      <c r="EP23" s="151"/>
      <c r="EQ23" s="151"/>
      <c r="ER23" s="129"/>
      <c r="ES23" s="11">
        <v>0</v>
      </c>
      <c r="ET23" s="11">
        <f>COUNTIF(DK17:DK607,ES23)</f>
        <v>44</v>
      </c>
      <c r="EU23" s="62">
        <f>(ET23/ET24)</f>
        <v>0.67692307692307696</v>
      </c>
      <c r="EV23" s="11">
        <v>0</v>
      </c>
      <c r="EW23" s="11">
        <f>COUNTIF(DL17:DL607,EV23)</f>
        <v>43</v>
      </c>
      <c r="EX23" s="62">
        <f>(EW23/EW24)</f>
        <v>0.671875</v>
      </c>
      <c r="EY23" s="11">
        <v>0</v>
      </c>
      <c r="EZ23" s="11">
        <f>COUNTIF(DM17:DM607,EY23)</f>
        <v>36</v>
      </c>
      <c r="FA23" s="62">
        <f>(EZ23/EZ24)</f>
        <v>0.5714285714285714</v>
      </c>
      <c r="FB23" s="11">
        <v>0</v>
      </c>
      <c r="FC23" s="11">
        <f>COUNTIF(DN17:DN607,FB23)</f>
        <v>42</v>
      </c>
      <c r="FD23" s="62">
        <f>(FC23/FC24)</f>
        <v>0.67741935483870963</v>
      </c>
      <c r="FE23" s="11">
        <v>0</v>
      </c>
      <c r="FF23" s="11">
        <f>COUNTIF(DO17:DO607,FE23)</f>
        <v>43</v>
      </c>
      <c r="FG23" s="62">
        <f>(FF23/FF24)</f>
        <v>0.70491803278688525</v>
      </c>
      <c r="FH23" s="11">
        <v>0</v>
      </c>
      <c r="FI23" s="11">
        <f>COUNTIF(DP17:DP383,FH23)</f>
        <v>33</v>
      </c>
      <c r="FJ23" s="62">
        <f>(FI23/FI24)</f>
        <v>0.55000000000000004</v>
      </c>
      <c r="FK23" s="129">
        <v>1</v>
      </c>
      <c r="FL23" s="174">
        <v>515</v>
      </c>
      <c r="FM23" s="56"/>
      <c r="FN23" s="56"/>
      <c r="FO23" s="56">
        <v>3</v>
      </c>
      <c r="FP23" s="56"/>
      <c r="FQ23" s="56"/>
      <c r="FR23" s="56"/>
      <c r="FS23" s="56"/>
      <c r="FT23" s="56"/>
      <c r="FU23" s="56">
        <v>2</v>
      </c>
      <c r="FV23" s="56">
        <v>3</v>
      </c>
      <c r="FW23" s="56">
        <v>3</v>
      </c>
      <c r="FX23" s="56">
        <v>2</v>
      </c>
      <c r="FY23" s="56">
        <v>2</v>
      </c>
      <c r="FZ23" s="56">
        <v>0</v>
      </c>
      <c r="GA23" s="56">
        <v>1</v>
      </c>
      <c r="GB23" s="56">
        <v>2</v>
      </c>
      <c r="GC23" s="56">
        <v>3</v>
      </c>
      <c r="GD23" s="56">
        <v>2</v>
      </c>
      <c r="GE23" s="56">
        <v>3</v>
      </c>
      <c r="GF23" s="56">
        <v>3</v>
      </c>
      <c r="GG23" s="56">
        <v>5</v>
      </c>
      <c r="GH23" s="56">
        <v>3</v>
      </c>
      <c r="GI23" s="56">
        <v>2</v>
      </c>
      <c r="GJ23" s="56">
        <v>2</v>
      </c>
      <c r="GK23" s="56">
        <v>1</v>
      </c>
      <c r="GL23" s="56">
        <v>3</v>
      </c>
      <c r="GM23" s="120"/>
      <c r="GN23" s="120"/>
      <c r="GO23" s="151"/>
      <c r="GP23" s="151"/>
      <c r="GQ23" s="151"/>
      <c r="GR23" s="151"/>
      <c r="GS23" s="151"/>
      <c r="GT23" s="129"/>
      <c r="GU23" s="11"/>
      <c r="GV23" s="11"/>
      <c r="GW23" s="62"/>
      <c r="GX23" s="11">
        <v>0</v>
      </c>
      <c r="GY23" s="11">
        <f>COUNTIF(FN17:FN607,GX23)</f>
        <v>2</v>
      </c>
      <c r="GZ23" s="62">
        <f>(GY23/GY24)</f>
        <v>4.0816326530612242E-2</v>
      </c>
      <c r="HA23" s="11">
        <v>0</v>
      </c>
      <c r="HB23" s="11">
        <f>COUNTIF(FO17:FO607,HA23)</f>
        <v>6</v>
      </c>
      <c r="HC23" s="62">
        <f>(HB23/HB24)</f>
        <v>9.5238095238095233E-2</v>
      </c>
      <c r="HD23" s="11">
        <v>0</v>
      </c>
      <c r="HE23" s="11">
        <f>COUNTIF(FP17:FP607,HD23)</f>
        <v>3</v>
      </c>
      <c r="HF23" s="62">
        <f>(HE23/HE24)</f>
        <v>6.1224489795918366E-2</v>
      </c>
      <c r="HG23" s="11">
        <v>0</v>
      </c>
      <c r="HH23" s="11">
        <f>COUNTIF(FQ17:FQ607,HG23)</f>
        <v>5</v>
      </c>
      <c r="HI23" s="62">
        <f>(HH23/HH24)</f>
        <v>0.10204081632653061</v>
      </c>
      <c r="HJ23" s="11">
        <v>0</v>
      </c>
      <c r="HK23" s="11">
        <f>COUNTIF(FR17:FR383,HJ23)</f>
        <v>4</v>
      </c>
      <c r="HL23" s="62">
        <f>(HK23/HK24)</f>
        <v>8.1632653061224483E-2</v>
      </c>
      <c r="HN23">
        <v>4</v>
      </c>
    </row>
    <row r="24" spans="1:222" ht="17.25">
      <c r="A24" s="186"/>
      <c r="B24" s="186"/>
      <c r="C24" s="129"/>
      <c r="D24" s="70"/>
      <c r="E24" s="70"/>
      <c r="F24" s="174">
        <v>516</v>
      </c>
      <c r="G24" s="151">
        <v>6</v>
      </c>
      <c r="H24" s="151">
        <v>1</v>
      </c>
      <c r="I24" s="151">
        <v>6</v>
      </c>
      <c r="J24" s="151">
        <v>6</v>
      </c>
      <c r="K24" s="151">
        <v>5</v>
      </c>
      <c r="L24" s="151">
        <v>4</v>
      </c>
      <c r="M24" s="151">
        <v>6</v>
      </c>
      <c r="N24" s="151">
        <v>5</v>
      </c>
      <c r="O24" s="151">
        <v>6</v>
      </c>
      <c r="P24" s="151">
        <v>5</v>
      </c>
      <c r="Q24" s="151">
        <v>6</v>
      </c>
      <c r="R24" s="151">
        <v>5</v>
      </c>
      <c r="S24" s="151">
        <v>6</v>
      </c>
      <c r="T24" s="151">
        <v>5</v>
      </c>
      <c r="U24" s="151">
        <v>6</v>
      </c>
      <c r="V24" s="151">
        <v>4</v>
      </c>
      <c r="W24" s="151">
        <v>6</v>
      </c>
      <c r="X24" s="151">
        <v>5</v>
      </c>
      <c r="Y24" s="151">
        <v>5</v>
      </c>
      <c r="Z24" s="151">
        <v>5</v>
      </c>
      <c r="AA24" s="151">
        <v>5</v>
      </c>
      <c r="AB24" s="151">
        <v>4</v>
      </c>
      <c r="AC24" s="151">
        <v>5</v>
      </c>
      <c r="AD24" s="151">
        <v>6</v>
      </c>
      <c r="AE24" s="151">
        <v>5</v>
      </c>
      <c r="AF24" s="151">
        <v>4</v>
      </c>
      <c r="AG24" s="151"/>
      <c r="AH24" s="151"/>
      <c r="AI24" s="151"/>
      <c r="AJ24" s="151"/>
      <c r="AK24" s="151"/>
      <c r="AL24" s="151"/>
      <c r="AM24" s="151"/>
      <c r="AN24" s="70"/>
      <c r="AO24" s="11"/>
      <c r="AP24" s="11">
        <f>SUM(AP17:AP23)</f>
        <v>66</v>
      </c>
      <c r="AQ24" s="62">
        <f>SUM(AQ17:AQ23)</f>
        <v>1</v>
      </c>
      <c r="AR24" s="11"/>
      <c r="AS24" s="11">
        <f>SUM(AS17:AS23)</f>
        <v>65</v>
      </c>
      <c r="AT24" s="62">
        <f>SUM(AT17:AT23)</f>
        <v>1</v>
      </c>
      <c r="AU24" s="11"/>
      <c r="AV24" s="11">
        <f>SUM(AV17:AV23)</f>
        <v>64</v>
      </c>
      <c r="AW24" s="62">
        <f>SUM(AW17:AW23)</f>
        <v>1</v>
      </c>
      <c r="AX24" s="11"/>
      <c r="AY24" s="11">
        <f>SUM(AY17:AY23)</f>
        <v>63</v>
      </c>
      <c r="AZ24" s="62">
        <f>SUM(AZ17:AZ23)</f>
        <v>1</v>
      </c>
      <c r="BA24" s="11"/>
      <c r="BB24" s="11">
        <f>SUM(BB17:BB23)</f>
        <v>62</v>
      </c>
      <c r="BC24" s="62">
        <f>SUM(BC17:BC23)</f>
        <v>1</v>
      </c>
      <c r="BD24" s="11"/>
      <c r="BE24" s="11">
        <f>SUM(BE17:BE23)</f>
        <v>61</v>
      </c>
      <c r="BF24" s="62">
        <f>SUM(BF17:BF23)</f>
        <v>1</v>
      </c>
      <c r="BG24" s="57">
        <v>3</v>
      </c>
      <c r="BH24" s="174">
        <v>516</v>
      </c>
      <c r="BI24" s="56">
        <v>6</v>
      </c>
      <c r="BJ24" s="56">
        <v>2</v>
      </c>
      <c r="BK24" s="56">
        <v>6</v>
      </c>
      <c r="BL24" s="56">
        <v>6</v>
      </c>
      <c r="BM24" s="56">
        <v>5</v>
      </c>
      <c r="BN24" s="56">
        <v>5</v>
      </c>
      <c r="BO24" s="120">
        <v>5</v>
      </c>
      <c r="BP24" s="120">
        <v>6</v>
      </c>
      <c r="BQ24" s="56">
        <v>6</v>
      </c>
      <c r="BR24" s="56">
        <v>5</v>
      </c>
      <c r="BS24" s="56">
        <v>6</v>
      </c>
      <c r="BT24" s="120">
        <v>5</v>
      </c>
      <c r="BU24" s="120">
        <v>4</v>
      </c>
      <c r="BV24" s="120">
        <v>5</v>
      </c>
      <c r="BW24" s="120">
        <v>6</v>
      </c>
      <c r="BX24" s="120">
        <v>3</v>
      </c>
      <c r="BY24" s="120">
        <v>6</v>
      </c>
      <c r="BZ24" s="120">
        <v>5</v>
      </c>
      <c r="CA24" s="120">
        <v>5</v>
      </c>
      <c r="CB24" s="120">
        <v>5</v>
      </c>
      <c r="CC24" s="120">
        <v>5</v>
      </c>
      <c r="CD24" s="120">
        <v>4</v>
      </c>
      <c r="CE24" s="120">
        <v>5</v>
      </c>
      <c r="CF24" s="120">
        <v>6</v>
      </c>
      <c r="CG24" s="120">
        <v>5</v>
      </c>
      <c r="CH24" s="120">
        <v>4</v>
      </c>
      <c r="CI24" s="120"/>
      <c r="CJ24" s="120"/>
      <c r="CK24" s="151"/>
      <c r="CL24" s="151"/>
      <c r="CM24" s="151"/>
      <c r="CN24" s="151"/>
      <c r="CO24" s="151"/>
      <c r="CP24" s="129"/>
      <c r="CQ24" s="11"/>
      <c r="CR24" s="11">
        <f>SUM(CR17:CR23)</f>
        <v>65</v>
      </c>
      <c r="CS24" s="62">
        <f>SUM(CS17:CS23)</f>
        <v>1</v>
      </c>
      <c r="CT24" s="11"/>
      <c r="CU24" s="11">
        <f>SUM(CU17:CU23)</f>
        <v>64</v>
      </c>
      <c r="CV24" s="62">
        <f>SUM(CV17:CV23)</f>
        <v>1</v>
      </c>
      <c r="CW24" s="11"/>
      <c r="CX24" s="11">
        <f>SUM(CX17:CX23)</f>
        <v>63</v>
      </c>
      <c r="CY24" s="62">
        <f>SUM(CY17:CY23)</f>
        <v>1</v>
      </c>
      <c r="CZ24" s="11"/>
      <c r="DA24" s="11">
        <f>SUM(DA17:DA23)</f>
        <v>62</v>
      </c>
      <c r="DB24" s="62">
        <f>SUM(DB17:DB23)</f>
        <v>1</v>
      </c>
      <c r="DC24" s="11"/>
      <c r="DD24" s="11">
        <f>SUM(DD17:DD23)</f>
        <v>61</v>
      </c>
      <c r="DE24" s="62">
        <f>SUM(DE17:DE23)</f>
        <v>1</v>
      </c>
      <c r="DF24" s="11"/>
      <c r="DG24" s="11">
        <f>SUM(DG17:DG23)</f>
        <v>60</v>
      </c>
      <c r="DH24" s="62">
        <f>SUM(DH17:DH23)</f>
        <v>1</v>
      </c>
      <c r="DI24" s="70"/>
      <c r="DJ24" s="174">
        <v>516</v>
      </c>
      <c r="DK24" s="120">
        <v>0</v>
      </c>
      <c r="DL24" s="120">
        <v>0</v>
      </c>
      <c r="DM24" s="120">
        <v>0</v>
      </c>
      <c r="DN24" s="120">
        <v>0</v>
      </c>
      <c r="DO24" s="120">
        <v>0</v>
      </c>
      <c r="DP24" s="120">
        <v>0</v>
      </c>
      <c r="DQ24" s="120">
        <v>1</v>
      </c>
      <c r="DR24" s="120">
        <v>0</v>
      </c>
      <c r="DS24" s="120">
        <v>0</v>
      </c>
      <c r="DT24" s="120">
        <v>0</v>
      </c>
      <c r="DU24" s="120">
        <v>0</v>
      </c>
      <c r="DV24" s="120">
        <v>1</v>
      </c>
      <c r="DW24" s="120">
        <v>2</v>
      </c>
      <c r="DX24" s="120">
        <v>0</v>
      </c>
      <c r="DY24" s="120">
        <v>0</v>
      </c>
      <c r="DZ24" s="120">
        <v>1</v>
      </c>
      <c r="EA24" s="120">
        <v>0</v>
      </c>
      <c r="EB24" s="120">
        <v>0</v>
      </c>
      <c r="EC24" s="120">
        <v>0</v>
      </c>
      <c r="ED24" s="120">
        <v>0</v>
      </c>
      <c r="EE24" s="120">
        <v>0</v>
      </c>
      <c r="EF24" s="120">
        <v>0</v>
      </c>
      <c r="EG24" s="120">
        <v>0</v>
      </c>
      <c r="EH24" s="120">
        <v>0</v>
      </c>
      <c r="EI24" s="120">
        <v>0</v>
      </c>
      <c r="EJ24" s="120">
        <v>0</v>
      </c>
      <c r="EK24" s="120"/>
      <c r="EL24" s="120"/>
      <c r="EM24" s="151"/>
      <c r="EN24" s="151"/>
      <c r="EO24" s="151"/>
      <c r="EP24" s="151"/>
      <c r="EQ24" s="151"/>
      <c r="ER24" s="129"/>
      <c r="ES24" s="11"/>
      <c r="ET24" s="11">
        <f>SUM(ET17:ET23)</f>
        <v>65</v>
      </c>
      <c r="EU24" s="62">
        <f>SUM(EU17:EU23)</f>
        <v>1</v>
      </c>
      <c r="EV24" s="11"/>
      <c r="EW24" s="11">
        <f>SUM(EW17:EW23)</f>
        <v>64</v>
      </c>
      <c r="EX24" s="62">
        <f>SUM(EX17:EX23)</f>
        <v>1</v>
      </c>
      <c r="EY24" s="11"/>
      <c r="EZ24" s="11">
        <f>SUM(EZ17:EZ23)</f>
        <v>63</v>
      </c>
      <c r="FA24" s="62">
        <f>SUM(FA17:FA23)</f>
        <v>1</v>
      </c>
      <c r="FB24" s="11"/>
      <c r="FC24" s="11">
        <f>SUM(FC17:FC23)</f>
        <v>62</v>
      </c>
      <c r="FD24" s="62">
        <f>SUM(FD17:FD23)</f>
        <v>1</v>
      </c>
      <c r="FE24" s="11"/>
      <c r="FF24" s="11">
        <f>SUM(FF17:FF23)</f>
        <v>61</v>
      </c>
      <c r="FG24" s="62">
        <f>SUM(FG17:FG23)</f>
        <v>1</v>
      </c>
      <c r="FH24" s="11"/>
      <c r="FI24" s="11">
        <f>SUM(FI17:FI23)</f>
        <v>60</v>
      </c>
      <c r="FJ24" s="62">
        <f>SUM(FJ17:FJ23)</f>
        <v>1</v>
      </c>
      <c r="FK24" s="129">
        <v>2</v>
      </c>
      <c r="FL24" s="174">
        <v>516</v>
      </c>
      <c r="FM24" s="56"/>
      <c r="FN24" s="56"/>
      <c r="FO24" s="56">
        <v>4</v>
      </c>
      <c r="FP24" s="56"/>
      <c r="FQ24" s="56"/>
      <c r="FR24" s="56"/>
      <c r="FS24" s="56"/>
      <c r="FT24" s="56"/>
      <c r="FU24" s="56">
        <v>2</v>
      </c>
      <c r="FV24" s="56">
        <v>4</v>
      </c>
      <c r="FW24" s="56">
        <v>1</v>
      </c>
      <c r="FX24" s="56">
        <v>2</v>
      </c>
      <c r="FY24" s="56">
        <v>0</v>
      </c>
      <c r="FZ24" s="56">
        <v>1</v>
      </c>
      <c r="GA24" s="56">
        <v>2</v>
      </c>
      <c r="GB24" s="56">
        <v>1</v>
      </c>
      <c r="GC24" s="56">
        <v>2</v>
      </c>
      <c r="GD24" s="56">
        <v>2</v>
      </c>
      <c r="GE24" s="56">
        <v>1</v>
      </c>
      <c r="GF24" s="56">
        <v>4</v>
      </c>
      <c r="GG24" s="56">
        <v>4</v>
      </c>
      <c r="GH24" s="56">
        <v>4</v>
      </c>
      <c r="GI24" s="56">
        <v>3</v>
      </c>
      <c r="GJ24" s="56">
        <v>1</v>
      </c>
      <c r="GK24" s="56">
        <v>1</v>
      </c>
      <c r="GL24" s="56">
        <v>3</v>
      </c>
      <c r="GM24" s="120"/>
      <c r="GN24" s="120"/>
      <c r="GO24" s="151"/>
      <c r="GP24" s="151"/>
      <c r="GQ24" s="151"/>
      <c r="GR24" s="151"/>
      <c r="GS24" s="151"/>
      <c r="GT24" s="129"/>
      <c r="GU24" s="11"/>
      <c r="GV24" s="11"/>
      <c r="GW24" s="62"/>
      <c r="GX24" s="11"/>
      <c r="GY24" s="11">
        <f>SUM(GY17:GY23)</f>
        <v>49</v>
      </c>
      <c r="GZ24" s="62">
        <f>SUM(GZ17:GZ23)</f>
        <v>1</v>
      </c>
      <c r="HA24" s="11"/>
      <c r="HB24" s="11">
        <f>SUM(HB17:HB23)</f>
        <v>63</v>
      </c>
      <c r="HC24" s="62">
        <f>SUM(HC17:HC23)</f>
        <v>1</v>
      </c>
      <c r="HD24" s="11"/>
      <c r="HE24" s="11">
        <f>SUM(HE17:HE23)</f>
        <v>49</v>
      </c>
      <c r="HF24" s="62">
        <f>SUM(HF17:HF23)</f>
        <v>0.99999999999999989</v>
      </c>
      <c r="HG24" s="11"/>
      <c r="HH24" s="11">
        <f>SUM(HH17:HH23)</f>
        <v>49</v>
      </c>
      <c r="HI24" s="62">
        <f>SUM(HI17:HI23)</f>
        <v>1</v>
      </c>
      <c r="HJ24" s="11"/>
      <c r="HK24" s="11">
        <f>SUM(HK17:HK23)</f>
        <v>49</v>
      </c>
      <c r="HL24" s="62">
        <f>SUM(HL17:HL23)</f>
        <v>1</v>
      </c>
      <c r="HN24">
        <v>4</v>
      </c>
    </row>
    <row r="25" spans="1:222" ht="17.25">
      <c r="A25" s="186"/>
      <c r="B25" s="186"/>
      <c r="C25" s="129"/>
      <c r="D25" s="70"/>
      <c r="E25" s="70"/>
      <c r="F25" s="174">
        <v>517</v>
      </c>
      <c r="G25" s="151">
        <v>4</v>
      </c>
      <c r="H25" s="151">
        <v>5</v>
      </c>
      <c r="I25" s="151">
        <v>4</v>
      </c>
      <c r="J25" s="151">
        <v>6</v>
      </c>
      <c r="K25" s="151">
        <v>4</v>
      </c>
      <c r="L25" s="151">
        <v>5</v>
      </c>
      <c r="M25" s="151">
        <v>6</v>
      </c>
      <c r="N25" s="151">
        <v>6</v>
      </c>
      <c r="O25" s="151">
        <v>4</v>
      </c>
      <c r="P25" s="151">
        <v>3</v>
      </c>
      <c r="Q25" s="151">
        <v>3</v>
      </c>
      <c r="R25" s="151">
        <v>3</v>
      </c>
      <c r="S25" s="151">
        <v>4</v>
      </c>
      <c r="T25" s="151">
        <v>5</v>
      </c>
      <c r="U25" s="151">
        <v>5</v>
      </c>
      <c r="V25" s="151">
        <v>4</v>
      </c>
      <c r="W25" s="151">
        <v>2</v>
      </c>
      <c r="X25" s="151">
        <v>6</v>
      </c>
      <c r="Y25" s="151">
        <v>2</v>
      </c>
      <c r="Z25" s="151">
        <v>6</v>
      </c>
      <c r="AA25" s="151">
        <v>4</v>
      </c>
      <c r="AB25" s="151">
        <v>4</v>
      </c>
      <c r="AC25" s="151">
        <v>3</v>
      </c>
      <c r="AD25" s="151">
        <v>3</v>
      </c>
      <c r="AE25" s="151">
        <v>6</v>
      </c>
      <c r="AF25" s="151">
        <v>5</v>
      </c>
      <c r="AG25" s="151"/>
      <c r="AH25" s="151"/>
      <c r="AI25" s="151"/>
      <c r="AJ25" s="151"/>
      <c r="AK25" s="151"/>
      <c r="AL25" s="151"/>
      <c r="AM25" s="151"/>
      <c r="AN25" s="70"/>
      <c r="AO25" s="175" t="s">
        <v>317</v>
      </c>
      <c r="AP25" s="176"/>
      <c r="AQ25" s="176"/>
      <c r="AR25" s="175" t="s">
        <v>129</v>
      </c>
      <c r="AS25" s="176"/>
      <c r="AT25" s="176"/>
      <c r="AU25" s="175" t="s">
        <v>152</v>
      </c>
      <c r="AV25" s="176"/>
      <c r="AW25" s="176"/>
      <c r="AX25" s="631" t="s">
        <v>163</v>
      </c>
      <c r="AY25" s="632"/>
      <c r="AZ25" s="632"/>
      <c r="BA25" s="631" t="s">
        <v>318</v>
      </c>
      <c r="BB25" s="632"/>
      <c r="BC25" s="632"/>
      <c r="BD25" s="631" t="s">
        <v>168</v>
      </c>
      <c r="BE25" s="632"/>
      <c r="BF25" s="632"/>
      <c r="BG25" s="57">
        <v>3</v>
      </c>
      <c r="BH25" s="174">
        <v>517</v>
      </c>
      <c r="BI25" s="56">
        <v>4</v>
      </c>
      <c r="BJ25" s="56">
        <v>5</v>
      </c>
      <c r="BK25" s="56">
        <v>4</v>
      </c>
      <c r="BL25" s="56">
        <v>6</v>
      </c>
      <c r="BM25" s="56">
        <v>5</v>
      </c>
      <c r="BN25" s="56">
        <v>5</v>
      </c>
      <c r="BO25" s="120">
        <v>5</v>
      </c>
      <c r="BP25" s="120">
        <v>5</v>
      </c>
      <c r="BQ25" s="56">
        <v>4</v>
      </c>
      <c r="BR25" s="56">
        <v>2</v>
      </c>
      <c r="BS25" s="56">
        <v>3</v>
      </c>
      <c r="BT25" s="120">
        <v>0</v>
      </c>
      <c r="BU25" s="120">
        <v>3</v>
      </c>
      <c r="BV25" s="120">
        <v>5</v>
      </c>
      <c r="BW25" s="120">
        <v>4</v>
      </c>
      <c r="BX25" s="120">
        <v>4</v>
      </c>
      <c r="BY25" s="120">
        <v>2</v>
      </c>
      <c r="BZ25" s="120">
        <v>5</v>
      </c>
      <c r="CA25" s="120">
        <v>2</v>
      </c>
      <c r="CB25" s="120">
        <v>6</v>
      </c>
      <c r="CC25" s="120">
        <v>4</v>
      </c>
      <c r="CD25" s="120">
        <v>3</v>
      </c>
      <c r="CE25" s="120">
        <v>3</v>
      </c>
      <c r="CF25" s="120">
        <v>3</v>
      </c>
      <c r="CG25" s="120">
        <v>6</v>
      </c>
      <c r="CH25" s="120">
        <v>4</v>
      </c>
      <c r="CI25" s="120"/>
      <c r="CJ25" s="120"/>
      <c r="CK25" s="151"/>
      <c r="CL25" s="151"/>
      <c r="CM25" s="151"/>
      <c r="CN25" s="151"/>
      <c r="CO25" s="151"/>
      <c r="CP25" s="129"/>
      <c r="CQ25" s="175" t="s">
        <v>317</v>
      </c>
      <c r="CR25" s="176"/>
      <c r="CS25" s="176"/>
      <c r="CT25" s="175" t="s">
        <v>129</v>
      </c>
      <c r="CU25" s="176"/>
      <c r="CV25" s="176"/>
      <c r="CW25" s="175" t="s">
        <v>152</v>
      </c>
      <c r="CX25" s="176"/>
      <c r="CY25" s="176"/>
      <c r="CZ25" s="631" t="s">
        <v>163</v>
      </c>
      <c r="DA25" s="632"/>
      <c r="DB25" s="632"/>
      <c r="DC25" s="631" t="s">
        <v>318</v>
      </c>
      <c r="DD25" s="632"/>
      <c r="DE25" s="632"/>
      <c r="DF25" s="631" t="s">
        <v>168</v>
      </c>
      <c r="DG25" s="632"/>
      <c r="DH25" s="632"/>
      <c r="DI25" s="70"/>
      <c r="DJ25" s="174">
        <v>517</v>
      </c>
      <c r="DK25" s="120">
        <v>0</v>
      </c>
      <c r="DL25" s="120">
        <v>0</v>
      </c>
      <c r="DM25" s="120">
        <v>0</v>
      </c>
      <c r="DN25" s="120">
        <v>0</v>
      </c>
      <c r="DO25" s="120">
        <v>0</v>
      </c>
      <c r="DP25" s="120">
        <v>1</v>
      </c>
      <c r="DQ25" s="120">
        <v>1</v>
      </c>
      <c r="DR25" s="120">
        <v>1</v>
      </c>
      <c r="DS25" s="120">
        <v>0</v>
      </c>
      <c r="DT25" s="120">
        <v>1</v>
      </c>
      <c r="DU25" s="120">
        <v>0</v>
      </c>
      <c r="DV25" s="120">
        <v>3</v>
      </c>
      <c r="DW25" s="120">
        <v>1</v>
      </c>
      <c r="DX25" s="120">
        <v>0</v>
      </c>
      <c r="DY25" s="120">
        <v>1</v>
      </c>
      <c r="DZ25" s="120">
        <v>0</v>
      </c>
      <c r="EA25" s="120">
        <v>0</v>
      </c>
      <c r="EB25" s="120">
        <v>1</v>
      </c>
      <c r="EC25" s="120">
        <v>0</v>
      </c>
      <c r="ED25" s="120">
        <v>0</v>
      </c>
      <c r="EE25" s="120">
        <v>0</v>
      </c>
      <c r="EF25" s="120">
        <v>1</v>
      </c>
      <c r="EG25" s="120">
        <v>0</v>
      </c>
      <c r="EH25" s="120">
        <v>0</v>
      </c>
      <c r="EI25" s="120">
        <v>0</v>
      </c>
      <c r="EJ25" s="120">
        <v>1</v>
      </c>
      <c r="EK25" s="120"/>
      <c r="EL25" s="120"/>
      <c r="EM25" s="151"/>
      <c r="EN25" s="151"/>
      <c r="EO25" s="151"/>
      <c r="EP25" s="151"/>
      <c r="EQ25" s="151"/>
      <c r="ER25" s="129"/>
      <c r="ES25" s="175" t="s">
        <v>317</v>
      </c>
      <c r="ET25" s="176"/>
      <c r="EU25" s="176"/>
      <c r="EV25" s="175" t="s">
        <v>129</v>
      </c>
      <c r="EW25" s="176"/>
      <c r="EX25" s="176"/>
      <c r="EY25" s="175" t="s">
        <v>152</v>
      </c>
      <c r="EZ25" s="176"/>
      <c r="FA25" s="176"/>
      <c r="FB25" s="631" t="s">
        <v>163</v>
      </c>
      <c r="FC25" s="632"/>
      <c r="FD25" s="632"/>
      <c r="FE25" s="631" t="s">
        <v>318</v>
      </c>
      <c r="FF25" s="632"/>
      <c r="FG25" s="632"/>
      <c r="FH25" s="631" t="s">
        <v>168</v>
      </c>
      <c r="FI25" s="632"/>
      <c r="FJ25" s="632"/>
      <c r="FK25" s="129">
        <v>2</v>
      </c>
      <c r="FL25" s="174">
        <v>517</v>
      </c>
      <c r="FM25" s="56"/>
      <c r="FN25" s="56"/>
      <c r="FO25" s="56">
        <v>2</v>
      </c>
      <c r="FP25" s="56"/>
      <c r="FQ25" s="56"/>
      <c r="FR25" s="56"/>
      <c r="FS25" s="56"/>
      <c r="FT25" s="56"/>
      <c r="FU25" s="56">
        <v>0</v>
      </c>
      <c r="FV25" s="56">
        <v>0</v>
      </c>
      <c r="FW25" s="56">
        <v>2</v>
      </c>
      <c r="FX25" s="56">
        <v>3</v>
      </c>
      <c r="FY25" s="56">
        <v>1</v>
      </c>
      <c r="FZ25" s="56">
        <v>2</v>
      </c>
      <c r="GA25" s="56">
        <v>3</v>
      </c>
      <c r="GB25" s="56">
        <v>1</v>
      </c>
      <c r="GC25" s="56">
        <v>2</v>
      </c>
      <c r="GD25" s="56">
        <v>2</v>
      </c>
      <c r="GE25" s="56">
        <v>1</v>
      </c>
      <c r="GF25" s="56">
        <v>2</v>
      </c>
      <c r="GG25" s="56">
        <v>2</v>
      </c>
      <c r="GH25" s="56">
        <v>2</v>
      </c>
      <c r="GI25" s="56">
        <v>2</v>
      </c>
      <c r="GJ25" s="56">
        <v>3</v>
      </c>
      <c r="GK25" s="56">
        <v>2</v>
      </c>
      <c r="GL25" s="56">
        <v>2</v>
      </c>
      <c r="GM25" s="120"/>
      <c r="GN25" s="120"/>
      <c r="GO25" s="151"/>
      <c r="GP25" s="151"/>
      <c r="GQ25" s="151"/>
      <c r="GR25" s="151"/>
      <c r="GS25" s="151"/>
      <c r="GT25" s="129"/>
      <c r="GU25" s="175" t="s">
        <v>317</v>
      </c>
      <c r="GV25" s="176"/>
      <c r="GW25" s="176"/>
      <c r="GX25" s="175" t="s">
        <v>129</v>
      </c>
      <c r="GY25" s="176"/>
      <c r="GZ25" s="176"/>
      <c r="HA25" s="175" t="s">
        <v>152</v>
      </c>
      <c r="HB25" s="176"/>
      <c r="HC25" s="176"/>
      <c r="HD25" s="631" t="s">
        <v>163</v>
      </c>
      <c r="HE25" s="632"/>
      <c r="HF25" s="632"/>
      <c r="HG25" s="631" t="s">
        <v>318</v>
      </c>
      <c r="HH25" s="632"/>
      <c r="HI25" s="632"/>
      <c r="HJ25" s="631" t="s">
        <v>168</v>
      </c>
      <c r="HK25" s="632"/>
      <c r="HL25" s="632"/>
      <c r="HN25">
        <v>4</v>
      </c>
    </row>
    <row r="26" spans="1:222" ht="17.25">
      <c r="A26" s="186"/>
      <c r="B26" s="186"/>
      <c r="C26" s="129"/>
      <c r="D26" s="70"/>
      <c r="E26" s="70"/>
      <c r="F26" s="174">
        <v>518</v>
      </c>
      <c r="G26" s="151">
        <v>6</v>
      </c>
      <c r="H26" s="151">
        <v>6</v>
      </c>
      <c r="I26" s="151">
        <v>6</v>
      </c>
      <c r="J26" s="151">
        <v>5</v>
      </c>
      <c r="K26" s="151">
        <v>5</v>
      </c>
      <c r="L26" s="151">
        <v>5</v>
      </c>
      <c r="M26" s="151">
        <v>3</v>
      </c>
      <c r="N26" s="151">
        <v>5</v>
      </c>
      <c r="O26" s="151">
        <v>6</v>
      </c>
      <c r="P26" s="151">
        <v>5</v>
      </c>
      <c r="Q26" s="151">
        <v>5</v>
      </c>
      <c r="R26" s="151">
        <v>4</v>
      </c>
      <c r="S26" s="151">
        <v>4</v>
      </c>
      <c r="T26" s="151">
        <v>4</v>
      </c>
      <c r="U26" s="151">
        <v>5</v>
      </c>
      <c r="V26" s="151">
        <v>6</v>
      </c>
      <c r="W26" s="151">
        <v>5</v>
      </c>
      <c r="X26" s="151">
        <v>4</v>
      </c>
      <c r="Y26" s="151">
        <v>5</v>
      </c>
      <c r="Z26" s="151">
        <v>5</v>
      </c>
      <c r="AA26" s="151">
        <v>4</v>
      </c>
      <c r="AB26" s="151">
        <v>6</v>
      </c>
      <c r="AC26" s="151">
        <v>5</v>
      </c>
      <c r="AD26" s="151">
        <v>6</v>
      </c>
      <c r="AE26" s="151">
        <v>4</v>
      </c>
      <c r="AF26" s="151">
        <v>4</v>
      </c>
      <c r="AG26" s="127"/>
      <c r="AH26" s="127"/>
      <c r="AI26" s="127"/>
      <c r="AJ26" s="127"/>
      <c r="AK26" s="127"/>
      <c r="AL26" s="151"/>
      <c r="AM26" s="151"/>
      <c r="AN26" s="70"/>
      <c r="AO26" s="11">
        <v>6</v>
      </c>
      <c r="AP26" s="11">
        <f>COUNTIF(M17:M383,AO26)</f>
        <v>12</v>
      </c>
      <c r="AQ26" s="62">
        <f>(AP26/AP33)</f>
        <v>0.20338983050847459</v>
      </c>
      <c r="AR26" s="11">
        <v>6</v>
      </c>
      <c r="AS26" s="11">
        <f>COUNTIF(N17:N383,AR26)</f>
        <v>8</v>
      </c>
      <c r="AT26" s="62">
        <f>(AS26/AS33)</f>
        <v>0.13793103448275862</v>
      </c>
      <c r="AU26" s="11">
        <v>6</v>
      </c>
      <c r="AV26" s="11">
        <f>COUNTIF(O17:O383,AU26)</f>
        <v>21</v>
      </c>
      <c r="AW26" s="62">
        <f>(AV26/AV33)</f>
        <v>0.36842105263157893</v>
      </c>
      <c r="AX26" s="11">
        <v>6</v>
      </c>
      <c r="AY26" s="11">
        <f>COUNTIF(P17:P383,AX26)</f>
        <v>13</v>
      </c>
      <c r="AZ26" s="62">
        <f>(AY26/AY33)</f>
        <v>0.23214285714285715</v>
      </c>
      <c r="BA26" s="11">
        <v>6</v>
      </c>
      <c r="BB26" s="11">
        <f>COUNTIF(Q17:Q383,BA26)</f>
        <v>12</v>
      </c>
      <c r="BC26" s="62">
        <f>(BB26/BB33)</f>
        <v>0.21818181818181817</v>
      </c>
      <c r="BD26" s="11">
        <v>6</v>
      </c>
      <c r="BE26" s="11">
        <f>COUNTIF(R17:R383,BD26)</f>
        <v>10</v>
      </c>
      <c r="BF26" s="62">
        <f>(BE26/BE33)</f>
        <v>0.18518518518518517</v>
      </c>
      <c r="BG26" s="57">
        <v>3</v>
      </c>
      <c r="BH26" s="174">
        <v>518</v>
      </c>
      <c r="BI26" s="56">
        <v>6</v>
      </c>
      <c r="BJ26" s="56">
        <v>6</v>
      </c>
      <c r="BK26" s="56">
        <v>5</v>
      </c>
      <c r="BL26" s="56">
        <v>6</v>
      </c>
      <c r="BM26" s="56">
        <v>6</v>
      </c>
      <c r="BN26" s="56">
        <v>5</v>
      </c>
      <c r="BO26" s="120">
        <v>3</v>
      </c>
      <c r="BP26" s="120">
        <v>6</v>
      </c>
      <c r="BQ26" s="56">
        <v>5</v>
      </c>
      <c r="BR26" s="56">
        <v>4</v>
      </c>
      <c r="BS26" s="56">
        <v>5</v>
      </c>
      <c r="BT26" s="120">
        <v>3</v>
      </c>
      <c r="BU26" s="120">
        <v>4</v>
      </c>
      <c r="BV26" s="120">
        <v>3</v>
      </c>
      <c r="BW26" s="120">
        <v>5</v>
      </c>
      <c r="BX26" s="120">
        <v>5</v>
      </c>
      <c r="BY26" s="120">
        <v>5</v>
      </c>
      <c r="BZ26" s="120">
        <v>3</v>
      </c>
      <c r="CA26" s="120">
        <v>5</v>
      </c>
      <c r="CB26" s="120">
        <v>5</v>
      </c>
      <c r="CC26" s="120">
        <v>4</v>
      </c>
      <c r="CD26" s="120">
        <v>6</v>
      </c>
      <c r="CE26" s="120">
        <v>4</v>
      </c>
      <c r="CF26" s="120">
        <v>6</v>
      </c>
      <c r="CG26" s="120">
        <v>4</v>
      </c>
      <c r="CH26" s="120">
        <v>4</v>
      </c>
      <c r="CI26" s="178"/>
      <c r="CJ26" s="178"/>
      <c r="CK26" s="127"/>
      <c r="CL26" s="127"/>
      <c r="CM26" s="127"/>
      <c r="CN26" s="151"/>
      <c r="CO26" s="151"/>
      <c r="CP26" s="129"/>
      <c r="CQ26" s="11">
        <v>6</v>
      </c>
      <c r="CR26" s="11">
        <f>COUNTIF(BO17:BO383,CQ26)</f>
        <v>7</v>
      </c>
      <c r="CS26" s="62">
        <f>(CR26/CR33)</f>
        <v>0.11864406779661017</v>
      </c>
      <c r="CT26" s="11">
        <v>6</v>
      </c>
      <c r="CU26" s="11">
        <f>COUNTIF(BP17:BP383,CT26)</f>
        <v>13</v>
      </c>
      <c r="CV26" s="62">
        <f>(CU26/CU33)</f>
        <v>0.22413793103448276</v>
      </c>
      <c r="CW26" s="11">
        <v>6</v>
      </c>
      <c r="CX26" s="11">
        <f>COUNTIF(BQ17:BQ383,CW26)</f>
        <v>11</v>
      </c>
      <c r="CY26" s="62">
        <f>(CX26/CX33)</f>
        <v>0.19298245614035087</v>
      </c>
      <c r="CZ26" s="11">
        <v>6</v>
      </c>
      <c r="DA26" s="11">
        <f>COUNTIF(BR17:BR383,CZ26)</f>
        <v>7</v>
      </c>
      <c r="DB26" s="62">
        <f>(DA26/DA33)</f>
        <v>0.125</v>
      </c>
      <c r="DC26" s="11">
        <v>6</v>
      </c>
      <c r="DD26" s="11">
        <f>COUNTIF(BS17:BS383,DC26)</f>
        <v>7</v>
      </c>
      <c r="DE26" s="62">
        <f>(DD26/DD33)</f>
        <v>0.12727272727272726</v>
      </c>
      <c r="DF26" s="11">
        <v>6</v>
      </c>
      <c r="DG26" s="11">
        <f>COUNTIF(BT17:BT383,DF26)</f>
        <v>3</v>
      </c>
      <c r="DH26" s="62">
        <f>(DG26/DG33)</f>
        <v>5.5555555555555552E-2</v>
      </c>
      <c r="DI26" s="70"/>
      <c r="DJ26" s="174">
        <v>518</v>
      </c>
      <c r="DK26" s="120">
        <v>0</v>
      </c>
      <c r="DL26" s="120">
        <v>0</v>
      </c>
      <c r="DM26" s="120">
        <v>1</v>
      </c>
      <c r="DN26" s="120">
        <v>0</v>
      </c>
      <c r="DO26" s="120">
        <v>0</v>
      </c>
      <c r="DP26" s="120">
        <v>1</v>
      </c>
      <c r="DQ26" s="120">
        <v>0</v>
      </c>
      <c r="DR26" s="120">
        <v>0</v>
      </c>
      <c r="DS26" s="120">
        <v>1</v>
      </c>
      <c r="DT26" s="120">
        <v>1</v>
      </c>
      <c r="DU26" s="120">
        <v>0</v>
      </c>
      <c r="DV26" s="120">
        <v>1</v>
      </c>
      <c r="DW26" s="120">
        <v>0</v>
      </c>
      <c r="DX26" s="120">
        <v>1</v>
      </c>
      <c r="DY26" s="120">
        <v>0</v>
      </c>
      <c r="DZ26" s="120">
        <v>1</v>
      </c>
      <c r="EA26" s="120">
        <v>0</v>
      </c>
      <c r="EB26" s="120">
        <v>1</v>
      </c>
      <c r="EC26" s="120">
        <v>0</v>
      </c>
      <c r="ED26" s="120">
        <v>0</v>
      </c>
      <c r="EE26" s="120">
        <v>0</v>
      </c>
      <c r="EF26" s="120">
        <v>0</v>
      </c>
      <c r="EG26" s="120">
        <v>1</v>
      </c>
      <c r="EH26" s="120">
        <v>0</v>
      </c>
      <c r="EI26" s="120">
        <v>0</v>
      </c>
      <c r="EJ26" s="120">
        <v>0</v>
      </c>
      <c r="EK26" s="178"/>
      <c r="EL26" s="178"/>
      <c r="EM26" s="127"/>
      <c r="EN26" s="127"/>
      <c r="EO26" s="127"/>
      <c r="EP26" s="151"/>
      <c r="EQ26" s="151"/>
      <c r="ER26" s="129"/>
      <c r="ES26" s="11">
        <v>6</v>
      </c>
      <c r="ET26" s="11">
        <f>COUNTIF(DQ17:DQ383,ES26)</f>
        <v>0</v>
      </c>
      <c r="EU26" s="62">
        <f>(ET26/ET33)</f>
        <v>0</v>
      </c>
      <c r="EV26" s="11">
        <v>6</v>
      </c>
      <c r="EW26" s="11">
        <f>COUNTIF(DR17:DR383,EV26)</f>
        <v>0</v>
      </c>
      <c r="EX26" s="62">
        <f>(EW26/EW33)</f>
        <v>0</v>
      </c>
      <c r="EY26" s="11">
        <v>6</v>
      </c>
      <c r="EZ26" s="11">
        <f>COUNTIF(DS17:DS383,EY26)</f>
        <v>0</v>
      </c>
      <c r="FA26" s="62">
        <f>(EZ26/EZ33)</f>
        <v>0</v>
      </c>
      <c r="FB26" s="11">
        <v>6</v>
      </c>
      <c r="FC26" s="11">
        <f>COUNTIF(DT17:DT383,FB26)</f>
        <v>0</v>
      </c>
      <c r="FD26" s="62">
        <f>(FC26/FC33)</f>
        <v>0</v>
      </c>
      <c r="FE26" s="11">
        <v>6</v>
      </c>
      <c r="FF26" s="11">
        <f>COUNTIF(DU17:DU383,FE26)</f>
        <v>0</v>
      </c>
      <c r="FG26" s="62">
        <f>(FF26/FF33)</f>
        <v>0</v>
      </c>
      <c r="FH26" s="11">
        <v>6</v>
      </c>
      <c r="FI26" s="11">
        <f>COUNTIF(DV17:DV383,FH26)</f>
        <v>0</v>
      </c>
      <c r="FJ26" s="62">
        <f>(FI26/FI33)</f>
        <v>0</v>
      </c>
      <c r="FK26" s="129">
        <v>1</v>
      </c>
      <c r="FL26" s="174">
        <v>518</v>
      </c>
      <c r="FM26" s="56"/>
      <c r="FN26" s="56"/>
      <c r="FO26" s="56">
        <v>2</v>
      </c>
      <c r="FP26" s="56"/>
      <c r="FQ26" s="56"/>
      <c r="FR26" s="78"/>
      <c r="FS26" s="56"/>
      <c r="FT26" s="56">
        <v>1</v>
      </c>
      <c r="FU26" s="56">
        <v>2</v>
      </c>
      <c r="FV26" s="56">
        <v>2</v>
      </c>
      <c r="FW26" s="56">
        <v>0</v>
      </c>
      <c r="FX26" s="56">
        <v>1</v>
      </c>
      <c r="FY26" s="56">
        <v>1</v>
      </c>
      <c r="FZ26" s="56">
        <v>1</v>
      </c>
      <c r="GA26" s="56">
        <v>1</v>
      </c>
      <c r="GB26" s="56">
        <v>2</v>
      </c>
      <c r="GC26" s="56">
        <v>1</v>
      </c>
      <c r="GD26" s="56">
        <v>1</v>
      </c>
      <c r="GE26" s="56">
        <v>2</v>
      </c>
      <c r="GF26" s="56">
        <v>3</v>
      </c>
      <c r="GG26" s="56">
        <v>3</v>
      </c>
      <c r="GH26" s="56">
        <v>1</v>
      </c>
      <c r="GI26" s="56">
        <v>2</v>
      </c>
      <c r="GJ26" s="56">
        <v>2</v>
      </c>
      <c r="GK26" s="56">
        <v>1</v>
      </c>
      <c r="GL26" s="56">
        <v>1</v>
      </c>
      <c r="GM26" s="178"/>
      <c r="GN26" s="178"/>
      <c r="GO26" s="127"/>
      <c r="GP26" s="127"/>
      <c r="GQ26" s="127"/>
      <c r="GR26" s="151"/>
      <c r="GS26" s="151"/>
      <c r="GT26" s="129"/>
      <c r="GU26" s="11">
        <v>6</v>
      </c>
      <c r="GV26" s="11">
        <f>COUNTIF(FS17:FS383,GU26)</f>
        <v>0</v>
      </c>
      <c r="GW26" s="62">
        <f>(GV26/GV33)</f>
        <v>0</v>
      </c>
      <c r="GX26" s="11">
        <v>6</v>
      </c>
      <c r="GY26" s="11">
        <f>COUNTIF(FT17:FT383,GX26)</f>
        <v>0</v>
      </c>
      <c r="GZ26" s="62">
        <f>(GY26/GY33)</f>
        <v>0</v>
      </c>
      <c r="HA26" s="11">
        <v>6</v>
      </c>
      <c r="HB26" s="11">
        <f>COUNTIF(FU17:FU383,HA26)</f>
        <v>0</v>
      </c>
      <c r="HC26" s="62">
        <f>(HB26/HB33)</f>
        <v>0</v>
      </c>
      <c r="HD26" s="11">
        <v>6</v>
      </c>
      <c r="HE26" s="11">
        <f>COUNTIF(FV17:FV383,HD26)</f>
        <v>0</v>
      </c>
      <c r="HF26" s="62">
        <f>(HE26/HE33)</f>
        <v>0</v>
      </c>
      <c r="HG26" s="11">
        <v>6</v>
      </c>
      <c r="HH26" s="11">
        <f>COUNTIF(FW17:FW383,HG26)</f>
        <v>0</v>
      </c>
      <c r="HI26" s="62">
        <f>(HH26/HH33)</f>
        <v>0</v>
      </c>
      <c r="HJ26" s="11">
        <v>6</v>
      </c>
      <c r="HK26" s="11">
        <f>COUNTIF(FX17:FX383,HJ26)</f>
        <v>0</v>
      </c>
      <c r="HL26" s="62">
        <f>(HK26/HK33)</f>
        <v>0</v>
      </c>
      <c r="HN26">
        <v>4</v>
      </c>
    </row>
    <row r="27" spans="1:222" ht="17.25">
      <c r="A27" s="186"/>
      <c r="B27" s="186"/>
      <c r="C27" s="129"/>
      <c r="D27" s="61"/>
      <c r="E27" s="61"/>
      <c r="F27" s="174">
        <v>519</v>
      </c>
      <c r="G27" s="151">
        <v>4</v>
      </c>
      <c r="H27" s="151">
        <v>6</v>
      </c>
      <c r="I27" s="151">
        <v>5</v>
      </c>
      <c r="J27" s="151">
        <v>3</v>
      </c>
      <c r="K27" s="151">
        <v>4</v>
      </c>
      <c r="L27" s="151">
        <v>4</v>
      </c>
      <c r="M27" s="151">
        <v>4</v>
      </c>
      <c r="N27" s="151">
        <v>5</v>
      </c>
      <c r="O27" s="151">
        <v>4</v>
      </c>
      <c r="P27" s="151">
        <v>6</v>
      </c>
      <c r="Q27" s="151">
        <v>6</v>
      </c>
      <c r="R27" s="151">
        <v>4</v>
      </c>
      <c r="S27" s="151">
        <v>6</v>
      </c>
      <c r="T27" s="151">
        <v>5</v>
      </c>
      <c r="U27" s="151">
        <v>4</v>
      </c>
      <c r="V27" s="151">
        <v>3</v>
      </c>
      <c r="W27" s="151">
        <v>4</v>
      </c>
      <c r="X27" s="151">
        <v>5</v>
      </c>
      <c r="Y27" s="151">
        <v>3</v>
      </c>
      <c r="Z27" s="151">
        <v>6</v>
      </c>
      <c r="AA27" s="151">
        <v>6</v>
      </c>
      <c r="AB27" s="151">
        <v>4</v>
      </c>
      <c r="AC27" s="151">
        <v>4</v>
      </c>
      <c r="AD27" s="151">
        <v>4</v>
      </c>
      <c r="AE27" s="151">
        <v>4</v>
      </c>
      <c r="AF27" s="151">
        <v>6</v>
      </c>
      <c r="AG27" s="56"/>
      <c r="AH27" s="56"/>
      <c r="AI27" s="56"/>
      <c r="AJ27" s="56"/>
      <c r="AK27" s="56"/>
      <c r="AL27" s="151"/>
      <c r="AM27" s="151"/>
      <c r="AN27" s="70"/>
      <c r="AO27" s="11">
        <v>5</v>
      </c>
      <c r="AP27" s="11">
        <f>COUNTIF(M17:M607,AO27)</f>
        <v>25</v>
      </c>
      <c r="AQ27" s="62">
        <f>(AP27/AP33)</f>
        <v>0.42372881355932202</v>
      </c>
      <c r="AR27" s="11">
        <v>5</v>
      </c>
      <c r="AS27" s="11">
        <f>COUNTIF(N17:N383,AR27)</f>
        <v>28</v>
      </c>
      <c r="AT27" s="62">
        <f>(AS27/AS33)</f>
        <v>0.48275862068965519</v>
      </c>
      <c r="AU27" s="11">
        <v>5</v>
      </c>
      <c r="AV27" s="11">
        <f>COUNTIF(O17:O383,AU27)</f>
        <v>14</v>
      </c>
      <c r="AW27" s="62">
        <f>(AV27/AV33)</f>
        <v>0.24561403508771928</v>
      </c>
      <c r="AX27" s="11">
        <v>5</v>
      </c>
      <c r="AY27" s="11">
        <f>COUNTIF(P17:P383,AX27)</f>
        <v>21</v>
      </c>
      <c r="AZ27" s="62">
        <f>(AY27/AY33)</f>
        <v>0.375</v>
      </c>
      <c r="BA27" s="11">
        <v>5</v>
      </c>
      <c r="BB27" s="11">
        <f>COUNTIF(Q17:Q383,BA27)</f>
        <v>23</v>
      </c>
      <c r="BC27" s="62">
        <f>(BB27/BB33)</f>
        <v>0.41818181818181815</v>
      </c>
      <c r="BD27" s="11">
        <v>5</v>
      </c>
      <c r="BE27" s="11">
        <f>COUNTIF(R17:R383,BD27)</f>
        <v>23</v>
      </c>
      <c r="BF27" s="62">
        <f>(BE27/BE33)</f>
        <v>0.42592592592592593</v>
      </c>
      <c r="BG27" s="57">
        <v>3</v>
      </c>
      <c r="BH27" s="174">
        <v>519</v>
      </c>
      <c r="BI27" s="56">
        <v>4</v>
      </c>
      <c r="BJ27" s="56">
        <v>6</v>
      </c>
      <c r="BK27" s="56">
        <v>6</v>
      </c>
      <c r="BL27" s="56">
        <v>4</v>
      </c>
      <c r="BM27" s="56">
        <v>5</v>
      </c>
      <c r="BN27" s="56">
        <v>4</v>
      </c>
      <c r="BO27" s="120">
        <v>5</v>
      </c>
      <c r="BP27" s="120">
        <v>6</v>
      </c>
      <c r="BQ27" s="56">
        <v>4</v>
      </c>
      <c r="BR27" s="56">
        <v>5</v>
      </c>
      <c r="BS27" s="56">
        <v>5</v>
      </c>
      <c r="BT27" s="120">
        <v>4</v>
      </c>
      <c r="BU27" s="120">
        <v>6</v>
      </c>
      <c r="BV27" s="120">
        <v>5</v>
      </c>
      <c r="BW27" s="120">
        <v>3</v>
      </c>
      <c r="BX27" s="120">
        <v>2</v>
      </c>
      <c r="BY27" s="120">
        <v>4</v>
      </c>
      <c r="BZ27" s="120">
        <v>5</v>
      </c>
      <c r="CA27" s="120">
        <v>3</v>
      </c>
      <c r="CB27" s="120">
        <v>4</v>
      </c>
      <c r="CC27" s="120">
        <v>5</v>
      </c>
      <c r="CD27" s="120">
        <v>4</v>
      </c>
      <c r="CE27" s="120">
        <v>4</v>
      </c>
      <c r="CF27" s="120">
        <v>4</v>
      </c>
      <c r="CG27" s="120">
        <v>3</v>
      </c>
      <c r="CH27" s="120">
        <v>6</v>
      </c>
      <c r="CI27" s="56"/>
      <c r="CJ27" s="56"/>
      <c r="CK27" s="56"/>
      <c r="CL27" s="56"/>
      <c r="CM27" s="56"/>
      <c r="CN27" s="151"/>
      <c r="CO27" s="151"/>
      <c r="CP27" s="129"/>
      <c r="CQ27" s="11">
        <v>5</v>
      </c>
      <c r="CR27" s="11">
        <f>COUNTIF(BO17:BO607,CQ27)</f>
        <v>30</v>
      </c>
      <c r="CS27" s="62">
        <f>(CR27/CR33)</f>
        <v>0.50847457627118642</v>
      </c>
      <c r="CT27" s="11">
        <v>5</v>
      </c>
      <c r="CU27" s="11">
        <f>COUNTIF(BP17:BP383,CT27)</f>
        <v>19</v>
      </c>
      <c r="CV27" s="62">
        <f>(CU27/CU33)</f>
        <v>0.32758620689655171</v>
      </c>
      <c r="CW27" s="11">
        <v>5</v>
      </c>
      <c r="CX27" s="11">
        <f>COUNTIF(BQ17:BQ383,CW27)</f>
        <v>19</v>
      </c>
      <c r="CY27" s="62">
        <f>(CX27/CX33)</f>
        <v>0.33333333333333331</v>
      </c>
      <c r="CZ27" s="11">
        <v>5</v>
      </c>
      <c r="DA27" s="11">
        <f>COUNTIF(BR17:BR383,CZ27)</f>
        <v>16</v>
      </c>
      <c r="DB27" s="62">
        <f>(DA27/DA33)</f>
        <v>0.2857142857142857</v>
      </c>
      <c r="DC27" s="11">
        <v>5</v>
      </c>
      <c r="DD27" s="11">
        <f>COUNTIF(BS17:BS383,DC27)</f>
        <v>21</v>
      </c>
      <c r="DE27" s="62">
        <f>(DD27/DD33)</f>
        <v>0.38181818181818183</v>
      </c>
      <c r="DF27" s="11">
        <v>5</v>
      </c>
      <c r="DG27" s="11">
        <f>COUNTIF(BT17:BT383,DF27)</f>
        <v>20</v>
      </c>
      <c r="DH27" s="62">
        <f>(DG27/DG33)</f>
        <v>0.37037037037037035</v>
      </c>
      <c r="DI27" s="70"/>
      <c r="DJ27" s="174">
        <v>519</v>
      </c>
      <c r="DK27" s="120">
        <v>0</v>
      </c>
      <c r="DL27" s="120">
        <v>0</v>
      </c>
      <c r="DM27" s="120">
        <v>0</v>
      </c>
      <c r="DN27" s="120">
        <v>0</v>
      </c>
      <c r="DO27" s="120">
        <v>0</v>
      </c>
      <c r="DP27" s="120">
        <v>1</v>
      </c>
      <c r="DQ27" s="120">
        <v>0</v>
      </c>
      <c r="DR27" s="120">
        <v>0</v>
      </c>
      <c r="DS27" s="120">
        <v>0</v>
      </c>
      <c r="DT27" s="120">
        <v>1</v>
      </c>
      <c r="DU27" s="120">
        <v>1</v>
      </c>
      <c r="DV27" s="120">
        <v>0</v>
      </c>
      <c r="DW27" s="120">
        <v>0</v>
      </c>
      <c r="DX27" s="120">
        <v>0</v>
      </c>
      <c r="DY27" s="120">
        <v>1</v>
      </c>
      <c r="DZ27" s="120">
        <v>1</v>
      </c>
      <c r="EA27" s="120">
        <v>0</v>
      </c>
      <c r="EB27" s="120">
        <v>0</v>
      </c>
      <c r="EC27" s="120">
        <v>0</v>
      </c>
      <c r="ED27" s="120">
        <v>2</v>
      </c>
      <c r="EE27" s="120">
        <v>1</v>
      </c>
      <c r="EF27" s="120">
        <v>0</v>
      </c>
      <c r="EG27" s="120">
        <v>0</v>
      </c>
      <c r="EH27" s="120">
        <v>0</v>
      </c>
      <c r="EI27" s="120">
        <v>1</v>
      </c>
      <c r="EJ27" s="120">
        <v>0</v>
      </c>
      <c r="EK27" s="56"/>
      <c r="EL27" s="56"/>
      <c r="EM27" s="56"/>
      <c r="EN27" s="56"/>
      <c r="EO27" s="56"/>
      <c r="EP27" s="151"/>
      <c r="EQ27" s="151"/>
      <c r="ER27" s="129"/>
      <c r="ES27" s="11">
        <v>5</v>
      </c>
      <c r="ET27" s="11">
        <f>COUNTIF(DQ17:DQ607,ES27)</f>
        <v>0</v>
      </c>
      <c r="EU27" s="62">
        <f>(ET27/ET33)</f>
        <v>0</v>
      </c>
      <c r="EV27" s="11">
        <v>5</v>
      </c>
      <c r="EW27" s="11">
        <f>COUNTIF(DR17:DR383,EV27)</f>
        <v>0</v>
      </c>
      <c r="EX27" s="62">
        <f>(EW27/EW33)</f>
        <v>0</v>
      </c>
      <c r="EY27" s="11">
        <v>5</v>
      </c>
      <c r="EZ27" s="11">
        <f>COUNTIF(DS17:DS383,EY27)</f>
        <v>0</v>
      </c>
      <c r="FA27" s="62">
        <f>(EZ27/EZ33)</f>
        <v>0</v>
      </c>
      <c r="FB27" s="11">
        <v>5</v>
      </c>
      <c r="FC27" s="11">
        <f>COUNTIF(DT17:DT383,FB27)</f>
        <v>0</v>
      </c>
      <c r="FD27" s="62">
        <f>(FC27/FC33)</f>
        <v>0</v>
      </c>
      <c r="FE27" s="11">
        <v>5</v>
      </c>
      <c r="FF27" s="11">
        <f>COUNTIF(DU17:DU383,FE27)</f>
        <v>0</v>
      </c>
      <c r="FG27" s="62">
        <f>(FF27/FF33)</f>
        <v>0</v>
      </c>
      <c r="FH27" s="11">
        <v>5</v>
      </c>
      <c r="FI27" s="11">
        <f>COUNTIF(DV17:DV383,FH27)</f>
        <v>0</v>
      </c>
      <c r="FJ27" s="62">
        <f>(FI27/FI33)</f>
        <v>0</v>
      </c>
      <c r="FK27" s="129">
        <v>2</v>
      </c>
      <c r="FL27" s="174">
        <v>519</v>
      </c>
      <c r="FM27" s="56"/>
      <c r="FN27" s="56"/>
      <c r="FO27" s="56">
        <v>4</v>
      </c>
      <c r="FP27" s="56"/>
      <c r="FQ27" s="56"/>
      <c r="FR27" s="56"/>
      <c r="FS27" s="56">
        <v>2</v>
      </c>
      <c r="FT27" s="56">
        <v>2</v>
      </c>
      <c r="FU27" s="56">
        <v>1</v>
      </c>
      <c r="FV27" s="56">
        <v>2</v>
      </c>
      <c r="FW27" s="56">
        <v>0</v>
      </c>
      <c r="FX27" s="56">
        <v>2</v>
      </c>
      <c r="FY27" s="56">
        <v>1</v>
      </c>
      <c r="FZ27" s="56">
        <v>2</v>
      </c>
      <c r="GA27" s="56">
        <v>1</v>
      </c>
      <c r="GB27" s="56">
        <v>2</v>
      </c>
      <c r="GC27" s="56">
        <v>1</v>
      </c>
      <c r="GD27" s="56">
        <v>4</v>
      </c>
      <c r="GE27" s="56">
        <v>3</v>
      </c>
      <c r="GF27" s="56">
        <v>2</v>
      </c>
      <c r="GG27" s="56">
        <v>2</v>
      </c>
      <c r="GH27" s="56">
        <v>2</v>
      </c>
      <c r="GI27" s="56">
        <v>4</v>
      </c>
      <c r="GJ27" s="56">
        <v>3</v>
      </c>
      <c r="GK27" s="56">
        <v>2</v>
      </c>
      <c r="GL27" s="56">
        <v>1</v>
      </c>
      <c r="GM27" s="56"/>
      <c r="GN27" s="56"/>
      <c r="GO27" s="56"/>
      <c r="GP27" s="56"/>
      <c r="GQ27" s="56"/>
      <c r="GR27" s="151"/>
      <c r="GS27" s="151"/>
      <c r="GT27" s="129"/>
      <c r="GU27" s="11">
        <v>5</v>
      </c>
      <c r="GV27" s="11">
        <f>COUNTIF(FS17:FS607,GU27)</f>
        <v>0</v>
      </c>
      <c r="GW27" s="62">
        <f>(GV27/GV33)</f>
        <v>0</v>
      </c>
      <c r="GX27" s="11">
        <v>5</v>
      </c>
      <c r="GY27" s="11">
        <f>COUNTIF(FT17:FT383,GX27)</f>
        <v>1</v>
      </c>
      <c r="GZ27" s="62">
        <f>(GY27/GY33)</f>
        <v>2.0408163265306121E-2</v>
      </c>
      <c r="HA27" s="11">
        <v>5</v>
      </c>
      <c r="HB27" s="11">
        <f>COUNTIF(FU17:FU383,HA27)</f>
        <v>0</v>
      </c>
      <c r="HC27" s="62">
        <f>(HB27/HB33)</f>
        <v>0</v>
      </c>
      <c r="HD27" s="11">
        <v>5</v>
      </c>
      <c r="HE27" s="11">
        <f>COUNTIF(FV17:FV383,HD27)</f>
        <v>1</v>
      </c>
      <c r="HF27" s="62">
        <f>(HE27/HE33)</f>
        <v>1.7857142857142856E-2</v>
      </c>
      <c r="HG27" s="11">
        <v>5</v>
      </c>
      <c r="HH27" s="11">
        <f>COUNTIF(FW17:FW383,HG27)</f>
        <v>1</v>
      </c>
      <c r="HI27" s="62">
        <f>(HH27/HH33)</f>
        <v>1.8181818181818181E-2</v>
      </c>
      <c r="HJ27" s="11">
        <v>5</v>
      </c>
      <c r="HK27" s="11">
        <f>COUNTIF(FX17:FX383,HJ27)</f>
        <v>0</v>
      </c>
      <c r="HL27" s="62">
        <f>(HK27/HK33)</f>
        <v>0</v>
      </c>
      <c r="HN27">
        <v>4</v>
      </c>
    </row>
    <row r="28" spans="1:222" ht="17.25">
      <c r="A28" s="186"/>
      <c r="B28" s="186"/>
      <c r="C28" s="129"/>
      <c r="D28" s="15"/>
      <c r="E28" s="15"/>
      <c r="F28" s="174">
        <v>520</v>
      </c>
      <c r="G28" s="34">
        <v>4</v>
      </c>
      <c r="H28" s="151">
        <v>6</v>
      </c>
      <c r="I28" s="151">
        <v>1</v>
      </c>
      <c r="J28" s="151">
        <v>3</v>
      </c>
      <c r="K28" s="151">
        <v>5</v>
      </c>
      <c r="L28" s="151">
        <v>6</v>
      </c>
      <c r="M28" s="151">
        <v>5</v>
      </c>
      <c r="N28" s="151">
        <v>3</v>
      </c>
      <c r="O28" s="151">
        <v>6</v>
      </c>
      <c r="P28" s="151">
        <v>4</v>
      </c>
      <c r="Q28" s="151">
        <v>3</v>
      </c>
      <c r="R28" s="151">
        <v>4</v>
      </c>
      <c r="S28" s="151">
        <v>6</v>
      </c>
      <c r="T28" s="151">
        <v>3</v>
      </c>
      <c r="U28" s="151">
        <v>5</v>
      </c>
      <c r="V28" s="151">
        <v>4</v>
      </c>
      <c r="W28" s="151">
        <v>4</v>
      </c>
      <c r="X28" s="151">
        <v>6</v>
      </c>
      <c r="Y28" s="151">
        <v>6</v>
      </c>
      <c r="Z28" s="151">
        <v>4</v>
      </c>
      <c r="AA28" s="151">
        <v>4</v>
      </c>
      <c r="AB28" s="151">
        <v>4</v>
      </c>
      <c r="AC28" s="151">
        <v>4</v>
      </c>
      <c r="AD28" s="151">
        <v>5</v>
      </c>
      <c r="AE28" s="151">
        <v>6</v>
      </c>
      <c r="AF28" s="151">
        <v>4</v>
      </c>
      <c r="AG28" s="56"/>
      <c r="AH28" s="56"/>
      <c r="AI28" s="56"/>
      <c r="AJ28" s="56"/>
      <c r="AK28" s="56"/>
      <c r="AL28" s="151"/>
      <c r="AM28" s="151"/>
      <c r="AN28" s="70"/>
      <c r="AO28" s="11">
        <v>4</v>
      </c>
      <c r="AP28" s="11">
        <f>COUNTIF(M17:M607,AO28)</f>
        <v>15</v>
      </c>
      <c r="AQ28" s="62">
        <f>(AP28/AP33)</f>
        <v>0.25423728813559321</v>
      </c>
      <c r="AR28" s="11">
        <v>4</v>
      </c>
      <c r="AS28" s="11">
        <f>COUNTIF(N17:N383,AR28)</f>
        <v>18</v>
      </c>
      <c r="AT28" s="62">
        <f>(AS28/AS33)</f>
        <v>0.31034482758620691</v>
      </c>
      <c r="AU28" s="11">
        <v>4</v>
      </c>
      <c r="AV28" s="11">
        <f>COUNTIF(O17:O383,AU28)</f>
        <v>13</v>
      </c>
      <c r="AW28" s="62">
        <f>(AV28/AV33)</f>
        <v>0.22807017543859648</v>
      </c>
      <c r="AX28" s="11">
        <v>4</v>
      </c>
      <c r="AY28" s="11">
        <f>COUNTIF(P17:P383,AX28)</f>
        <v>18</v>
      </c>
      <c r="AZ28" s="62">
        <f>(AY28/AY33)</f>
        <v>0.32142857142857145</v>
      </c>
      <c r="BA28" s="11">
        <v>4</v>
      </c>
      <c r="BB28" s="11">
        <f>COUNTIF(Q17:Q383,BA28)</f>
        <v>14</v>
      </c>
      <c r="BC28" s="62">
        <f>(BB28/BB33)</f>
        <v>0.25454545454545452</v>
      </c>
      <c r="BD28" s="11">
        <v>4</v>
      </c>
      <c r="BE28" s="11">
        <f>COUNTIF(R17:R383,BD28)</f>
        <v>16</v>
      </c>
      <c r="BF28" s="62">
        <f>(BE28/BE33)</f>
        <v>0.29629629629629628</v>
      </c>
      <c r="BG28" s="57">
        <v>3</v>
      </c>
      <c r="BH28" s="174">
        <v>520</v>
      </c>
      <c r="BI28" s="56">
        <v>3</v>
      </c>
      <c r="BJ28" s="56">
        <v>5</v>
      </c>
      <c r="BK28" s="56">
        <v>1</v>
      </c>
      <c r="BL28" s="56">
        <v>3</v>
      </c>
      <c r="BM28" s="56">
        <v>6</v>
      </c>
      <c r="BN28" s="56">
        <v>6</v>
      </c>
      <c r="BO28" s="120">
        <v>4</v>
      </c>
      <c r="BP28" s="120">
        <v>4</v>
      </c>
      <c r="BQ28" s="56">
        <v>3</v>
      </c>
      <c r="BR28" s="56">
        <v>3</v>
      </c>
      <c r="BS28" s="56">
        <v>2</v>
      </c>
      <c r="BT28" s="120">
        <v>2</v>
      </c>
      <c r="BU28" s="120">
        <v>5</v>
      </c>
      <c r="BV28" s="120">
        <v>3</v>
      </c>
      <c r="BW28" s="120">
        <v>5</v>
      </c>
      <c r="BX28" s="120">
        <v>4</v>
      </c>
      <c r="BY28" s="120">
        <v>4</v>
      </c>
      <c r="BZ28" s="120">
        <v>6</v>
      </c>
      <c r="CA28" s="120">
        <v>6</v>
      </c>
      <c r="CB28" s="120">
        <v>3</v>
      </c>
      <c r="CC28" s="120">
        <v>3</v>
      </c>
      <c r="CD28" s="120">
        <v>4</v>
      </c>
      <c r="CE28" s="120">
        <v>3</v>
      </c>
      <c r="CF28" s="120">
        <v>5</v>
      </c>
      <c r="CG28" s="120">
        <v>4</v>
      </c>
      <c r="CH28" s="120">
        <v>2</v>
      </c>
      <c r="CI28" s="56"/>
      <c r="CJ28" s="56"/>
      <c r="CK28" s="56"/>
      <c r="CL28" s="56"/>
      <c r="CM28" s="56"/>
      <c r="CN28" s="151"/>
      <c r="CO28" s="151"/>
      <c r="CP28" s="129"/>
      <c r="CQ28" s="11">
        <v>4</v>
      </c>
      <c r="CR28" s="11">
        <f>COUNTIF(BO17:BO607,CQ28)</f>
        <v>12</v>
      </c>
      <c r="CS28" s="62">
        <f>(CR28/CR33)</f>
        <v>0.20338983050847459</v>
      </c>
      <c r="CT28" s="11">
        <v>4</v>
      </c>
      <c r="CU28" s="11">
        <f>COUNTIF(BP17:BP383,CT28)</f>
        <v>18</v>
      </c>
      <c r="CV28" s="62">
        <f>(CU28/CU33)</f>
        <v>0.31034482758620691</v>
      </c>
      <c r="CW28" s="11">
        <v>4</v>
      </c>
      <c r="CX28" s="11">
        <f>COUNTIF(BQ17:BQ383,CW28)</f>
        <v>11</v>
      </c>
      <c r="CY28" s="62">
        <f>(CX28/CX33)</f>
        <v>0.19298245614035087</v>
      </c>
      <c r="CZ28" s="11">
        <v>4</v>
      </c>
      <c r="DA28" s="11">
        <f>COUNTIF(BR17:BR383,CZ28)</f>
        <v>20</v>
      </c>
      <c r="DB28" s="62">
        <f>(DA28/DA33)</f>
        <v>0.35714285714285715</v>
      </c>
      <c r="DC28" s="11">
        <v>4</v>
      </c>
      <c r="DD28" s="11">
        <f>COUNTIF(BS17:BS383,DC28)</f>
        <v>15</v>
      </c>
      <c r="DE28" s="62">
        <f>(DD28/DD33)</f>
        <v>0.27272727272727271</v>
      </c>
      <c r="DF28" s="11">
        <v>4</v>
      </c>
      <c r="DG28" s="11">
        <f>COUNTIF(BT17:BT383,DF28)</f>
        <v>19</v>
      </c>
      <c r="DH28" s="62">
        <f>(DG28/DG33)</f>
        <v>0.35185185185185186</v>
      </c>
      <c r="DI28" s="70"/>
      <c r="DJ28" s="174">
        <v>520</v>
      </c>
      <c r="DK28" s="120">
        <v>1</v>
      </c>
      <c r="DL28" s="120">
        <v>1</v>
      </c>
      <c r="DM28" s="120">
        <v>1</v>
      </c>
      <c r="DN28" s="120">
        <v>1</v>
      </c>
      <c r="DO28" s="120">
        <v>0</v>
      </c>
      <c r="DP28" s="120">
        <v>0</v>
      </c>
      <c r="DQ28" s="120">
        <v>2</v>
      </c>
      <c r="DR28" s="120">
        <v>0</v>
      </c>
      <c r="DS28" s="120">
        <v>3</v>
      </c>
      <c r="DT28" s="120">
        <v>1</v>
      </c>
      <c r="DU28" s="120">
        <v>1</v>
      </c>
      <c r="DV28" s="120">
        <v>2</v>
      </c>
      <c r="DW28" s="120">
        <v>1</v>
      </c>
      <c r="DX28" s="120">
        <v>0</v>
      </c>
      <c r="DY28" s="120">
        <v>0</v>
      </c>
      <c r="DZ28" s="120">
        <v>0</v>
      </c>
      <c r="EA28" s="120">
        <v>0</v>
      </c>
      <c r="EB28" s="120">
        <v>0</v>
      </c>
      <c r="EC28" s="120">
        <v>0</v>
      </c>
      <c r="ED28" s="120">
        <v>1</v>
      </c>
      <c r="EE28" s="120">
        <v>1</v>
      </c>
      <c r="EF28" s="120">
        <v>0</v>
      </c>
      <c r="EG28" s="120">
        <v>1</v>
      </c>
      <c r="EH28" s="120">
        <v>0</v>
      </c>
      <c r="EI28" s="120">
        <v>2</v>
      </c>
      <c r="EJ28" s="120">
        <v>2</v>
      </c>
      <c r="EK28" s="56"/>
      <c r="EL28" s="56"/>
      <c r="EM28" s="56"/>
      <c r="EN28" s="56"/>
      <c r="EO28" s="56"/>
      <c r="EP28" s="151"/>
      <c r="EQ28" s="151"/>
      <c r="ER28" s="129"/>
      <c r="ES28" s="11">
        <v>4</v>
      </c>
      <c r="ET28" s="11">
        <f>COUNTIF(DQ17:DQ607,ES28)</f>
        <v>0</v>
      </c>
      <c r="EU28" s="62">
        <f>(ET28/ET33)</f>
        <v>0</v>
      </c>
      <c r="EV28" s="11">
        <v>4</v>
      </c>
      <c r="EW28" s="11">
        <f>COUNTIF(DR17:DR383,EV28)</f>
        <v>0</v>
      </c>
      <c r="EX28" s="62">
        <f>(EW28/EW33)</f>
        <v>0</v>
      </c>
      <c r="EY28" s="11">
        <v>4</v>
      </c>
      <c r="EZ28" s="11">
        <f>COUNTIF(DS17:DS383,EY28)</f>
        <v>0</v>
      </c>
      <c r="FA28" s="62">
        <f>(EZ28/EZ33)</f>
        <v>0</v>
      </c>
      <c r="FB28" s="11">
        <v>4</v>
      </c>
      <c r="FC28" s="11">
        <f>COUNTIF(DT17:DT383,FB28)</f>
        <v>0</v>
      </c>
      <c r="FD28" s="62">
        <f>(FC28/FC33)</f>
        <v>0</v>
      </c>
      <c r="FE28" s="11">
        <v>4</v>
      </c>
      <c r="FF28" s="11">
        <f>COUNTIF(DU17:DU383,FE28)</f>
        <v>0</v>
      </c>
      <c r="FG28" s="62">
        <f>(FF28/FF33)</f>
        <v>0</v>
      </c>
      <c r="FH28" s="11">
        <v>4</v>
      </c>
      <c r="FI28" s="11">
        <f>COUNTIF(DV17:DV383,FH28)</f>
        <v>0</v>
      </c>
      <c r="FJ28" s="62">
        <f>(FI28/FI33)</f>
        <v>0</v>
      </c>
      <c r="FK28" s="129">
        <v>2</v>
      </c>
      <c r="FL28" s="174">
        <v>520</v>
      </c>
      <c r="FM28" s="56"/>
      <c r="FN28" s="78"/>
      <c r="FO28" s="56">
        <v>3</v>
      </c>
      <c r="FP28" s="56"/>
      <c r="FQ28" s="56"/>
      <c r="FR28" s="56">
        <v>1</v>
      </c>
      <c r="FS28" s="56">
        <v>1</v>
      </c>
      <c r="FT28" s="56">
        <v>2</v>
      </c>
      <c r="FU28" s="56">
        <v>4</v>
      </c>
      <c r="FV28" s="56">
        <v>3</v>
      </c>
      <c r="FW28" s="56">
        <v>1</v>
      </c>
      <c r="FX28" s="56">
        <v>3</v>
      </c>
      <c r="FY28" s="56">
        <v>1</v>
      </c>
      <c r="FZ28" s="56">
        <v>0</v>
      </c>
      <c r="GA28" s="56">
        <v>4</v>
      </c>
      <c r="GB28" s="56">
        <v>2</v>
      </c>
      <c r="GC28" s="56">
        <v>2</v>
      </c>
      <c r="GD28" s="56">
        <v>0</v>
      </c>
      <c r="GE28" s="56">
        <v>3</v>
      </c>
      <c r="GF28" s="56">
        <v>1</v>
      </c>
      <c r="GG28" s="56">
        <v>0</v>
      </c>
      <c r="GH28" s="56">
        <v>1</v>
      </c>
      <c r="GI28" s="56">
        <v>2</v>
      </c>
      <c r="GJ28" s="56">
        <v>1</v>
      </c>
      <c r="GK28" s="56">
        <v>2</v>
      </c>
      <c r="GL28" s="56">
        <v>4</v>
      </c>
      <c r="GM28" s="56"/>
      <c r="GN28" s="56"/>
      <c r="GO28" s="56"/>
      <c r="GP28" s="56"/>
      <c r="GQ28" s="56"/>
      <c r="GR28" s="151"/>
      <c r="GS28" s="151"/>
      <c r="GT28" s="129"/>
      <c r="GU28" s="11">
        <v>4</v>
      </c>
      <c r="GV28" s="11">
        <f>COUNTIF(FS17:FS607,GU28)</f>
        <v>2</v>
      </c>
      <c r="GW28" s="62">
        <f>(GV28/GV33)</f>
        <v>4.0816326530612242E-2</v>
      </c>
      <c r="GX28" s="11">
        <v>4</v>
      </c>
      <c r="GY28" s="11">
        <f>COUNTIF(FT17:FT383,GX28)</f>
        <v>3</v>
      </c>
      <c r="GZ28" s="62">
        <f>(GY28/GY33)</f>
        <v>6.1224489795918366E-2</v>
      </c>
      <c r="HA28" s="11">
        <v>4</v>
      </c>
      <c r="HB28" s="11">
        <f>COUNTIF(FU17:FU383,HA28)</f>
        <v>4</v>
      </c>
      <c r="HC28" s="62">
        <f>(HB28/HB33)</f>
        <v>7.0175438596491224E-2</v>
      </c>
      <c r="HD28" s="11">
        <v>4</v>
      </c>
      <c r="HE28" s="11">
        <f>COUNTIF(FV17:FV383,HD28)</f>
        <v>2</v>
      </c>
      <c r="HF28" s="62">
        <f>(HE28/HE33)</f>
        <v>3.5714285714285712E-2</v>
      </c>
      <c r="HG28" s="11">
        <v>4</v>
      </c>
      <c r="HH28" s="11">
        <f>COUNTIF(FW17:FW383,HG28)</f>
        <v>7</v>
      </c>
      <c r="HI28" s="62">
        <f>(HH28/HH33)</f>
        <v>0.12727272727272726</v>
      </c>
      <c r="HJ28" s="11">
        <v>4</v>
      </c>
      <c r="HK28" s="11">
        <f>COUNTIF(FX17:FX383,HJ28)</f>
        <v>4</v>
      </c>
      <c r="HL28" s="62">
        <f>(HK28/HK33)</f>
        <v>7.407407407407407E-2</v>
      </c>
      <c r="HN28">
        <v>4</v>
      </c>
    </row>
    <row r="29" spans="1:222" ht="17.25">
      <c r="A29" s="186"/>
      <c r="B29" s="186"/>
      <c r="C29" s="129"/>
      <c r="D29" s="52"/>
      <c r="E29" s="15"/>
      <c r="F29" s="174">
        <v>521</v>
      </c>
      <c r="G29" s="151">
        <v>5</v>
      </c>
      <c r="H29" s="151">
        <v>5</v>
      </c>
      <c r="I29" s="151">
        <v>4</v>
      </c>
      <c r="J29" s="151">
        <v>4</v>
      </c>
      <c r="K29" s="151">
        <v>5</v>
      </c>
      <c r="L29" s="151">
        <v>5</v>
      </c>
      <c r="M29" s="151">
        <v>4</v>
      </c>
      <c r="N29" s="151">
        <v>5</v>
      </c>
      <c r="O29" s="151">
        <v>5</v>
      </c>
      <c r="P29" s="151">
        <v>4</v>
      </c>
      <c r="Q29" s="151">
        <v>4</v>
      </c>
      <c r="R29" s="151">
        <v>4</v>
      </c>
      <c r="S29" s="151">
        <v>3</v>
      </c>
      <c r="T29" s="151">
        <v>6</v>
      </c>
      <c r="U29" s="151">
        <v>4</v>
      </c>
      <c r="V29" s="151">
        <v>4</v>
      </c>
      <c r="W29" s="151">
        <v>4</v>
      </c>
      <c r="X29" s="151">
        <v>4</v>
      </c>
      <c r="Y29" s="151">
        <v>4</v>
      </c>
      <c r="Z29" s="151">
        <v>5</v>
      </c>
      <c r="AA29" s="151">
        <v>5</v>
      </c>
      <c r="AB29" s="151">
        <v>3</v>
      </c>
      <c r="AC29" s="151">
        <v>5</v>
      </c>
      <c r="AD29" s="151">
        <v>5</v>
      </c>
      <c r="AE29" s="151">
        <v>6</v>
      </c>
      <c r="AF29" s="151">
        <v>4</v>
      </c>
      <c r="AG29" s="56"/>
      <c r="AH29" s="56"/>
      <c r="AI29" s="56"/>
      <c r="AJ29" s="56"/>
      <c r="AK29" s="56"/>
      <c r="AL29" s="151"/>
      <c r="AM29" s="151"/>
      <c r="AN29" s="70"/>
      <c r="AO29" s="11">
        <v>3</v>
      </c>
      <c r="AP29" s="11">
        <f>COUNTIF(M17:M607,AO29)</f>
        <v>6</v>
      </c>
      <c r="AQ29" s="62">
        <f>(AP29/AP33)</f>
        <v>0.10169491525423729</v>
      </c>
      <c r="AR29" s="11">
        <v>3</v>
      </c>
      <c r="AS29" s="11">
        <f>COUNTIF(N17:N383,AR29)</f>
        <v>1</v>
      </c>
      <c r="AT29" s="62">
        <f>(AS29/AS33)</f>
        <v>1.7241379310344827E-2</v>
      </c>
      <c r="AU29" s="11">
        <v>3</v>
      </c>
      <c r="AV29" s="11">
        <f>COUNTIF(O17:O383,AU29)</f>
        <v>7</v>
      </c>
      <c r="AW29" s="62">
        <f>(AV29/AV33)</f>
        <v>0.12280701754385964</v>
      </c>
      <c r="AX29" s="11">
        <v>3</v>
      </c>
      <c r="AY29" s="11">
        <f>COUNTIF(P17:P383,AX29)</f>
        <v>3</v>
      </c>
      <c r="AZ29" s="62">
        <f>(AY29/AY33)</f>
        <v>5.3571428571428568E-2</v>
      </c>
      <c r="BA29" s="11">
        <v>3</v>
      </c>
      <c r="BB29" s="11">
        <f>COUNTIF(Q17:Q383,BA29)</f>
        <v>6</v>
      </c>
      <c r="BC29" s="62">
        <f>(BB29/BB33)</f>
        <v>0.10909090909090909</v>
      </c>
      <c r="BD29" s="11">
        <v>3</v>
      </c>
      <c r="BE29" s="11">
        <f>COUNTIF(R17:R383,BD29)</f>
        <v>5</v>
      </c>
      <c r="BF29" s="62">
        <f>(BE29/BE33)</f>
        <v>9.2592592592592587E-2</v>
      </c>
      <c r="BG29" s="57">
        <v>3</v>
      </c>
      <c r="BH29" s="174">
        <v>521</v>
      </c>
      <c r="BI29" s="56">
        <v>5</v>
      </c>
      <c r="BJ29" s="56">
        <v>6</v>
      </c>
      <c r="BK29" s="56">
        <v>5</v>
      </c>
      <c r="BL29" s="56">
        <v>4</v>
      </c>
      <c r="BM29" s="56">
        <v>5</v>
      </c>
      <c r="BN29" s="56">
        <v>5</v>
      </c>
      <c r="BO29" s="120">
        <v>4</v>
      </c>
      <c r="BP29" s="120">
        <v>5</v>
      </c>
      <c r="BQ29" s="56">
        <v>5</v>
      </c>
      <c r="BR29" s="56">
        <v>4</v>
      </c>
      <c r="BS29" s="56">
        <v>3</v>
      </c>
      <c r="BT29" s="120">
        <v>4</v>
      </c>
      <c r="BU29" s="120">
        <v>3</v>
      </c>
      <c r="BV29" s="120">
        <v>5</v>
      </c>
      <c r="BW29" s="120">
        <v>4</v>
      </c>
      <c r="BX29" s="120">
        <v>3</v>
      </c>
      <c r="BY29" s="120">
        <v>4</v>
      </c>
      <c r="BZ29" s="120">
        <v>2</v>
      </c>
      <c r="CA29" s="120">
        <v>4</v>
      </c>
      <c r="CB29" s="120">
        <v>5</v>
      </c>
      <c r="CC29" s="120">
        <v>4</v>
      </c>
      <c r="CD29" s="120">
        <v>3</v>
      </c>
      <c r="CE29" s="120">
        <v>5</v>
      </c>
      <c r="CF29" s="120">
        <v>5</v>
      </c>
      <c r="CG29" s="120">
        <v>5</v>
      </c>
      <c r="CH29" s="120">
        <v>4</v>
      </c>
      <c r="CI29" s="56"/>
      <c r="CJ29" s="56"/>
      <c r="CK29" s="56"/>
      <c r="CL29" s="56"/>
      <c r="CM29" s="56"/>
      <c r="CN29" s="151"/>
      <c r="CO29" s="151"/>
      <c r="CP29" s="129"/>
      <c r="CQ29" s="11">
        <v>3</v>
      </c>
      <c r="CR29" s="11">
        <f>COUNTIF(BO17:BO607,CQ29)</f>
        <v>7</v>
      </c>
      <c r="CS29" s="62">
        <f>(CR29/CR33)</f>
        <v>0.11864406779661017</v>
      </c>
      <c r="CT29" s="11">
        <v>3</v>
      </c>
      <c r="CU29" s="11">
        <f>COUNTIF(BP17:BP383,CT29)</f>
        <v>4</v>
      </c>
      <c r="CV29" s="62">
        <f>(CU29/CU33)</f>
        <v>6.8965517241379309E-2</v>
      </c>
      <c r="CW29" s="11">
        <v>3</v>
      </c>
      <c r="CX29" s="11">
        <f>COUNTIF(BQ17:BQ383,CW29)</f>
        <v>14</v>
      </c>
      <c r="CY29" s="62">
        <f>(CX29/CX33)</f>
        <v>0.24561403508771928</v>
      </c>
      <c r="CZ29" s="11">
        <v>3</v>
      </c>
      <c r="DA29" s="11">
        <f>COUNTIF(BR17:BR383,CZ29)</f>
        <v>11</v>
      </c>
      <c r="DB29" s="62">
        <f>(DA29/DA33)</f>
        <v>0.19642857142857142</v>
      </c>
      <c r="DC29" s="11">
        <v>3</v>
      </c>
      <c r="DD29" s="11">
        <f>COUNTIF(BS17:BS383,DC29)</f>
        <v>9</v>
      </c>
      <c r="DE29" s="62">
        <f>(DD29/DD33)</f>
        <v>0.16363636363636364</v>
      </c>
      <c r="DF29" s="11">
        <v>3</v>
      </c>
      <c r="DG29" s="11">
        <f>COUNTIF(BT17:BT383,DF29)</f>
        <v>9</v>
      </c>
      <c r="DH29" s="62">
        <f>(DG29/DG33)</f>
        <v>0.16666666666666666</v>
      </c>
      <c r="DI29" s="70"/>
      <c r="DJ29" s="174">
        <v>521</v>
      </c>
      <c r="DK29" s="120">
        <v>1</v>
      </c>
      <c r="DL29" s="120">
        <v>0</v>
      </c>
      <c r="DM29" s="120">
        <v>0</v>
      </c>
      <c r="DN29" s="120">
        <v>1</v>
      </c>
      <c r="DO29" s="120">
        <v>0</v>
      </c>
      <c r="DP29" s="120">
        <v>1</v>
      </c>
      <c r="DQ29" s="120">
        <v>1</v>
      </c>
      <c r="DR29" s="120">
        <v>1</v>
      </c>
      <c r="DS29" s="120">
        <v>0</v>
      </c>
      <c r="DT29" s="120">
        <v>0</v>
      </c>
      <c r="DU29" s="120">
        <v>1</v>
      </c>
      <c r="DV29" s="120">
        <v>0</v>
      </c>
      <c r="DW29" s="120">
        <v>0</v>
      </c>
      <c r="DX29" s="120">
        <v>1</v>
      </c>
      <c r="DY29" s="120">
        <v>0</v>
      </c>
      <c r="DZ29" s="120">
        <v>1</v>
      </c>
      <c r="EA29" s="120">
        <v>0</v>
      </c>
      <c r="EB29" s="120">
        <v>2</v>
      </c>
      <c r="EC29" s="120">
        <v>0</v>
      </c>
      <c r="ED29" s="120">
        <v>0</v>
      </c>
      <c r="EE29" s="120">
        <v>1</v>
      </c>
      <c r="EF29" s="120">
        <v>0</v>
      </c>
      <c r="EG29" s="120">
        <v>0</v>
      </c>
      <c r="EH29" s="120">
        <v>0</v>
      </c>
      <c r="EI29" s="120">
        <v>1</v>
      </c>
      <c r="EJ29" s="120">
        <v>0</v>
      </c>
      <c r="EK29" s="56"/>
      <c r="EL29" s="56"/>
      <c r="EM29" s="56"/>
      <c r="EN29" s="56"/>
      <c r="EO29" s="56"/>
      <c r="EP29" s="151"/>
      <c r="EQ29" s="151"/>
      <c r="ER29" s="129"/>
      <c r="ES29" s="11">
        <v>3</v>
      </c>
      <c r="ET29" s="11">
        <f>COUNTIF(DQ17:DQ607,ES29)</f>
        <v>0</v>
      </c>
      <c r="EU29" s="62">
        <f>(ET29/ET33)</f>
        <v>0</v>
      </c>
      <c r="EV29" s="11">
        <v>3</v>
      </c>
      <c r="EW29" s="11">
        <f>COUNTIF(DR17:DR383,EV29)</f>
        <v>1</v>
      </c>
      <c r="EX29" s="62">
        <f>(EW29/EW33)</f>
        <v>1.7241379310344827E-2</v>
      </c>
      <c r="EY29" s="11">
        <v>3</v>
      </c>
      <c r="EZ29" s="11">
        <f>COUNTIF(DS17:DS383,EY29)</f>
        <v>1</v>
      </c>
      <c r="FA29" s="62">
        <f>(EZ29/EZ33)</f>
        <v>1.7543859649122806E-2</v>
      </c>
      <c r="FB29" s="11">
        <v>3</v>
      </c>
      <c r="FC29" s="11">
        <f>COUNTIF(DT17:DT383,FB29)</f>
        <v>0</v>
      </c>
      <c r="FD29" s="62">
        <f>(FC29/FC33)</f>
        <v>0</v>
      </c>
      <c r="FE29" s="11">
        <v>3</v>
      </c>
      <c r="FF29" s="11">
        <f>COUNTIF(DU17:DU383,FE29)</f>
        <v>0</v>
      </c>
      <c r="FG29" s="62">
        <f>(FF29/FF33)</f>
        <v>0</v>
      </c>
      <c r="FH29" s="11">
        <v>3</v>
      </c>
      <c r="FI29" s="11">
        <f>COUNTIF(DV17:DV383,FH29)</f>
        <v>1</v>
      </c>
      <c r="FJ29" s="62">
        <f>(FI29/FI33)</f>
        <v>1.8518518518518517E-2</v>
      </c>
      <c r="FK29" s="129">
        <v>2</v>
      </c>
      <c r="FL29" s="174">
        <v>521</v>
      </c>
      <c r="FM29" s="56"/>
      <c r="FN29" s="56"/>
      <c r="FO29" s="45">
        <v>1</v>
      </c>
      <c r="FP29" s="56"/>
      <c r="FQ29" s="45">
        <v>2</v>
      </c>
      <c r="FR29" s="45">
        <v>3</v>
      </c>
      <c r="FS29" s="45">
        <v>1</v>
      </c>
      <c r="FT29" s="45">
        <v>1</v>
      </c>
      <c r="FU29" s="45">
        <v>1</v>
      </c>
      <c r="FV29" s="45">
        <v>1</v>
      </c>
      <c r="FW29" s="45">
        <v>2</v>
      </c>
      <c r="FX29" s="45">
        <v>2</v>
      </c>
      <c r="FY29" s="45">
        <v>2</v>
      </c>
      <c r="FZ29" s="45">
        <v>1</v>
      </c>
      <c r="GA29" s="45">
        <v>2</v>
      </c>
      <c r="GB29" s="45">
        <v>4</v>
      </c>
      <c r="GC29" s="45">
        <v>1</v>
      </c>
      <c r="GD29" s="45">
        <v>2</v>
      </c>
      <c r="GE29" s="45">
        <v>2</v>
      </c>
      <c r="GF29" s="45">
        <v>2</v>
      </c>
      <c r="GG29" s="45">
        <v>2</v>
      </c>
      <c r="GH29" s="45">
        <v>1</v>
      </c>
      <c r="GI29" s="45">
        <v>1</v>
      </c>
      <c r="GJ29" s="45">
        <v>2</v>
      </c>
      <c r="GK29" s="45">
        <v>2</v>
      </c>
      <c r="GL29" s="45">
        <v>2</v>
      </c>
      <c r="GM29" s="56"/>
      <c r="GN29" s="56"/>
      <c r="GO29" s="56"/>
      <c r="GP29" s="56"/>
      <c r="GQ29" s="56"/>
      <c r="GR29" s="151"/>
      <c r="GS29" s="151"/>
      <c r="GT29" s="129"/>
      <c r="GU29" s="11">
        <v>3</v>
      </c>
      <c r="GV29" s="11">
        <f>COUNTIF(FS17:FS607,GU29)</f>
        <v>8</v>
      </c>
      <c r="GW29" s="62">
        <f>(GV29/GV33)</f>
        <v>0.16326530612244897</v>
      </c>
      <c r="GX29" s="11">
        <v>3</v>
      </c>
      <c r="GY29" s="11">
        <f>COUNTIF(FT17:FT383,GX29)</f>
        <v>11</v>
      </c>
      <c r="GZ29" s="62">
        <f>(GY29/GY33)</f>
        <v>0.22448979591836735</v>
      </c>
      <c r="HA29" s="11">
        <v>3</v>
      </c>
      <c r="HB29" s="11">
        <f>COUNTIF(FU17:FU383,HA29)</f>
        <v>10</v>
      </c>
      <c r="HC29" s="62">
        <f>(HB29/HB33)</f>
        <v>0.17543859649122806</v>
      </c>
      <c r="HD29" s="11">
        <v>3</v>
      </c>
      <c r="HE29" s="11">
        <f>COUNTIF(FV17:FV383,HD29)</f>
        <v>8</v>
      </c>
      <c r="HF29" s="62">
        <f>(HE29/HE33)</f>
        <v>0.14285714285714285</v>
      </c>
      <c r="HG29" s="11">
        <v>3</v>
      </c>
      <c r="HH29" s="11">
        <f>COUNTIF(FW17:FW383,HG29)</f>
        <v>9</v>
      </c>
      <c r="HI29" s="62">
        <f>(HH29/HH33)</f>
        <v>0.16363636363636364</v>
      </c>
      <c r="HJ29" s="11">
        <v>3</v>
      </c>
      <c r="HK29" s="11">
        <f>COUNTIF(FX17:FX383,HJ29)</f>
        <v>13</v>
      </c>
      <c r="HL29" s="62">
        <f>(HK29/HK33)</f>
        <v>0.24074074074074073</v>
      </c>
      <c r="HN29">
        <v>3</v>
      </c>
    </row>
    <row r="30" spans="1:222" ht="17.25">
      <c r="A30" s="186"/>
      <c r="B30" s="186"/>
      <c r="C30" s="129"/>
      <c r="D30" s="52"/>
      <c r="E30" s="52"/>
      <c r="F30" s="174">
        <v>522</v>
      </c>
      <c r="G30" s="151">
        <v>5</v>
      </c>
      <c r="H30" s="151">
        <v>5</v>
      </c>
      <c r="I30" s="151">
        <v>5</v>
      </c>
      <c r="J30" s="151">
        <v>6</v>
      </c>
      <c r="K30" s="151">
        <v>5</v>
      </c>
      <c r="L30" s="151">
        <v>5</v>
      </c>
      <c r="M30" s="151">
        <v>4</v>
      </c>
      <c r="N30" s="151">
        <v>4</v>
      </c>
      <c r="O30" s="151">
        <v>5</v>
      </c>
      <c r="P30" s="151">
        <v>5</v>
      </c>
      <c r="Q30" s="151">
        <v>5</v>
      </c>
      <c r="R30" s="151">
        <v>5</v>
      </c>
      <c r="S30" s="151">
        <v>5</v>
      </c>
      <c r="T30" s="151">
        <v>6</v>
      </c>
      <c r="U30" s="151">
        <v>5</v>
      </c>
      <c r="V30" s="151">
        <v>4</v>
      </c>
      <c r="W30" s="151">
        <v>6</v>
      </c>
      <c r="X30" s="151">
        <v>5</v>
      </c>
      <c r="Y30" s="151">
        <v>6</v>
      </c>
      <c r="Z30" s="151">
        <v>5</v>
      </c>
      <c r="AA30" s="151">
        <v>4</v>
      </c>
      <c r="AB30" s="151">
        <v>6</v>
      </c>
      <c r="AC30" s="151">
        <v>4</v>
      </c>
      <c r="AD30" s="151">
        <v>4</v>
      </c>
      <c r="AE30" s="151">
        <v>4</v>
      </c>
      <c r="AF30" s="151">
        <v>6</v>
      </c>
      <c r="AG30" s="56"/>
      <c r="AH30" s="56"/>
      <c r="AI30" s="56"/>
      <c r="AJ30" s="56"/>
      <c r="AK30" s="56"/>
      <c r="AL30" s="151"/>
      <c r="AM30" s="151"/>
      <c r="AN30" s="70"/>
      <c r="AO30" s="11">
        <v>2</v>
      </c>
      <c r="AP30" s="11">
        <f>COUNTIF(M17:M607,AO30)</f>
        <v>1</v>
      </c>
      <c r="AQ30" s="62">
        <f>(AP30/AP33)</f>
        <v>1.6949152542372881E-2</v>
      </c>
      <c r="AR30" s="11">
        <v>2</v>
      </c>
      <c r="AS30" s="11">
        <f>COUNTIF(N17:N383,AR30)</f>
        <v>3</v>
      </c>
      <c r="AT30" s="62">
        <f>(AS30/AS33)</f>
        <v>5.1724137931034482E-2</v>
      </c>
      <c r="AU30" s="11">
        <v>2</v>
      </c>
      <c r="AV30" s="11">
        <f>COUNTIF(O17:O383,AU30)</f>
        <v>1</v>
      </c>
      <c r="AW30" s="62">
        <f>(AV30/AV33)</f>
        <v>1.7543859649122806E-2</v>
      </c>
      <c r="AX30" s="11">
        <v>2</v>
      </c>
      <c r="AY30" s="11">
        <f>COUNTIF(P17:P383,AX30)</f>
        <v>0</v>
      </c>
      <c r="AZ30" s="62">
        <f>(AY30/AY33)</f>
        <v>0</v>
      </c>
      <c r="BA30" s="11">
        <v>2</v>
      </c>
      <c r="BB30" s="11">
        <f>COUNTIF(Q17:Q383,BA30)</f>
        <v>0</v>
      </c>
      <c r="BC30" s="62">
        <f>(BB30/BB33)</f>
        <v>0</v>
      </c>
      <c r="BD30" s="11">
        <v>2</v>
      </c>
      <c r="BE30" s="11">
        <f>COUNTIF(R17:R383,BD30)</f>
        <v>0</v>
      </c>
      <c r="BF30" s="62">
        <f>(BE30/BE33)</f>
        <v>0</v>
      </c>
      <c r="BG30" s="57">
        <v>3</v>
      </c>
      <c r="BH30" s="174">
        <v>522</v>
      </c>
      <c r="BI30" s="56">
        <v>6</v>
      </c>
      <c r="BJ30" s="56">
        <v>5</v>
      </c>
      <c r="BK30" s="56">
        <v>6</v>
      </c>
      <c r="BL30" s="56">
        <v>6</v>
      </c>
      <c r="BM30" s="56">
        <v>6</v>
      </c>
      <c r="BN30" s="56">
        <v>5</v>
      </c>
      <c r="BO30" s="120">
        <v>5</v>
      </c>
      <c r="BP30" s="120">
        <v>5</v>
      </c>
      <c r="BQ30" s="56">
        <v>4</v>
      </c>
      <c r="BR30" s="56">
        <v>4</v>
      </c>
      <c r="BS30" s="56">
        <v>4</v>
      </c>
      <c r="BT30" s="120">
        <v>5</v>
      </c>
      <c r="BU30" s="120">
        <v>5</v>
      </c>
      <c r="BV30" s="120">
        <v>6</v>
      </c>
      <c r="BW30" s="120">
        <v>5</v>
      </c>
      <c r="BX30" s="120">
        <v>4</v>
      </c>
      <c r="BY30" s="120">
        <v>6</v>
      </c>
      <c r="BZ30" s="120">
        <v>5</v>
      </c>
      <c r="CA30" s="120">
        <v>6</v>
      </c>
      <c r="CB30" s="120">
        <v>5</v>
      </c>
      <c r="CC30" s="120">
        <v>4</v>
      </c>
      <c r="CD30" s="120">
        <v>6</v>
      </c>
      <c r="CE30" s="120">
        <v>4</v>
      </c>
      <c r="CF30" s="120">
        <v>4</v>
      </c>
      <c r="CG30" s="120">
        <v>4</v>
      </c>
      <c r="CH30" s="120">
        <v>6</v>
      </c>
      <c r="CI30" s="56"/>
      <c r="CJ30" s="56"/>
      <c r="CK30" s="56"/>
      <c r="CL30" s="56"/>
      <c r="CM30" s="56"/>
      <c r="CN30" s="151"/>
      <c r="CO30" s="151"/>
      <c r="CP30" s="129"/>
      <c r="CQ30" s="11">
        <v>2</v>
      </c>
      <c r="CR30" s="11">
        <f>COUNTIF(BO17:BO607,CQ30)</f>
        <v>3</v>
      </c>
      <c r="CS30" s="62">
        <f>(CR30/CR33)</f>
        <v>5.0847457627118647E-2</v>
      </c>
      <c r="CT30" s="11">
        <v>2</v>
      </c>
      <c r="CU30" s="11">
        <f>COUNTIF(BP17:BP383,CT30)</f>
        <v>2</v>
      </c>
      <c r="CV30" s="62">
        <f>(CU30/CU33)</f>
        <v>3.4482758620689655E-2</v>
      </c>
      <c r="CW30" s="11">
        <v>2</v>
      </c>
      <c r="CX30" s="11">
        <f>COUNTIF(BQ17:BQ383,CW30)</f>
        <v>1</v>
      </c>
      <c r="CY30" s="62">
        <f>(CX30/CX33)</f>
        <v>1.7543859649122806E-2</v>
      </c>
      <c r="CZ30" s="11">
        <v>2</v>
      </c>
      <c r="DA30" s="11">
        <f>COUNTIF(BR17:BR383,CZ30)</f>
        <v>1</v>
      </c>
      <c r="DB30" s="62">
        <f>(DA30/DA33)</f>
        <v>1.7857142857142856E-2</v>
      </c>
      <c r="DC30" s="11">
        <v>2</v>
      </c>
      <c r="DD30" s="11">
        <f>COUNTIF(BS17:BS383,DC30)</f>
        <v>3</v>
      </c>
      <c r="DE30" s="62">
        <f>(DD30/DD33)</f>
        <v>5.4545454545454543E-2</v>
      </c>
      <c r="DF30" s="11">
        <v>2</v>
      </c>
      <c r="DG30" s="11">
        <f>COUNTIF(BT17:BT383,DF30)</f>
        <v>2</v>
      </c>
      <c r="DH30" s="62">
        <f>(DG30/DG33)</f>
        <v>3.7037037037037035E-2</v>
      </c>
      <c r="DI30" s="70"/>
      <c r="DJ30" s="174">
        <v>522</v>
      </c>
      <c r="DK30" s="120">
        <v>0</v>
      </c>
      <c r="DL30" s="120">
        <v>1</v>
      </c>
      <c r="DM30" s="120">
        <v>0</v>
      </c>
      <c r="DN30" s="120">
        <v>0</v>
      </c>
      <c r="DO30" s="120">
        <v>0</v>
      </c>
      <c r="DP30" s="120">
        <v>1</v>
      </c>
      <c r="DQ30" s="120">
        <v>0</v>
      </c>
      <c r="DR30" s="120">
        <v>0</v>
      </c>
      <c r="DS30" s="120">
        <v>1</v>
      </c>
      <c r="DT30" s="120">
        <v>1</v>
      </c>
      <c r="DU30" s="120">
        <v>1</v>
      </c>
      <c r="DV30" s="120">
        <v>0</v>
      </c>
      <c r="DW30" s="120">
        <v>0</v>
      </c>
      <c r="DX30" s="120">
        <v>0</v>
      </c>
      <c r="DY30" s="120">
        <v>0</v>
      </c>
      <c r="DZ30" s="120">
        <v>0</v>
      </c>
      <c r="EA30" s="120">
        <v>0</v>
      </c>
      <c r="EB30" s="120">
        <v>0</v>
      </c>
      <c r="EC30" s="120">
        <v>0</v>
      </c>
      <c r="ED30" s="120">
        <v>0</v>
      </c>
      <c r="EE30" s="120">
        <v>0</v>
      </c>
      <c r="EF30" s="120">
        <v>0</v>
      </c>
      <c r="EG30" s="120">
        <v>0</v>
      </c>
      <c r="EH30" s="120">
        <v>0</v>
      </c>
      <c r="EI30" s="120">
        <v>0</v>
      </c>
      <c r="EJ30" s="120">
        <v>0</v>
      </c>
      <c r="EK30" s="56"/>
      <c r="EL30" s="56"/>
      <c r="EM30" s="56"/>
      <c r="EN30" s="56"/>
      <c r="EO30" s="56"/>
      <c r="EP30" s="151"/>
      <c r="EQ30" s="151"/>
      <c r="ER30" s="129"/>
      <c r="ES30" s="11">
        <v>2</v>
      </c>
      <c r="ET30" s="11">
        <f>COUNTIF(DQ17:DQ607,ES30)</f>
        <v>2</v>
      </c>
      <c r="EU30" s="62">
        <f>(ET30/ET33)</f>
        <v>3.3898305084745763E-2</v>
      </c>
      <c r="EV30" s="11">
        <v>2</v>
      </c>
      <c r="EW30" s="11">
        <f>COUNTIF(DR17:DR383,EV30)</f>
        <v>1</v>
      </c>
      <c r="EX30" s="62">
        <f>(EW30/EW33)</f>
        <v>1.7241379310344827E-2</v>
      </c>
      <c r="EY30" s="11">
        <v>2</v>
      </c>
      <c r="EZ30" s="11">
        <f>COUNTIF(DS17:DS383,EY30)</f>
        <v>2</v>
      </c>
      <c r="FA30" s="62">
        <f>(EZ30/EZ33)</f>
        <v>3.5087719298245612E-2</v>
      </c>
      <c r="FB30" s="11">
        <v>2</v>
      </c>
      <c r="FC30" s="11">
        <f>COUNTIF(DT17:DT383,FB30)</f>
        <v>4</v>
      </c>
      <c r="FD30" s="62">
        <f>(FC30/FC33)</f>
        <v>7.1428571428571425E-2</v>
      </c>
      <c r="FE30" s="11">
        <v>2</v>
      </c>
      <c r="FF30" s="11">
        <f>COUNTIF(DU17:DU383,FE30)</f>
        <v>0</v>
      </c>
      <c r="FG30" s="62">
        <f>(FF30/FF33)</f>
        <v>0</v>
      </c>
      <c r="FH30" s="11">
        <v>2</v>
      </c>
      <c r="FI30" s="11">
        <f>COUNTIF(DV17:DV383,FH30)</f>
        <v>2</v>
      </c>
      <c r="FJ30" s="62">
        <f>(FI30/FI33)</f>
        <v>3.7037037037037035E-2</v>
      </c>
      <c r="FK30" s="129">
        <v>1</v>
      </c>
      <c r="FL30" s="174">
        <v>522</v>
      </c>
      <c r="FM30" s="56"/>
      <c r="FN30" s="56"/>
      <c r="FO30" s="56">
        <v>2</v>
      </c>
      <c r="FP30" s="56">
        <v>3</v>
      </c>
      <c r="FQ30" s="56">
        <v>3</v>
      </c>
      <c r="FR30" s="56">
        <v>1</v>
      </c>
      <c r="FS30" s="56">
        <v>2</v>
      </c>
      <c r="FT30" s="56">
        <v>1</v>
      </c>
      <c r="FU30" s="56">
        <v>2</v>
      </c>
      <c r="FV30" s="56">
        <v>3</v>
      </c>
      <c r="FW30" s="56">
        <v>2</v>
      </c>
      <c r="FX30" s="56">
        <v>1</v>
      </c>
      <c r="FY30" s="56">
        <v>2</v>
      </c>
      <c r="FZ30" s="56">
        <v>3</v>
      </c>
      <c r="GA30" s="56">
        <v>2</v>
      </c>
      <c r="GB30" s="56">
        <v>2</v>
      </c>
      <c r="GC30" s="56">
        <v>1</v>
      </c>
      <c r="GD30" s="56">
        <v>0</v>
      </c>
      <c r="GE30" s="56">
        <v>1</v>
      </c>
      <c r="GF30" s="56">
        <v>2</v>
      </c>
      <c r="GG30" s="56">
        <v>3</v>
      </c>
      <c r="GH30" s="56">
        <v>1</v>
      </c>
      <c r="GI30" s="56">
        <v>1</v>
      </c>
      <c r="GJ30" s="56">
        <v>3</v>
      </c>
      <c r="GK30" s="56">
        <v>2</v>
      </c>
      <c r="GL30" s="56">
        <v>2</v>
      </c>
      <c r="GM30" s="56"/>
      <c r="GN30" s="56"/>
      <c r="GO30" s="56"/>
      <c r="GP30" s="56"/>
      <c r="GQ30" s="56"/>
      <c r="GR30" s="151"/>
      <c r="GS30" s="151"/>
      <c r="GT30" s="129"/>
      <c r="GU30" s="11">
        <v>2</v>
      </c>
      <c r="GV30" s="11">
        <f>COUNTIF(FS17:FS607,GU30)</f>
        <v>17</v>
      </c>
      <c r="GW30" s="62">
        <f>(GV30/GV33)</f>
        <v>0.34693877551020408</v>
      </c>
      <c r="GX30" s="11">
        <v>2</v>
      </c>
      <c r="GY30" s="11">
        <f>COUNTIF(FT17:FT383,GX30)</f>
        <v>14</v>
      </c>
      <c r="GZ30" s="62">
        <f>(GY30/GY33)</f>
        <v>0.2857142857142857</v>
      </c>
      <c r="HA30" s="11">
        <v>2</v>
      </c>
      <c r="HB30" s="11">
        <f>COUNTIF(FU17:FU383,HA30)</f>
        <v>20</v>
      </c>
      <c r="HC30" s="62">
        <f>(HB30/HB33)</f>
        <v>0.35087719298245612</v>
      </c>
      <c r="HD30" s="11">
        <v>2</v>
      </c>
      <c r="HE30" s="11">
        <f>COUNTIF(FV17:FV383,HD30)</f>
        <v>19</v>
      </c>
      <c r="HF30" s="62">
        <f>(HE30/HE33)</f>
        <v>0.3392857142857143</v>
      </c>
      <c r="HG30" s="11">
        <v>2</v>
      </c>
      <c r="HH30" s="11">
        <f>COUNTIF(FW17:FW383,HG30)</f>
        <v>13</v>
      </c>
      <c r="HI30" s="62">
        <f>(HH30/HH33)</f>
        <v>0.23636363636363636</v>
      </c>
      <c r="HJ30" s="11">
        <v>2</v>
      </c>
      <c r="HK30" s="11">
        <f>COUNTIF(FX17:FX383,HJ30)</f>
        <v>18</v>
      </c>
      <c r="HL30" s="62">
        <f>(HK30/HK33)</f>
        <v>0.33333333333333331</v>
      </c>
      <c r="HN30">
        <v>14</v>
      </c>
    </row>
    <row r="31" spans="1:222" ht="17.25">
      <c r="A31" s="186"/>
      <c r="B31" s="186"/>
      <c r="C31" s="129"/>
      <c r="D31" s="52"/>
      <c r="E31" s="52"/>
      <c r="F31" s="174">
        <v>523</v>
      </c>
      <c r="G31" s="34">
        <v>5</v>
      </c>
      <c r="H31" s="34">
        <v>5</v>
      </c>
      <c r="I31" s="34">
        <v>3</v>
      </c>
      <c r="J31" s="34">
        <v>5</v>
      </c>
      <c r="K31" s="34">
        <v>6</v>
      </c>
      <c r="L31" s="34">
        <v>4</v>
      </c>
      <c r="M31" s="34">
        <v>5</v>
      </c>
      <c r="N31" s="151">
        <v>5</v>
      </c>
      <c r="O31" s="151">
        <v>5</v>
      </c>
      <c r="P31" s="151">
        <v>5</v>
      </c>
      <c r="Q31" s="151">
        <v>6</v>
      </c>
      <c r="R31" s="151">
        <v>5</v>
      </c>
      <c r="S31" s="151">
        <v>5</v>
      </c>
      <c r="T31" s="151">
        <v>4</v>
      </c>
      <c r="U31" s="151">
        <v>4</v>
      </c>
      <c r="V31" s="151">
        <v>6</v>
      </c>
      <c r="W31" s="151">
        <v>5</v>
      </c>
      <c r="X31" s="151">
        <v>6</v>
      </c>
      <c r="Y31" s="151">
        <v>5</v>
      </c>
      <c r="Z31" s="151">
        <v>5</v>
      </c>
      <c r="AA31" s="151">
        <v>4</v>
      </c>
      <c r="AB31" s="151">
        <v>4</v>
      </c>
      <c r="AC31" s="151">
        <v>4</v>
      </c>
      <c r="AD31" s="151">
        <v>4</v>
      </c>
      <c r="AE31" s="151">
        <v>5</v>
      </c>
      <c r="AF31" s="151">
        <v>6</v>
      </c>
      <c r="AG31" s="56"/>
      <c r="AH31" s="56"/>
      <c r="AI31" s="56"/>
      <c r="AJ31" s="56"/>
      <c r="AK31" s="56"/>
      <c r="AL31" s="151"/>
      <c r="AM31" s="151"/>
      <c r="AN31" s="70"/>
      <c r="AO31" s="11">
        <v>1</v>
      </c>
      <c r="AP31" s="11">
        <f>COUNTIF(M17:M607,AO31)</f>
        <v>0</v>
      </c>
      <c r="AQ31" s="62">
        <f>(AP31/AP33)</f>
        <v>0</v>
      </c>
      <c r="AR31" s="11">
        <v>1</v>
      </c>
      <c r="AS31" s="11">
        <f>COUNTIF(N17:N383,AR31)</f>
        <v>0</v>
      </c>
      <c r="AT31" s="62">
        <f>(AS31/AS33)</f>
        <v>0</v>
      </c>
      <c r="AU31" s="11">
        <v>1</v>
      </c>
      <c r="AV31" s="11">
        <f>COUNTIF(O17:O383,AU31)</f>
        <v>1</v>
      </c>
      <c r="AW31" s="62">
        <f>(AV31/AV33)</f>
        <v>1.7543859649122806E-2</v>
      </c>
      <c r="AX31" s="11">
        <v>1</v>
      </c>
      <c r="AY31" s="11">
        <f>COUNTIF(P17:P383,AX31)</f>
        <v>0</v>
      </c>
      <c r="AZ31" s="62">
        <f>(AY31/AY33)</f>
        <v>0</v>
      </c>
      <c r="BA31" s="11">
        <v>1</v>
      </c>
      <c r="BB31" s="11">
        <f>COUNTIF(Q17:Q383,BA31)</f>
        <v>0</v>
      </c>
      <c r="BC31" s="62">
        <f>(BB31/BB33)</f>
        <v>0</v>
      </c>
      <c r="BD31" s="11">
        <v>1</v>
      </c>
      <c r="BE31" s="11">
        <f>COUNTIF(R17:R383,BD31)</f>
        <v>0</v>
      </c>
      <c r="BF31" s="62">
        <f>(BE31/BE33)</f>
        <v>0</v>
      </c>
      <c r="BG31" s="57">
        <v>3</v>
      </c>
      <c r="BH31" s="174">
        <v>523</v>
      </c>
      <c r="BI31" s="56">
        <v>5</v>
      </c>
      <c r="BJ31" s="56">
        <v>6</v>
      </c>
      <c r="BK31" s="56">
        <v>4</v>
      </c>
      <c r="BL31" s="56">
        <v>5</v>
      </c>
      <c r="BM31" s="56">
        <v>6</v>
      </c>
      <c r="BN31" s="56">
        <v>4</v>
      </c>
      <c r="BO31" s="120">
        <v>6</v>
      </c>
      <c r="BP31" s="120">
        <v>6</v>
      </c>
      <c r="BQ31" s="56">
        <v>5</v>
      </c>
      <c r="BR31" s="56">
        <v>4</v>
      </c>
      <c r="BS31" s="56">
        <v>5</v>
      </c>
      <c r="BT31" s="120">
        <v>5</v>
      </c>
      <c r="BU31" s="120">
        <v>5</v>
      </c>
      <c r="BV31" s="120">
        <v>4</v>
      </c>
      <c r="BW31" s="120">
        <v>4</v>
      </c>
      <c r="BX31" s="120">
        <v>6</v>
      </c>
      <c r="BY31" s="120">
        <v>5</v>
      </c>
      <c r="BZ31" s="120">
        <v>6</v>
      </c>
      <c r="CA31" s="120">
        <v>5</v>
      </c>
      <c r="CB31" s="120">
        <v>5</v>
      </c>
      <c r="CC31" s="120">
        <v>4</v>
      </c>
      <c r="CD31" s="120">
        <v>3</v>
      </c>
      <c r="CE31" s="120">
        <v>4</v>
      </c>
      <c r="CF31" s="120">
        <v>3</v>
      </c>
      <c r="CG31" s="120">
        <v>5</v>
      </c>
      <c r="CH31" s="120">
        <v>6</v>
      </c>
      <c r="CI31" s="56"/>
      <c r="CJ31" s="56"/>
      <c r="CK31" s="56"/>
      <c r="CL31" s="56"/>
      <c r="CM31" s="56"/>
      <c r="CN31" s="151"/>
      <c r="CO31" s="151"/>
      <c r="CP31" s="129"/>
      <c r="CQ31" s="11">
        <v>1</v>
      </c>
      <c r="CR31" s="11">
        <f>COUNTIF(BO17:BO607,CQ31)</f>
        <v>0</v>
      </c>
      <c r="CS31" s="62">
        <f>(CR31/CR33)</f>
        <v>0</v>
      </c>
      <c r="CT31" s="11">
        <v>1</v>
      </c>
      <c r="CU31" s="11">
        <f>COUNTIF(BP17:BP383,CT31)</f>
        <v>2</v>
      </c>
      <c r="CV31" s="62">
        <f>(CU31/CU33)</f>
        <v>3.4482758620689655E-2</v>
      </c>
      <c r="CW31" s="11">
        <v>1</v>
      </c>
      <c r="CX31" s="11">
        <f>COUNTIF(BQ17:BQ383,CW31)</f>
        <v>1</v>
      </c>
      <c r="CY31" s="62">
        <f>(CX31/CX33)</f>
        <v>1.7543859649122806E-2</v>
      </c>
      <c r="CZ31" s="11">
        <v>1</v>
      </c>
      <c r="DA31" s="11">
        <f>COUNTIF(BR17:BR383,CZ31)</f>
        <v>0</v>
      </c>
      <c r="DB31" s="62">
        <f>(DA31/DA33)</f>
        <v>0</v>
      </c>
      <c r="DC31" s="11">
        <v>1</v>
      </c>
      <c r="DD31" s="11">
        <f>COUNTIF(BS17:BS383,DC31)</f>
        <v>0</v>
      </c>
      <c r="DE31" s="62">
        <f>(DD31/DD33)</f>
        <v>0</v>
      </c>
      <c r="DF31" s="11">
        <v>1</v>
      </c>
      <c r="DG31" s="11">
        <f>COUNTIF(BT17:BT383,DF31)</f>
        <v>0</v>
      </c>
      <c r="DH31" s="62">
        <f>(DG31/DG33)</f>
        <v>0</v>
      </c>
      <c r="DI31" s="70"/>
      <c r="DJ31" s="174">
        <v>523</v>
      </c>
      <c r="DK31" s="120">
        <v>0</v>
      </c>
      <c r="DL31" s="120">
        <v>0</v>
      </c>
      <c r="DM31" s="120">
        <v>0</v>
      </c>
      <c r="DN31" s="120">
        <v>1</v>
      </c>
      <c r="DO31" s="120">
        <v>0</v>
      </c>
      <c r="DP31" s="120">
        <v>1</v>
      </c>
      <c r="DQ31" s="120">
        <v>0</v>
      </c>
      <c r="DR31" s="120">
        <v>0</v>
      </c>
      <c r="DS31" s="120">
        <v>0</v>
      </c>
      <c r="DT31" s="120">
        <v>1</v>
      </c>
      <c r="DU31" s="120">
        <v>1</v>
      </c>
      <c r="DV31" s="120">
        <v>0</v>
      </c>
      <c r="DW31" s="120">
        <v>0</v>
      </c>
      <c r="DX31" s="120">
        <v>0</v>
      </c>
      <c r="DY31" s="120">
        <v>0</v>
      </c>
      <c r="DZ31" s="120">
        <v>0</v>
      </c>
      <c r="EA31" s="120">
        <v>0</v>
      </c>
      <c r="EB31" s="120">
        <v>0</v>
      </c>
      <c r="EC31" s="120">
        <v>0</v>
      </c>
      <c r="ED31" s="120">
        <v>0</v>
      </c>
      <c r="EE31" s="120">
        <v>0</v>
      </c>
      <c r="EF31" s="120">
        <v>1</v>
      </c>
      <c r="EG31" s="120">
        <v>0</v>
      </c>
      <c r="EH31" s="120">
        <v>1</v>
      </c>
      <c r="EI31" s="120">
        <v>0</v>
      </c>
      <c r="EJ31" s="120">
        <v>0</v>
      </c>
      <c r="EK31" s="56"/>
      <c r="EL31" s="56"/>
      <c r="EM31" s="56"/>
      <c r="EN31" s="56"/>
      <c r="EO31" s="56"/>
      <c r="EP31" s="151"/>
      <c r="EQ31" s="151"/>
      <c r="ER31" s="129"/>
      <c r="ES31" s="11">
        <v>1</v>
      </c>
      <c r="ET31" s="11">
        <f>COUNTIF(DQ17:DQ607,ES31)</f>
        <v>18</v>
      </c>
      <c r="EU31" s="62">
        <f>(ET31/ET33)</f>
        <v>0.30508474576271188</v>
      </c>
      <c r="EV31" s="11">
        <v>1</v>
      </c>
      <c r="EW31" s="11">
        <f>COUNTIF(DR17:DR383,EV31)</f>
        <v>18</v>
      </c>
      <c r="EX31" s="62">
        <f>(EW31/EW33)</f>
        <v>0.31034482758620691</v>
      </c>
      <c r="EY31" s="11">
        <v>1</v>
      </c>
      <c r="EZ31" s="11">
        <f>COUNTIF(DS17:DS383,EY31)</f>
        <v>14</v>
      </c>
      <c r="FA31" s="62">
        <f>(EZ31/EZ33)</f>
        <v>0.24561403508771928</v>
      </c>
      <c r="FB31" s="11">
        <v>1</v>
      </c>
      <c r="FC31" s="11">
        <f>COUNTIF(DT17:DT383,FB31)</f>
        <v>19</v>
      </c>
      <c r="FD31" s="62">
        <f>(FC31/FC33)</f>
        <v>0.3392857142857143</v>
      </c>
      <c r="FE31" s="11">
        <v>1</v>
      </c>
      <c r="FF31" s="11">
        <f>COUNTIF(DU17:DU383,FE31)</f>
        <v>20</v>
      </c>
      <c r="FG31" s="62">
        <f>(FF31/FF33)</f>
        <v>0.36363636363636365</v>
      </c>
      <c r="FH31" s="11">
        <v>1</v>
      </c>
      <c r="FI31" s="11">
        <f>COUNTIF(DV17:DV383,FH31)</f>
        <v>22</v>
      </c>
      <c r="FJ31" s="62">
        <f>(FI31/FI33)</f>
        <v>0.40740740740740738</v>
      </c>
      <c r="FK31" s="129">
        <v>2</v>
      </c>
      <c r="FL31" s="174">
        <v>523</v>
      </c>
      <c r="FM31" s="56"/>
      <c r="FN31" s="78"/>
      <c r="FO31" s="56">
        <v>0</v>
      </c>
      <c r="FP31" s="56">
        <v>1</v>
      </c>
      <c r="FQ31" s="56">
        <v>2</v>
      </c>
      <c r="FR31" s="56">
        <v>2</v>
      </c>
      <c r="FS31" s="56">
        <v>0</v>
      </c>
      <c r="FT31" s="56">
        <v>0</v>
      </c>
      <c r="FU31" s="56">
        <v>2</v>
      </c>
      <c r="FV31" s="56">
        <v>0</v>
      </c>
      <c r="FW31" s="56">
        <v>1</v>
      </c>
      <c r="FX31" s="56">
        <v>2</v>
      </c>
      <c r="FY31" s="56">
        <v>0</v>
      </c>
      <c r="FZ31" s="56">
        <v>3</v>
      </c>
      <c r="GA31" s="56">
        <v>2</v>
      </c>
      <c r="GB31" s="56">
        <v>0</v>
      </c>
      <c r="GC31" s="56">
        <v>2</v>
      </c>
      <c r="GD31" s="56">
        <v>1</v>
      </c>
      <c r="GE31" s="56">
        <v>0</v>
      </c>
      <c r="GF31" s="56">
        <v>2</v>
      </c>
      <c r="GG31" s="56">
        <v>0</v>
      </c>
      <c r="GH31" s="56">
        <v>1</v>
      </c>
      <c r="GI31" s="56">
        <v>1</v>
      </c>
      <c r="GJ31" s="56">
        <v>2</v>
      </c>
      <c r="GK31" s="56">
        <v>1</v>
      </c>
      <c r="GL31" s="56">
        <v>2</v>
      </c>
      <c r="GM31" s="56"/>
      <c r="GN31" s="56"/>
      <c r="GO31" s="56"/>
      <c r="GP31" s="56"/>
      <c r="GQ31" s="56"/>
      <c r="GR31" s="151"/>
      <c r="GS31" s="151"/>
      <c r="GT31" s="129"/>
      <c r="GU31" s="11">
        <v>1</v>
      </c>
      <c r="GV31" s="11">
        <f>COUNTIF(FS17:FS607,GU31)</f>
        <v>18</v>
      </c>
      <c r="GW31" s="62">
        <f>(GV31/GV33)</f>
        <v>0.36734693877551022</v>
      </c>
      <c r="GX31" s="11">
        <v>1</v>
      </c>
      <c r="GY31" s="11">
        <f>COUNTIF(FT17:FT383,GX31)</f>
        <v>16</v>
      </c>
      <c r="GZ31" s="62">
        <f>(GY31/GY33)</f>
        <v>0.32653061224489793</v>
      </c>
      <c r="HA31" s="11">
        <v>1</v>
      </c>
      <c r="HB31" s="11">
        <f>COUNTIF(FU17:FU383,HA31)</f>
        <v>19</v>
      </c>
      <c r="HC31" s="62">
        <f>(HB31/HB33)</f>
        <v>0.33333333333333331</v>
      </c>
      <c r="HD31" s="11">
        <v>1</v>
      </c>
      <c r="HE31" s="11">
        <f>COUNTIF(FV17:FV383,HD31)</f>
        <v>17</v>
      </c>
      <c r="HF31" s="62">
        <f>(HE31/HE33)</f>
        <v>0.30357142857142855</v>
      </c>
      <c r="HG31" s="11">
        <v>1</v>
      </c>
      <c r="HH31" s="11">
        <f>COUNTIF(FW17:FW383,HG31)</f>
        <v>19</v>
      </c>
      <c r="HI31" s="62">
        <f>(HH31/HH33)</f>
        <v>0.34545454545454546</v>
      </c>
      <c r="HJ31" s="11">
        <v>1</v>
      </c>
      <c r="HK31" s="11">
        <f>COUNTIF(FX17:FX383,HJ31)</f>
        <v>14</v>
      </c>
      <c r="HL31" s="62">
        <f>(HK31/HK33)</f>
        <v>0.25925925925925924</v>
      </c>
      <c r="HN31">
        <v>14</v>
      </c>
    </row>
    <row r="32" spans="1:222" ht="17.25">
      <c r="A32" s="186"/>
      <c r="B32" s="186"/>
      <c r="C32" s="129"/>
      <c r="D32" s="52"/>
      <c r="E32" s="52"/>
      <c r="F32" s="174">
        <v>524</v>
      </c>
      <c r="G32" s="34">
        <v>6</v>
      </c>
      <c r="H32" s="34">
        <v>5</v>
      </c>
      <c r="I32" s="34">
        <v>4</v>
      </c>
      <c r="J32" s="34">
        <v>6</v>
      </c>
      <c r="K32" s="34">
        <v>5</v>
      </c>
      <c r="L32" s="34">
        <v>5</v>
      </c>
      <c r="M32" s="34">
        <v>6</v>
      </c>
      <c r="N32" s="151">
        <v>5</v>
      </c>
      <c r="O32" s="151">
        <v>6</v>
      </c>
      <c r="P32" s="151">
        <v>6</v>
      </c>
      <c r="Q32" s="151">
        <v>5</v>
      </c>
      <c r="R32" s="151">
        <v>4</v>
      </c>
      <c r="S32" s="151">
        <v>4</v>
      </c>
      <c r="T32" s="151">
        <v>4</v>
      </c>
      <c r="U32" s="151">
        <v>4</v>
      </c>
      <c r="V32" s="151">
        <v>6</v>
      </c>
      <c r="W32" s="151">
        <v>5</v>
      </c>
      <c r="X32" s="151">
        <v>6</v>
      </c>
      <c r="Y32" s="151">
        <v>5</v>
      </c>
      <c r="Z32" s="151">
        <v>5</v>
      </c>
      <c r="AA32" s="151">
        <v>5</v>
      </c>
      <c r="AB32" s="151">
        <v>5</v>
      </c>
      <c r="AC32" s="151">
        <v>5</v>
      </c>
      <c r="AD32" s="151">
        <v>4</v>
      </c>
      <c r="AE32" s="151">
        <v>6</v>
      </c>
      <c r="AF32" s="151">
        <v>5</v>
      </c>
      <c r="AG32" s="56"/>
      <c r="AH32" s="56"/>
      <c r="AI32" s="56"/>
      <c r="AJ32" s="56"/>
      <c r="AK32" s="56"/>
      <c r="AL32" s="151"/>
      <c r="AM32" s="151"/>
      <c r="AN32" s="70"/>
      <c r="AO32" s="11">
        <v>0</v>
      </c>
      <c r="AP32" s="11">
        <f>COUNTIF(M17:M607,AO32)</f>
        <v>0</v>
      </c>
      <c r="AQ32" s="62">
        <f>(AP32/AP33)</f>
        <v>0</v>
      </c>
      <c r="AR32" s="11">
        <v>0</v>
      </c>
      <c r="AS32" s="11">
        <f>COUNTIF(N17:N383,AR32)</f>
        <v>0</v>
      </c>
      <c r="AT32" s="62">
        <f>(AS32/AS33)</f>
        <v>0</v>
      </c>
      <c r="AU32" s="11">
        <v>0</v>
      </c>
      <c r="AV32" s="11">
        <f>COUNTIF(O17:O383,AU32)</f>
        <v>0</v>
      </c>
      <c r="AW32" s="62">
        <f>(AV32/AV33)</f>
        <v>0</v>
      </c>
      <c r="AX32" s="11">
        <v>0</v>
      </c>
      <c r="AY32" s="11">
        <f>COUNTIF(P17:P383,AX32)</f>
        <v>1</v>
      </c>
      <c r="AZ32" s="62">
        <f>(AY32/AY33)</f>
        <v>1.7857142857142856E-2</v>
      </c>
      <c r="BA32" s="11">
        <v>0</v>
      </c>
      <c r="BB32" s="11">
        <f>COUNTIF(Q17:Q383,BA32)</f>
        <v>0</v>
      </c>
      <c r="BC32" s="62">
        <f>(BB32/BB33)</f>
        <v>0</v>
      </c>
      <c r="BD32" s="11">
        <v>0</v>
      </c>
      <c r="BE32" s="11">
        <f>COUNTIF(R17:R383,BD32)</f>
        <v>0</v>
      </c>
      <c r="BF32" s="62">
        <f>(BE32/BE33)</f>
        <v>0</v>
      </c>
      <c r="BG32" s="57">
        <v>3</v>
      </c>
      <c r="BH32" s="174">
        <v>524</v>
      </c>
      <c r="BI32" s="56">
        <v>6</v>
      </c>
      <c r="BJ32" s="56">
        <v>6</v>
      </c>
      <c r="BK32" s="56">
        <v>5</v>
      </c>
      <c r="BL32" s="56">
        <v>6</v>
      </c>
      <c r="BM32" s="56">
        <v>6</v>
      </c>
      <c r="BN32" s="56">
        <v>5</v>
      </c>
      <c r="BO32" s="120">
        <v>6</v>
      </c>
      <c r="BP32" s="120">
        <v>6</v>
      </c>
      <c r="BQ32" s="56">
        <v>6</v>
      </c>
      <c r="BR32" s="56">
        <v>6</v>
      </c>
      <c r="BS32" s="56">
        <v>5</v>
      </c>
      <c r="BT32" s="120">
        <v>4</v>
      </c>
      <c r="BU32" s="120">
        <v>3</v>
      </c>
      <c r="BV32" s="120">
        <v>2</v>
      </c>
      <c r="BW32" s="120">
        <v>4</v>
      </c>
      <c r="BX32" s="120">
        <v>6</v>
      </c>
      <c r="BY32" s="120">
        <v>5</v>
      </c>
      <c r="BZ32" s="120">
        <v>5</v>
      </c>
      <c r="CA32" s="120">
        <v>5</v>
      </c>
      <c r="CB32" s="120">
        <v>5</v>
      </c>
      <c r="CC32" s="120">
        <v>5</v>
      </c>
      <c r="CD32" s="120">
        <v>5</v>
      </c>
      <c r="CE32" s="120">
        <v>4</v>
      </c>
      <c r="CF32" s="120">
        <v>4</v>
      </c>
      <c r="CG32" s="120">
        <v>6</v>
      </c>
      <c r="CH32" s="120">
        <v>5</v>
      </c>
      <c r="CI32" s="56"/>
      <c r="CJ32" s="56"/>
      <c r="CK32" s="56"/>
      <c r="CL32" s="56"/>
      <c r="CM32" s="56"/>
      <c r="CN32" s="151"/>
      <c r="CO32" s="151"/>
      <c r="CP32" s="129"/>
      <c r="CQ32" s="11">
        <v>0</v>
      </c>
      <c r="CR32" s="11">
        <f>COUNTIF(BO17:BO607,CQ32)</f>
        <v>0</v>
      </c>
      <c r="CS32" s="62">
        <f>(CR32/CR33)</f>
        <v>0</v>
      </c>
      <c r="CT32" s="11">
        <v>0</v>
      </c>
      <c r="CU32" s="11">
        <f>COUNTIF(BP17:BP383,CT32)</f>
        <v>0</v>
      </c>
      <c r="CV32" s="62">
        <f>(CU32/CU33)</f>
        <v>0</v>
      </c>
      <c r="CW32" s="11">
        <v>0</v>
      </c>
      <c r="CX32" s="11">
        <f>COUNTIF(BQ17:BQ383,CW32)</f>
        <v>0</v>
      </c>
      <c r="CY32" s="62">
        <f>(CX32/CX33)</f>
        <v>0</v>
      </c>
      <c r="CZ32" s="11">
        <v>0</v>
      </c>
      <c r="DA32" s="11">
        <f>COUNTIF(BR17:BR383,CZ32)</f>
        <v>1</v>
      </c>
      <c r="DB32" s="62">
        <f>(DA32/DA33)</f>
        <v>1.7857142857142856E-2</v>
      </c>
      <c r="DC32" s="11">
        <v>0</v>
      </c>
      <c r="DD32" s="11">
        <f>COUNTIF(BS17:BS383,DC32)</f>
        <v>0</v>
      </c>
      <c r="DE32" s="62">
        <f>(DD32/DD33)</f>
        <v>0</v>
      </c>
      <c r="DF32" s="11">
        <v>0</v>
      </c>
      <c r="DG32" s="11">
        <f>COUNTIF(BT17:BT383,DF32)</f>
        <v>1</v>
      </c>
      <c r="DH32" s="62">
        <f>(DG32/DG33)</f>
        <v>1.8518518518518517E-2</v>
      </c>
      <c r="DI32" s="70"/>
      <c r="DJ32" s="174">
        <v>524</v>
      </c>
      <c r="DK32" s="120">
        <v>0</v>
      </c>
      <c r="DL32" s="120">
        <v>0</v>
      </c>
      <c r="DM32" s="120">
        <v>0</v>
      </c>
      <c r="DN32" s="120">
        <v>0</v>
      </c>
      <c r="DO32" s="120">
        <v>0</v>
      </c>
      <c r="DP32" s="120">
        <v>0</v>
      </c>
      <c r="DQ32" s="120">
        <v>0</v>
      </c>
      <c r="DR32" s="120">
        <v>0</v>
      </c>
      <c r="DS32" s="120">
        <v>0</v>
      </c>
      <c r="DT32" s="120">
        <v>0</v>
      </c>
      <c r="DU32" s="120">
        <v>0</v>
      </c>
      <c r="DV32" s="120">
        <v>0</v>
      </c>
      <c r="DW32" s="120">
        <v>1</v>
      </c>
      <c r="DX32" s="120">
        <v>0</v>
      </c>
      <c r="DY32" s="120">
        <v>0</v>
      </c>
      <c r="DZ32" s="120">
        <v>0</v>
      </c>
      <c r="EA32" s="120">
        <v>0</v>
      </c>
      <c r="EB32" s="120">
        <v>1</v>
      </c>
      <c r="EC32" s="120">
        <v>0</v>
      </c>
      <c r="ED32" s="120">
        <v>0</v>
      </c>
      <c r="EE32" s="120">
        <v>0</v>
      </c>
      <c r="EF32" s="120">
        <v>0</v>
      </c>
      <c r="EG32" s="120">
        <v>1</v>
      </c>
      <c r="EH32" s="120">
        <v>0</v>
      </c>
      <c r="EI32" s="120">
        <v>0</v>
      </c>
      <c r="EJ32" s="120">
        <v>0</v>
      </c>
      <c r="EK32" s="56"/>
      <c r="EL32" s="56"/>
      <c r="EM32" s="56"/>
      <c r="EN32" s="56"/>
      <c r="EO32" s="56"/>
      <c r="EP32" s="151"/>
      <c r="EQ32" s="151"/>
      <c r="ER32" s="129"/>
      <c r="ES32" s="11">
        <v>0</v>
      </c>
      <c r="ET32" s="11">
        <f>COUNTIF(DQ17:DQ607,ES32)</f>
        <v>39</v>
      </c>
      <c r="EU32" s="62">
        <f>(ET32/ET33)</f>
        <v>0.66101694915254239</v>
      </c>
      <c r="EV32" s="11">
        <v>0</v>
      </c>
      <c r="EW32" s="11">
        <f>COUNTIF(DR17:DR383,EV32)</f>
        <v>38</v>
      </c>
      <c r="EX32" s="62">
        <f>(EW32/EW33)</f>
        <v>0.65517241379310343</v>
      </c>
      <c r="EY32" s="11">
        <v>0</v>
      </c>
      <c r="EZ32" s="11">
        <f>COUNTIF(DS17:DS383,EY32)</f>
        <v>40</v>
      </c>
      <c r="FA32" s="62">
        <f>(EZ32/EZ33)</f>
        <v>0.70175438596491224</v>
      </c>
      <c r="FB32" s="11">
        <v>0</v>
      </c>
      <c r="FC32" s="11">
        <f>COUNTIF(DT17:DT383,FB32)</f>
        <v>33</v>
      </c>
      <c r="FD32" s="62">
        <f>(FC32/FC33)</f>
        <v>0.5892857142857143</v>
      </c>
      <c r="FE32" s="11">
        <v>0</v>
      </c>
      <c r="FF32" s="11">
        <f>COUNTIF(DU17:DU383,FE32)</f>
        <v>35</v>
      </c>
      <c r="FG32" s="62">
        <f>(FF32/FF33)</f>
        <v>0.63636363636363635</v>
      </c>
      <c r="FH32" s="11">
        <v>0</v>
      </c>
      <c r="FI32" s="11">
        <f>COUNTIF(DV17:DV383,FH32)</f>
        <v>29</v>
      </c>
      <c r="FJ32" s="62">
        <f>(FI32/FI33)</f>
        <v>0.53703703703703709</v>
      </c>
      <c r="FK32" s="129">
        <v>1</v>
      </c>
      <c r="FL32" s="174">
        <v>524</v>
      </c>
      <c r="FM32" s="56"/>
      <c r="FN32" s="56">
        <v>3</v>
      </c>
      <c r="FO32" s="56">
        <v>1</v>
      </c>
      <c r="FP32" s="56">
        <v>1</v>
      </c>
      <c r="FQ32" s="56">
        <v>1</v>
      </c>
      <c r="FR32" s="56">
        <v>2</v>
      </c>
      <c r="FS32" s="56">
        <v>2</v>
      </c>
      <c r="FT32" s="56">
        <v>3</v>
      </c>
      <c r="FU32" s="56">
        <v>2</v>
      </c>
      <c r="FV32" s="56">
        <v>2</v>
      </c>
      <c r="FW32" s="56">
        <v>4</v>
      </c>
      <c r="FX32" s="56">
        <v>4</v>
      </c>
      <c r="FY32" s="56">
        <v>1</v>
      </c>
      <c r="FZ32" s="56">
        <v>1</v>
      </c>
      <c r="GA32" s="56">
        <v>2</v>
      </c>
      <c r="GB32" s="56">
        <v>1</v>
      </c>
      <c r="GC32" s="56">
        <v>3</v>
      </c>
      <c r="GD32" s="56">
        <v>0</v>
      </c>
      <c r="GE32" s="56">
        <v>2</v>
      </c>
      <c r="GF32" s="56">
        <v>1</v>
      </c>
      <c r="GG32" s="56">
        <v>2</v>
      </c>
      <c r="GH32" s="56">
        <v>2</v>
      </c>
      <c r="GI32" s="56">
        <v>0</v>
      </c>
      <c r="GJ32" s="56">
        <v>2</v>
      </c>
      <c r="GK32" s="56">
        <v>3</v>
      </c>
      <c r="GL32" s="56">
        <v>2</v>
      </c>
      <c r="GM32" s="56"/>
      <c r="GN32" s="56"/>
      <c r="GO32" s="56"/>
      <c r="GP32" s="56"/>
      <c r="GQ32" s="56"/>
      <c r="GR32" s="151"/>
      <c r="GS32" s="151"/>
      <c r="GT32" s="129"/>
      <c r="GU32" s="11">
        <v>0</v>
      </c>
      <c r="GV32" s="11">
        <f>COUNTIF(FS17:FS607,GU32)</f>
        <v>4</v>
      </c>
      <c r="GW32" s="62">
        <f>(GV32/GV33)</f>
        <v>8.1632653061224483E-2</v>
      </c>
      <c r="GX32" s="11">
        <v>0</v>
      </c>
      <c r="GY32" s="11">
        <f>COUNTIF(FT17:FT383,GX32)</f>
        <v>4</v>
      </c>
      <c r="GZ32" s="62">
        <f>(GY32/GY33)</f>
        <v>8.1632653061224483E-2</v>
      </c>
      <c r="HA32" s="11">
        <v>0</v>
      </c>
      <c r="HB32" s="11">
        <f>COUNTIF(FU17:FU383,HA32)</f>
        <v>4</v>
      </c>
      <c r="HC32" s="62">
        <f>(HB32/HB33)</f>
        <v>7.0175438596491224E-2</v>
      </c>
      <c r="HD32" s="11">
        <v>0</v>
      </c>
      <c r="HE32" s="11">
        <f>COUNTIF(FV17:FV383,HD32)</f>
        <v>9</v>
      </c>
      <c r="HF32" s="62">
        <f>(HE32/HE33)</f>
        <v>0.16071428571428573</v>
      </c>
      <c r="HG32" s="11">
        <v>0</v>
      </c>
      <c r="HH32" s="11">
        <f>COUNTIF(FW17:FW383,HG32)</f>
        <v>6</v>
      </c>
      <c r="HI32" s="62">
        <f>(HH32/HH33)</f>
        <v>0.10909090909090909</v>
      </c>
      <c r="HJ32" s="11">
        <v>0</v>
      </c>
      <c r="HK32" s="11">
        <f>COUNTIF(FX17:FX383,HJ32)</f>
        <v>5</v>
      </c>
      <c r="HL32" s="62">
        <f>(HK32/HK33)</f>
        <v>9.2592592592592587E-2</v>
      </c>
      <c r="HN32">
        <v>14</v>
      </c>
    </row>
    <row r="33" spans="1:222" ht="17.25">
      <c r="A33" s="186"/>
      <c r="B33" s="186"/>
      <c r="C33" s="129"/>
      <c r="D33" s="52"/>
      <c r="E33" s="52"/>
      <c r="F33" s="174">
        <v>525</v>
      </c>
      <c r="G33" s="34">
        <v>4</v>
      </c>
      <c r="H33" s="34">
        <v>3</v>
      </c>
      <c r="I33" s="34">
        <v>5</v>
      </c>
      <c r="J33" s="34">
        <v>3</v>
      </c>
      <c r="K33" s="34">
        <v>5</v>
      </c>
      <c r="L33" s="34">
        <v>4</v>
      </c>
      <c r="M33" s="34">
        <v>4</v>
      </c>
      <c r="N33" s="151">
        <v>5</v>
      </c>
      <c r="O33" s="151">
        <v>5</v>
      </c>
      <c r="P33" s="151">
        <v>5</v>
      </c>
      <c r="Q33" s="151">
        <v>4</v>
      </c>
      <c r="R33" s="151">
        <v>6</v>
      </c>
      <c r="S33" s="151">
        <v>6</v>
      </c>
      <c r="T33" s="151">
        <v>6</v>
      </c>
      <c r="U33" s="151">
        <v>5</v>
      </c>
      <c r="V33" s="151">
        <v>6</v>
      </c>
      <c r="W33" s="151">
        <v>6</v>
      </c>
      <c r="X33" s="151">
        <v>4</v>
      </c>
      <c r="Y33" s="151">
        <v>6</v>
      </c>
      <c r="Z33" s="151">
        <v>4</v>
      </c>
      <c r="AA33" s="151">
        <v>4</v>
      </c>
      <c r="AB33" s="151">
        <v>6</v>
      </c>
      <c r="AC33" s="151">
        <v>5</v>
      </c>
      <c r="AD33" s="151">
        <v>6</v>
      </c>
      <c r="AE33" s="151">
        <v>4</v>
      </c>
      <c r="AF33" s="151">
        <v>5</v>
      </c>
      <c r="AG33" s="56"/>
      <c r="AH33" s="56"/>
      <c r="AI33" s="56"/>
      <c r="AJ33" s="56"/>
      <c r="AK33" s="56"/>
      <c r="AL33" s="151"/>
      <c r="AM33" s="151"/>
      <c r="AN33" s="70"/>
      <c r="AO33" s="11"/>
      <c r="AP33" s="11">
        <f>SUM(AP26:AP32)</f>
        <v>59</v>
      </c>
      <c r="AQ33" s="62">
        <f>SUM(AQ26:AQ32)</f>
        <v>1</v>
      </c>
      <c r="AR33" s="11"/>
      <c r="AS33" s="11">
        <f>SUM(AS26:AS32)</f>
        <v>58</v>
      </c>
      <c r="AT33" s="62">
        <f>SUM(AT26:AT32)</f>
        <v>1.0000000000000002</v>
      </c>
      <c r="AU33" s="11"/>
      <c r="AV33" s="11">
        <f>SUM(AV26:AV32)</f>
        <v>57</v>
      </c>
      <c r="AW33" s="62">
        <f>SUM(AW26:AW32)</f>
        <v>1</v>
      </c>
      <c r="AX33" s="11"/>
      <c r="AY33" s="11">
        <f>SUM(AY26:AY32)</f>
        <v>56</v>
      </c>
      <c r="AZ33" s="62">
        <f>SUM(AZ26:AZ32)</f>
        <v>1</v>
      </c>
      <c r="BA33" s="11"/>
      <c r="BB33" s="11">
        <f>SUM(BB26:BB32)</f>
        <v>55</v>
      </c>
      <c r="BC33" s="62">
        <f>SUM(BC26:BC32)</f>
        <v>1</v>
      </c>
      <c r="BD33" s="11"/>
      <c r="BE33" s="11">
        <f>SUM(BE26:BE32)</f>
        <v>54</v>
      </c>
      <c r="BF33" s="62">
        <f>SUM(BF26:BF32)</f>
        <v>1</v>
      </c>
      <c r="BG33" s="57">
        <v>2</v>
      </c>
      <c r="BH33" s="174">
        <v>525</v>
      </c>
      <c r="BI33" s="56">
        <v>4</v>
      </c>
      <c r="BJ33" s="56">
        <v>4</v>
      </c>
      <c r="BK33" s="56">
        <v>6</v>
      </c>
      <c r="BL33" s="56">
        <v>4</v>
      </c>
      <c r="BM33" s="56">
        <v>5</v>
      </c>
      <c r="BN33" s="56">
        <v>3</v>
      </c>
      <c r="BO33" s="119">
        <v>5</v>
      </c>
      <c r="BP33" s="119">
        <v>5</v>
      </c>
      <c r="BQ33" s="56">
        <v>5</v>
      </c>
      <c r="BR33" s="56">
        <v>5</v>
      </c>
      <c r="BS33" s="56">
        <v>4</v>
      </c>
      <c r="BT33" s="120">
        <v>6</v>
      </c>
      <c r="BU33" s="120">
        <v>5</v>
      </c>
      <c r="BV33" s="120">
        <v>6</v>
      </c>
      <c r="BW33" s="120">
        <v>5</v>
      </c>
      <c r="BX33" s="120">
        <v>5</v>
      </c>
      <c r="BY33" s="120">
        <v>5</v>
      </c>
      <c r="BZ33" s="120">
        <v>4</v>
      </c>
      <c r="CA33" s="120">
        <v>5</v>
      </c>
      <c r="CB33" s="120">
        <v>4</v>
      </c>
      <c r="CC33" s="120">
        <v>3</v>
      </c>
      <c r="CD33" s="120">
        <v>6</v>
      </c>
      <c r="CE33" s="120">
        <v>4</v>
      </c>
      <c r="CF33" s="120">
        <v>6</v>
      </c>
      <c r="CG33" s="120">
        <v>4</v>
      </c>
      <c r="CH33" s="120">
        <v>4</v>
      </c>
      <c r="CI33" s="56"/>
      <c r="CJ33" s="56"/>
      <c r="CK33" s="56"/>
      <c r="CL33" s="56"/>
      <c r="CM33" s="56"/>
      <c r="CN33" s="151"/>
      <c r="CO33" s="151"/>
      <c r="CP33" s="129"/>
      <c r="CQ33" s="11"/>
      <c r="CR33" s="11">
        <f>SUM(CR26:CR32)</f>
        <v>59</v>
      </c>
      <c r="CS33" s="62">
        <f>SUM(CS26:CS32)</f>
        <v>1</v>
      </c>
      <c r="CT33" s="11"/>
      <c r="CU33" s="11">
        <f>SUM(CU26:CU32)</f>
        <v>58</v>
      </c>
      <c r="CV33" s="62">
        <f>SUM(CV26:CV32)</f>
        <v>0.99999999999999989</v>
      </c>
      <c r="CW33" s="11"/>
      <c r="CX33" s="11">
        <f>SUM(CX26:CX32)</f>
        <v>57</v>
      </c>
      <c r="CY33" s="62">
        <f>SUM(CY26:CY32)</f>
        <v>1</v>
      </c>
      <c r="CZ33" s="11"/>
      <c r="DA33" s="11">
        <f>SUM(DA26:DA32)</f>
        <v>56</v>
      </c>
      <c r="DB33" s="62">
        <f>SUM(DB26:DB32)</f>
        <v>1</v>
      </c>
      <c r="DC33" s="11"/>
      <c r="DD33" s="11">
        <f>SUM(DD26:DD32)</f>
        <v>55</v>
      </c>
      <c r="DE33" s="62">
        <f>SUM(DE26:DE32)</f>
        <v>0.99999999999999989</v>
      </c>
      <c r="DF33" s="11"/>
      <c r="DG33" s="11">
        <f>SUM(DG26:DG32)</f>
        <v>54</v>
      </c>
      <c r="DH33" s="62">
        <f>SUM(DH26:DH32)</f>
        <v>0.99999999999999989</v>
      </c>
      <c r="DI33" s="70"/>
      <c r="DJ33" s="174">
        <v>525</v>
      </c>
      <c r="DK33" s="119">
        <v>1</v>
      </c>
      <c r="DL33" s="119">
        <v>0</v>
      </c>
      <c r="DM33" s="119">
        <v>0</v>
      </c>
      <c r="DN33" s="119">
        <v>0</v>
      </c>
      <c r="DO33" s="120">
        <v>0</v>
      </c>
      <c r="DP33" s="119">
        <v>1</v>
      </c>
      <c r="DQ33" s="120">
        <v>0</v>
      </c>
      <c r="DR33" s="120">
        <v>1</v>
      </c>
      <c r="DS33" s="119">
        <v>0</v>
      </c>
      <c r="DT33" s="119">
        <v>0</v>
      </c>
      <c r="DU33" s="119">
        <v>0</v>
      </c>
      <c r="DV33" s="119">
        <v>0</v>
      </c>
      <c r="DW33" s="120">
        <v>1</v>
      </c>
      <c r="DX33" s="120">
        <v>1</v>
      </c>
      <c r="DY33" s="120">
        <v>0</v>
      </c>
      <c r="DZ33" s="120">
        <v>1</v>
      </c>
      <c r="EA33" s="120">
        <v>1</v>
      </c>
      <c r="EB33" s="120">
        <v>0</v>
      </c>
      <c r="EC33" s="120">
        <v>1</v>
      </c>
      <c r="ED33" s="120">
        <v>0</v>
      </c>
      <c r="EE33" s="120">
        <v>1</v>
      </c>
      <c r="EF33" s="120">
        <v>0</v>
      </c>
      <c r="EG33" s="120">
        <v>1</v>
      </c>
      <c r="EH33" s="120">
        <v>0</v>
      </c>
      <c r="EI33" s="120">
        <v>0</v>
      </c>
      <c r="EJ33" s="120">
        <v>1</v>
      </c>
      <c r="EK33" s="56"/>
      <c r="EL33" s="56"/>
      <c r="EM33" s="56"/>
      <c r="EN33" s="56"/>
      <c r="EO33" s="56"/>
      <c r="EP33" s="151"/>
      <c r="EQ33" s="151"/>
      <c r="ER33" s="129"/>
      <c r="ES33" s="11"/>
      <c r="ET33" s="11">
        <f>SUM(ET26:ET32)</f>
        <v>59</v>
      </c>
      <c r="EU33" s="62">
        <f>SUM(EU26:EU32)</f>
        <v>1</v>
      </c>
      <c r="EV33" s="11"/>
      <c r="EW33" s="11">
        <f>SUM(EW26:EW32)</f>
        <v>58</v>
      </c>
      <c r="EX33" s="62">
        <f>SUM(EX26:EX32)</f>
        <v>1</v>
      </c>
      <c r="EY33" s="11"/>
      <c r="EZ33" s="11">
        <f>SUM(EZ26:EZ32)</f>
        <v>57</v>
      </c>
      <c r="FA33" s="62">
        <f>SUM(FA26:FA32)</f>
        <v>1</v>
      </c>
      <c r="FB33" s="11"/>
      <c r="FC33" s="11">
        <f>SUM(FC26:FC32)</f>
        <v>56</v>
      </c>
      <c r="FD33" s="62">
        <f>SUM(FD26:FD32)</f>
        <v>1</v>
      </c>
      <c r="FE33" s="11"/>
      <c r="FF33" s="11">
        <f>SUM(FF26:FF32)</f>
        <v>55</v>
      </c>
      <c r="FG33" s="62">
        <f>SUM(FG26:FG32)</f>
        <v>1</v>
      </c>
      <c r="FH33" s="11"/>
      <c r="FI33" s="11">
        <f>SUM(FI26:FI32)</f>
        <v>54</v>
      </c>
      <c r="FJ33" s="62">
        <f>SUM(FJ26:FJ32)</f>
        <v>1</v>
      </c>
      <c r="FK33" s="129">
        <v>1</v>
      </c>
      <c r="FL33" s="174">
        <v>525</v>
      </c>
      <c r="FM33" s="45"/>
      <c r="FN33" s="56">
        <v>2</v>
      </c>
      <c r="FO33" s="56">
        <v>2</v>
      </c>
      <c r="FP33" s="56">
        <v>2</v>
      </c>
      <c r="FQ33" s="56">
        <v>0</v>
      </c>
      <c r="FR33" s="56">
        <v>3</v>
      </c>
      <c r="FS33" s="56">
        <v>2</v>
      </c>
      <c r="FT33" s="56">
        <v>3</v>
      </c>
      <c r="FU33" s="56">
        <v>2</v>
      </c>
      <c r="FV33" s="56">
        <v>4</v>
      </c>
      <c r="FW33" s="56">
        <v>4</v>
      </c>
      <c r="FX33" s="56">
        <v>1</v>
      </c>
      <c r="FY33" s="56">
        <v>3</v>
      </c>
      <c r="FZ33" s="56">
        <v>1</v>
      </c>
      <c r="GA33" s="56">
        <v>2</v>
      </c>
      <c r="GB33" s="56">
        <v>2</v>
      </c>
      <c r="GC33" s="56">
        <v>1</v>
      </c>
      <c r="GD33" s="56">
        <v>3</v>
      </c>
      <c r="GE33" s="56">
        <v>2</v>
      </c>
      <c r="GF33" s="56">
        <v>2</v>
      </c>
      <c r="GG33" s="56">
        <v>0</v>
      </c>
      <c r="GH33" s="56">
        <v>1</v>
      </c>
      <c r="GI33" s="56">
        <v>2</v>
      </c>
      <c r="GJ33" s="56">
        <v>1</v>
      </c>
      <c r="GK33" s="56">
        <v>2</v>
      </c>
      <c r="GL33" s="56">
        <v>2</v>
      </c>
      <c r="GM33" s="56"/>
      <c r="GN33" s="56"/>
      <c r="GO33" s="56"/>
      <c r="GP33" s="56"/>
      <c r="GQ33" s="56"/>
      <c r="GR33" s="151"/>
      <c r="GS33" s="151"/>
      <c r="GT33" s="129"/>
      <c r="GU33" s="11"/>
      <c r="GV33" s="11">
        <f>SUM(GV26:GV32)</f>
        <v>49</v>
      </c>
      <c r="GW33" s="62">
        <f>SUM(GW26:GW32)</f>
        <v>0.99999999999999989</v>
      </c>
      <c r="GX33" s="11"/>
      <c r="GY33" s="11">
        <f>SUM(GY26:GY32)</f>
        <v>49</v>
      </c>
      <c r="GZ33" s="62">
        <f>SUM(GZ26:GZ32)</f>
        <v>0.99999999999999989</v>
      </c>
      <c r="HA33" s="11"/>
      <c r="HB33" s="11">
        <f>SUM(HB26:HB32)</f>
        <v>57</v>
      </c>
      <c r="HC33" s="62">
        <f>SUM(HC26:HC32)</f>
        <v>1</v>
      </c>
      <c r="HD33" s="11"/>
      <c r="HE33" s="11">
        <f>SUM(HE26:HE32)</f>
        <v>56</v>
      </c>
      <c r="HF33" s="62">
        <f>SUM(HF26:HF32)</f>
        <v>0.99999999999999989</v>
      </c>
      <c r="HG33" s="11"/>
      <c r="HH33" s="11">
        <f>SUM(HH26:HH32)</f>
        <v>55</v>
      </c>
      <c r="HI33" s="62">
        <f>SUM(HI26:HI32)</f>
        <v>1</v>
      </c>
      <c r="HJ33" s="11"/>
      <c r="HK33" s="11">
        <f>SUM(HK26:HK32)</f>
        <v>54</v>
      </c>
      <c r="HL33" s="62">
        <f>SUM(HL26:HL32)</f>
        <v>1</v>
      </c>
      <c r="HN33">
        <v>4</v>
      </c>
    </row>
    <row r="34" spans="1:222" ht="17.25">
      <c r="A34" s="186"/>
      <c r="B34" s="186"/>
      <c r="C34" s="129"/>
      <c r="D34" s="52"/>
      <c r="E34" s="52"/>
      <c r="F34" s="174">
        <v>526</v>
      </c>
      <c r="G34" s="151">
        <v>3</v>
      </c>
      <c r="H34" s="151">
        <v>4</v>
      </c>
      <c r="I34" s="151">
        <v>6</v>
      </c>
      <c r="J34" s="151">
        <v>4</v>
      </c>
      <c r="K34" s="151">
        <v>6</v>
      </c>
      <c r="L34" s="151">
        <v>5</v>
      </c>
      <c r="M34" s="151">
        <v>5</v>
      </c>
      <c r="N34" s="151">
        <v>6</v>
      </c>
      <c r="O34" s="151">
        <v>5</v>
      </c>
      <c r="P34" s="151">
        <v>4</v>
      </c>
      <c r="Q34" s="151">
        <v>5</v>
      </c>
      <c r="R34" s="151">
        <v>5</v>
      </c>
      <c r="S34" s="151">
        <v>5</v>
      </c>
      <c r="T34" s="151">
        <v>4</v>
      </c>
      <c r="U34" s="151">
        <v>4</v>
      </c>
      <c r="V34" s="151">
        <v>5</v>
      </c>
      <c r="W34" s="151">
        <v>6</v>
      </c>
      <c r="X34" s="151">
        <v>5</v>
      </c>
      <c r="Y34" s="151">
        <v>5</v>
      </c>
      <c r="Z34" s="151">
        <v>5</v>
      </c>
      <c r="AA34" s="151">
        <v>5</v>
      </c>
      <c r="AB34" s="151">
        <v>5</v>
      </c>
      <c r="AC34" s="151">
        <v>5</v>
      </c>
      <c r="AD34" s="151">
        <v>4</v>
      </c>
      <c r="AE34" s="151">
        <v>4</v>
      </c>
      <c r="AF34" s="151">
        <v>3</v>
      </c>
      <c r="AG34" s="56"/>
      <c r="AH34" s="56"/>
      <c r="AI34" s="56"/>
      <c r="AJ34" s="56"/>
      <c r="AK34" s="56"/>
      <c r="AL34" s="151"/>
      <c r="AM34" s="151"/>
      <c r="AN34" s="70"/>
      <c r="AO34" s="175" t="s">
        <v>172</v>
      </c>
      <c r="AP34" s="176"/>
      <c r="AQ34" s="176"/>
      <c r="AR34" s="631" t="s">
        <v>173</v>
      </c>
      <c r="AS34" s="632"/>
      <c r="AT34" s="632"/>
      <c r="AU34" s="631" t="s">
        <v>174</v>
      </c>
      <c r="AV34" s="632"/>
      <c r="AW34" s="632"/>
      <c r="AX34" s="631" t="s">
        <v>319</v>
      </c>
      <c r="AY34" s="632"/>
      <c r="AZ34" s="632"/>
      <c r="BA34" s="631" t="s">
        <v>200</v>
      </c>
      <c r="BB34" s="632"/>
      <c r="BC34" s="632"/>
      <c r="BD34" s="631" t="s">
        <v>201</v>
      </c>
      <c r="BE34" s="632"/>
      <c r="BF34" s="632"/>
      <c r="BG34" s="57">
        <v>3</v>
      </c>
      <c r="BH34" s="174">
        <v>526</v>
      </c>
      <c r="BI34" s="56">
        <v>3</v>
      </c>
      <c r="BJ34" s="56">
        <v>4</v>
      </c>
      <c r="BK34" s="56">
        <v>6</v>
      </c>
      <c r="BL34" s="56">
        <v>4</v>
      </c>
      <c r="BM34" s="56">
        <v>6</v>
      </c>
      <c r="BN34" s="56">
        <v>5</v>
      </c>
      <c r="BO34" s="120">
        <v>5</v>
      </c>
      <c r="BP34" s="120">
        <v>6</v>
      </c>
      <c r="BQ34" s="56">
        <v>5</v>
      </c>
      <c r="BR34" s="56">
        <v>3</v>
      </c>
      <c r="BS34" s="56">
        <v>4</v>
      </c>
      <c r="BT34" s="120">
        <v>4</v>
      </c>
      <c r="BU34" s="120">
        <v>4</v>
      </c>
      <c r="BV34" s="120">
        <v>4</v>
      </c>
      <c r="BW34" s="120">
        <v>3</v>
      </c>
      <c r="BX34" s="120">
        <v>4</v>
      </c>
      <c r="BY34" s="120">
        <v>6</v>
      </c>
      <c r="BZ34" s="120">
        <v>5</v>
      </c>
      <c r="CA34" s="120">
        <v>4</v>
      </c>
      <c r="CB34" s="120">
        <v>5</v>
      </c>
      <c r="CC34" s="120">
        <v>5</v>
      </c>
      <c r="CD34" s="120">
        <v>4</v>
      </c>
      <c r="CE34" s="120">
        <v>4</v>
      </c>
      <c r="CF34" s="120">
        <v>4</v>
      </c>
      <c r="CG34" s="120">
        <v>4</v>
      </c>
      <c r="CH34" s="120">
        <v>3</v>
      </c>
      <c r="CI34" s="56"/>
      <c r="CJ34" s="56"/>
      <c r="CK34" s="56"/>
      <c r="CL34" s="56"/>
      <c r="CM34" s="56"/>
      <c r="CN34" s="151"/>
      <c r="CO34" s="151"/>
      <c r="CP34" s="129"/>
      <c r="CQ34" s="175" t="s">
        <v>172</v>
      </c>
      <c r="CR34" s="176"/>
      <c r="CS34" s="176"/>
      <c r="CT34" s="631" t="s">
        <v>173</v>
      </c>
      <c r="CU34" s="632"/>
      <c r="CV34" s="632"/>
      <c r="CW34" s="631" t="s">
        <v>174</v>
      </c>
      <c r="CX34" s="632"/>
      <c r="CY34" s="632"/>
      <c r="CZ34" s="631" t="s">
        <v>319</v>
      </c>
      <c r="DA34" s="632"/>
      <c r="DB34" s="632"/>
      <c r="DC34" s="631" t="s">
        <v>200</v>
      </c>
      <c r="DD34" s="632"/>
      <c r="DE34" s="632"/>
      <c r="DF34" s="631" t="s">
        <v>201</v>
      </c>
      <c r="DG34" s="632"/>
      <c r="DH34" s="632"/>
      <c r="DI34" s="70"/>
      <c r="DJ34" s="174">
        <v>526</v>
      </c>
      <c r="DK34" s="120">
        <v>1</v>
      </c>
      <c r="DL34" s="120">
        <v>1</v>
      </c>
      <c r="DM34" s="120">
        <v>0</v>
      </c>
      <c r="DN34" s="120">
        <v>1</v>
      </c>
      <c r="DO34" s="120">
        <v>0</v>
      </c>
      <c r="DP34" s="120">
        <v>0</v>
      </c>
      <c r="DQ34" s="120">
        <v>0</v>
      </c>
      <c r="DR34" s="120">
        <v>0</v>
      </c>
      <c r="DS34" s="120">
        <v>0</v>
      </c>
      <c r="DT34" s="120">
        <v>1</v>
      </c>
      <c r="DU34" s="120">
        <v>1</v>
      </c>
      <c r="DV34" s="120">
        <v>1</v>
      </c>
      <c r="DW34" s="120">
        <v>1</v>
      </c>
      <c r="DX34" s="120">
        <v>0</v>
      </c>
      <c r="DY34" s="120">
        <v>1</v>
      </c>
      <c r="DZ34" s="120">
        <v>1</v>
      </c>
      <c r="EA34" s="120">
        <v>0</v>
      </c>
      <c r="EB34" s="120">
        <v>0</v>
      </c>
      <c r="EC34" s="120">
        <v>1</v>
      </c>
      <c r="ED34" s="120">
        <v>0</v>
      </c>
      <c r="EE34" s="120">
        <v>0</v>
      </c>
      <c r="EF34" s="120">
        <v>1</v>
      </c>
      <c r="EG34" s="120">
        <v>1</v>
      </c>
      <c r="EH34" s="120">
        <v>0</v>
      </c>
      <c r="EI34" s="120">
        <v>0</v>
      </c>
      <c r="EJ34" s="120">
        <v>0</v>
      </c>
      <c r="EK34" s="56"/>
      <c r="EL34" s="56"/>
      <c r="EM34" s="56"/>
      <c r="EN34" s="56"/>
      <c r="EO34" s="56"/>
      <c r="EP34" s="151"/>
      <c r="EQ34" s="151"/>
      <c r="ER34" s="129"/>
      <c r="ES34" s="175" t="s">
        <v>172</v>
      </c>
      <c r="ET34" s="176"/>
      <c r="EU34" s="176"/>
      <c r="EV34" s="631" t="s">
        <v>173</v>
      </c>
      <c r="EW34" s="632"/>
      <c r="EX34" s="632"/>
      <c r="EY34" s="631" t="s">
        <v>174</v>
      </c>
      <c r="EZ34" s="632"/>
      <c r="FA34" s="632"/>
      <c r="FB34" s="631" t="s">
        <v>319</v>
      </c>
      <c r="FC34" s="632"/>
      <c r="FD34" s="632"/>
      <c r="FE34" s="631" t="s">
        <v>200</v>
      </c>
      <c r="FF34" s="632"/>
      <c r="FG34" s="632"/>
      <c r="FH34" s="631" t="s">
        <v>201</v>
      </c>
      <c r="FI34" s="632"/>
      <c r="FJ34" s="632"/>
      <c r="FK34" s="129">
        <v>2</v>
      </c>
      <c r="FL34" s="174">
        <v>526</v>
      </c>
      <c r="FM34" s="56"/>
      <c r="FN34" s="56">
        <v>1</v>
      </c>
      <c r="FO34" s="56">
        <v>3</v>
      </c>
      <c r="FP34" s="56">
        <v>4</v>
      </c>
      <c r="FQ34" s="56">
        <v>0</v>
      </c>
      <c r="FR34" s="56">
        <v>2</v>
      </c>
      <c r="FS34" s="56">
        <v>1</v>
      </c>
      <c r="FT34" s="56">
        <v>5</v>
      </c>
      <c r="FU34" s="56">
        <v>0</v>
      </c>
      <c r="FV34" s="56">
        <v>3</v>
      </c>
      <c r="FW34" s="56">
        <v>2</v>
      </c>
      <c r="FX34" s="56">
        <v>0</v>
      </c>
      <c r="FY34" s="56">
        <v>1</v>
      </c>
      <c r="FZ34" s="56">
        <v>3</v>
      </c>
      <c r="GA34" s="56">
        <v>2</v>
      </c>
      <c r="GB34" s="56">
        <v>2</v>
      </c>
      <c r="GC34" s="56">
        <v>0</v>
      </c>
      <c r="GD34" s="56">
        <v>1</v>
      </c>
      <c r="GE34" s="56">
        <v>1</v>
      </c>
      <c r="GF34" s="56">
        <v>2</v>
      </c>
      <c r="GG34" s="56">
        <v>3</v>
      </c>
      <c r="GH34" s="56">
        <v>3</v>
      </c>
      <c r="GI34" s="56">
        <v>0</v>
      </c>
      <c r="GJ34" s="56">
        <v>2</v>
      </c>
      <c r="GK34" s="56">
        <v>3</v>
      </c>
      <c r="GL34" s="56">
        <v>2</v>
      </c>
      <c r="GM34" s="56"/>
      <c r="GN34" s="56"/>
      <c r="GO34" s="56"/>
      <c r="GP34" s="56"/>
      <c r="GQ34" s="56"/>
      <c r="GR34" s="151"/>
      <c r="GS34" s="151"/>
      <c r="GT34" s="129"/>
      <c r="GU34" s="175" t="s">
        <v>172</v>
      </c>
      <c r="GV34" s="176"/>
      <c r="GW34" s="176"/>
      <c r="GX34" s="631" t="s">
        <v>173</v>
      </c>
      <c r="GY34" s="632"/>
      <c r="GZ34" s="632"/>
      <c r="HA34" s="631" t="s">
        <v>174</v>
      </c>
      <c r="HB34" s="632"/>
      <c r="HC34" s="632"/>
      <c r="HD34" s="631" t="s">
        <v>319</v>
      </c>
      <c r="HE34" s="632"/>
      <c r="HF34" s="632"/>
      <c r="HG34" s="631" t="s">
        <v>200</v>
      </c>
      <c r="HH34" s="632"/>
      <c r="HI34" s="632"/>
      <c r="HJ34" s="631" t="s">
        <v>201</v>
      </c>
      <c r="HK34" s="632"/>
      <c r="HL34" s="632"/>
      <c r="HN34">
        <v>4</v>
      </c>
    </row>
    <row r="35" spans="1:222" ht="17.25">
      <c r="A35" s="186"/>
      <c r="B35" s="186"/>
      <c r="C35" s="129"/>
      <c r="D35" s="52"/>
      <c r="E35" s="52"/>
      <c r="F35" s="174">
        <v>527</v>
      </c>
      <c r="G35" s="151">
        <v>6</v>
      </c>
      <c r="H35" s="151">
        <v>6</v>
      </c>
      <c r="I35" s="151">
        <v>6</v>
      </c>
      <c r="J35" s="151">
        <v>6</v>
      </c>
      <c r="K35" s="151">
        <v>5</v>
      </c>
      <c r="L35" s="151">
        <v>6</v>
      </c>
      <c r="M35" s="151">
        <v>6</v>
      </c>
      <c r="N35" s="151">
        <v>4</v>
      </c>
      <c r="O35" s="151">
        <v>6</v>
      </c>
      <c r="P35" s="151">
        <v>6</v>
      </c>
      <c r="Q35" s="151">
        <v>4</v>
      </c>
      <c r="R35" s="151">
        <v>5</v>
      </c>
      <c r="S35" s="151">
        <v>6</v>
      </c>
      <c r="T35" s="151">
        <v>4</v>
      </c>
      <c r="U35" s="151">
        <v>5</v>
      </c>
      <c r="V35" s="151">
        <v>6</v>
      </c>
      <c r="W35" s="151">
        <v>5</v>
      </c>
      <c r="X35" s="151">
        <v>4</v>
      </c>
      <c r="Y35" s="151">
        <v>4</v>
      </c>
      <c r="Z35" s="151">
        <v>6</v>
      </c>
      <c r="AA35" s="151">
        <v>5</v>
      </c>
      <c r="AB35" s="151">
        <v>5</v>
      </c>
      <c r="AC35" s="151">
        <v>5</v>
      </c>
      <c r="AD35" s="151">
        <v>5</v>
      </c>
      <c r="AE35" s="151">
        <v>6</v>
      </c>
      <c r="AF35" s="151">
        <v>6</v>
      </c>
      <c r="AG35" s="56"/>
      <c r="AH35" s="56"/>
      <c r="AI35" s="56"/>
      <c r="AJ35" s="56"/>
      <c r="AK35" s="56"/>
      <c r="AL35" s="151"/>
      <c r="AM35" s="151"/>
      <c r="AN35" s="70"/>
      <c r="AO35" s="11">
        <v>6</v>
      </c>
      <c r="AP35" s="11">
        <f>COUNTIF(S17:S383,AO35)</f>
        <v>20</v>
      </c>
      <c r="AQ35" s="62">
        <f>(AP35/AP42)</f>
        <v>0.37735849056603776</v>
      </c>
      <c r="AR35" s="11">
        <v>6</v>
      </c>
      <c r="AS35" s="11">
        <f>COUNTIF(T17:T383,AR35)</f>
        <v>7</v>
      </c>
      <c r="AT35" s="62">
        <f>(AS35/AS42)</f>
        <v>0.13461538461538461</v>
      </c>
      <c r="AU35" s="11">
        <v>6</v>
      </c>
      <c r="AV35" s="11">
        <f>COUNTIF(U17:U383,AU35)</f>
        <v>15</v>
      </c>
      <c r="AW35" s="62">
        <f>(AV35/AV42)</f>
        <v>0.29411764705882354</v>
      </c>
      <c r="AX35" s="11">
        <v>6</v>
      </c>
      <c r="AY35" s="11">
        <f>COUNTIF(V17:V383,AX35)</f>
        <v>12</v>
      </c>
      <c r="AZ35" s="62">
        <f>(AY35/AY42)</f>
        <v>0.24</v>
      </c>
      <c r="BA35" s="11">
        <v>6</v>
      </c>
      <c r="BB35" s="11">
        <f>COUNTIF(W17:W383,BA35)</f>
        <v>14</v>
      </c>
      <c r="BC35" s="62">
        <f>(BB35/BB42)</f>
        <v>0.2857142857142857</v>
      </c>
      <c r="BD35" s="11">
        <v>6</v>
      </c>
      <c r="BE35" s="11">
        <f>COUNTIF(X17:X383,BD35)</f>
        <v>11</v>
      </c>
      <c r="BF35" s="62">
        <f>(BE35/BE42)</f>
        <v>0.22916666666666666</v>
      </c>
      <c r="BG35" s="57">
        <v>3</v>
      </c>
      <c r="BH35" s="174">
        <v>527</v>
      </c>
      <c r="BI35" s="56">
        <v>6</v>
      </c>
      <c r="BJ35" s="56">
        <v>6</v>
      </c>
      <c r="BK35" s="56">
        <v>6</v>
      </c>
      <c r="BL35" s="56">
        <v>6</v>
      </c>
      <c r="BM35" s="56">
        <v>6</v>
      </c>
      <c r="BN35" s="56">
        <v>6</v>
      </c>
      <c r="BO35" s="120">
        <v>5</v>
      </c>
      <c r="BP35" s="120">
        <v>4</v>
      </c>
      <c r="BQ35" s="56">
        <v>5</v>
      </c>
      <c r="BR35" s="56">
        <v>6</v>
      </c>
      <c r="BS35" s="56">
        <v>3</v>
      </c>
      <c r="BT35" s="120">
        <v>4</v>
      </c>
      <c r="BU35" s="120">
        <v>6</v>
      </c>
      <c r="BV35" s="120">
        <v>4</v>
      </c>
      <c r="BW35" s="120">
        <v>4</v>
      </c>
      <c r="BX35" s="120">
        <v>4</v>
      </c>
      <c r="BY35" s="120">
        <v>4</v>
      </c>
      <c r="BZ35" s="120">
        <v>4</v>
      </c>
      <c r="CA35" s="120">
        <v>4</v>
      </c>
      <c r="CB35" s="120">
        <v>6</v>
      </c>
      <c r="CC35" s="120">
        <v>5</v>
      </c>
      <c r="CD35" s="120">
        <v>5</v>
      </c>
      <c r="CE35" s="120">
        <v>5</v>
      </c>
      <c r="CF35" s="120">
        <v>4</v>
      </c>
      <c r="CG35" s="120">
        <v>5</v>
      </c>
      <c r="CH35" s="120">
        <v>6</v>
      </c>
      <c r="CI35" s="56"/>
      <c r="CJ35" s="56"/>
      <c r="CK35" s="56"/>
      <c r="CL35" s="56"/>
      <c r="CM35" s="56"/>
      <c r="CN35" s="151"/>
      <c r="CO35" s="151"/>
      <c r="CP35" s="129"/>
      <c r="CQ35" s="11">
        <v>6</v>
      </c>
      <c r="CR35" s="11">
        <f>COUNTIF(BU17:BU383,CQ35)</f>
        <v>11</v>
      </c>
      <c r="CS35" s="62">
        <f>(CR35/CR42)</f>
        <v>0.20754716981132076</v>
      </c>
      <c r="CT35" s="11">
        <v>6</v>
      </c>
      <c r="CU35" s="11">
        <f>COUNTIF(BV17:BV383,CT35)</f>
        <v>6</v>
      </c>
      <c r="CV35" s="62">
        <f>(CU35/CU42)</f>
        <v>0.11538461538461539</v>
      </c>
      <c r="CW35" s="11">
        <v>6</v>
      </c>
      <c r="CX35" s="11">
        <f>COUNTIF(BW17:BW383,CW35)</f>
        <v>8</v>
      </c>
      <c r="CY35" s="62">
        <f>(CX35/CX42)</f>
        <v>0.15686274509803921</v>
      </c>
      <c r="CZ35" s="11">
        <v>6</v>
      </c>
      <c r="DA35" s="11">
        <f>COUNTIF(BX17:BX383,CZ35)</f>
        <v>6</v>
      </c>
      <c r="DB35" s="62">
        <f>(DA35/DA42)</f>
        <v>0.12</v>
      </c>
      <c r="DC35" s="11">
        <v>6</v>
      </c>
      <c r="DD35" s="11">
        <f>COUNTIF(BY17:BY383,DC35)</f>
        <v>9</v>
      </c>
      <c r="DE35" s="62">
        <f>(DD35/DD42)</f>
        <v>0.18367346938775511</v>
      </c>
      <c r="DF35" s="11">
        <v>6</v>
      </c>
      <c r="DG35" s="11">
        <f>COUNTIF(BZ17:BZ383,DF35)</f>
        <v>6</v>
      </c>
      <c r="DH35" s="62">
        <f>(DG35/DG42)</f>
        <v>0.125</v>
      </c>
      <c r="DI35" s="70"/>
      <c r="DJ35" s="174">
        <v>527</v>
      </c>
      <c r="DK35" s="120">
        <v>0</v>
      </c>
      <c r="DL35" s="120">
        <v>0</v>
      </c>
      <c r="DM35" s="120">
        <v>0</v>
      </c>
      <c r="DN35" s="120">
        <v>0</v>
      </c>
      <c r="DO35" s="120">
        <v>0</v>
      </c>
      <c r="DP35" s="120">
        <v>0</v>
      </c>
      <c r="DQ35" s="120">
        <v>1</v>
      </c>
      <c r="DR35" s="120">
        <v>1</v>
      </c>
      <c r="DS35" s="120">
        <v>1</v>
      </c>
      <c r="DT35" s="120">
        <v>0</v>
      </c>
      <c r="DU35" s="120">
        <v>1</v>
      </c>
      <c r="DV35" s="120">
        <v>1</v>
      </c>
      <c r="DW35" s="120">
        <v>0</v>
      </c>
      <c r="DX35" s="120">
        <v>0</v>
      </c>
      <c r="DY35" s="120">
        <v>1</v>
      </c>
      <c r="DZ35" s="120">
        <v>2</v>
      </c>
      <c r="EA35" s="120">
        <v>1</v>
      </c>
      <c r="EB35" s="120">
        <v>0</v>
      </c>
      <c r="EC35" s="120">
        <v>0</v>
      </c>
      <c r="ED35" s="120">
        <v>0</v>
      </c>
      <c r="EE35" s="120">
        <v>0</v>
      </c>
      <c r="EF35" s="120">
        <v>0</v>
      </c>
      <c r="EG35" s="120">
        <v>0</v>
      </c>
      <c r="EH35" s="120">
        <v>1</v>
      </c>
      <c r="EI35" s="120">
        <v>1</v>
      </c>
      <c r="EJ35" s="120">
        <v>0</v>
      </c>
      <c r="EK35" s="56"/>
      <c r="EL35" s="56"/>
      <c r="EM35" s="56"/>
      <c r="EN35" s="56"/>
      <c r="EO35" s="56"/>
      <c r="EP35" s="151"/>
      <c r="EQ35" s="151"/>
      <c r="ER35" s="129"/>
      <c r="ES35" s="11">
        <v>6</v>
      </c>
      <c r="ET35" s="11">
        <f>COUNTIF(DW17:DW383,ES35)</f>
        <v>0</v>
      </c>
      <c r="EU35" s="62">
        <f>(ET35/ET42)</f>
        <v>0</v>
      </c>
      <c r="EV35" s="11">
        <v>6</v>
      </c>
      <c r="EW35" s="11">
        <f>COUNTIF(DX17:DX383,EV35)</f>
        <v>0</v>
      </c>
      <c r="EX35" s="62">
        <f>(EW35/EW42)</f>
        <v>0</v>
      </c>
      <c r="EY35" s="11">
        <v>6</v>
      </c>
      <c r="EZ35" s="11">
        <f>COUNTIF(DY17:DY383,EY35)</f>
        <v>0</v>
      </c>
      <c r="FA35" s="62">
        <f>(EZ35/EZ42)</f>
        <v>0</v>
      </c>
      <c r="FB35" s="11">
        <v>6</v>
      </c>
      <c r="FC35" s="11">
        <f>COUNTIF(DZ17:DZ383,FB35)</f>
        <v>0</v>
      </c>
      <c r="FD35" s="62">
        <f>(FC35/FC42)</f>
        <v>0</v>
      </c>
      <c r="FE35" s="11">
        <v>6</v>
      </c>
      <c r="FF35" s="11">
        <f>COUNTIF(EA17:EA383,FE35)</f>
        <v>0</v>
      </c>
      <c r="FG35" s="62">
        <f>(FF35/FF42)</f>
        <v>0</v>
      </c>
      <c r="FH35" s="11">
        <v>6</v>
      </c>
      <c r="FI35" s="11">
        <f>COUNTIF(EB17:EB383,FH35)</f>
        <v>0</v>
      </c>
      <c r="FJ35" s="62">
        <f>(FI35/FI42)</f>
        <v>0</v>
      </c>
      <c r="FK35" s="129">
        <v>2</v>
      </c>
      <c r="FL35" s="174">
        <v>527</v>
      </c>
      <c r="FM35" s="56"/>
      <c r="FN35" s="56">
        <v>1</v>
      </c>
      <c r="FO35" s="56">
        <v>1</v>
      </c>
      <c r="FP35" s="56">
        <v>2</v>
      </c>
      <c r="FQ35" s="56">
        <v>2</v>
      </c>
      <c r="FR35" s="56">
        <v>1</v>
      </c>
      <c r="FS35" s="56">
        <v>2</v>
      </c>
      <c r="FT35" s="56">
        <v>3</v>
      </c>
      <c r="FU35" s="56">
        <v>2</v>
      </c>
      <c r="FV35" s="56">
        <v>2</v>
      </c>
      <c r="FW35" s="56">
        <v>1</v>
      </c>
      <c r="FX35" s="56">
        <v>2</v>
      </c>
      <c r="FY35" s="56">
        <v>2</v>
      </c>
      <c r="FZ35" s="56">
        <v>2</v>
      </c>
      <c r="GA35" s="56">
        <v>2</v>
      </c>
      <c r="GB35" s="56">
        <v>1</v>
      </c>
      <c r="GC35" s="56">
        <v>1</v>
      </c>
      <c r="GD35" s="56">
        <v>0</v>
      </c>
      <c r="GE35" s="56">
        <v>1</v>
      </c>
      <c r="GF35" s="56">
        <v>0</v>
      </c>
      <c r="GG35" s="56">
        <v>2</v>
      </c>
      <c r="GH35" s="56">
        <v>5</v>
      </c>
      <c r="GI35" s="56">
        <v>2</v>
      </c>
      <c r="GJ35" s="56">
        <v>2</v>
      </c>
      <c r="GK35" s="56">
        <v>0</v>
      </c>
      <c r="GL35" s="56">
        <v>3</v>
      </c>
      <c r="GM35" s="56"/>
      <c r="GN35" s="56"/>
      <c r="GO35" s="56"/>
      <c r="GP35" s="56"/>
      <c r="GQ35" s="56"/>
      <c r="GR35" s="151"/>
      <c r="GS35" s="151"/>
      <c r="GT35" s="129"/>
      <c r="GU35" s="11">
        <v>6</v>
      </c>
      <c r="GV35" s="11">
        <f>COUNTIF(FY17:FY383,GU35)</f>
        <v>0</v>
      </c>
      <c r="GW35" s="62">
        <f>(GV35/GV42)</f>
        <v>0</v>
      </c>
      <c r="GX35" s="11">
        <v>6</v>
      </c>
      <c r="GY35" s="11">
        <f>COUNTIF(FZ17:FZ383,GX35)</f>
        <v>0</v>
      </c>
      <c r="GZ35" s="62">
        <f>(GY35/GY42)</f>
        <v>0</v>
      </c>
      <c r="HA35" s="11">
        <v>6</v>
      </c>
      <c r="HB35" s="11">
        <f>COUNTIF(GA17:GA383,HA35)</f>
        <v>0</v>
      </c>
      <c r="HC35" s="62">
        <f>(HB35/HB42)</f>
        <v>0</v>
      </c>
      <c r="HD35" s="11">
        <v>6</v>
      </c>
      <c r="HE35" s="11">
        <f>COUNTIF(GB17:GB383,HD35)</f>
        <v>0</v>
      </c>
      <c r="HF35" s="62">
        <f>(HE35/HE42)</f>
        <v>0</v>
      </c>
      <c r="HG35" s="11">
        <v>6</v>
      </c>
      <c r="HH35" s="11">
        <f>COUNTIF(GC17:GC383,HG35)</f>
        <v>0</v>
      </c>
      <c r="HI35" s="62">
        <f>(HH35/HH42)</f>
        <v>0</v>
      </c>
      <c r="HJ35" s="11">
        <v>6</v>
      </c>
      <c r="HK35" s="11">
        <f>COUNTIF(GD17:GD383,HJ35)</f>
        <v>0</v>
      </c>
      <c r="HL35" s="62">
        <f>(HK35/HK42)</f>
        <v>0</v>
      </c>
      <c r="HN35">
        <v>14</v>
      </c>
    </row>
    <row r="36" spans="1:222" ht="17.25">
      <c r="A36" s="186"/>
      <c r="B36" s="186"/>
      <c r="C36" s="129"/>
      <c r="D36" s="52"/>
      <c r="E36" s="52"/>
      <c r="F36" s="174">
        <v>528</v>
      </c>
      <c r="G36" s="151">
        <v>6</v>
      </c>
      <c r="H36" s="34">
        <v>5</v>
      </c>
      <c r="I36" s="151">
        <v>4</v>
      </c>
      <c r="J36" s="151">
        <v>6</v>
      </c>
      <c r="K36" s="151">
        <v>6</v>
      </c>
      <c r="L36" s="34">
        <v>5</v>
      </c>
      <c r="M36" s="34">
        <v>5</v>
      </c>
      <c r="N36" s="151">
        <v>5</v>
      </c>
      <c r="O36" s="151">
        <v>4</v>
      </c>
      <c r="P36" s="151">
        <v>6</v>
      </c>
      <c r="Q36" s="151">
        <v>4</v>
      </c>
      <c r="R36" s="151">
        <v>5</v>
      </c>
      <c r="S36" s="151">
        <v>5</v>
      </c>
      <c r="T36" s="151">
        <v>5</v>
      </c>
      <c r="U36" s="151">
        <v>6</v>
      </c>
      <c r="V36" s="151">
        <v>5</v>
      </c>
      <c r="W36" s="151">
        <v>6</v>
      </c>
      <c r="X36" s="151">
        <v>6</v>
      </c>
      <c r="Y36" s="151">
        <v>6</v>
      </c>
      <c r="Z36" s="151">
        <v>6</v>
      </c>
      <c r="AA36" s="151">
        <v>5</v>
      </c>
      <c r="AB36" s="151">
        <v>5</v>
      </c>
      <c r="AC36" s="151">
        <v>6</v>
      </c>
      <c r="AD36" s="151">
        <v>5</v>
      </c>
      <c r="AE36" s="151">
        <v>5</v>
      </c>
      <c r="AF36" s="151">
        <v>6</v>
      </c>
      <c r="AG36" s="56"/>
      <c r="AH36" s="56"/>
      <c r="AI36" s="56"/>
      <c r="AJ36" s="56"/>
      <c r="AK36" s="56"/>
      <c r="AL36" s="151"/>
      <c r="AM36" s="151"/>
      <c r="AN36" s="70"/>
      <c r="AO36" s="11">
        <v>5</v>
      </c>
      <c r="AP36" s="11">
        <f>COUNTIF(S17:S383,AO36)</f>
        <v>18</v>
      </c>
      <c r="AQ36" s="62">
        <f>(AP36/AP42)</f>
        <v>0.33962264150943394</v>
      </c>
      <c r="AR36" s="11">
        <v>5</v>
      </c>
      <c r="AS36" s="11">
        <f>COUNTIF(T17:T383,AR36)</f>
        <v>26</v>
      </c>
      <c r="AT36" s="62">
        <f>(AS36/AS42)</f>
        <v>0.5</v>
      </c>
      <c r="AU36" s="11">
        <v>5</v>
      </c>
      <c r="AV36" s="11">
        <f>COUNTIF(U17:U383,AU36)</f>
        <v>19</v>
      </c>
      <c r="AW36" s="62">
        <f>(AV36/AV42)</f>
        <v>0.37254901960784315</v>
      </c>
      <c r="AX36" s="11">
        <v>5</v>
      </c>
      <c r="AY36" s="11">
        <f>COUNTIF(V17:V383,AX36)</f>
        <v>16</v>
      </c>
      <c r="AZ36" s="62">
        <f>(AY36/AY42)</f>
        <v>0.32</v>
      </c>
      <c r="BA36" s="11">
        <v>5</v>
      </c>
      <c r="BB36" s="11">
        <f>COUNTIF(W17:W383,BA36)</f>
        <v>15</v>
      </c>
      <c r="BC36" s="62">
        <f>(BB36/BB42)</f>
        <v>0.30612244897959184</v>
      </c>
      <c r="BD36" s="11">
        <v>5</v>
      </c>
      <c r="BE36" s="11">
        <f>COUNTIF(X17:X383,BD36)</f>
        <v>21</v>
      </c>
      <c r="BF36" s="62">
        <f>(BE36/BE42)</f>
        <v>0.4375</v>
      </c>
      <c r="BG36" s="57">
        <v>24</v>
      </c>
      <c r="BH36" s="174">
        <v>528</v>
      </c>
      <c r="BI36" s="56">
        <v>6</v>
      </c>
      <c r="BJ36" s="56">
        <v>6</v>
      </c>
      <c r="BK36" s="56">
        <v>6</v>
      </c>
      <c r="BL36" s="56">
        <v>6</v>
      </c>
      <c r="BM36" s="56">
        <v>6</v>
      </c>
      <c r="BN36" s="56">
        <v>6</v>
      </c>
      <c r="BO36" s="120">
        <v>5</v>
      </c>
      <c r="BP36" s="120">
        <v>6</v>
      </c>
      <c r="BQ36" s="56">
        <v>3</v>
      </c>
      <c r="BR36" s="56">
        <v>6</v>
      </c>
      <c r="BS36" s="56">
        <v>4</v>
      </c>
      <c r="BT36" s="120">
        <v>5</v>
      </c>
      <c r="BU36" s="120">
        <v>5</v>
      </c>
      <c r="BV36" s="120">
        <v>4</v>
      </c>
      <c r="BW36" s="120">
        <v>6</v>
      </c>
      <c r="BX36" s="120">
        <v>5</v>
      </c>
      <c r="BY36" s="120">
        <v>6</v>
      </c>
      <c r="BZ36" s="120">
        <v>6</v>
      </c>
      <c r="CA36" s="120">
        <v>6</v>
      </c>
      <c r="CB36" s="120">
        <v>5</v>
      </c>
      <c r="CC36" s="120">
        <v>5</v>
      </c>
      <c r="CD36" s="120">
        <v>5</v>
      </c>
      <c r="CE36" s="120">
        <v>5</v>
      </c>
      <c r="CF36" s="120">
        <v>5</v>
      </c>
      <c r="CG36" s="120">
        <v>5</v>
      </c>
      <c r="CH36" s="120">
        <v>4</v>
      </c>
      <c r="CI36" s="56"/>
      <c r="CJ36" s="56"/>
      <c r="CK36" s="56"/>
      <c r="CL36" s="56"/>
      <c r="CM36" s="56"/>
      <c r="CN36" s="151"/>
      <c r="CO36" s="151"/>
      <c r="CP36" s="129"/>
      <c r="CQ36" s="11">
        <v>5</v>
      </c>
      <c r="CR36" s="11">
        <f>COUNTIF(BU17:BU383,CQ36)</f>
        <v>18</v>
      </c>
      <c r="CS36" s="62">
        <f>(CR36/CR42)</f>
        <v>0.33962264150943394</v>
      </c>
      <c r="CT36" s="11">
        <v>5</v>
      </c>
      <c r="CU36" s="11">
        <f>COUNTIF(BV17:BV383,CT36)</f>
        <v>19</v>
      </c>
      <c r="CV36" s="62">
        <f>(CU36/CU42)</f>
        <v>0.36538461538461536</v>
      </c>
      <c r="CW36" s="11">
        <v>5</v>
      </c>
      <c r="CX36" s="11">
        <f>COUNTIF(BW17:BW383,CW36)</f>
        <v>18</v>
      </c>
      <c r="CY36" s="62">
        <f>(CX36/CX42)</f>
        <v>0.35294117647058826</v>
      </c>
      <c r="CZ36" s="11">
        <v>5</v>
      </c>
      <c r="DA36" s="11">
        <f>COUNTIF(BX17:BX383,CZ36)</f>
        <v>12</v>
      </c>
      <c r="DB36" s="62">
        <f>(DA36/DA42)</f>
        <v>0.24</v>
      </c>
      <c r="DC36" s="11">
        <v>5</v>
      </c>
      <c r="DD36" s="11">
        <f>COUNTIF(BY17:BY383,DC36)</f>
        <v>13</v>
      </c>
      <c r="DE36" s="62">
        <f>(DD36/DD42)</f>
        <v>0.26530612244897961</v>
      </c>
      <c r="DF36" s="11">
        <v>5</v>
      </c>
      <c r="DG36" s="11">
        <f>COUNTIF(BZ17:BZ383,DF36)</f>
        <v>18</v>
      </c>
      <c r="DH36" s="62">
        <f>(DG36/DG42)</f>
        <v>0.375</v>
      </c>
      <c r="DI36" s="70"/>
      <c r="DJ36" s="174">
        <v>528</v>
      </c>
      <c r="DK36" s="120">
        <v>0</v>
      </c>
      <c r="DL36" s="120">
        <v>0</v>
      </c>
      <c r="DM36" s="120">
        <v>0</v>
      </c>
      <c r="DN36" s="120">
        <v>0</v>
      </c>
      <c r="DO36" s="120">
        <v>0</v>
      </c>
      <c r="DP36" s="120">
        <v>0</v>
      </c>
      <c r="DQ36" s="120">
        <v>0</v>
      </c>
      <c r="DR36" s="120">
        <v>0</v>
      </c>
      <c r="DS36" s="120">
        <v>1</v>
      </c>
      <c r="DT36" s="120">
        <v>0</v>
      </c>
      <c r="DU36" s="120">
        <v>0</v>
      </c>
      <c r="DV36" s="120">
        <v>0</v>
      </c>
      <c r="DW36" s="120">
        <v>0</v>
      </c>
      <c r="DX36" s="120">
        <v>1</v>
      </c>
      <c r="DY36" s="120">
        <v>0</v>
      </c>
      <c r="DZ36" s="120">
        <v>0</v>
      </c>
      <c r="EA36" s="120">
        <v>0</v>
      </c>
      <c r="EB36" s="120">
        <v>0</v>
      </c>
      <c r="EC36" s="120">
        <v>0</v>
      </c>
      <c r="ED36" s="120">
        <v>1</v>
      </c>
      <c r="EE36" s="120">
        <v>0</v>
      </c>
      <c r="EF36" s="120">
        <v>0</v>
      </c>
      <c r="EG36" s="120">
        <v>1</v>
      </c>
      <c r="EH36" s="120">
        <v>0</v>
      </c>
      <c r="EI36" s="120">
        <v>0</v>
      </c>
      <c r="EJ36" s="120">
        <v>2</v>
      </c>
      <c r="EK36" s="56"/>
      <c r="EL36" s="56"/>
      <c r="EM36" s="56"/>
      <c r="EN36" s="56"/>
      <c r="EO36" s="56"/>
      <c r="EP36" s="151"/>
      <c r="EQ36" s="151"/>
      <c r="ER36" s="129"/>
      <c r="ES36" s="11">
        <v>5</v>
      </c>
      <c r="ET36" s="11">
        <f>COUNTIF(DW17:DW383,ES36)</f>
        <v>0</v>
      </c>
      <c r="EU36" s="62">
        <f>(ET36/ET42)</f>
        <v>0</v>
      </c>
      <c r="EV36" s="11">
        <v>5</v>
      </c>
      <c r="EW36" s="11">
        <f>COUNTIF(DX17:DX383,EV36)</f>
        <v>0</v>
      </c>
      <c r="EX36" s="62">
        <f>(EW36/EW42)</f>
        <v>0</v>
      </c>
      <c r="EY36" s="11">
        <v>5</v>
      </c>
      <c r="EZ36" s="11">
        <f>COUNTIF(DY17:DY383,EY36)</f>
        <v>0</v>
      </c>
      <c r="FA36" s="62">
        <f>(EZ36/EZ42)</f>
        <v>0</v>
      </c>
      <c r="FB36" s="11">
        <v>5</v>
      </c>
      <c r="FC36" s="11">
        <f>COUNTIF(DZ17:DZ383,FB36)</f>
        <v>0</v>
      </c>
      <c r="FD36" s="62">
        <f>(FC36/FC42)</f>
        <v>0</v>
      </c>
      <c r="FE36" s="11">
        <v>5</v>
      </c>
      <c r="FF36" s="11">
        <f>COUNTIF(EA17:EA383,FE36)</f>
        <v>0</v>
      </c>
      <c r="FG36" s="62">
        <f>(FF36/FF42)</f>
        <v>0</v>
      </c>
      <c r="FH36" s="11">
        <v>5</v>
      </c>
      <c r="FI36" s="11">
        <f>COUNTIF(EB17:EB383,FH36)</f>
        <v>0</v>
      </c>
      <c r="FJ36" s="62">
        <f>(FI36/FI42)</f>
        <v>0</v>
      </c>
      <c r="FK36" s="129">
        <v>1</v>
      </c>
      <c r="FL36" s="174">
        <v>528</v>
      </c>
      <c r="FM36" s="56"/>
      <c r="FN36" s="56">
        <v>2</v>
      </c>
      <c r="FO36" s="56">
        <v>2</v>
      </c>
      <c r="FP36" s="56">
        <v>2</v>
      </c>
      <c r="FQ36" s="56">
        <v>1</v>
      </c>
      <c r="FR36" s="56">
        <v>2</v>
      </c>
      <c r="FS36" s="56">
        <v>1</v>
      </c>
      <c r="FT36" s="56">
        <v>3</v>
      </c>
      <c r="FU36" s="56">
        <v>2</v>
      </c>
      <c r="FV36" s="56">
        <v>2</v>
      </c>
      <c r="FW36" s="56">
        <v>4</v>
      </c>
      <c r="FX36" s="56">
        <v>2</v>
      </c>
      <c r="FY36" s="56">
        <v>1</v>
      </c>
      <c r="FZ36" s="56">
        <v>2</v>
      </c>
      <c r="GA36" s="56">
        <v>3</v>
      </c>
      <c r="GB36" s="56">
        <v>1</v>
      </c>
      <c r="GC36" s="56">
        <v>3</v>
      </c>
      <c r="GD36" s="56">
        <v>1</v>
      </c>
      <c r="GE36" s="56">
        <v>2</v>
      </c>
      <c r="GF36" s="56">
        <v>3</v>
      </c>
      <c r="GG36" s="56">
        <v>3</v>
      </c>
      <c r="GH36" s="56">
        <v>2</v>
      </c>
      <c r="GI36" s="56">
        <v>1</v>
      </c>
      <c r="GJ36" s="56">
        <v>1</v>
      </c>
      <c r="GK36" s="56">
        <v>4</v>
      </c>
      <c r="GL36" s="56">
        <v>2</v>
      </c>
      <c r="GM36" s="56"/>
      <c r="GN36" s="56"/>
      <c r="GO36" s="56"/>
      <c r="GP36" s="56"/>
      <c r="GQ36" s="56"/>
      <c r="GR36" s="151"/>
      <c r="GS36" s="151"/>
      <c r="GT36" s="129"/>
      <c r="GU36" s="11">
        <v>5</v>
      </c>
      <c r="GV36" s="11">
        <f>COUNTIF(FY17:FY383,GU36)</f>
        <v>0</v>
      </c>
      <c r="GW36" s="62">
        <f>(GV36/GV42)</f>
        <v>0</v>
      </c>
      <c r="GX36" s="11">
        <v>5</v>
      </c>
      <c r="GY36" s="11">
        <f>COUNTIF(FZ17:FZ383,GX36)</f>
        <v>1</v>
      </c>
      <c r="GZ36" s="62">
        <f>(GY36/GY42)</f>
        <v>1.9230769230769232E-2</v>
      </c>
      <c r="HA36" s="11">
        <v>5</v>
      </c>
      <c r="HB36" s="11">
        <f>COUNTIF(GA17:GA383,HA36)</f>
        <v>0</v>
      </c>
      <c r="HC36" s="62">
        <f>(HB36/HB42)</f>
        <v>0</v>
      </c>
      <c r="HD36" s="11">
        <v>5</v>
      </c>
      <c r="HE36" s="11">
        <f>COUNTIF(GB17:GB383,HD36)</f>
        <v>0</v>
      </c>
      <c r="HF36" s="62">
        <f>(HE36/HE42)</f>
        <v>0</v>
      </c>
      <c r="HG36" s="11">
        <v>5</v>
      </c>
      <c r="HH36" s="11">
        <f>COUNTIF(GC17:GC383,HG36)</f>
        <v>1</v>
      </c>
      <c r="HI36" s="62">
        <f>(HH36/HH42)</f>
        <v>2.0408163265306121E-2</v>
      </c>
      <c r="HJ36" s="11">
        <v>5</v>
      </c>
      <c r="HK36" s="11">
        <f>COUNTIF(GD17:GD383,HJ36)</f>
        <v>2</v>
      </c>
      <c r="HL36" s="62">
        <f>(HK36/HK42)</f>
        <v>4.1666666666666664E-2</v>
      </c>
      <c r="HN36">
        <v>4</v>
      </c>
    </row>
    <row r="37" spans="1:222" ht="17.25">
      <c r="A37" s="186"/>
      <c r="B37" s="186"/>
      <c r="C37" s="129"/>
      <c r="D37" s="52"/>
      <c r="E37" s="52"/>
      <c r="F37" s="174">
        <v>529</v>
      </c>
      <c r="G37" s="151">
        <v>3</v>
      </c>
      <c r="H37" s="34">
        <v>6</v>
      </c>
      <c r="I37" s="151">
        <v>5</v>
      </c>
      <c r="J37" s="151">
        <v>5</v>
      </c>
      <c r="K37" s="151">
        <v>6</v>
      </c>
      <c r="L37" s="49">
        <v>5</v>
      </c>
      <c r="M37" s="34">
        <v>4</v>
      </c>
      <c r="N37" s="151">
        <v>5</v>
      </c>
      <c r="O37" s="151">
        <v>4</v>
      </c>
      <c r="P37" s="151">
        <v>5</v>
      </c>
      <c r="Q37" s="151">
        <v>5</v>
      </c>
      <c r="R37" s="151">
        <v>4</v>
      </c>
      <c r="S37" s="151">
        <v>6</v>
      </c>
      <c r="T37" s="151">
        <v>6</v>
      </c>
      <c r="U37" s="151">
        <v>5</v>
      </c>
      <c r="V37" s="151">
        <v>4</v>
      </c>
      <c r="W37" s="151">
        <v>5</v>
      </c>
      <c r="X37" s="151">
        <v>6</v>
      </c>
      <c r="Y37" s="151">
        <v>6</v>
      </c>
      <c r="Z37" s="151">
        <v>4</v>
      </c>
      <c r="AA37" s="151">
        <v>6</v>
      </c>
      <c r="AB37" s="151">
        <v>6</v>
      </c>
      <c r="AC37" s="151">
        <v>5</v>
      </c>
      <c r="AD37" s="151">
        <v>6</v>
      </c>
      <c r="AE37" s="151">
        <v>6</v>
      </c>
      <c r="AF37" s="151">
        <v>6</v>
      </c>
      <c r="AG37" s="56"/>
      <c r="AH37" s="56"/>
      <c r="AI37" s="56"/>
      <c r="AJ37" s="56"/>
      <c r="AK37" s="56"/>
      <c r="AL37" s="151"/>
      <c r="AM37" s="151"/>
      <c r="AN37" s="70"/>
      <c r="AO37" s="11">
        <v>4</v>
      </c>
      <c r="AP37" s="11">
        <f>COUNTIF(S17:S383,AO37)</f>
        <v>10</v>
      </c>
      <c r="AQ37" s="62">
        <f>(AP37/AP42)</f>
        <v>0.18867924528301888</v>
      </c>
      <c r="AR37" s="11">
        <v>4</v>
      </c>
      <c r="AS37" s="11">
        <f>COUNTIF(T17:T383,AR37)</f>
        <v>14</v>
      </c>
      <c r="AT37" s="62">
        <f>(AS37/AS42)</f>
        <v>0.26923076923076922</v>
      </c>
      <c r="AU37" s="11">
        <v>4</v>
      </c>
      <c r="AV37" s="11">
        <f>COUNTIF(U17:U383,AU37)</f>
        <v>14</v>
      </c>
      <c r="AW37" s="62">
        <f>(AV37/AV42)</f>
        <v>0.27450980392156865</v>
      </c>
      <c r="AX37" s="11">
        <v>4</v>
      </c>
      <c r="AY37" s="11">
        <f>COUNTIF(V17:V383,AX37)</f>
        <v>18</v>
      </c>
      <c r="AZ37" s="62">
        <f>(AY37/AY42)</f>
        <v>0.36</v>
      </c>
      <c r="BA37" s="11">
        <v>4</v>
      </c>
      <c r="BB37" s="11">
        <f>COUNTIF(W17:W383,BA37)</f>
        <v>15</v>
      </c>
      <c r="BC37" s="62">
        <f>(BB37/BB42)</f>
        <v>0.30612244897959184</v>
      </c>
      <c r="BD37" s="11">
        <v>4</v>
      </c>
      <c r="BE37" s="11">
        <f>COUNTIF(X17:X383,BD37)</f>
        <v>15</v>
      </c>
      <c r="BF37" s="62">
        <f>(BE37/BE42)</f>
        <v>0.3125</v>
      </c>
      <c r="BG37" s="57">
        <v>3</v>
      </c>
      <c r="BH37" s="174">
        <v>529</v>
      </c>
      <c r="BI37" s="56">
        <v>4</v>
      </c>
      <c r="BJ37" s="56">
        <v>6</v>
      </c>
      <c r="BK37" s="56">
        <v>6</v>
      </c>
      <c r="BL37" s="56">
        <v>6</v>
      </c>
      <c r="BM37" s="56">
        <v>6</v>
      </c>
      <c r="BN37" s="56">
        <v>6</v>
      </c>
      <c r="BO37" s="120">
        <v>5</v>
      </c>
      <c r="BP37" s="120">
        <v>5</v>
      </c>
      <c r="BQ37" s="56">
        <v>4</v>
      </c>
      <c r="BR37" s="56">
        <v>5</v>
      </c>
      <c r="BS37" s="56">
        <v>5</v>
      </c>
      <c r="BT37" s="120">
        <v>4</v>
      </c>
      <c r="BU37" s="120">
        <v>6</v>
      </c>
      <c r="BV37" s="120">
        <v>6</v>
      </c>
      <c r="BW37" s="120">
        <v>5</v>
      </c>
      <c r="BX37" s="120">
        <v>4</v>
      </c>
      <c r="BY37" s="120">
        <v>5</v>
      </c>
      <c r="BZ37" s="120">
        <v>6</v>
      </c>
      <c r="CA37" s="120">
        <v>6</v>
      </c>
      <c r="CB37" s="120">
        <v>4</v>
      </c>
      <c r="CC37" s="120">
        <v>6</v>
      </c>
      <c r="CD37" s="120">
        <v>6</v>
      </c>
      <c r="CE37" s="120">
        <v>5</v>
      </c>
      <c r="CF37" s="120">
        <v>6</v>
      </c>
      <c r="CG37" s="120">
        <v>6</v>
      </c>
      <c r="CH37" s="120">
        <v>6</v>
      </c>
      <c r="CI37" s="56"/>
      <c r="CJ37" s="56"/>
      <c r="CK37" s="56"/>
      <c r="CL37" s="56"/>
      <c r="CM37" s="56"/>
      <c r="CN37" s="151"/>
      <c r="CO37" s="151"/>
      <c r="CP37" s="129"/>
      <c r="CQ37" s="11">
        <v>4</v>
      </c>
      <c r="CR37" s="11">
        <f>COUNTIF(BU17:BU383,CQ37)</f>
        <v>15</v>
      </c>
      <c r="CS37" s="62">
        <f>(CR37/CR42)</f>
        <v>0.28301886792452829</v>
      </c>
      <c r="CT37" s="11">
        <v>4</v>
      </c>
      <c r="CU37" s="11">
        <f>COUNTIF(BV17:BV383,CT37)</f>
        <v>16</v>
      </c>
      <c r="CV37" s="62">
        <f>(CU37/CU42)</f>
        <v>0.30769230769230771</v>
      </c>
      <c r="CW37" s="11">
        <v>4</v>
      </c>
      <c r="CX37" s="11">
        <f>COUNTIF(BW17:BW383,CW37)</f>
        <v>19</v>
      </c>
      <c r="CY37" s="62">
        <f>(CX37/CX42)</f>
        <v>0.37254901960784315</v>
      </c>
      <c r="CZ37" s="11">
        <v>4</v>
      </c>
      <c r="DA37" s="11">
        <f>COUNTIF(BX17:BX383,CZ37)</f>
        <v>21</v>
      </c>
      <c r="DB37" s="62">
        <f>(DA37/DA42)</f>
        <v>0.42</v>
      </c>
      <c r="DC37" s="11">
        <v>4</v>
      </c>
      <c r="DD37" s="11">
        <f>COUNTIF(BY17:BY383,DC37)</f>
        <v>18</v>
      </c>
      <c r="DE37" s="62">
        <f>(DD37/DD42)</f>
        <v>0.36734693877551022</v>
      </c>
      <c r="DF37" s="11">
        <v>4</v>
      </c>
      <c r="DG37" s="11">
        <f>COUNTIF(BZ17:BZ383,DF37)</f>
        <v>12</v>
      </c>
      <c r="DH37" s="62">
        <f>(DG37/DG42)</f>
        <v>0.25</v>
      </c>
      <c r="DI37" s="70"/>
      <c r="DJ37" s="174">
        <v>529</v>
      </c>
      <c r="DK37" s="120">
        <v>0</v>
      </c>
      <c r="DL37" s="120">
        <v>0</v>
      </c>
      <c r="DM37" s="120">
        <v>0</v>
      </c>
      <c r="DN37" s="120">
        <v>0</v>
      </c>
      <c r="DO37" s="120">
        <v>0</v>
      </c>
      <c r="DP37" s="120">
        <v>0</v>
      </c>
      <c r="DQ37" s="120">
        <v>0</v>
      </c>
      <c r="DR37" s="120">
        <v>0</v>
      </c>
      <c r="DS37" s="120">
        <v>0</v>
      </c>
      <c r="DT37" s="120">
        <v>0</v>
      </c>
      <c r="DU37" s="120">
        <v>0</v>
      </c>
      <c r="DV37" s="120">
        <v>0</v>
      </c>
      <c r="DW37" s="120">
        <v>0</v>
      </c>
      <c r="DX37" s="120">
        <v>0</v>
      </c>
      <c r="DY37" s="120">
        <v>0</v>
      </c>
      <c r="DZ37" s="120">
        <v>0</v>
      </c>
      <c r="EA37" s="120">
        <v>0</v>
      </c>
      <c r="EB37" s="120">
        <v>0</v>
      </c>
      <c r="EC37" s="120">
        <v>0</v>
      </c>
      <c r="ED37" s="120">
        <v>0</v>
      </c>
      <c r="EE37" s="120">
        <v>0</v>
      </c>
      <c r="EF37" s="120">
        <v>0</v>
      </c>
      <c r="EG37" s="120">
        <v>0</v>
      </c>
      <c r="EH37" s="120">
        <v>0</v>
      </c>
      <c r="EI37" s="120">
        <v>0</v>
      </c>
      <c r="EJ37" s="120">
        <v>0</v>
      </c>
      <c r="EK37" s="56"/>
      <c r="EL37" s="56"/>
      <c r="EM37" s="56"/>
      <c r="EN37" s="56"/>
      <c r="EO37" s="56"/>
      <c r="EP37" s="151"/>
      <c r="EQ37" s="151"/>
      <c r="ER37" s="129"/>
      <c r="ES37" s="11">
        <v>4</v>
      </c>
      <c r="ET37" s="11">
        <f>COUNTIF(DW17:DW383,ES37)</f>
        <v>0</v>
      </c>
      <c r="EU37" s="62">
        <f>(ET37/ET42)</f>
        <v>0</v>
      </c>
      <c r="EV37" s="11">
        <v>4</v>
      </c>
      <c r="EW37" s="11">
        <f>COUNTIF(DX17:DX383,EV37)</f>
        <v>0</v>
      </c>
      <c r="EX37" s="62">
        <f>(EW37/EW42)</f>
        <v>0</v>
      </c>
      <c r="EY37" s="11">
        <v>4</v>
      </c>
      <c r="EZ37" s="11">
        <f>COUNTIF(DY17:DY383,EY37)</f>
        <v>0</v>
      </c>
      <c r="FA37" s="62">
        <f>(EZ37/EZ42)</f>
        <v>0</v>
      </c>
      <c r="FB37" s="11">
        <v>4</v>
      </c>
      <c r="FC37" s="11">
        <f>COUNTIF(DZ17:DZ383,FB37)</f>
        <v>0</v>
      </c>
      <c r="FD37" s="62">
        <f>(FC37/FC42)</f>
        <v>0</v>
      </c>
      <c r="FE37" s="11">
        <v>4</v>
      </c>
      <c r="FF37" s="11">
        <f>COUNTIF(EA17:EA383,FE37)</f>
        <v>0</v>
      </c>
      <c r="FG37" s="62">
        <f>(FF37/FF42)</f>
        <v>0</v>
      </c>
      <c r="FH37" s="11">
        <v>4</v>
      </c>
      <c r="FI37" s="11">
        <f>COUNTIF(EB17:EB383,FH37)</f>
        <v>0</v>
      </c>
      <c r="FJ37" s="62">
        <f>(FI37/FI42)</f>
        <v>0</v>
      </c>
      <c r="FK37" s="129">
        <v>2</v>
      </c>
      <c r="FL37" s="174">
        <v>529</v>
      </c>
      <c r="FM37" s="56"/>
      <c r="FN37" s="56">
        <v>2</v>
      </c>
      <c r="FO37" s="56">
        <v>2</v>
      </c>
      <c r="FP37" s="56">
        <v>1</v>
      </c>
      <c r="FQ37" s="56">
        <v>2</v>
      </c>
      <c r="FR37" s="78">
        <v>1</v>
      </c>
      <c r="FS37" s="56">
        <v>3</v>
      </c>
      <c r="FT37" s="78">
        <v>2</v>
      </c>
      <c r="FU37" s="78">
        <v>0</v>
      </c>
      <c r="FV37" s="56">
        <v>2</v>
      </c>
      <c r="FW37" s="56">
        <v>3</v>
      </c>
      <c r="FX37" s="56">
        <v>1</v>
      </c>
      <c r="FY37" s="56">
        <v>1</v>
      </c>
      <c r="FZ37" s="56">
        <v>0</v>
      </c>
      <c r="GA37" s="56">
        <v>2</v>
      </c>
      <c r="GB37" s="56">
        <v>1</v>
      </c>
      <c r="GC37" s="56">
        <v>3</v>
      </c>
      <c r="GD37" s="56">
        <v>3</v>
      </c>
      <c r="GE37" s="56">
        <v>1</v>
      </c>
      <c r="GF37" s="56">
        <v>1</v>
      </c>
      <c r="GG37" s="56">
        <v>1</v>
      </c>
      <c r="GH37" s="56">
        <v>1</v>
      </c>
      <c r="GI37" s="56">
        <v>4</v>
      </c>
      <c r="GJ37" s="56">
        <v>1</v>
      </c>
      <c r="GK37" s="56">
        <v>2</v>
      </c>
      <c r="GL37" s="56">
        <v>0</v>
      </c>
      <c r="GM37" s="56"/>
      <c r="GN37" s="56"/>
      <c r="GO37" s="56"/>
      <c r="GP37" s="56"/>
      <c r="GQ37" s="56"/>
      <c r="GR37" s="151"/>
      <c r="GS37" s="151"/>
      <c r="GT37" s="129"/>
      <c r="GU37" s="11">
        <v>4</v>
      </c>
      <c r="GV37" s="11">
        <f>COUNTIF(FY17:FY383,GU37)</f>
        <v>4</v>
      </c>
      <c r="GW37" s="62">
        <f>(GV37/GV42)</f>
        <v>7.5471698113207544E-2</v>
      </c>
      <c r="GX37" s="11">
        <v>4</v>
      </c>
      <c r="GY37" s="11">
        <f>COUNTIF(FZ17:FZ383,GX37)</f>
        <v>1</v>
      </c>
      <c r="GZ37" s="62">
        <f>(GY37/GY42)</f>
        <v>1.9230769230769232E-2</v>
      </c>
      <c r="HA37" s="11">
        <v>4</v>
      </c>
      <c r="HB37" s="11">
        <f>COUNTIF(GA17:GA383,HA37)</f>
        <v>3</v>
      </c>
      <c r="HC37" s="62">
        <f>(HB37/HB42)</f>
        <v>5.8823529411764705E-2</v>
      </c>
      <c r="HD37" s="11">
        <v>4</v>
      </c>
      <c r="HE37" s="11">
        <f>COUNTIF(GB17:GB383,HD37)</f>
        <v>2</v>
      </c>
      <c r="HF37" s="62">
        <f>(HE37/HE42)</f>
        <v>0.04</v>
      </c>
      <c r="HG37" s="11">
        <v>4</v>
      </c>
      <c r="HH37" s="11">
        <f>COUNTIF(GC17:GC383,HG37)</f>
        <v>2</v>
      </c>
      <c r="HI37" s="62">
        <f>(HH37/HH42)</f>
        <v>4.0816326530612242E-2</v>
      </c>
      <c r="HJ37" s="11">
        <v>4</v>
      </c>
      <c r="HK37" s="11">
        <f>COUNTIF(GD17:GD383,HJ37)</f>
        <v>3</v>
      </c>
      <c r="HL37" s="62">
        <f>(HK37/HK42)</f>
        <v>6.25E-2</v>
      </c>
      <c r="HN37">
        <v>13</v>
      </c>
    </row>
    <row r="38" spans="1:222" ht="17.25">
      <c r="A38" s="186"/>
      <c r="B38" s="186"/>
      <c r="C38" s="129"/>
      <c r="D38" s="52"/>
      <c r="E38" s="52"/>
      <c r="F38" s="174">
        <v>530</v>
      </c>
      <c r="G38" s="45">
        <v>5</v>
      </c>
      <c r="H38" s="45">
        <v>5</v>
      </c>
      <c r="I38" s="45">
        <v>5</v>
      </c>
      <c r="J38" s="151">
        <v>4</v>
      </c>
      <c r="K38" s="151">
        <v>5</v>
      </c>
      <c r="L38" s="45">
        <v>5</v>
      </c>
      <c r="M38" s="45">
        <v>4</v>
      </c>
      <c r="N38" s="151">
        <v>4</v>
      </c>
      <c r="O38" s="151">
        <v>1</v>
      </c>
      <c r="P38" s="151">
        <v>5</v>
      </c>
      <c r="Q38" s="151">
        <v>5</v>
      </c>
      <c r="R38" s="151">
        <v>5</v>
      </c>
      <c r="S38" s="151">
        <v>3</v>
      </c>
      <c r="T38" s="151">
        <v>3</v>
      </c>
      <c r="U38" s="151">
        <v>4</v>
      </c>
      <c r="V38" s="151">
        <v>4</v>
      </c>
      <c r="W38" s="151">
        <v>6</v>
      </c>
      <c r="X38" s="151">
        <v>4</v>
      </c>
      <c r="Y38" s="151">
        <v>5</v>
      </c>
      <c r="Z38" s="151">
        <v>5</v>
      </c>
      <c r="AA38" s="151">
        <v>5</v>
      </c>
      <c r="AB38" s="151">
        <v>5</v>
      </c>
      <c r="AC38" s="151">
        <v>5</v>
      </c>
      <c r="AD38" s="151">
        <v>6</v>
      </c>
      <c r="AE38" s="151">
        <v>6</v>
      </c>
      <c r="AF38" s="151">
        <v>6</v>
      </c>
      <c r="AG38" s="56"/>
      <c r="AH38" s="56"/>
      <c r="AI38" s="56"/>
      <c r="AJ38" s="56"/>
      <c r="AK38" s="56"/>
      <c r="AL38" s="151"/>
      <c r="AM38" s="151"/>
      <c r="AN38" s="70"/>
      <c r="AO38" s="11">
        <v>3</v>
      </c>
      <c r="AP38" s="11">
        <f>COUNTIF(S17:S383,AO38)</f>
        <v>5</v>
      </c>
      <c r="AQ38" s="62">
        <f>(AP38/AP42)</f>
        <v>9.4339622641509441E-2</v>
      </c>
      <c r="AR38" s="11">
        <v>3</v>
      </c>
      <c r="AS38" s="11">
        <f>COUNTIF(T17:T383,AR38)</f>
        <v>5</v>
      </c>
      <c r="AT38" s="62">
        <f>(AS38/AS42)</f>
        <v>9.6153846153846159E-2</v>
      </c>
      <c r="AU38" s="11">
        <v>3</v>
      </c>
      <c r="AV38" s="11">
        <f>COUNTIF(U17:U383,AU38)</f>
        <v>2</v>
      </c>
      <c r="AW38" s="62">
        <f>(AV38/AV42)</f>
        <v>3.9215686274509803E-2</v>
      </c>
      <c r="AX38" s="11">
        <v>3</v>
      </c>
      <c r="AY38" s="11">
        <f>COUNTIF(V17:V383,AX38)</f>
        <v>4</v>
      </c>
      <c r="AZ38" s="62">
        <f>(AY38/AY42)</f>
        <v>0.08</v>
      </c>
      <c r="BA38" s="11">
        <v>3</v>
      </c>
      <c r="BB38" s="11">
        <f>COUNTIF(W17:W383,BA38)</f>
        <v>4</v>
      </c>
      <c r="BC38" s="62">
        <f>(BB38/BB42)</f>
        <v>8.1632653061224483E-2</v>
      </c>
      <c r="BD38" s="11">
        <v>3</v>
      </c>
      <c r="BE38" s="11">
        <f>COUNTIF(X17:X383,BD38)</f>
        <v>1</v>
      </c>
      <c r="BF38" s="62">
        <f>(BE38/BE42)</f>
        <v>2.0833333333333332E-2</v>
      </c>
      <c r="BG38" s="57">
        <v>3</v>
      </c>
      <c r="BH38" s="174">
        <v>530</v>
      </c>
      <c r="BI38" s="56">
        <v>6</v>
      </c>
      <c r="BJ38" s="56">
        <v>5</v>
      </c>
      <c r="BK38" s="56">
        <v>5</v>
      </c>
      <c r="BL38" s="56">
        <v>5</v>
      </c>
      <c r="BM38" s="56">
        <v>5</v>
      </c>
      <c r="BN38" s="56">
        <v>5</v>
      </c>
      <c r="BO38" s="120">
        <v>4</v>
      </c>
      <c r="BP38" s="120">
        <v>3</v>
      </c>
      <c r="BQ38" s="56">
        <v>1</v>
      </c>
      <c r="BR38" s="56">
        <v>3</v>
      </c>
      <c r="BS38" s="56">
        <v>5</v>
      </c>
      <c r="BT38" s="120">
        <v>5</v>
      </c>
      <c r="BU38" s="120">
        <v>3</v>
      </c>
      <c r="BV38" s="120">
        <v>2</v>
      </c>
      <c r="BW38" s="120">
        <v>4</v>
      </c>
      <c r="BX38" s="120">
        <v>4</v>
      </c>
      <c r="BY38" s="120">
        <v>5</v>
      </c>
      <c r="BZ38" s="120">
        <v>4</v>
      </c>
      <c r="CA38" s="120">
        <v>5</v>
      </c>
      <c r="CB38" s="120">
        <v>4</v>
      </c>
      <c r="CC38" s="120">
        <v>5</v>
      </c>
      <c r="CD38" s="120">
        <v>5</v>
      </c>
      <c r="CE38" s="120">
        <v>5</v>
      </c>
      <c r="CF38" s="120">
        <v>5</v>
      </c>
      <c r="CG38" s="120">
        <v>6</v>
      </c>
      <c r="CH38" s="120">
        <v>6</v>
      </c>
      <c r="CI38" s="56"/>
      <c r="CJ38" s="56"/>
      <c r="CK38" s="56"/>
      <c r="CL38" s="56"/>
      <c r="CM38" s="56"/>
      <c r="CN38" s="151"/>
      <c r="CO38" s="151"/>
      <c r="CP38" s="129"/>
      <c r="CQ38" s="11">
        <v>3</v>
      </c>
      <c r="CR38" s="11">
        <f>COUNTIF(BU17:BU383,CQ38)</f>
        <v>7</v>
      </c>
      <c r="CS38" s="62">
        <f>(CR38/CR42)</f>
        <v>0.13207547169811321</v>
      </c>
      <c r="CT38" s="11">
        <v>3</v>
      </c>
      <c r="CU38" s="11">
        <f>COUNTIF(BV17:BV383,CT38)</f>
        <v>7</v>
      </c>
      <c r="CV38" s="62">
        <f>(CU38/CU42)</f>
        <v>0.13461538461538461</v>
      </c>
      <c r="CW38" s="11">
        <v>3</v>
      </c>
      <c r="CX38" s="11">
        <f>COUNTIF(BW17:BW383,CW38)</f>
        <v>4</v>
      </c>
      <c r="CY38" s="62">
        <f>(CX38/CX42)</f>
        <v>7.8431372549019607E-2</v>
      </c>
      <c r="CZ38" s="11">
        <v>3</v>
      </c>
      <c r="DA38" s="11">
        <f>COUNTIF(BX17:BX383,CZ38)</f>
        <v>7</v>
      </c>
      <c r="DB38" s="62">
        <f>(DA38/DA42)</f>
        <v>0.14000000000000001</v>
      </c>
      <c r="DC38" s="11">
        <v>3</v>
      </c>
      <c r="DD38" s="11">
        <f>COUNTIF(BY17:BY383,DC38)</f>
        <v>7</v>
      </c>
      <c r="DE38" s="62">
        <f>(DD38/DD42)</f>
        <v>0.14285714285714285</v>
      </c>
      <c r="DF38" s="11">
        <v>3</v>
      </c>
      <c r="DG38" s="11">
        <f>COUNTIF(BZ17:BZ383,DF38)</f>
        <v>11</v>
      </c>
      <c r="DH38" s="62">
        <f>(DG38/DG42)</f>
        <v>0.22916666666666666</v>
      </c>
      <c r="DI38" s="70"/>
      <c r="DJ38" s="174">
        <v>530</v>
      </c>
      <c r="DK38" s="120">
        <v>0</v>
      </c>
      <c r="DL38" s="120">
        <v>0</v>
      </c>
      <c r="DM38" s="120">
        <v>1</v>
      </c>
      <c r="DN38" s="120">
        <v>0</v>
      </c>
      <c r="DO38" s="120">
        <v>1</v>
      </c>
      <c r="DP38" s="120">
        <v>0</v>
      </c>
      <c r="DQ38" s="120">
        <v>1</v>
      </c>
      <c r="DR38" s="120">
        <v>1</v>
      </c>
      <c r="DS38" s="120">
        <v>0</v>
      </c>
      <c r="DT38" s="120">
        <v>2</v>
      </c>
      <c r="DU38" s="120">
        <v>0</v>
      </c>
      <c r="DV38" s="120">
        <v>0</v>
      </c>
      <c r="DW38" s="120">
        <v>0</v>
      </c>
      <c r="DX38" s="120">
        <v>0</v>
      </c>
      <c r="DY38" s="120">
        <v>0</v>
      </c>
      <c r="DZ38" s="120">
        <v>0</v>
      </c>
      <c r="EA38" s="120">
        <v>1</v>
      </c>
      <c r="EB38" s="120">
        <v>0</v>
      </c>
      <c r="EC38" s="120">
        <v>0</v>
      </c>
      <c r="ED38" s="120">
        <v>1</v>
      </c>
      <c r="EE38" s="120">
        <v>0</v>
      </c>
      <c r="EF38" s="120">
        <v>0</v>
      </c>
      <c r="EG38" s="120">
        <v>0</v>
      </c>
      <c r="EH38" s="120">
        <v>1</v>
      </c>
      <c r="EI38" s="120">
        <v>0</v>
      </c>
      <c r="EJ38" s="120">
        <v>0</v>
      </c>
      <c r="EK38" s="56"/>
      <c r="EL38" s="56"/>
      <c r="EM38" s="56"/>
      <c r="EN38" s="56"/>
      <c r="EO38" s="56"/>
      <c r="EP38" s="151"/>
      <c r="EQ38" s="151"/>
      <c r="ER38" s="129"/>
      <c r="ES38" s="11">
        <v>3</v>
      </c>
      <c r="ET38" s="11">
        <f>COUNTIF(DW17:DW383,ES38)</f>
        <v>1</v>
      </c>
      <c r="EU38" s="62">
        <f>(ET38/ET42)</f>
        <v>1.8867924528301886E-2</v>
      </c>
      <c r="EV38" s="11">
        <v>3</v>
      </c>
      <c r="EW38" s="11">
        <f>COUNTIF(DX17:DX383,EV38)</f>
        <v>0</v>
      </c>
      <c r="EX38" s="62">
        <f>(EW38/EW42)</f>
        <v>0</v>
      </c>
      <c r="EY38" s="11">
        <v>3</v>
      </c>
      <c r="EZ38" s="11">
        <f>COUNTIF(DY17:DY383,EY38)</f>
        <v>0</v>
      </c>
      <c r="FA38" s="62">
        <f>(EZ38/EZ42)</f>
        <v>0</v>
      </c>
      <c r="FB38" s="11">
        <v>3</v>
      </c>
      <c r="FC38" s="11">
        <f>COUNTIF(DZ17:DZ383,FB38)</f>
        <v>0</v>
      </c>
      <c r="FD38" s="62">
        <f>(FC38/FC42)</f>
        <v>0</v>
      </c>
      <c r="FE38" s="11">
        <v>3</v>
      </c>
      <c r="FF38" s="11">
        <f>COUNTIF(EA17:EA383,FE38)</f>
        <v>0</v>
      </c>
      <c r="FG38" s="62">
        <f>(FF38/FF42)</f>
        <v>0</v>
      </c>
      <c r="FH38" s="11">
        <v>3</v>
      </c>
      <c r="FI38" s="11">
        <f>COUNTIF(EB17:EB383,FH38)</f>
        <v>0</v>
      </c>
      <c r="FJ38" s="62">
        <f>(FI38/FI42)</f>
        <v>0</v>
      </c>
      <c r="FK38" s="129">
        <v>2</v>
      </c>
      <c r="FL38" s="174">
        <v>530</v>
      </c>
      <c r="FM38" s="56"/>
      <c r="FN38" s="56">
        <v>1</v>
      </c>
      <c r="FO38" s="56">
        <v>3</v>
      </c>
      <c r="FP38" s="56">
        <v>1</v>
      </c>
      <c r="FQ38" s="56">
        <v>1</v>
      </c>
      <c r="FR38" s="56">
        <v>1</v>
      </c>
      <c r="FS38" s="56">
        <v>2</v>
      </c>
      <c r="FT38" s="56">
        <v>1</v>
      </c>
      <c r="FU38" s="56">
        <v>1</v>
      </c>
      <c r="FV38" s="56">
        <v>2</v>
      </c>
      <c r="FW38" s="56">
        <v>1</v>
      </c>
      <c r="FX38" s="56">
        <v>2</v>
      </c>
      <c r="FY38" s="56">
        <v>2</v>
      </c>
      <c r="FZ38" s="56">
        <v>1</v>
      </c>
      <c r="GA38" s="56">
        <v>0</v>
      </c>
      <c r="GB38" s="56">
        <v>3</v>
      </c>
      <c r="GC38" s="56">
        <v>2</v>
      </c>
      <c r="GD38" s="56">
        <v>3</v>
      </c>
      <c r="GE38" s="56">
        <v>0</v>
      </c>
      <c r="GF38" s="56">
        <v>2</v>
      </c>
      <c r="GG38" s="56">
        <v>2</v>
      </c>
      <c r="GH38" s="56">
        <v>1</v>
      </c>
      <c r="GI38" s="56">
        <v>1</v>
      </c>
      <c r="GJ38" s="56">
        <v>3</v>
      </c>
      <c r="GK38" s="56">
        <v>1</v>
      </c>
      <c r="GL38" s="56">
        <v>1</v>
      </c>
      <c r="GM38" s="56"/>
      <c r="GN38" s="56"/>
      <c r="GO38" s="56"/>
      <c r="GP38" s="56"/>
      <c r="GQ38" s="56"/>
      <c r="GR38" s="151"/>
      <c r="GS38" s="151"/>
      <c r="GT38" s="129"/>
      <c r="GU38" s="11">
        <v>3</v>
      </c>
      <c r="GV38" s="11">
        <f>COUNTIF(FY17:FY383,GU38)</f>
        <v>7</v>
      </c>
      <c r="GW38" s="62">
        <f>(GV38/GV42)</f>
        <v>0.13207547169811321</v>
      </c>
      <c r="GX38" s="11">
        <v>3</v>
      </c>
      <c r="GY38" s="11">
        <f>COUNTIF(FZ17:FZ383,GX38)</f>
        <v>9</v>
      </c>
      <c r="GZ38" s="62">
        <f>(GY38/GY42)</f>
        <v>0.17307692307692307</v>
      </c>
      <c r="HA38" s="11">
        <v>3</v>
      </c>
      <c r="HB38" s="11">
        <f>COUNTIF(GA17:GA383,HA38)</f>
        <v>9</v>
      </c>
      <c r="HC38" s="62">
        <f>(HB38/HB42)</f>
        <v>0.17647058823529413</v>
      </c>
      <c r="HD38" s="11">
        <v>3</v>
      </c>
      <c r="HE38" s="11">
        <f>COUNTIF(GB17:GB383,HD38)</f>
        <v>10</v>
      </c>
      <c r="HF38" s="62">
        <f>(HE38/HE42)</f>
        <v>0.2</v>
      </c>
      <c r="HG38" s="11">
        <v>3</v>
      </c>
      <c r="HH38" s="11">
        <f>COUNTIF(GC17:GC383,HG38)</f>
        <v>14</v>
      </c>
      <c r="HI38" s="62">
        <f>(HH38/HH42)</f>
        <v>0.2857142857142857</v>
      </c>
      <c r="HJ38" s="11">
        <v>3</v>
      </c>
      <c r="HK38" s="11">
        <f>COUNTIF(GD17:GD383,HJ38)</f>
        <v>9</v>
      </c>
      <c r="HL38" s="62">
        <f>(HK38/HK42)</f>
        <v>0.1875</v>
      </c>
      <c r="HN38">
        <v>4</v>
      </c>
    </row>
    <row r="39" spans="1:222" ht="17.25">
      <c r="A39" s="186"/>
      <c r="B39" s="186"/>
      <c r="C39" s="129"/>
      <c r="D39" s="52"/>
      <c r="E39" s="52"/>
      <c r="F39" s="174">
        <v>531</v>
      </c>
      <c r="G39" s="151">
        <v>4</v>
      </c>
      <c r="H39" s="151">
        <v>5</v>
      </c>
      <c r="I39" s="151">
        <v>5</v>
      </c>
      <c r="J39" s="151">
        <v>4</v>
      </c>
      <c r="K39" s="151">
        <v>6</v>
      </c>
      <c r="L39" s="151">
        <v>6</v>
      </c>
      <c r="M39" s="34">
        <v>6</v>
      </c>
      <c r="N39" s="151">
        <v>4</v>
      </c>
      <c r="O39" s="151">
        <v>5</v>
      </c>
      <c r="P39" s="151">
        <v>5</v>
      </c>
      <c r="Q39" s="151">
        <v>5</v>
      </c>
      <c r="R39" s="151">
        <v>6</v>
      </c>
      <c r="S39" s="151">
        <v>5</v>
      </c>
      <c r="T39" s="151">
        <v>5</v>
      </c>
      <c r="U39" s="151">
        <v>4</v>
      </c>
      <c r="V39" s="151">
        <v>6</v>
      </c>
      <c r="W39" s="151">
        <v>5</v>
      </c>
      <c r="X39" s="151">
        <v>5</v>
      </c>
      <c r="Y39" s="151">
        <v>6</v>
      </c>
      <c r="Z39" s="151">
        <v>5</v>
      </c>
      <c r="AA39" s="151">
        <v>5</v>
      </c>
      <c r="AB39" s="151">
        <v>5</v>
      </c>
      <c r="AC39" s="151">
        <v>6</v>
      </c>
      <c r="AD39" s="151">
        <v>6</v>
      </c>
      <c r="AE39" s="151">
        <v>4</v>
      </c>
      <c r="AF39" s="151">
        <v>6</v>
      </c>
      <c r="AG39" s="56"/>
      <c r="AH39" s="56"/>
      <c r="AI39" s="56"/>
      <c r="AJ39" s="56"/>
      <c r="AK39" s="56"/>
      <c r="AL39" s="151"/>
      <c r="AM39" s="151"/>
      <c r="AN39" s="70"/>
      <c r="AO39" s="11">
        <v>2</v>
      </c>
      <c r="AP39" s="11">
        <f>COUNTIF(S17:S383,AO39)</f>
        <v>0</v>
      </c>
      <c r="AQ39" s="62">
        <f>(AP39/AP42)</f>
        <v>0</v>
      </c>
      <c r="AR39" s="11">
        <v>2</v>
      </c>
      <c r="AS39" s="11">
        <f>COUNTIF(T17:T383,AR39)</f>
        <v>0</v>
      </c>
      <c r="AT39" s="62">
        <f>(AS39/AS42)</f>
        <v>0</v>
      </c>
      <c r="AU39" s="11">
        <v>2</v>
      </c>
      <c r="AV39" s="11">
        <f>COUNTIF(U17:U383,AU39)</f>
        <v>1</v>
      </c>
      <c r="AW39" s="62">
        <f>(AV39/AV42)</f>
        <v>1.9607843137254902E-2</v>
      </c>
      <c r="AX39" s="11">
        <v>2</v>
      </c>
      <c r="AY39" s="11">
        <f>COUNTIF(V17:V383,AX39)</f>
        <v>0</v>
      </c>
      <c r="AZ39" s="62">
        <f>(AY39/AY42)</f>
        <v>0</v>
      </c>
      <c r="BA39" s="11">
        <v>2</v>
      </c>
      <c r="BB39" s="11">
        <f>COUNTIF(W17:W383,BA39)</f>
        <v>1</v>
      </c>
      <c r="BC39" s="62">
        <f>(BB39/BB42)</f>
        <v>2.0408163265306121E-2</v>
      </c>
      <c r="BD39" s="11">
        <v>2</v>
      </c>
      <c r="BE39" s="11">
        <f>COUNTIF(X17:X383,BD39)</f>
        <v>0</v>
      </c>
      <c r="BF39" s="62">
        <f>(BE39/BE42)</f>
        <v>0</v>
      </c>
      <c r="BG39" s="57">
        <v>3</v>
      </c>
      <c r="BH39" s="174">
        <v>531</v>
      </c>
      <c r="BI39" s="56">
        <v>5</v>
      </c>
      <c r="BJ39" s="56">
        <v>6</v>
      </c>
      <c r="BK39" s="56">
        <v>6</v>
      </c>
      <c r="BL39" s="56">
        <v>5</v>
      </c>
      <c r="BM39" s="56">
        <v>6</v>
      </c>
      <c r="BN39" s="56">
        <v>6</v>
      </c>
      <c r="BO39" s="120">
        <v>5</v>
      </c>
      <c r="BP39" s="120">
        <v>4</v>
      </c>
      <c r="BQ39" s="56">
        <v>4</v>
      </c>
      <c r="BR39" s="56">
        <v>5</v>
      </c>
      <c r="BS39" s="56">
        <v>5</v>
      </c>
      <c r="BT39" s="120">
        <v>6</v>
      </c>
      <c r="BU39" s="120">
        <v>5</v>
      </c>
      <c r="BV39" s="120">
        <v>5</v>
      </c>
      <c r="BW39" s="120">
        <v>4</v>
      </c>
      <c r="BX39" s="120">
        <v>5</v>
      </c>
      <c r="BY39" s="120">
        <v>5</v>
      </c>
      <c r="BZ39" s="120">
        <v>5</v>
      </c>
      <c r="CA39" s="120">
        <v>5</v>
      </c>
      <c r="CB39" s="120">
        <v>5</v>
      </c>
      <c r="CC39" s="120">
        <v>5</v>
      </c>
      <c r="CD39" s="120">
        <v>4</v>
      </c>
      <c r="CE39" s="120">
        <v>6</v>
      </c>
      <c r="CF39" s="120">
        <v>6</v>
      </c>
      <c r="CG39" s="120">
        <v>4</v>
      </c>
      <c r="CH39" s="120">
        <v>6</v>
      </c>
      <c r="CI39" s="56"/>
      <c r="CJ39" s="56"/>
      <c r="CK39" s="56"/>
      <c r="CL39" s="56"/>
      <c r="CM39" s="56"/>
      <c r="CN39" s="151"/>
      <c r="CO39" s="151"/>
      <c r="CP39" s="129"/>
      <c r="CQ39" s="11">
        <v>2</v>
      </c>
      <c r="CR39" s="11">
        <f>COUNTIF(BU17:BU383,CQ39)</f>
        <v>2</v>
      </c>
      <c r="CS39" s="62">
        <f>(CR39/CR42)</f>
        <v>3.7735849056603772E-2</v>
      </c>
      <c r="CT39" s="11">
        <v>2</v>
      </c>
      <c r="CU39" s="11">
        <f>COUNTIF(BV17:BV383,CT39)</f>
        <v>4</v>
      </c>
      <c r="CV39" s="62">
        <f>(CU39/CU42)</f>
        <v>7.6923076923076927E-2</v>
      </c>
      <c r="CW39" s="11">
        <v>2</v>
      </c>
      <c r="CX39" s="11">
        <f>COUNTIF(BW17:BW383,CW39)</f>
        <v>1</v>
      </c>
      <c r="CY39" s="62">
        <f>(CX39/CX42)</f>
        <v>1.9607843137254902E-2</v>
      </c>
      <c r="CZ39" s="11">
        <v>2</v>
      </c>
      <c r="DA39" s="11">
        <f>COUNTIF(BX17:BX383,CZ39)</f>
        <v>4</v>
      </c>
      <c r="DB39" s="62">
        <f>(DA39/DA42)</f>
        <v>0.08</v>
      </c>
      <c r="DC39" s="11">
        <v>2</v>
      </c>
      <c r="DD39" s="11">
        <f>COUNTIF(BY17:BY383,DC39)</f>
        <v>1</v>
      </c>
      <c r="DE39" s="62">
        <f>(DD39/DD42)</f>
        <v>2.0408163265306121E-2</v>
      </c>
      <c r="DF39" s="11">
        <v>2</v>
      </c>
      <c r="DG39" s="11">
        <f>COUNTIF(BZ17:BZ383,DF39)</f>
        <v>1</v>
      </c>
      <c r="DH39" s="62">
        <f>(DG39/DG42)</f>
        <v>2.0833333333333332E-2</v>
      </c>
      <c r="DI39" s="70"/>
      <c r="DJ39" s="174">
        <v>531</v>
      </c>
      <c r="DK39" s="120">
        <v>0</v>
      </c>
      <c r="DL39" s="120">
        <v>0</v>
      </c>
      <c r="DM39" s="120">
        <v>0</v>
      </c>
      <c r="DN39" s="120">
        <v>0</v>
      </c>
      <c r="DO39" s="120">
        <v>0</v>
      </c>
      <c r="DP39" s="120">
        <v>0</v>
      </c>
      <c r="DQ39" s="120">
        <v>1</v>
      </c>
      <c r="DR39" s="120">
        <v>0</v>
      </c>
      <c r="DS39" s="120">
        <v>1</v>
      </c>
      <c r="DT39" s="120">
        <v>0</v>
      </c>
      <c r="DU39" s="120">
        <v>0</v>
      </c>
      <c r="DV39" s="120">
        <v>0</v>
      </c>
      <c r="DW39" s="120">
        <v>0</v>
      </c>
      <c r="DX39" s="120">
        <v>0</v>
      </c>
      <c r="DY39" s="120">
        <v>0</v>
      </c>
      <c r="DZ39" s="120">
        <v>1</v>
      </c>
      <c r="EA39" s="120">
        <v>0</v>
      </c>
      <c r="EB39" s="120">
        <v>0</v>
      </c>
      <c r="EC39" s="120">
        <v>1</v>
      </c>
      <c r="ED39" s="120">
        <v>0</v>
      </c>
      <c r="EE39" s="120">
        <v>0</v>
      </c>
      <c r="EF39" s="120">
        <v>1</v>
      </c>
      <c r="EG39" s="120">
        <v>0</v>
      </c>
      <c r="EH39" s="120">
        <v>0</v>
      </c>
      <c r="EI39" s="120">
        <v>0</v>
      </c>
      <c r="EJ39" s="120">
        <v>0</v>
      </c>
      <c r="EK39" s="56"/>
      <c r="EL39" s="56"/>
      <c r="EM39" s="56"/>
      <c r="EN39" s="56"/>
      <c r="EO39" s="56"/>
      <c r="EP39" s="151"/>
      <c r="EQ39" s="151"/>
      <c r="ER39" s="129"/>
      <c r="ES39" s="11">
        <v>2</v>
      </c>
      <c r="ET39" s="11">
        <f>COUNTIF(DW17:DW383,ES39)</f>
        <v>2</v>
      </c>
      <c r="EU39" s="62">
        <f>(ET39/ET42)</f>
        <v>3.7735849056603772E-2</v>
      </c>
      <c r="EV39" s="11">
        <v>2</v>
      </c>
      <c r="EW39" s="11">
        <f>COUNTIF(DX17:DX383,EV39)</f>
        <v>3</v>
      </c>
      <c r="EX39" s="62">
        <f>(EW39/EW42)</f>
        <v>5.7692307692307696E-2</v>
      </c>
      <c r="EY39" s="11">
        <v>2</v>
      </c>
      <c r="EZ39" s="11">
        <f>COUNTIF(DY17:DY383,EY39)</f>
        <v>1</v>
      </c>
      <c r="FA39" s="62">
        <f>(EZ39/EZ42)</f>
        <v>1.9607843137254902E-2</v>
      </c>
      <c r="FB39" s="11">
        <v>2</v>
      </c>
      <c r="FC39" s="11">
        <f>COUNTIF(DZ17:DZ383,FB39)</f>
        <v>4</v>
      </c>
      <c r="FD39" s="62">
        <f>(FC39/FC42)</f>
        <v>0.08</v>
      </c>
      <c r="FE39" s="11">
        <v>2</v>
      </c>
      <c r="FF39" s="11">
        <f>COUNTIF(EA17:EA383,FE39)</f>
        <v>1</v>
      </c>
      <c r="FG39" s="62">
        <f>(FF39/FF42)</f>
        <v>2.0408163265306121E-2</v>
      </c>
      <c r="FH39" s="11">
        <v>2</v>
      </c>
      <c r="FI39" s="11">
        <f>COUNTIF(EB17:EB383,FH39)</f>
        <v>2</v>
      </c>
      <c r="FJ39" s="62">
        <f>(FI39/FI42)</f>
        <v>4.1666666666666664E-2</v>
      </c>
      <c r="FK39" s="129">
        <v>1</v>
      </c>
      <c r="FL39" s="174">
        <v>531</v>
      </c>
      <c r="FM39" s="56"/>
      <c r="FN39" s="56">
        <v>0</v>
      </c>
      <c r="FO39" s="56">
        <v>1</v>
      </c>
      <c r="FP39" s="56">
        <v>1</v>
      </c>
      <c r="FQ39" s="56">
        <v>1</v>
      </c>
      <c r="FR39" s="56">
        <v>2</v>
      </c>
      <c r="FS39" s="56">
        <v>1</v>
      </c>
      <c r="FT39" s="56">
        <v>2</v>
      </c>
      <c r="FU39" s="56">
        <v>1</v>
      </c>
      <c r="FV39" s="56">
        <v>1</v>
      </c>
      <c r="FW39" s="56">
        <v>1</v>
      </c>
      <c r="FX39" s="56">
        <v>3</v>
      </c>
      <c r="FY39" s="56">
        <v>0</v>
      </c>
      <c r="FZ39" s="56">
        <v>2</v>
      </c>
      <c r="GA39" s="56">
        <v>3</v>
      </c>
      <c r="GB39" s="56">
        <v>2</v>
      </c>
      <c r="GC39" s="56">
        <v>1</v>
      </c>
      <c r="GD39" s="56">
        <v>4</v>
      </c>
      <c r="GE39" s="56">
        <v>1</v>
      </c>
      <c r="GF39" s="56">
        <v>1</v>
      </c>
      <c r="GG39" s="56">
        <v>2</v>
      </c>
      <c r="GH39" s="56">
        <v>3</v>
      </c>
      <c r="GI39" s="56">
        <v>0</v>
      </c>
      <c r="GJ39" s="56">
        <v>0</v>
      </c>
      <c r="GK39" s="56">
        <v>1</v>
      </c>
      <c r="GL39" s="56">
        <v>1</v>
      </c>
      <c r="GM39" s="56"/>
      <c r="GN39" s="56"/>
      <c r="GO39" s="56"/>
      <c r="GP39" s="56"/>
      <c r="GQ39" s="56"/>
      <c r="GR39" s="151"/>
      <c r="GS39" s="151"/>
      <c r="GT39" s="129"/>
      <c r="GU39" s="11">
        <v>2</v>
      </c>
      <c r="GV39" s="11">
        <f>COUNTIF(FY17:FY383,GU39)</f>
        <v>19</v>
      </c>
      <c r="GW39" s="62">
        <f>(GV39/GV42)</f>
        <v>0.35849056603773582</v>
      </c>
      <c r="GX39" s="11">
        <v>2</v>
      </c>
      <c r="GY39" s="11">
        <f>COUNTIF(FZ17:FZ383,GX39)</f>
        <v>19</v>
      </c>
      <c r="GZ39" s="62">
        <f>(GY39/GY42)</f>
        <v>0.36538461538461536</v>
      </c>
      <c r="HA39" s="11">
        <v>2</v>
      </c>
      <c r="HB39" s="11">
        <f>COUNTIF(GA17:GA383,HA39)</f>
        <v>25</v>
      </c>
      <c r="HC39" s="62">
        <f>(HB39/HB42)</f>
        <v>0.49019607843137253</v>
      </c>
      <c r="HD39" s="11">
        <v>2</v>
      </c>
      <c r="HE39" s="11">
        <f>COUNTIF(GB17:GB383,HD39)</f>
        <v>21</v>
      </c>
      <c r="HF39" s="62">
        <f>(HE39/HE42)</f>
        <v>0.42</v>
      </c>
      <c r="HG39" s="11">
        <v>2</v>
      </c>
      <c r="HH39" s="11">
        <f>COUNTIF(GC17:GC383,HG39)</f>
        <v>16</v>
      </c>
      <c r="HI39" s="62">
        <f>(HH39/HH42)</f>
        <v>0.32653061224489793</v>
      </c>
      <c r="HJ39" s="11">
        <v>2</v>
      </c>
      <c r="HK39" s="11">
        <f>COUNTIF(GD17:GD383,HJ39)</f>
        <v>12</v>
      </c>
      <c r="HL39" s="62">
        <f>(HK39/HK42)</f>
        <v>0.25</v>
      </c>
      <c r="HN39">
        <v>3</v>
      </c>
    </row>
    <row r="40" spans="1:222" ht="17.25">
      <c r="A40" s="186"/>
      <c r="B40" s="186"/>
      <c r="C40" s="129"/>
      <c r="D40" s="52"/>
      <c r="E40" s="52"/>
      <c r="F40" s="174">
        <v>532</v>
      </c>
      <c r="G40" s="151">
        <v>3</v>
      </c>
      <c r="H40" s="151">
        <v>5</v>
      </c>
      <c r="I40" s="151">
        <v>5</v>
      </c>
      <c r="J40" s="151">
        <v>6</v>
      </c>
      <c r="K40" s="151">
        <v>5</v>
      </c>
      <c r="L40" s="151">
        <v>5</v>
      </c>
      <c r="M40" s="34">
        <v>5</v>
      </c>
      <c r="N40" s="151">
        <v>5</v>
      </c>
      <c r="O40" s="151">
        <v>6</v>
      </c>
      <c r="P40" s="151">
        <v>5</v>
      </c>
      <c r="Q40" s="151">
        <v>5</v>
      </c>
      <c r="R40" s="151">
        <v>6</v>
      </c>
      <c r="S40" s="151">
        <v>5</v>
      </c>
      <c r="T40" s="151">
        <v>4</v>
      </c>
      <c r="U40" s="151">
        <v>5</v>
      </c>
      <c r="V40" s="151">
        <v>6</v>
      </c>
      <c r="W40" s="151">
        <v>4</v>
      </c>
      <c r="X40" s="151">
        <v>4</v>
      </c>
      <c r="Y40" s="151">
        <v>5</v>
      </c>
      <c r="Z40" s="151">
        <v>5</v>
      </c>
      <c r="AA40" s="151">
        <v>2</v>
      </c>
      <c r="AB40" s="151">
        <v>5</v>
      </c>
      <c r="AC40" s="151">
        <v>4</v>
      </c>
      <c r="AD40" s="151">
        <v>4</v>
      </c>
      <c r="AE40" s="151">
        <v>5</v>
      </c>
      <c r="AF40" s="151">
        <v>4</v>
      </c>
      <c r="AG40" s="56"/>
      <c r="AH40" s="56"/>
      <c r="AI40" s="56"/>
      <c r="AJ40" s="56"/>
      <c r="AK40" s="56"/>
      <c r="AL40" s="151"/>
      <c r="AM40" s="151"/>
      <c r="AN40" s="70"/>
      <c r="AO40" s="11">
        <v>1</v>
      </c>
      <c r="AP40" s="11">
        <f>COUNTIF(S17:S383,AO40)</f>
        <v>0</v>
      </c>
      <c r="AQ40" s="62">
        <f>(AP40/AP42)</f>
        <v>0</v>
      </c>
      <c r="AR40" s="11">
        <v>1</v>
      </c>
      <c r="AS40" s="11">
        <f>COUNTIF(T17:T383,AR40)</f>
        <v>0</v>
      </c>
      <c r="AT40" s="62">
        <f>(AS40/AS42)</f>
        <v>0</v>
      </c>
      <c r="AU40" s="11">
        <v>1</v>
      </c>
      <c r="AV40" s="11">
        <f>COUNTIF(U17:U383,AU40)</f>
        <v>0</v>
      </c>
      <c r="AW40" s="62">
        <f>(AV40/AV42)</f>
        <v>0</v>
      </c>
      <c r="AX40" s="11">
        <v>1</v>
      </c>
      <c r="AY40" s="11">
        <f>COUNTIF(V17:V383,AX40)</f>
        <v>0</v>
      </c>
      <c r="AZ40" s="62">
        <f>(AY40/AY42)</f>
        <v>0</v>
      </c>
      <c r="BA40" s="11">
        <v>1</v>
      </c>
      <c r="BB40" s="11">
        <f>COUNTIF(W17:W383,BA40)</f>
        <v>0</v>
      </c>
      <c r="BC40" s="62">
        <f>(BB40/BB42)</f>
        <v>0</v>
      </c>
      <c r="BD40" s="11">
        <v>1</v>
      </c>
      <c r="BE40" s="11">
        <f>COUNTIF(X17:X383,BD40)</f>
        <v>0</v>
      </c>
      <c r="BF40" s="62">
        <f>(BE40/BE42)</f>
        <v>0</v>
      </c>
      <c r="BG40" s="57">
        <v>3</v>
      </c>
      <c r="BH40" s="174">
        <v>532</v>
      </c>
      <c r="BI40" s="56">
        <v>2</v>
      </c>
      <c r="BJ40" s="56">
        <v>5</v>
      </c>
      <c r="BK40" s="56">
        <v>5</v>
      </c>
      <c r="BL40" s="56">
        <v>6</v>
      </c>
      <c r="BM40" s="56">
        <v>5</v>
      </c>
      <c r="BN40" s="56">
        <v>5</v>
      </c>
      <c r="BO40" s="120">
        <v>5</v>
      </c>
      <c r="BP40" s="120">
        <v>4</v>
      </c>
      <c r="BQ40" s="56">
        <v>5</v>
      </c>
      <c r="BR40" s="56">
        <v>5</v>
      </c>
      <c r="BS40" s="56">
        <v>5</v>
      </c>
      <c r="BT40" s="120">
        <v>4</v>
      </c>
      <c r="BU40" s="120">
        <v>4</v>
      </c>
      <c r="BV40" s="120">
        <v>4</v>
      </c>
      <c r="BW40" s="120">
        <v>5</v>
      </c>
      <c r="BX40" s="120">
        <v>6</v>
      </c>
      <c r="BY40" s="120">
        <v>4</v>
      </c>
      <c r="BZ40" s="120">
        <v>3</v>
      </c>
      <c r="CA40" s="120">
        <v>5</v>
      </c>
      <c r="CB40" s="120">
        <v>3</v>
      </c>
      <c r="CC40" s="120">
        <v>2</v>
      </c>
      <c r="CD40" s="120">
        <v>5</v>
      </c>
      <c r="CE40" s="120">
        <v>3</v>
      </c>
      <c r="CF40" s="120">
        <v>4</v>
      </c>
      <c r="CG40" s="120">
        <v>4</v>
      </c>
      <c r="CH40" s="120">
        <v>4</v>
      </c>
      <c r="CI40" s="56"/>
      <c r="CJ40" s="56"/>
      <c r="CK40" s="56"/>
      <c r="CL40" s="56"/>
      <c r="CM40" s="56"/>
      <c r="CN40" s="151"/>
      <c r="CO40" s="151"/>
      <c r="CP40" s="129"/>
      <c r="CQ40" s="11">
        <v>1</v>
      </c>
      <c r="CR40" s="11">
        <f>COUNTIF(BU17:BU383,CQ40)</f>
        <v>0</v>
      </c>
      <c r="CS40" s="62">
        <f>(CR40/CR42)</f>
        <v>0</v>
      </c>
      <c r="CT40" s="11">
        <v>1</v>
      </c>
      <c r="CU40" s="11">
        <f>COUNTIF(BV17:BV383,CT40)</f>
        <v>0</v>
      </c>
      <c r="CV40" s="62">
        <f>(CU40/CU42)</f>
        <v>0</v>
      </c>
      <c r="CW40" s="11">
        <v>1</v>
      </c>
      <c r="CX40" s="11">
        <f>COUNTIF(BW17:BW383,CW40)</f>
        <v>1</v>
      </c>
      <c r="CY40" s="62">
        <f>(CX40/CX42)</f>
        <v>1.9607843137254902E-2</v>
      </c>
      <c r="CZ40" s="11">
        <v>1</v>
      </c>
      <c r="DA40" s="11">
        <f>COUNTIF(BX17:BX383,CZ40)</f>
        <v>0</v>
      </c>
      <c r="DB40" s="62">
        <f>(DA40/DA42)</f>
        <v>0</v>
      </c>
      <c r="DC40" s="11">
        <v>1</v>
      </c>
      <c r="DD40" s="11">
        <f>COUNTIF(BY17:BY383,DC40)</f>
        <v>1</v>
      </c>
      <c r="DE40" s="62">
        <f>(DD40/DD42)</f>
        <v>2.0408163265306121E-2</v>
      </c>
      <c r="DF40" s="11">
        <v>1</v>
      </c>
      <c r="DG40" s="11">
        <f>COUNTIF(BZ17:BZ383,DF40)</f>
        <v>0</v>
      </c>
      <c r="DH40" s="62">
        <f>(DG40/DG42)</f>
        <v>0</v>
      </c>
      <c r="DI40" s="70"/>
      <c r="DJ40" s="174">
        <v>532</v>
      </c>
      <c r="DK40" s="120">
        <v>2</v>
      </c>
      <c r="DL40" s="120">
        <v>0</v>
      </c>
      <c r="DM40" s="120">
        <v>0</v>
      </c>
      <c r="DN40" s="120">
        <v>0</v>
      </c>
      <c r="DO40" s="120">
        <v>0</v>
      </c>
      <c r="DP40" s="120">
        <v>0</v>
      </c>
      <c r="DQ40" s="120">
        <v>0</v>
      </c>
      <c r="DR40" s="120">
        <v>1</v>
      </c>
      <c r="DS40" s="120">
        <v>1</v>
      </c>
      <c r="DT40" s="120">
        <v>0</v>
      </c>
      <c r="DU40" s="120">
        <v>0</v>
      </c>
      <c r="DV40" s="120">
        <v>1</v>
      </c>
      <c r="DW40" s="120">
        <v>1</v>
      </c>
      <c r="DX40" s="120">
        <v>0</v>
      </c>
      <c r="DY40" s="120">
        <v>0</v>
      </c>
      <c r="DZ40" s="120">
        <v>0</v>
      </c>
      <c r="EA40" s="120">
        <v>0</v>
      </c>
      <c r="EB40" s="120">
        <v>1</v>
      </c>
      <c r="EC40" s="120">
        <v>0</v>
      </c>
      <c r="ED40" s="120">
        <v>2</v>
      </c>
      <c r="EE40" s="120">
        <v>0</v>
      </c>
      <c r="EF40" s="120">
        <v>0</v>
      </c>
      <c r="EG40" s="120">
        <v>1</v>
      </c>
      <c r="EH40" s="120">
        <v>0</v>
      </c>
      <c r="EI40" s="120">
        <v>1</v>
      </c>
      <c r="EJ40" s="120">
        <v>0</v>
      </c>
      <c r="EK40" s="56"/>
      <c r="EL40" s="56"/>
      <c r="EM40" s="56"/>
      <c r="EN40" s="56"/>
      <c r="EO40" s="56"/>
      <c r="EP40" s="151"/>
      <c r="EQ40" s="151"/>
      <c r="ER40" s="129"/>
      <c r="ES40" s="11">
        <v>1</v>
      </c>
      <c r="ET40" s="11">
        <f>COUNTIF(DW17:DW383,ES40)</f>
        <v>17</v>
      </c>
      <c r="EU40" s="62">
        <f>(ET40/ET42)</f>
        <v>0.32075471698113206</v>
      </c>
      <c r="EV40" s="11">
        <v>1</v>
      </c>
      <c r="EW40" s="11">
        <f>COUNTIF(DX17:DX383,EV40)</f>
        <v>11</v>
      </c>
      <c r="EX40" s="62">
        <f>(EW40/EW42)</f>
        <v>0.21153846153846154</v>
      </c>
      <c r="EY40" s="11">
        <v>1</v>
      </c>
      <c r="EZ40" s="11">
        <f>COUNTIF(DY17:DY383,EY40)</f>
        <v>18</v>
      </c>
      <c r="FA40" s="62">
        <f>(EZ40/EZ42)</f>
        <v>0.35294117647058826</v>
      </c>
      <c r="FB40" s="11">
        <v>1</v>
      </c>
      <c r="FC40" s="11">
        <f>COUNTIF(DZ17:DZ383,FB40)</f>
        <v>19</v>
      </c>
      <c r="FD40" s="62">
        <f>(FC40/FC42)</f>
        <v>0.38</v>
      </c>
      <c r="FE40" s="11">
        <v>1</v>
      </c>
      <c r="FF40" s="11">
        <f>COUNTIF(EA17:EA383,FE40)</f>
        <v>16</v>
      </c>
      <c r="FG40" s="62">
        <f>(FF40/FF42)</f>
        <v>0.32653061224489793</v>
      </c>
      <c r="FH40" s="11">
        <v>1</v>
      </c>
      <c r="FI40" s="11">
        <f>COUNTIF(EB17:EB383,FH40)</f>
        <v>21</v>
      </c>
      <c r="FJ40" s="62">
        <f>(FI40/FI42)</f>
        <v>0.4375</v>
      </c>
      <c r="FK40" s="129">
        <v>2</v>
      </c>
      <c r="FL40" s="174">
        <v>532</v>
      </c>
      <c r="FM40" s="56"/>
      <c r="FN40" s="56">
        <v>3</v>
      </c>
      <c r="FO40" s="56">
        <v>3</v>
      </c>
      <c r="FP40" s="56">
        <v>2</v>
      </c>
      <c r="FQ40" s="56">
        <v>2</v>
      </c>
      <c r="FR40" s="56">
        <v>2</v>
      </c>
      <c r="FS40" s="56">
        <v>2</v>
      </c>
      <c r="FT40" s="56">
        <v>1</v>
      </c>
      <c r="FU40" s="56">
        <v>2</v>
      </c>
      <c r="FV40" s="56">
        <v>1</v>
      </c>
      <c r="FW40" s="56">
        <v>4</v>
      </c>
      <c r="FX40" s="56">
        <v>3</v>
      </c>
      <c r="FY40" s="56">
        <v>4</v>
      </c>
      <c r="FZ40" s="56">
        <v>1</v>
      </c>
      <c r="GA40" s="56">
        <v>1</v>
      </c>
      <c r="GB40" s="56">
        <v>3</v>
      </c>
      <c r="GC40" s="56">
        <v>2</v>
      </c>
      <c r="GD40" s="56">
        <v>2</v>
      </c>
      <c r="GE40" s="56">
        <v>2</v>
      </c>
      <c r="GF40" s="56">
        <v>4</v>
      </c>
      <c r="GG40" s="56">
        <v>1</v>
      </c>
      <c r="GH40" s="56">
        <v>3</v>
      </c>
      <c r="GI40" s="56">
        <v>3</v>
      </c>
      <c r="GJ40" s="56">
        <v>4</v>
      </c>
      <c r="GK40" s="56">
        <v>2</v>
      </c>
      <c r="GL40" s="56">
        <v>1</v>
      </c>
      <c r="GM40" s="56"/>
      <c r="GN40" s="56"/>
      <c r="GO40" s="56"/>
      <c r="GP40" s="56"/>
      <c r="GQ40" s="56"/>
      <c r="GR40" s="151"/>
      <c r="GS40" s="151"/>
      <c r="GT40" s="129"/>
      <c r="GU40" s="11">
        <v>1</v>
      </c>
      <c r="GV40" s="11">
        <f>COUNTIF(FY17:FY383,GU40)</f>
        <v>17</v>
      </c>
      <c r="GW40" s="62">
        <f>(GV40/GV42)</f>
        <v>0.32075471698113206</v>
      </c>
      <c r="GX40" s="11">
        <v>1</v>
      </c>
      <c r="GY40" s="11">
        <f>COUNTIF(FZ17:FZ383,GX40)</f>
        <v>15</v>
      </c>
      <c r="GZ40" s="62">
        <f>(GY40/GY42)</f>
        <v>0.28846153846153844</v>
      </c>
      <c r="HA40" s="11">
        <v>1</v>
      </c>
      <c r="HB40" s="11">
        <f>COUNTIF(GA17:GA383,HA40)</f>
        <v>12</v>
      </c>
      <c r="HC40" s="62">
        <f>(HB40/HB42)</f>
        <v>0.23529411764705882</v>
      </c>
      <c r="HD40" s="11">
        <v>1</v>
      </c>
      <c r="HE40" s="11">
        <f>COUNTIF(GB17:GB383,HD40)</f>
        <v>16</v>
      </c>
      <c r="HF40" s="62">
        <f>(HE40/HE42)</f>
        <v>0.32</v>
      </c>
      <c r="HG40" s="11">
        <v>1</v>
      </c>
      <c r="HH40" s="11">
        <f>COUNTIF(GC17:GC383,HG40)</f>
        <v>15</v>
      </c>
      <c r="HI40" s="62">
        <f>(HH40/HH42)</f>
        <v>0.30612244897959184</v>
      </c>
      <c r="HJ40" s="11">
        <v>1</v>
      </c>
      <c r="HK40" s="11">
        <f>COUNTIF(GD17:GD383,HJ40)</f>
        <v>16</v>
      </c>
      <c r="HL40" s="62">
        <f>(HK40/HK42)</f>
        <v>0.33333333333333331</v>
      </c>
      <c r="HN40">
        <v>4</v>
      </c>
    </row>
    <row r="41" spans="1:222" ht="17.25">
      <c r="A41" s="186"/>
      <c r="B41" s="186"/>
      <c r="C41" s="129"/>
      <c r="D41" s="52"/>
      <c r="E41" s="52"/>
      <c r="F41" s="174">
        <v>533</v>
      </c>
      <c r="G41" s="151">
        <v>6</v>
      </c>
      <c r="H41" s="151">
        <v>5</v>
      </c>
      <c r="I41" s="151">
        <v>5</v>
      </c>
      <c r="J41" s="151">
        <v>4</v>
      </c>
      <c r="K41" s="151">
        <v>3</v>
      </c>
      <c r="L41" s="151">
        <v>3</v>
      </c>
      <c r="M41" s="34">
        <v>5</v>
      </c>
      <c r="N41" s="151">
        <v>4</v>
      </c>
      <c r="O41" s="151">
        <v>4</v>
      </c>
      <c r="P41" s="151">
        <v>4</v>
      </c>
      <c r="Q41" s="151">
        <v>6</v>
      </c>
      <c r="R41" s="151">
        <v>5</v>
      </c>
      <c r="S41" s="151">
        <v>6</v>
      </c>
      <c r="T41" s="151">
        <v>4</v>
      </c>
      <c r="U41" s="151">
        <v>5</v>
      </c>
      <c r="V41" s="151">
        <v>3</v>
      </c>
      <c r="W41" s="151">
        <v>5</v>
      </c>
      <c r="X41" s="151">
        <v>4</v>
      </c>
      <c r="Y41" s="151">
        <v>4</v>
      </c>
      <c r="Z41" s="151">
        <v>1</v>
      </c>
      <c r="AA41" s="151">
        <v>6</v>
      </c>
      <c r="AB41" s="151">
        <v>5</v>
      </c>
      <c r="AC41" s="151">
        <v>5</v>
      </c>
      <c r="AD41" s="151">
        <v>3</v>
      </c>
      <c r="AE41" s="151">
        <v>4</v>
      </c>
      <c r="AF41" s="151">
        <v>3</v>
      </c>
      <c r="AG41" s="56"/>
      <c r="AH41" s="56"/>
      <c r="AI41" s="56"/>
      <c r="AJ41" s="56"/>
      <c r="AK41" s="56"/>
      <c r="AL41" s="151"/>
      <c r="AM41" s="151"/>
      <c r="AN41" s="70"/>
      <c r="AO41" s="11">
        <v>0</v>
      </c>
      <c r="AP41" s="11">
        <f>COUNTIF(S17:S383,AO41)</f>
        <v>0</v>
      </c>
      <c r="AQ41" s="62">
        <f>(AP41/AP42)</f>
        <v>0</v>
      </c>
      <c r="AR41" s="11">
        <v>0</v>
      </c>
      <c r="AS41" s="11">
        <f>COUNTIF(T17:T383,AR41)</f>
        <v>0</v>
      </c>
      <c r="AT41" s="62">
        <f>(AS41/AS42)</f>
        <v>0</v>
      </c>
      <c r="AU41" s="11">
        <v>0</v>
      </c>
      <c r="AV41" s="11">
        <f>COUNTIF(U17:U383,AU41)</f>
        <v>0</v>
      </c>
      <c r="AW41" s="62">
        <f>(AV41/AV42)</f>
        <v>0</v>
      </c>
      <c r="AX41" s="11">
        <v>0</v>
      </c>
      <c r="AY41" s="11">
        <f>COUNTIF(V17:V383,AX41)</f>
        <v>0</v>
      </c>
      <c r="AZ41" s="62">
        <f>(AY41/AY42)</f>
        <v>0</v>
      </c>
      <c r="BA41" s="11">
        <v>0</v>
      </c>
      <c r="BB41" s="11">
        <f>COUNTIF(W17:W383,BA41)</f>
        <v>0</v>
      </c>
      <c r="BC41" s="62">
        <f>(BB41/BB42)</f>
        <v>0</v>
      </c>
      <c r="BD41" s="11">
        <v>0</v>
      </c>
      <c r="BE41" s="11">
        <f>COUNTIF(X17:X383,BD41)</f>
        <v>0</v>
      </c>
      <c r="BF41" s="62">
        <f>(BE41/BE42)</f>
        <v>0</v>
      </c>
      <c r="BG41" s="57">
        <v>3</v>
      </c>
      <c r="BH41" s="174">
        <v>533</v>
      </c>
      <c r="BI41" s="56">
        <v>5</v>
      </c>
      <c r="BJ41" s="56">
        <v>5</v>
      </c>
      <c r="BK41" s="56">
        <v>4</v>
      </c>
      <c r="BL41" s="56">
        <v>4</v>
      </c>
      <c r="BM41" s="56">
        <v>3</v>
      </c>
      <c r="BN41" s="56">
        <v>3</v>
      </c>
      <c r="BO41" s="120">
        <v>5</v>
      </c>
      <c r="BP41" s="120">
        <v>4</v>
      </c>
      <c r="BQ41" s="56">
        <v>3</v>
      </c>
      <c r="BR41" s="56">
        <v>4</v>
      </c>
      <c r="BS41" s="56">
        <v>5</v>
      </c>
      <c r="BT41" s="120">
        <v>4</v>
      </c>
      <c r="BU41" s="120">
        <v>6</v>
      </c>
      <c r="BV41" s="120">
        <v>4</v>
      </c>
      <c r="BW41" s="120">
        <v>5</v>
      </c>
      <c r="BX41" s="120">
        <v>2</v>
      </c>
      <c r="BY41" s="120">
        <v>5</v>
      </c>
      <c r="BZ41" s="120">
        <v>3</v>
      </c>
      <c r="CA41" s="120">
        <v>4</v>
      </c>
      <c r="CB41" s="120">
        <v>1</v>
      </c>
      <c r="CC41" s="120">
        <v>5</v>
      </c>
      <c r="CD41" s="120">
        <v>4</v>
      </c>
      <c r="CE41" s="120">
        <v>3</v>
      </c>
      <c r="CF41" s="120">
        <v>2</v>
      </c>
      <c r="CG41" s="120">
        <v>3</v>
      </c>
      <c r="CH41" s="120">
        <v>3</v>
      </c>
      <c r="CI41" s="56"/>
      <c r="CJ41" s="56"/>
      <c r="CK41" s="56"/>
      <c r="CL41" s="56"/>
      <c r="CM41" s="56"/>
      <c r="CN41" s="151"/>
      <c r="CO41" s="151"/>
      <c r="CP41" s="129"/>
      <c r="CQ41" s="11">
        <v>0</v>
      </c>
      <c r="CR41" s="11">
        <f>COUNTIF(BU17:BU383,CQ41)</f>
        <v>0</v>
      </c>
      <c r="CS41" s="62">
        <f>(CR41/CR42)</f>
        <v>0</v>
      </c>
      <c r="CT41" s="11">
        <v>0</v>
      </c>
      <c r="CU41" s="11">
        <f>COUNTIF(BV17:BV383,CT41)</f>
        <v>0</v>
      </c>
      <c r="CV41" s="62">
        <f>(CU41/CU42)</f>
        <v>0</v>
      </c>
      <c r="CW41" s="11">
        <v>0</v>
      </c>
      <c r="CX41" s="11">
        <f>COUNTIF(BW17:BW383,CW41)</f>
        <v>0</v>
      </c>
      <c r="CY41" s="62">
        <f>(CX41/CX42)</f>
        <v>0</v>
      </c>
      <c r="CZ41" s="11">
        <v>0</v>
      </c>
      <c r="DA41" s="11">
        <f>COUNTIF(BX17:BX383,CZ41)</f>
        <v>0</v>
      </c>
      <c r="DB41" s="62">
        <f>(DA41/DA42)</f>
        <v>0</v>
      </c>
      <c r="DC41" s="11">
        <v>0</v>
      </c>
      <c r="DD41" s="11">
        <f>COUNTIF(BY17:BY383,DC41)</f>
        <v>0</v>
      </c>
      <c r="DE41" s="62">
        <f>(DD41/DD42)</f>
        <v>0</v>
      </c>
      <c r="DF41" s="11">
        <v>0</v>
      </c>
      <c r="DG41" s="11">
        <f>COUNTIF(BZ17:BZ383,DF41)</f>
        <v>0</v>
      </c>
      <c r="DH41" s="62">
        <f>(DG41/DG42)</f>
        <v>0</v>
      </c>
      <c r="DI41" s="70"/>
      <c r="DJ41" s="174">
        <v>533</v>
      </c>
      <c r="DK41" s="120">
        <v>1</v>
      </c>
      <c r="DL41" s="120">
        <v>0</v>
      </c>
      <c r="DM41" s="120">
        <v>2</v>
      </c>
      <c r="DN41" s="120">
        <v>0</v>
      </c>
      <c r="DO41" s="120">
        <v>0</v>
      </c>
      <c r="DP41" s="120">
        <v>0</v>
      </c>
      <c r="DQ41" s="120">
        <v>0</v>
      </c>
      <c r="DR41" s="120">
        <v>0</v>
      </c>
      <c r="DS41" s="120">
        <v>1</v>
      </c>
      <c r="DT41" s="120">
        <v>0</v>
      </c>
      <c r="DU41" s="120">
        <v>0</v>
      </c>
      <c r="DV41" s="120">
        <v>1</v>
      </c>
      <c r="DW41" s="120">
        <v>0</v>
      </c>
      <c r="DX41" s="120">
        <v>0</v>
      </c>
      <c r="DY41" s="120">
        <v>0</v>
      </c>
      <c r="DZ41" s="120">
        <v>1</v>
      </c>
      <c r="EA41" s="120">
        <v>0</v>
      </c>
      <c r="EB41" s="120">
        <v>1</v>
      </c>
      <c r="EC41" s="120">
        <v>0</v>
      </c>
      <c r="ED41" s="120">
        <v>0</v>
      </c>
      <c r="EE41" s="120">
        <v>1</v>
      </c>
      <c r="EF41" s="120">
        <v>1</v>
      </c>
      <c r="EG41" s="120">
        <v>2</v>
      </c>
      <c r="EH41" s="120">
        <v>1</v>
      </c>
      <c r="EI41" s="120">
        <v>1</v>
      </c>
      <c r="EJ41" s="120">
        <v>0</v>
      </c>
      <c r="EK41" s="56"/>
      <c r="EL41" s="56"/>
      <c r="EM41" s="56"/>
      <c r="EN41" s="56"/>
      <c r="EO41" s="56"/>
      <c r="EP41" s="151"/>
      <c r="EQ41" s="151"/>
      <c r="ER41" s="129"/>
      <c r="ES41" s="11">
        <v>0</v>
      </c>
      <c r="ET41" s="11">
        <f>COUNTIF(DW17:DW383,ES41)</f>
        <v>33</v>
      </c>
      <c r="EU41" s="62">
        <f>(ET41/ET42)</f>
        <v>0.62264150943396224</v>
      </c>
      <c r="EV41" s="11">
        <v>0</v>
      </c>
      <c r="EW41" s="11">
        <f>COUNTIF(DX17:DX383,EV41)</f>
        <v>38</v>
      </c>
      <c r="EX41" s="62">
        <f>(EW41/EW42)</f>
        <v>0.73076923076923073</v>
      </c>
      <c r="EY41" s="11">
        <v>0</v>
      </c>
      <c r="EZ41" s="11">
        <f>COUNTIF(DY17:DY383,EY41)</f>
        <v>32</v>
      </c>
      <c r="FA41" s="62">
        <f>(EZ41/EZ42)</f>
        <v>0.62745098039215685</v>
      </c>
      <c r="FB41" s="11">
        <v>0</v>
      </c>
      <c r="FC41" s="11">
        <f>COUNTIF(DZ17:DZ383,FB41)</f>
        <v>27</v>
      </c>
      <c r="FD41" s="62">
        <f>(FC41/FC42)</f>
        <v>0.54</v>
      </c>
      <c r="FE41" s="11">
        <v>0</v>
      </c>
      <c r="FF41" s="11">
        <f>COUNTIF(EA17:EA383,FE41)</f>
        <v>32</v>
      </c>
      <c r="FG41" s="62">
        <f>(FF41/FF42)</f>
        <v>0.65306122448979587</v>
      </c>
      <c r="FH41" s="11">
        <v>0</v>
      </c>
      <c r="FI41" s="11">
        <f>COUNTIF(EB17:EB383,FH41)</f>
        <v>25</v>
      </c>
      <c r="FJ41" s="62">
        <f>(FI41/FI42)</f>
        <v>0.52083333333333337</v>
      </c>
      <c r="FK41" s="129">
        <v>2</v>
      </c>
      <c r="FL41" s="174">
        <v>533</v>
      </c>
      <c r="FM41" s="56"/>
      <c r="FN41" s="56">
        <v>2</v>
      </c>
      <c r="FO41" s="56">
        <v>2</v>
      </c>
      <c r="FP41" s="56">
        <v>1</v>
      </c>
      <c r="FQ41" s="56">
        <v>1</v>
      </c>
      <c r="FR41" s="56">
        <v>2</v>
      </c>
      <c r="FS41" s="56">
        <v>1</v>
      </c>
      <c r="FT41" s="56">
        <v>1</v>
      </c>
      <c r="FU41" s="56">
        <v>1</v>
      </c>
      <c r="FV41" s="56">
        <v>1</v>
      </c>
      <c r="FW41" s="56">
        <v>2</v>
      </c>
      <c r="FX41" s="56">
        <v>3</v>
      </c>
      <c r="FY41" s="56">
        <v>0</v>
      </c>
      <c r="FZ41" s="56">
        <v>2</v>
      </c>
      <c r="GA41" s="56">
        <v>2</v>
      </c>
      <c r="GB41" s="56">
        <v>1</v>
      </c>
      <c r="GC41" s="56">
        <v>3</v>
      </c>
      <c r="GD41" s="56">
        <v>3</v>
      </c>
      <c r="GE41" s="56">
        <v>1</v>
      </c>
      <c r="GF41" s="56">
        <v>2</v>
      </c>
      <c r="GG41" s="56">
        <v>4</v>
      </c>
      <c r="GH41" s="56">
        <v>3</v>
      </c>
      <c r="GI41" s="56">
        <v>1</v>
      </c>
      <c r="GJ41" s="56">
        <v>2</v>
      </c>
      <c r="GK41" s="56">
        <v>0</v>
      </c>
      <c r="GL41" s="56">
        <v>1</v>
      </c>
      <c r="GM41" s="56"/>
      <c r="GN41" s="56"/>
      <c r="GO41" s="56"/>
      <c r="GP41" s="56"/>
      <c r="GQ41" s="56"/>
      <c r="GR41" s="151"/>
      <c r="GS41" s="151"/>
      <c r="GT41" s="129"/>
      <c r="GU41" s="11">
        <v>0</v>
      </c>
      <c r="GV41" s="11">
        <f>COUNTIF(FY17:FY383,GU41)</f>
        <v>6</v>
      </c>
      <c r="GW41" s="62">
        <f>(GV41/GV42)</f>
        <v>0.11320754716981132</v>
      </c>
      <c r="GX41" s="11">
        <v>0</v>
      </c>
      <c r="GY41" s="11">
        <f>COUNTIF(FZ17:FZ383,GX41)</f>
        <v>7</v>
      </c>
      <c r="GZ41" s="62">
        <f>(GY41/GY42)</f>
        <v>0.13461538461538461</v>
      </c>
      <c r="HA41" s="11">
        <v>0</v>
      </c>
      <c r="HB41" s="11">
        <f>COUNTIF(GA17:GA383,HA41)</f>
        <v>2</v>
      </c>
      <c r="HC41" s="62">
        <f>(HB41/HB42)</f>
        <v>3.9215686274509803E-2</v>
      </c>
      <c r="HD41" s="11">
        <v>0</v>
      </c>
      <c r="HE41" s="11">
        <f>COUNTIF(GB17:GB383,HD41)</f>
        <v>1</v>
      </c>
      <c r="HF41" s="62">
        <f>(HE41/HE42)</f>
        <v>0.02</v>
      </c>
      <c r="HG41" s="11">
        <v>0</v>
      </c>
      <c r="HH41" s="11">
        <f>COUNTIF(GC17:GC383,HG41)</f>
        <v>1</v>
      </c>
      <c r="HI41" s="62">
        <f>(HH41/HH42)</f>
        <v>2.0408163265306121E-2</v>
      </c>
      <c r="HJ41" s="11">
        <v>0</v>
      </c>
      <c r="HK41" s="11">
        <f>COUNTIF(GD17:GD383,HJ41)</f>
        <v>6</v>
      </c>
      <c r="HL41" s="62">
        <f>(HK41/HK42)</f>
        <v>0.125</v>
      </c>
      <c r="HN41">
        <v>4</v>
      </c>
    </row>
    <row r="42" spans="1:222" ht="17.25">
      <c r="A42" s="186"/>
      <c r="B42" s="186"/>
      <c r="C42" s="129"/>
      <c r="D42" s="52"/>
      <c r="E42" s="52"/>
      <c r="F42" s="174">
        <v>534</v>
      </c>
      <c r="G42" s="151">
        <v>4</v>
      </c>
      <c r="H42" s="151">
        <v>5</v>
      </c>
      <c r="I42" s="151">
        <v>5</v>
      </c>
      <c r="J42" s="151">
        <v>5</v>
      </c>
      <c r="K42" s="151">
        <v>5</v>
      </c>
      <c r="L42" s="151">
        <v>5</v>
      </c>
      <c r="M42" s="151">
        <v>4</v>
      </c>
      <c r="N42" s="151">
        <v>5</v>
      </c>
      <c r="O42" s="151">
        <v>6</v>
      </c>
      <c r="P42" s="151">
        <v>6</v>
      </c>
      <c r="Q42" s="151">
        <v>5</v>
      </c>
      <c r="R42" s="151">
        <v>4</v>
      </c>
      <c r="S42" s="151">
        <v>5</v>
      </c>
      <c r="T42" s="151">
        <v>5</v>
      </c>
      <c r="U42" s="151">
        <v>6</v>
      </c>
      <c r="V42" s="151">
        <v>4</v>
      </c>
      <c r="W42" s="151">
        <v>6</v>
      </c>
      <c r="X42" s="151">
        <v>5</v>
      </c>
      <c r="Y42" s="151">
        <v>3</v>
      </c>
      <c r="Z42" s="151">
        <v>6</v>
      </c>
      <c r="AA42" s="151">
        <v>6</v>
      </c>
      <c r="AB42" s="151">
        <v>4</v>
      </c>
      <c r="AC42" s="151">
        <v>6</v>
      </c>
      <c r="AD42" s="151">
        <v>4</v>
      </c>
      <c r="AE42" s="151">
        <v>4</v>
      </c>
      <c r="AF42" s="151">
        <v>6</v>
      </c>
      <c r="AG42" s="56"/>
      <c r="AH42" s="56"/>
      <c r="AI42" s="56"/>
      <c r="AJ42" s="56"/>
      <c r="AK42" s="56"/>
      <c r="AL42" s="151"/>
      <c r="AM42" s="151"/>
      <c r="AN42" s="52"/>
      <c r="AO42" s="11"/>
      <c r="AP42" s="11">
        <f>SUM(AP35:AP41)</f>
        <v>53</v>
      </c>
      <c r="AQ42" s="62">
        <f>SUM(AQ35:AQ41)</f>
        <v>1</v>
      </c>
      <c r="AR42" s="11"/>
      <c r="AS42" s="11">
        <f>SUM(AS35:AS41)</f>
        <v>52</v>
      </c>
      <c r="AT42" s="62">
        <f>SUM(AT35:AT41)</f>
        <v>0.99999999999999989</v>
      </c>
      <c r="AU42" s="11"/>
      <c r="AV42" s="11">
        <f>SUM(AV35:AV41)</f>
        <v>51</v>
      </c>
      <c r="AW42" s="62">
        <f>SUM(AW35:AW41)</f>
        <v>1</v>
      </c>
      <c r="AX42" s="11"/>
      <c r="AY42" s="11">
        <f>SUM(AY35:AY41)</f>
        <v>50</v>
      </c>
      <c r="AZ42" s="62">
        <f>SUM(AZ35:AZ41)</f>
        <v>1</v>
      </c>
      <c r="BA42" s="11"/>
      <c r="BB42" s="11">
        <f>SUM(BB35:BB41)</f>
        <v>49</v>
      </c>
      <c r="BC42" s="62">
        <f>SUM(BC35:BC41)</f>
        <v>1</v>
      </c>
      <c r="BD42" s="11"/>
      <c r="BE42" s="11">
        <f>SUM(BE35:BE41)</f>
        <v>48</v>
      </c>
      <c r="BF42" s="62">
        <f>SUM(BF35:BF41)</f>
        <v>1</v>
      </c>
      <c r="BG42" s="70"/>
      <c r="BH42" s="174">
        <v>534</v>
      </c>
      <c r="BI42" s="56">
        <v>4</v>
      </c>
      <c r="BJ42" s="56">
        <v>6</v>
      </c>
      <c r="BK42" s="56">
        <v>5</v>
      </c>
      <c r="BL42" s="56">
        <v>4</v>
      </c>
      <c r="BM42" s="56">
        <v>5</v>
      </c>
      <c r="BN42" s="56">
        <v>5</v>
      </c>
      <c r="BO42" s="120">
        <v>4</v>
      </c>
      <c r="BP42" s="120">
        <v>4</v>
      </c>
      <c r="BQ42" s="56">
        <v>5</v>
      </c>
      <c r="BR42" s="56">
        <v>5</v>
      </c>
      <c r="BS42" s="56">
        <v>4</v>
      </c>
      <c r="BT42" s="120">
        <v>4</v>
      </c>
      <c r="BU42" s="120">
        <v>4</v>
      </c>
      <c r="BV42" s="120">
        <v>4</v>
      </c>
      <c r="BW42" s="120">
        <v>6</v>
      </c>
      <c r="BX42" s="120">
        <v>4</v>
      </c>
      <c r="BY42" s="120">
        <v>5</v>
      </c>
      <c r="BZ42" s="120">
        <v>5</v>
      </c>
      <c r="CA42" s="120">
        <v>3</v>
      </c>
      <c r="CB42" s="120">
        <v>4</v>
      </c>
      <c r="CC42" s="120">
        <v>5</v>
      </c>
      <c r="CD42" s="120">
        <v>2</v>
      </c>
      <c r="CE42" s="120">
        <v>6</v>
      </c>
      <c r="CF42" s="120">
        <v>3</v>
      </c>
      <c r="CG42" s="120">
        <v>3</v>
      </c>
      <c r="CH42" s="120">
        <v>6</v>
      </c>
      <c r="CI42" s="56"/>
      <c r="CJ42" s="56"/>
      <c r="CK42" s="56"/>
      <c r="CL42" s="56"/>
      <c r="CM42" s="56"/>
      <c r="CN42" s="151"/>
      <c r="CO42" s="151"/>
      <c r="CP42" s="52"/>
      <c r="CQ42" s="11"/>
      <c r="CR42" s="11">
        <f>SUM(CR35:CR41)</f>
        <v>53</v>
      </c>
      <c r="CS42" s="62">
        <f>SUM(CS35:CS41)</f>
        <v>1</v>
      </c>
      <c r="CT42" s="11"/>
      <c r="CU42" s="11">
        <f>SUM(CU35:CU41)</f>
        <v>52</v>
      </c>
      <c r="CV42" s="62">
        <f>SUM(CV35:CV41)</f>
        <v>1</v>
      </c>
      <c r="CW42" s="11"/>
      <c r="CX42" s="11">
        <f>SUM(CX35:CX41)</f>
        <v>51</v>
      </c>
      <c r="CY42" s="62">
        <f>SUM(CY35:CY41)</f>
        <v>1</v>
      </c>
      <c r="CZ42" s="11"/>
      <c r="DA42" s="11">
        <f>SUM(DA35:DA41)</f>
        <v>50</v>
      </c>
      <c r="DB42" s="62">
        <f>SUM(DB35:DB41)</f>
        <v>1</v>
      </c>
      <c r="DC42" s="11"/>
      <c r="DD42" s="11">
        <f>SUM(DD35:DD41)</f>
        <v>49</v>
      </c>
      <c r="DE42" s="62">
        <f>SUM(DE35:DE41)</f>
        <v>1</v>
      </c>
      <c r="DF42" s="11"/>
      <c r="DG42" s="11">
        <f>SUM(DG35:DG41)</f>
        <v>48</v>
      </c>
      <c r="DH42" s="62">
        <f>SUM(DH35:DH41)</f>
        <v>1</v>
      </c>
      <c r="DI42" s="70"/>
      <c r="DJ42" s="174">
        <v>534</v>
      </c>
      <c r="DK42" s="120">
        <v>1</v>
      </c>
      <c r="DL42" s="120">
        <v>0</v>
      </c>
      <c r="DM42" s="120">
        <v>1</v>
      </c>
      <c r="DN42" s="120">
        <v>1</v>
      </c>
      <c r="DO42" s="120">
        <v>0</v>
      </c>
      <c r="DP42" s="120">
        <v>0</v>
      </c>
      <c r="DQ42" s="120">
        <v>0</v>
      </c>
      <c r="DR42" s="120">
        <v>1</v>
      </c>
      <c r="DS42" s="120">
        <v>1</v>
      </c>
      <c r="DT42" s="120">
        <v>1</v>
      </c>
      <c r="DU42" s="120">
        <v>1</v>
      </c>
      <c r="DV42" s="120">
        <v>0</v>
      </c>
      <c r="DW42" s="120">
        <v>1</v>
      </c>
      <c r="DX42" s="120">
        <v>1</v>
      </c>
      <c r="DY42" s="120">
        <v>0</v>
      </c>
      <c r="DZ42" s="120">
        <v>0</v>
      </c>
      <c r="EA42" s="120">
        <v>1</v>
      </c>
      <c r="EB42" s="120">
        <v>0</v>
      </c>
      <c r="EC42" s="120">
        <v>0</v>
      </c>
      <c r="ED42" s="120">
        <v>2</v>
      </c>
      <c r="EE42" s="120">
        <v>1</v>
      </c>
      <c r="EF42" s="120">
        <v>2</v>
      </c>
      <c r="EG42" s="120">
        <v>0</v>
      </c>
      <c r="EH42" s="120">
        <v>1</v>
      </c>
      <c r="EI42" s="120">
        <v>1</v>
      </c>
      <c r="EJ42" s="120">
        <v>0</v>
      </c>
      <c r="EK42" s="56"/>
      <c r="EL42" s="56"/>
      <c r="EM42" s="56"/>
      <c r="EN42" s="56"/>
      <c r="EO42" s="56"/>
      <c r="EP42" s="151"/>
      <c r="EQ42" s="151"/>
      <c r="ER42" s="52"/>
      <c r="ES42" s="11"/>
      <c r="ET42" s="11">
        <f>SUM(ET35:ET41)</f>
        <v>53</v>
      </c>
      <c r="EU42" s="62">
        <f>SUM(EU35:EU41)</f>
        <v>1</v>
      </c>
      <c r="EV42" s="11"/>
      <c r="EW42" s="11">
        <f>SUM(EW35:EW41)</f>
        <v>52</v>
      </c>
      <c r="EX42" s="62">
        <f>SUM(EX35:EX41)</f>
        <v>1</v>
      </c>
      <c r="EY42" s="11"/>
      <c r="EZ42" s="11">
        <f>SUM(EZ35:EZ41)</f>
        <v>51</v>
      </c>
      <c r="FA42" s="62">
        <f>SUM(FA35:FA41)</f>
        <v>1</v>
      </c>
      <c r="FB42" s="11"/>
      <c r="FC42" s="11">
        <f>SUM(FC35:FC41)</f>
        <v>50</v>
      </c>
      <c r="FD42" s="62">
        <f>SUM(FD35:FD41)</f>
        <v>1</v>
      </c>
      <c r="FE42" s="11"/>
      <c r="FF42" s="11">
        <f>SUM(FF35:FF41)</f>
        <v>49</v>
      </c>
      <c r="FG42" s="62">
        <f>SUM(FG35:FG41)</f>
        <v>1</v>
      </c>
      <c r="FH42" s="11"/>
      <c r="FI42" s="11">
        <f>SUM(FI35:FI41)</f>
        <v>48</v>
      </c>
      <c r="FJ42" s="62">
        <f>SUM(FJ35:FJ41)</f>
        <v>1</v>
      </c>
      <c r="FK42" s="129"/>
      <c r="FL42" s="174">
        <v>534</v>
      </c>
      <c r="FM42" s="56"/>
      <c r="FN42" s="56">
        <v>1</v>
      </c>
      <c r="FO42" s="56">
        <v>3</v>
      </c>
      <c r="FP42" s="56">
        <v>1</v>
      </c>
      <c r="FQ42" s="56">
        <v>3</v>
      </c>
      <c r="FR42" s="56">
        <v>1</v>
      </c>
      <c r="FS42" s="56">
        <v>1</v>
      </c>
      <c r="FT42" s="56">
        <v>3</v>
      </c>
      <c r="FU42" s="56">
        <v>2</v>
      </c>
      <c r="FV42" s="56">
        <v>1</v>
      </c>
      <c r="FW42" s="56">
        <v>0</v>
      </c>
      <c r="FX42" s="56">
        <v>1</v>
      </c>
      <c r="FY42" s="56">
        <v>2</v>
      </c>
      <c r="FZ42" s="56">
        <v>1</v>
      </c>
      <c r="GA42" s="56">
        <v>2</v>
      </c>
      <c r="GB42" s="56">
        <v>2</v>
      </c>
      <c r="GC42" s="56">
        <v>3</v>
      </c>
      <c r="GD42" s="56">
        <v>3</v>
      </c>
      <c r="GE42" s="56">
        <v>3</v>
      </c>
      <c r="GF42" s="56">
        <v>2</v>
      </c>
      <c r="GG42" s="56">
        <v>2</v>
      </c>
      <c r="GH42" s="56">
        <v>2</v>
      </c>
      <c r="GI42" s="56">
        <v>0</v>
      </c>
      <c r="GJ42" s="56">
        <v>1</v>
      </c>
      <c r="GK42" s="56">
        <v>1</v>
      </c>
      <c r="GL42" s="56">
        <v>1</v>
      </c>
      <c r="GM42" s="56"/>
      <c r="GN42" s="56"/>
      <c r="GO42" s="56"/>
      <c r="GP42" s="56"/>
      <c r="GQ42" s="56"/>
      <c r="GR42" s="151"/>
      <c r="GS42" s="151"/>
      <c r="GT42" s="52"/>
      <c r="GU42" s="11"/>
      <c r="GV42" s="11">
        <f>SUM(GV35:GV41)</f>
        <v>53</v>
      </c>
      <c r="GW42" s="62">
        <f>SUM(GW35:GW41)</f>
        <v>1</v>
      </c>
      <c r="GX42" s="11"/>
      <c r="GY42" s="11">
        <f>SUM(GY35:GY41)</f>
        <v>52</v>
      </c>
      <c r="GZ42" s="62">
        <f>SUM(GZ35:GZ41)</f>
        <v>0.99999999999999989</v>
      </c>
      <c r="HA42" s="11"/>
      <c r="HB42" s="11">
        <f>SUM(HB35:HB41)</f>
        <v>51</v>
      </c>
      <c r="HC42" s="62">
        <f>SUM(HC35:HC41)</f>
        <v>0.99999999999999989</v>
      </c>
      <c r="HD42" s="11"/>
      <c r="HE42" s="11">
        <f>SUM(HE35:HE41)</f>
        <v>50</v>
      </c>
      <c r="HF42" s="62">
        <f>SUM(HF35:HF41)</f>
        <v>1</v>
      </c>
      <c r="HG42" s="11"/>
      <c r="HH42" s="11">
        <f>SUM(HH35:HH41)</f>
        <v>49</v>
      </c>
      <c r="HI42" s="62">
        <f>SUM(HI35:HI41)</f>
        <v>1</v>
      </c>
      <c r="HJ42" s="11"/>
      <c r="HK42" s="11">
        <f>SUM(HK35:HK41)</f>
        <v>48</v>
      </c>
      <c r="HL42" s="62">
        <f>SUM(HL35:HL41)</f>
        <v>1</v>
      </c>
    </row>
    <row r="43" spans="1:222" ht="17.25">
      <c r="A43" s="186"/>
      <c r="B43" s="186"/>
      <c r="C43" s="129"/>
      <c r="D43" s="52"/>
      <c r="E43" s="52"/>
      <c r="F43" s="174">
        <v>535</v>
      </c>
      <c r="G43" s="34">
        <v>3</v>
      </c>
      <c r="H43" s="34">
        <v>5</v>
      </c>
      <c r="I43" s="34">
        <v>4</v>
      </c>
      <c r="J43" s="34">
        <v>3</v>
      </c>
      <c r="K43" s="34">
        <v>6</v>
      </c>
      <c r="L43" s="34">
        <v>3</v>
      </c>
      <c r="M43" s="34">
        <v>6</v>
      </c>
      <c r="N43" s="151">
        <v>5</v>
      </c>
      <c r="O43" s="151">
        <v>5</v>
      </c>
      <c r="P43" s="34">
        <v>5</v>
      </c>
      <c r="Q43" s="34">
        <v>5</v>
      </c>
      <c r="R43" s="34">
        <v>5</v>
      </c>
      <c r="S43" s="34">
        <v>4</v>
      </c>
      <c r="T43" s="34">
        <v>5</v>
      </c>
      <c r="U43" s="34">
        <v>5</v>
      </c>
      <c r="V43" s="34">
        <v>5</v>
      </c>
      <c r="W43" s="34">
        <v>4</v>
      </c>
      <c r="X43" s="34">
        <v>3</v>
      </c>
      <c r="Y43" s="34">
        <v>6</v>
      </c>
      <c r="Z43" s="34">
        <v>6</v>
      </c>
      <c r="AA43" s="34">
        <v>5</v>
      </c>
      <c r="AB43" s="34">
        <v>4</v>
      </c>
      <c r="AC43" s="34">
        <v>4</v>
      </c>
      <c r="AD43" s="34">
        <v>4</v>
      </c>
      <c r="AE43" s="34">
        <v>5</v>
      </c>
      <c r="AF43" s="34">
        <v>5</v>
      </c>
      <c r="AG43" s="56"/>
      <c r="AH43" s="56"/>
      <c r="AI43" s="56"/>
      <c r="AJ43" s="56"/>
      <c r="AK43" s="56"/>
      <c r="AL43" s="151"/>
      <c r="AM43" s="151"/>
      <c r="AN43" s="52"/>
      <c r="AO43" s="631" t="s">
        <v>202</v>
      </c>
      <c r="AP43" s="632"/>
      <c r="AQ43" s="632"/>
      <c r="AR43" s="631" t="s">
        <v>203</v>
      </c>
      <c r="AS43" s="632"/>
      <c r="AT43" s="632"/>
      <c r="AU43" s="631" t="s">
        <v>204</v>
      </c>
      <c r="AV43" s="632"/>
      <c r="AW43" s="632"/>
      <c r="AX43" s="631" t="s">
        <v>301</v>
      </c>
      <c r="AY43" s="632"/>
      <c r="AZ43" s="632"/>
      <c r="BA43" s="631" t="s">
        <v>302</v>
      </c>
      <c r="BB43" s="632"/>
      <c r="BC43" s="632"/>
      <c r="BD43" s="631" t="s">
        <v>303</v>
      </c>
      <c r="BE43" s="632"/>
      <c r="BF43" s="632"/>
      <c r="BG43" s="70"/>
      <c r="BH43" s="174">
        <v>535</v>
      </c>
      <c r="BI43" s="121">
        <v>4</v>
      </c>
      <c r="BJ43" s="121">
        <v>5</v>
      </c>
      <c r="BK43" s="121">
        <v>3</v>
      </c>
      <c r="BL43" s="121">
        <v>4</v>
      </c>
      <c r="BM43" s="121">
        <v>6</v>
      </c>
      <c r="BN43" s="121">
        <v>3</v>
      </c>
      <c r="BO43" s="121">
        <v>4</v>
      </c>
      <c r="BP43" s="121">
        <v>4</v>
      </c>
      <c r="BQ43" s="121">
        <v>3</v>
      </c>
      <c r="BR43" s="121">
        <v>5</v>
      </c>
      <c r="BS43" s="121">
        <v>5</v>
      </c>
      <c r="BT43" s="121">
        <v>5</v>
      </c>
      <c r="BU43" s="120">
        <v>4</v>
      </c>
      <c r="BV43" s="120">
        <v>4</v>
      </c>
      <c r="BW43" s="120">
        <v>5</v>
      </c>
      <c r="BX43" s="120">
        <v>5</v>
      </c>
      <c r="BY43" s="120">
        <v>4</v>
      </c>
      <c r="BZ43" s="120">
        <v>3</v>
      </c>
      <c r="CA43" s="120">
        <v>5</v>
      </c>
      <c r="CB43" s="120">
        <v>5</v>
      </c>
      <c r="CC43" s="120">
        <v>4</v>
      </c>
      <c r="CD43" s="120">
        <v>4</v>
      </c>
      <c r="CE43" s="120">
        <v>3</v>
      </c>
      <c r="CF43" s="120">
        <v>3</v>
      </c>
      <c r="CG43" s="120">
        <v>5</v>
      </c>
      <c r="CH43" s="120">
        <v>5</v>
      </c>
      <c r="CI43" s="56"/>
      <c r="CJ43" s="56"/>
      <c r="CK43" s="56"/>
      <c r="CL43" s="56"/>
      <c r="CM43" s="56"/>
      <c r="CN43" s="151"/>
      <c r="CO43" s="151"/>
      <c r="CP43" s="52"/>
      <c r="CQ43" s="631" t="s">
        <v>202</v>
      </c>
      <c r="CR43" s="632"/>
      <c r="CS43" s="632"/>
      <c r="CT43" s="631" t="s">
        <v>203</v>
      </c>
      <c r="CU43" s="632"/>
      <c r="CV43" s="632"/>
      <c r="CW43" s="631" t="s">
        <v>204</v>
      </c>
      <c r="CX43" s="632"/>
      <c r="CY43" s="632"/>
      <c r="CZ43" s="631" t="s">
        <v>301</v>
      </c>
      <c r="DA43" s="632"/>
      <c r="DB43" s="632"/>
      <c r="DC43" s="631" t="s">
        <v>302</v>
      </c>
      <c r="DD43" s="632"/>
      <c r="DE43" s="632"/>
      <c r="DF43" s="631" t="s">
        <v>303</v>
      </c>
      <c r="DG43" s="632"/>
      <c r="DH43" s="632"/>
      <c r="DI43" s="70"/>
      <c r="DJ43" s="174">
        <v>535</v>
      </c>
      <c r="DK43" s="121">
        <v>0</v>
      </c>
      <c r="DL43" s="121">
        <v>0</v>
      </c>
      <c r="DM43" s="121">
        <v>1</v>
      </c>
      <c r="DN43" s="121">
        <v>0</v>
      </c>
      <c r="DO43" s="120">
        <v>0</v>
      </c>
      <c r="DP43" s="121">
        <v>1</v>
      </c>
      <c r="DQ43" s="121">
        <v>2</v>
      </c>
      <c r="DR43" s="121">
        <v>1</v>
      </c>
      <c r="DS43" s="121">
        <v>2</v>
      </c>
      <c r="DT43" s="121">
        <v>0</v>
      </c>
      <c r="DU43" s="121">
        <v>0</v>
      </c>
      <c r="DV43" s="121">
        <v>0</v>
      </c>
      <c r="DW43" s="120">
        <v>0</v>
      </c>
      <c r="DX43" s="120">
        <v>1</v>
      </c>
      <c r="DY43" s="120">
        <v>0</v>
      </c>
      <c r="DZ43" s="120">
        <v>0</v>
      </c>
      <c r="EA43" s="120">
        <v>0</v>
      </c>
      <c r="EB43" s="120">
        <v>0</v>
      </c>
      <c r="EC43" s="120">
        <v>1</v>
      </c>
      <c r="ED43" s="120">
        <v>1</v>
      </c>
      <c r="EE43" s="120">
        <v>1</v>
      </c>
      <c r="EF43" s="120">
        <v>0</v>
      </c>
      <c r="EG43" s="120">
        <v>1</v>
      </c>
      <c r="EH43" s="120">
        <v>1</v>
      </c>
      <c r="EI43" s="120">
        <v>0</v>
      </c>
      <c r="EJ43" s="120">
        <v>0</v>
      </c>
      <c r="EK43" s="56"/>
      <c r="EL43" s="56"/>
      <c r="EM43" s="56"/>
      <c r="EN43" s="56"/>
      <c r="EO43" s="56"/>
      <c r="EP43" s="151"/>
      <c r="EQ43" s="151"/>
      <c r="ER43" s="52"/>
      <c r="ES43" s="631" t="s">
        <v>202</v>
      </c>
      <c r="ET43" s="632"/>
      <c r="EU43" s="632"/>
      <c r="EV43" s="631" t="s">
        <v>203</v>
      </c>
      <c r="EW43" s="632"/>
      <c r="EX43" s="632"/>
      <c r="EY43" s="631" t="s">
        <v>204</v>
      </c>
      <c r="EZ43" s="632"/>
      <c r="FA43" s="632"/>
      <c r="FB43" s="631" t="s">
        <v>301</v>
      </c>
      <c r="FC43" s="632"/>
      <c r="FD43" s="632"/>
      <c r="FE43" s="631" t="s">
        <v>302</v>
      </c>
      <c r="FF43" s="632"/>
      <c r="FG43" s="632"/>
      <c r="FH43" s="631" t="s">
        <v>303</v>
      </c>
      <c r="FI43" s="632"/>
      <c r="FJ43" s="632"/>
      <c r="FL43" s="174">
        <v>535</v>
      </c>
      <c r="FM43" s="78"/>
      <c r="FN43" s="78">
        <v>2</v>
      </c>
      <c r="FO43" s="78">
        <v>2</v>
      </c>
      <c r="FP43" s="78">
        <v>4</v>
      </c>
      <c r="FQ43" s="78">
        <v>3</v>
      </c>
      <c r="FR43" s="78">
        <v>4</v>
      </c>
      <c r="FS43" s="78">
        <v>2</v>
      </c>
      <c r="FT43" s="78">
        <v>2</v>
      </c>
      <c r="FU43" s="78">
        <v>3</v>
      </c>
      <c r="FV43" s="78">
        <v>2</v>
      </c>
      <c r="FW43" s="78">
        <v>1</v>
      </c>
      <c r="FX43" s="78">
        <v>1</v>
      </c>
      <c r="FY43" s="78">
        <v>3</v>
      </c>
      <c r="FZ43" s="78">
        <v>3</v>
      </c>
      <c r="GA43" s="78">
        <v>1</v>
      </c>
      <c r="GB43" s="78">
        <v>3</v>
      </c>
      <c r="GC43" s="78">
        <v>1</v>
      </c>
      <c r="GD43" s="78">
        <v>1</v>
      </c>
      <c r="GE43" s="78">
        <v>2</v>
      </c>
      <c r="GF43" s="78">
        <v>1</v>
      </c>
      <c r="GG43" s="78">
        <v>2</v>
      </c>
      <c r="GH43" s="78">
        <v>1</v>
      </c>
      <c r="GI43" s="78">
        <v>0</v>
      </c>
      <c r="GJ43" s="78">
        <v>3</v>
      </c>
      <c r="GK43" s="78">
        <v>2</v>
      </c>
      <c r="GL43" s="78">
        <v>1</v>
      </c>
      <c r="GM43" s="56"/>
      <c r="GN43" s="56"/>
      <c r="GO43" s="56"/>
      <c r="GP43" s="56"/>
      <c r="GQ43" s="56"/>
      <c r="GR43" s="151"/>
      <c r="GS43" s="151"/>
      <c r="GT43" s="52"/>
      <c r="GU43" s="631" t="s">
        <v>202</v>
      </c>
      <c r="GV43" s="632"/>
      <c r="GW43" s="632"/>
      <c r="GX43" s="631" t="s">
        <v>203</v>
      </c>
      <c r="GY43" s="632"/>
      <c r="GZ43" s="632"/>
      <c r="HA43" s="631" t="s">
        <v>204</v>
      </c>
      <c r="HB43" s="632"/>
      <c r="HC43" s="632"/>
      <c r="HD43" s="631" t="s">
        <v>301</v>
      </c>
      <c r="HE43" s="632"/>
      <c r="HF43" s="632"/>
      <c r="HG43" s="631" t="s">
        <v>302</v>
      </c>
      <c r="HH43" s="632"/>
      <c r="HI43" s="632"/>
      <c r="HJ43" s="631" t="s">
        <v>303</v>
      </c>
      <c r="HK43" s="632"/>
      <c r="HL43" s="632"/>
    </row>
    <row r="44" spans="1:222" ht="17.25">
      <c r="A44" s="186"/>
      <c r="B44" s="186"/>
      <c r="C44" s="129"/>
      <c r="D44" s="52"/>
      <c r="E44" s="52"/>
      <c r="F44" s="174">
        <v>536</v>
      </c>
      <c r="G44" s="151">
        <v>6</v>
      </c>
      <c r="H44" s="151">
        <v>5</v>
      </c>
      <c r="I44" s="151">
        <v>5</v>
      </c>
      <c r="J44" s="151">
        <v>5</v>
      </c>
      <c r="K44" s="151">
        <v>4</v>
      </c>
      <c r="L44" s="151">
        <v>6</v>
      </c>
      <c r="M44" s="151">
        <v>6</v>
      </c>
      <c r="N44" s="151">
        <v>6</v>
      </c>
      <c r="O44" s="151">
        <v>3</v>
      </c>
      <c r="P44" s="151">
        <v>3</v>
      </c>
      <c r="Q44" s="151">
        <v>4</v>
      </c>
      <c r="R44" s="151">
        <v>6</v>
      </c>
      <c r="S44" s="151">
        <v>6</v>
      </c>
      <c r="T44" s="151">
        <v>5</v>
      </c>
      <c r="U44" s="151">
        <v>6</v>
      </c>
      <c r="V44" s="151">
        <v>3</v>
      </c>
      <c r="W44" s="151">
        <v>5</v>
      </c>
      <c r="X44" s="151">
        <v>5</v>
      </c>
      <c r="Y44" s="151">
        <v>5</v>
      </c>
      <c r="Z44" s="151">
        <v>3</v>
      </c>
      <c r="AA44" s="151">
        <v>6</v>
      </c>
      <c r="AB44" s="151">
        <v>6</v>
      </c>
      <c r="AC44" s="151">
        <v>6</v>
      </c>
      <c r="AD44" s="151">
        <v>5</v>
      </c>
      <c r="AE44" s="151">
        <v>6</v>
      </c>
      <c r="AF44" s="151">
        <v>6</v>
      </c>
      <c r="AG44" s="56"/>
      <c r="AH44" s="56"/>
      <c r="AI44" s="56"/>
      <c r="AJ44" s="56"/>
      <c r="AK44" s="56"/>
      <c r="AL44" s="151"/>
      <c r="AM44" s="151"/>
      <c r="AN44" s="52"/>
      <c r="AO44" s="11">
        <v>6</v>
      </c>
      <c r="AP44" s="11">
        <f>COUNTIF(Y17:Y383,AO44)</f>
        <v>11</v>
      </c>
      <c r="AQ44" s="62">
        <f>(AP44/AP51)</f>
        <v>0.23404255319148937</v>
      </c>
      <c r="AR44" s="11">
        <v>6</v>
      </c>
      <c r="AS44" s="11">
        <f>COUNTIF(Z17:Z383,AR44)</f>
        <v>9</v>
      </c>
      <c r="AT44" s="62">
        <f>(AS44/AS51)</f>
        <v>0.19565217391304349</v>
      </c>
      <c r="AU44" s="11">
        <v>6</v>
      </c>
      <c r="AV44" s="11">
        <f>COUNTIF(AA17:AA383,AU44)</f>
        <v>10</v>
      </c>
      <c r="AW44" s="62">
        <f t="shared" ref="AW44" si="0">(AV44/AV51)</f>
        <v>0.22222222222222221</v>
      </c>
      <c r="AX44" s="11">
        <v>6</v>
      </c>
      <c r="AY44" s="11">
        <f>COUNTIF(AB17:AB383,AX44)</f>
        <v>12</v>
      </c>
      <c r="AZ44" s="62">
        <f t="shared" ref="AZ44" si="1">(AY44/AY51)</f>
        <v>0.27272727272727271</v>
      </c>
      <c r="BA44" s="11">
        <v>6</v>
      </c>
      <c r="BB44" s="11">
        <f>COUNTIF(AC17:AC383,BA44)</f>
        <v>9</v>
      </c>
      <c r="BC44" s="62">
        <f t="shared" ref="BC44" si="2">(BB44/BB51)</f>
        <v>0.20930232558139536</v>
      </c>
      <c r="BD44" s="11">
        <v>6</v>
      </c>
      <c r="BE44" s="11">
        <f>COUNTIF(AD17:AD383,BD44)</f>
        <v>10</v>
      </c>
      <c r="BF44" s="62">
        <f t="shared" ref="BF44" si="3">(BE44/BE51)</f>
        <v>0.23809523809523808</v>
      </c>
      <c r="BG44" s="70"/>
      <c r="BH44" s="174">
        <v>536</v>
      </c>
      <c r="BI44" s="121">
        <v>6</v>
      </c>
      <c r="BJ44" s="121">
        <v>5</v>
      </c>
      <c r="BK44" s="121">
        <v>4</v>
      </c>
      <c r="BL44" s="121">
        <v>5</v>
      </c>
      <c r="BM44" s="121">
        <v>5</v>
      </c>
      <c r="BN44" s="121">
        <v>5</v>
      </c>
      <c r="BO44" s="121">
        <v>5</v>
      </c>
      <c r="BP44" s="121">
        <v>6</v>
      </c>
      <c r="BQ44" s="121">
        <v>3</v>
      </c>
      <c r="BR44" s="121">
        <v>3</v>
      </c>
      <c r="BS44" s="121">
        <v>4</v>
      </c>
      <c r="BT44" s="121">
        <v>5</v>
      </c>
      <c r="BU44" s="120">
        <v>6</v>
      </c>
      <c r="BV44" s="120">
        <v>5</v>
      </c>
      <c r="BW44" s="120">
        <v>6</v>
      </c>
      <c r="BX44" s="120">
        <v>2</v>
      </c>
      <c r="BY44" s="120">
        <v>5</v>
      </c>
      <c r="BZ44" s="120">
        <v>3</v>
      </c>
      <c r="CA44" s="120">
        <v>5</v>
      </c>
      <c r="CB44" s="120">
        <v>3</v>
      </c>
      <c r="CC44" s="120">
        <v>5</v>
      </c>
      <c r="CD44" s="120">
        <v>5</v>
      </c>
      <c r="CE44" s="120">
        <v>6</v>
      </c>
      <c r="CF44" s="120">
        <v>5</v>
      </c>
      <c r="CG44" s="120">
        <v>6</v>
      </c>
      <c r="CH44" s="120">
        <v>6</v>
      </c>
      <c r="CI44" s="56"/>
      <c r="CJ44" s="56"/>
      <c r="CK44" s="56"/>
      <c r="CL44" s="56"/>
      <c r="CM44" s="56"/>
      <c r="CN44" s="151"/>
      <c r="CO44" s="151"/>
      <c r="CP44" s="52"/>
      <c r="CQ44" s="11">
        <v>6</v>
      </c>
      <c r="CR44" s="11">
        <f>COUNTIF(CA17:CA383,CQ44)</f>
        <v>5</v>
      </c>
      <c r="CS44" s="62">
        <f>(CR44/CR51)</f>
        <v>0.10638297872340426</v>
      </c>
      <c r="CT44" s="11">
        <v>6</v>
      </c>
      <c r="CU44" s="11">
        <f>COUNTIF(CB17:CB383,CT44)</f>
        <v>3</v>
      </c>
      <c r="CV44" s="62">
        <f>(CU44/CU51)</f>
        <v>6.5217391304347824E-2</v>
      </c>
      <c r="CW44" s="11">
        <v>6</v>
      </c>
      <c r="CX44" s="11">
        <f>COUNTIF(CC17:CC383,CW44)</f>
        <v>6</v>
      </c>
      <c r="CY44" s="62">
        <f t="shared" ref="CY44" si="4">(CX44/CX51)</f>
        <v>0.13333333333333333</v>
      </c>
      <c r="CZ44" s="11">
        <v>6</v>
      </c>
      <c r="DA44" s="11">
        <f>COUNTIF(CD17:CD383,CZ44)</f>
        <v>10</v>
      </c>
      <c r="DB44" s="62">
        <f t="shared" ref="DB44" si="5">(DA44/DA51)</f>
        <v>0.22727272727272727</v>
      </c>
      <c r="DC44" s="11">
        <v>6</v>
      </c>
      <c r="DD44" s="11">
        <f>COUNTIF(CE17:CE383,DC44)</f>
        <v>5</v>
      </c>
      <c r="DE44" s="62">
        <f t="shared" ref="DE44" si="6">(DD44/DD51)</f>
        <v>0.11627906976744186</v>
      </c>
      <c r="DF44" s="11">
        <v>6</v>
      </c>
      <c r="DG44" s="11">
        <f>COUNTIF(CF17:CF383,DF44)</f>
        <v>8</v>
      </c>
      <c r="DH44" s="62">
        <f t="shared" ref="DH44" si="7">(DG44/DG51)</f>
        <v>0.19047619047619047</v>
      </c>
      <c r="DI44" s="70"/>
      <c r="DJ44" s="174">
        <v>536</v>
      </c>
      <c r="DK44" s="121">
        <v>0</v>
      </c>
      <c r="DL44" s="121">
        <v>0</v>
      </c>
      <c r="DM44" s="121">
        <v>1</v>
      </c>
      <c r="DN44" s="121">
        <v>0</v>
      </c>
      <c r="DO44" s="120">
        <v>0</v>
      </c>
      <c r="DP44" s="121">
        <v>1</v>
      </c>
      <c r="DQ44" s="121">
        <v>1</v>
      </c>
      <c r="DR44" s="121">
        <v>0</v>
      </c>
      <c r="DS44" s="121">
        <v>0</v>
      </c>
      <c r="DT44" s="121">
        <v>0</v>
      </c>
      <c r="DU44" s="121">
        <v>0</v>
      </c>
      <c r="DV44" s="121">
        <v>1</v>
      </c>
      <c r="DW44" s="120">
        <v>0</v>
      </c>
      <c r="DX44" s="120">
        <v>0</v>
      </c>
      <c r="DY44" s="120">
        <v>0</v>
      </c>
      <c r="DZ44" s="120">
        <v>1</v>
      </c>
      <c r="EA44" s="120">
        <v>0</v>
      </c>
      <c r="EB44" s="120">
        <v>2</v>
      </c>
      <c r="EC44" s="120">
        <v>0</v>
      </c>
      <c r="ED44" s="120">
        <v>0</v>
      </c>
      <c r="EE44" s="120">
        <v>1</v>
      </c>
      <c r="EF44" s="120">
        <v>1</v>
      </c>
      <c r="EG44" s="120">
        <v>0</v>
      </c>
      <c r="EH44" s="120">
        <v>0</v>
      </c>
      <c r="EI44" s="120">
        <v>0</v>
      </c>
      <c r="EJ44" s="120">
        <v>0</v>
      </c>
      <c r="EK44" s="56"/>
      <c r="EL44" s="56"/>
      <c r="EM44" s="56"/>
      <c r="EN44" s="56"/>
      <c r="EO44" s="56"/>
      <c r="EP44" s="151"/>
      <c r="EQ44" s="151"/>
      <c r="ER44" s="52"/>
      <c r="ES44" s="11">
        <v>6</v>
      </c>
      <c r="ET44" s="11">
        <f>COUNTIF(EC17:EC383,ES44)</f>
        <v>0</v>
      </c>
      <c r="EU44" s="62">
        <f>(ET44/ET51)</f>
        <v>0</v>
      </c>
      <c r="EV44" s="11">
        <v>6</v>
      </c>
      <c r="EW44" s="11">
        <f>COUNTIF(ED17:ED383,EV44)</f>
        <v>0</v>
      </c>
      <c r="EX44" s="62">
        <f>(EW44/EW51)</f>
        <v>0</v>
      </c>
      <c r="EY44" s="11">
        <v>6</v>
      </c>
      <c r="EZ44" s="11">
        <f>COUNTIF(EE17:EE383,EY44)</f>
        <v>0</v>
      </c>
      <c r="FA44" s="62">
        <f t="shared" ref="FA44" si="8">(EZ44/EZ51)</f>
        <v>0</v>
      </c>
      <c r="FB44" s="11">
        <v>6</v>
      </c>
      <c r="FC44" s="11">
        <f>COUNTIF(EF17:EF383,FB44)</f>
        <v>0</v>
      </c>
      <c r="FD44" s="62">
        <f t="shared" ref="FD44" si="9">(FC44/FC51)</f>
        <v>0</v>
      </c>
      <c r="FE44" s="11">
        <v>6</v>
      </c>
      <c r="FF44" s="11">
        <f>COUNTIF(EG17:EG383,FE44)</f>
        <v>0</v>
      </c>
      <c r="FG44" s="62">
        <f t="shared" ref="FG44" si="10">(FF44/FF51)</f>
        <v>0</v>
      </c>
      <c r="FH44" s="11">
        <v>6</v>
      </c>
      <c r="FI44" s="11">
        <f>COUNTIF(EH17:EH383,FH44)</f>
        <v>0</v>
      </c>
      <c r="FJ44" s="62">
        <f t="shared" ref="FJ44" si="11">(FI44/FI51)</f>
        <v>0</v>
      </c>
      <c r="FL44" s="174">
        <v>536</v>
      </c>
      <c r="FM44" s="78"/>
      <c r="FN44" s="56">
        <v>2</v>
      </c>
      <c r="FO44" s="56">
        <v>5</v>
      </c>
      <c r="FP44" s="56">
        <v>3</v>
      </c>
      <c r="FQ44" s="56">
        <v>2</v>
      </c>
      <c r="FR44" s="56">
        <v>2</v>
      </c>
      <c r="FS44" s="56">
        <v>2</v>
      </c>
      <c r="FT44" s="56">
        <v>2</v>
      </c>
      <c r="FU44" s="56">
        <v>1</v>
      </c>
      <c r="FV44" s="56">
        <v>0</v>
      </c>
      <c r="FW44" s="56">
        <v>3</v>
      </c>
      <c r="FX44" s="56">
        <v>3</v>
      </c>
      <c r="FY44" s="56">
        <v>3</v>
      </c>
      <c r="FZ44" s="56">
        <v>2</v>
      </c>
      <c r="GA44" s="56">
        <v>4</v>
      </c>
      <c r="GB44" s="56">
        <v>1</v>
      </c>
      <c r="GC44" s="56">
        <v>4</v>
      </c>
      <c r="GD44" s="56">
        <v>1</v>
      </c>
      <c r="GE44" s="56">
        <v>2</v>
      </c>
      <c r="GF44" s="56">
        <v>1</v>
      </c>
      <c r="GG44" s="56">
        <v>1</v>
      </c>
      <c r="GH44" s="56">
        <v>1</v>
      </c>
      <c r="GI44" s="56">
        <v>3</v>
      </c>
      <c r="GJ44" s="56">
        <v>3</v>
      </c>
      <c r="GK44" s="56">
        <v>1</v>
      </c>
      <c r="GL44" s="56">
        <v>4</v>
      </c>
      <c r="GM44" s="56"/>
      <c r="GN44" s="56"/>
      <c r="GO44" s="56"/>
      <c r="GP44" s="56"/>
      <c r="GQ44" s="56"/>
      <c r="GR44" s="151"/>
      <c r="GS44" s="151"/>
      <c r="GT44" s="52"/>
      <c r="GU44" s="11">
        <v>6</v>
      </c>
      <c r="GV44" s="11">
        <f>COUNTIF(GE17:GE383,GU44)</f>
        <v>0</v>
      </c>
      <c r="GW44" s="62">
        <f>(GV44/GV51)</f>
        <v>0</v>
      </c>
      <c r="GX44" s="11">
        <v>6</v>
      </c>
      <c r="GY44" s="11">
        <f>COUNTIF(GF17:GF383,GX44)</f>
        <v>0</v>
      </c>
      <c r="GZ44" s="62">
        <f>(GY44/GY51)</f>
        <v>0</v>
      </c>
      <c r="HA44" s="11">
        <v>6</v>
      </c>
      <c r="HB44" s="11">
        <f>COUNTIF(GG17:GG383,HA44)</f>
        <v>0</v>
      </c>
      <c r="HC44" s="62">
        <f t="shared" ref="HC44" si="12">(HB44/HB51)</f>
        <v>0</v>
      </c>
      <c r="HD44" s="11">
        <v>6</v>
      </c>
      <c r="HE44" s="11">
        <f>COUNTIF(GH17:GH383,HD44)</f>
        <v>0</v>
      </c>
      <c r="HF44" s="62">
        <f t="shared" ref="HF44" si="13">(HE44/HE51)</f>
        <v>0</v>
      </c>
      <c r="HG44" s="11">
        <v>6</v>
      </c>
      <c r="HH44" s="11">
        <f>COUNTIF(GI17:GI383,HG44)</f>
        <v>0</v>
      </c>
      <c r="HI44" s="62">
        <f t="shared" ref="HI44" si="14">(HH44/HH51)</f>
        <v>0</v>
      </c>
      <c r="HJ44" s="11">
        <v>6</v>
      </c>
      <c r="HK44" s="11">
        <f>COUNTIF(GJ17:GJ383,HJ44)</f>
        <v>0</v>
      </c>
      <c r="HL44" s="62">
        <f t="shared" ref="HL44" si="15">(HK44/HK51)</f>
        <v>0</v>
      </c>
    </row>
    <row r="45" spans="1:222" ht="17.25">
      <c r="A45" s="186"/>
      <c r="B45" s="186"/>
      <c r="C45" s="129"/>
      <c r="D45" s="52"/>
      <c r="E45" s="52"/>
      <c r="F45" s="174">
        <v>537</v>
      </c>
      <c r="G45" s="34">
        <v>5</v>
      </c>
      <c r="H45" s="151">
        <v>5</v>
      </c>
      <c r="I45" s="151">
        <v>6</v>
      </c>
      <c r="J45" s="34">
        <v>6</v>
      </c>
      <c r="K45" s="151">
        <v>6</v>
      </c>
      <c r="L45" s="151">
        <v>5</v>
      </c>
      <c r="M45" s="151">
        <v>5</v>
      </c>
      <c r="N45" s="151">
        <v>4</v>
      </c>
      <c r="O45" s="151">
        <v>6</v>
      </c>
      <c r="P45" s="151">
        <v>5</v>
      </c>
      <c r="Q45" s="151">
        <v>5</v>
      </c>
      <c r="R45" s="151">
        <v>3</v>
      </c>
      <c r="S45" s="151">
        <v>5</v>
      </c>
      <c r="T45" s="151">
        <v>5</v>
      </c>
      <c r="U45" s="151">
        <v>6</v>
      </c>
      <c r="V45" s="151">
        <v>5</v>
      </c>
      <c r="W45" s="151">
        <v>4</v>
      </c>
      <c r="X45" s="151">
        <v>5</v>
      </c>
      <c r="Y45" s="151">
        <v>4</v>
      </c>
      <c r="Z45" s="151">
        <v>5</v>
      </c>
      <c r="AA45" s="151">
        <v>6</v>
      </c>
      <c r="AB45" s="151">
        <v>6</v>
      </c>
      <c r="AC45" s="151">
        <v>5</v>
      </c>
      <c r="AD45" s="151">
        <v>3</v>
      </c>
      <c r="AE45" s="151">
        <v>4</v>
      </c>
      <c r="AF45" s="151">
        <v>5</v>
      </c>
      <c r="AG45" s="56"/>
      <c r="AH45" s="56"/>
      <c r="AI45" s="56"/>
      <c r="AJ45" s="56"/>
      <c r="AK45" s="56"/>
      <c r="AL45" s="151"/>
      <c r="AM45" s="151"/>
      <c r="AN45" s="52"/>
      <c r="AO45" s="11">
        <v>5</v>
      </c>
      <c r="AP45" s="11">
        <f>COUNTIF(Y17:Y383,AO45)</f>
        <v>19</v>
      </c>
      <c r="AQ45" s="62">
        <f>(AP45/AP51)</f>
        <v>0.40425531914893614</v>
      </c>
      <c r="AR45" s="11">
        <v>5</v>
      </c>
      <c r="AS45" s="11">
        <f>COUNTIF(Z17:Z383,AR45)</f>
        <v>22</v>
      </c>
      <c r="AT45" s="62">
        <f>(AS45/AS51)</f>
        <v>0.47826086956521741</v>
      </c>
      <c r="AU45" s="11">
        <v>5</v>
      </c>
      <c r="AV45" s="11">
        <f>COUNTIF(AA17:AA383,AU45)</f>
        <v>21</v>
      </c>
      <c r="AW45" s="62">
        <f t="shared" ref="AW45" si="16">(AV45/AV51)</f>
        <v>0.46666666666666667</v>
      </c>
      <c r="AX45" s="11">
        <v>5</v>
      </c>
      <c r="AY45" s="11">
        <f>COUNTIF(AB17:AB383,AX45)</f>
        <v>16</v>
      </c>
      <c r="AZ45" s="62">
        <f t="shared" ref="AZ45" si="17">(AY45/AY51)</f>
        <v>0.36363636363636365</v>
      </c>
      <c r="BA45" s="11">
        <v>5</v>
      </c>
      <c r="BB45" s="11">
        <f>COUNTIF(AC17:AC383,BA45)</f>
        <v>18</v>
      </c>
      <c r="BC45" s="62">
        <f t="shared" ref="BC45" si="18">(BB45/BB51)</f>
        <v>0.41860465116279072</v>
      </c>
      <c r="BD45" s="11">
        <v>5</v>
      </c>
      <c r="BE45" s="11">
        <f>COUNTIF(AD17:AD383,BD45)</f>
        <v>14</v>
      </c>
      <c r="BF45" s="62">
        <f t="shared" ref="BF45" si="19">(BE45/BE51)</f>
        <v>0.33333333333333331</v>
      </c>
      <c r="BG45" s="70"/>
      <c r="BH45" s="174">
        <v>537</v>
      </c>
      <c r="BI45" s="121">
        <v>5</v>
      </c>
      <c r="BJ45" s="121">
        <v>4</v>
      </c>
      <c r="BK45" s="121">
        <v>3</v>
      </c>
      <c r="BL45" s="121">
        <v>5</v>
      </c>
      <c r="BM45" s="121">
        <v>5</v>
      </c>
      <c r="BN45" s="121">
        <v>4</v>
      </c>
      <c r="BO45" s="121">
        <v>5</v>
      </c>
      <c r="BP45" s="121">
        <v>4</v>
      </c>
      <c r="BQ45" s="121">
        <v>6</v>
      </c>
      <c r="BR45" s="121">
        <v>5</v>
      </c>
      <c r="BS45" s="121">
        <v>4</v>
      </c>
      <c r="BT45" s="121">
        <v>2</v>
      </c>
      <c r="BU45" s="120">
        <v>5</v>
      </c>
      <c r="BV45" s="120">
        <v>5</v>
      </c>
      <c r="BW45" s="120">
        <v>5</v>
      </c>
      <c r="BX45" s="120">
        <v>4</v>
      </c>
      <c r="BY45" s="120">
        <v>4</v>
      </c>
      <c r="BZ45" s="120">
        <v>4</v>
      </c>
      <c r="CA45" s="120">
        <v>4</v>
      </c>
      <c r="CB45" s="120">
        <v>5</v>
      </c>
      <c r="CC45" s="120">
        <v>6</v>
      </c>
      <c r="CD45" s="120">
        <v>5</v>
      </c>
      <c r="CE45" s="120">
        <v>4</v>
      </c>
      <c r="CF45" s="120">
        <v>3</v>
      </c>
      <c r="CG45" s="120">
        <v>4</v>
      </c>
      <c r="CH45" s="120">
        <v>5</v>
      </c>
      <c r="CI45" s="56"/>
      <c r="CJ45" s="56"/>
      <c r="CK45" s="56"/>
      <c r="CL45" s="56"/>
      <c r="CM45" s="56"/>
      <c r="CN45" s="151"/>
      <c r="CO45" s="151"/>
      <c r="CP45" s="52"/>
      <c r="CQ45" s="11">
        <v>5</v>
      </c>
      <c r="CR45" s="11">
        <f>COUNTIF(CA17:CA383,CQ45)</f>
        <v>19</v>
      </c>
      <c r="CS45" s="62">
        <f>(CR45/CR51)</f>
        <v>0.40425531914893614</v>
      </c>
      <c r="CT45" s="11">
        <v>5</v>
      </c>
      <c r="CU45" s="11">
        <f>COUNTIF(CB17:CB383,CT45)</f>
        <v>17</v>
      </c>
      <c r="CV45" s="62">
        <f>(CU45/CU51)</f>
        <v>0.36956521739130432</v>
      </c>
      <c r="CW45" s="11">
        <v>5</v>
      </c>
      <c r="CX45" s="11">
        <f>COUNTIF(CC17:CC383,CW45)</f>
        <v>17</v>
      </c>
      <c r="CY45" s="62">
        <f t="shared" ref="CY45" si="20">(CX45/CX51)</f>
        <v>0.37777777777777777</v>
      </c>
      <c r="CZ45" s="11">
        <v>5</v>
      </c>
      <c r="DA45" s="11">
        <f>COUNTIF(CD17:CD383,CZ45)</f>
        <v>12</v>
      </c>
      <c r="DB45" s="62">
        <f t="shared" ref="DB45" si="21">(DA45/DA51)</f>
        <v>0.27272727272727271</v>
      </c>
      <c r="DC45" s="11">
        <v>5</v>
      </c>
      <c r="DD45" s="11">
        <f>COUNTIF(CE17:CE383,DC45)</f>
        <v>13</v>
      </c>
      <c r="DE45" s="62">
        <f t="shared" ref="DE45" si="22">(DD45/DD51)</f>
        <v>0.30232558139534882</v>
      </c>
      <c r="DF45" s="11">
        <v>5</v>
      </c>
      <c r="DG45" s="11">
        <f>COUNTIF(CF17:CF383,DF45)</f>
        <v>9</v>
      </c>
      <c r="DH45" s="62">
        <f t="shared" ref="DH45" si="23">(DG45/DG51)</f>
        <v>0.21428571428571427</v>
      </c>
      <c r="DI45" s="70"/>
      <c r="DJ45" s="174">
        <v>537</v>
      </c>
      <c r="DK45" s="121">
        <v>0</v>
      </c>
      <c r="DL45" s="121">
        <v>1</v>
      </c>
      <c r="DM45" s="121">
        <v>3</v>
      </c>
      <c r="DN45" s="121">
        <v>1</v>
      </c>
      <c r="DO45" s="120">
        <v>1</v>
      </c>
      <c r="DP45" s="121">
        <v>1</v>
      </c>
      <c r="DQ45" s="121">
        <v>0</v>
      </c>
      <c r="DR45" s="121">
        <v>0</v>
      </c>
      <c r="DS45" s="121">
        <v>0</v>
      </c>
      <c r="DT45" s="121">
        <v>0</v>
      </c>
      <c r="DU45" s="121">
        <v>1</v>
      </c>
      <c r="DV45" s="121">
        <v>1</v>
      </c>
      <c r="DW45" s="120">
        <v>0</v>
      </c>
      <c r="DX45" s="120">
        <v>0</v>
      </c>
      <c r="DY45" s="120">
        <v>1</v>
      </c>
      <c r="DZ45" s="120">
        <v>1</v>
      </c>
      <c r="EA45" s="120">
        <v>0</v>
      </c>
      <c r="EB45" s="120">
        <v>1</v>
      </c>
      <c r="EC45" s="120">
        <v>0</v>
      </c>
      <c r="ED45" s="120">
        <v>0</v>
      </c>
      <c r="EE45" s="120">
        <v>0</v>
      </c>
      <c r="EF45" s="120">
        <v>1</v>
      </c>
      <c r="EG45" s="120">
        <v>1</v>
      </c>
      <c r="EH45" s="120">
        <v>0</v>
      </c>
      <c r="EI45" s="120">
        <v>0</v>
      </c>
      <c r="EJ45" s="120">
        <v>0</v>
      </c>
      <c r="EK45" s="56"/>
      <c r="EL45" s="56"/>
      <c r="EM45" s="56"/>
      <c r="EN45" s="56"/>
      <c r="EO45" s="56"/>
      <c r="EP45" s="151"/>
      <c r="EQ45" s="151"/>
      <c r="ER45" s="52"/>
      <c r="ES45" s="11">
        <v>5</v>
      </c>
      <c r="ET45" s="11">
        <f>COUNTIF(EC17:EC383,ES45)</f>
        <v>0</v>
      </c>
      <c r="EU45" s="62">
        <f>(ET45/ET51)</f>
        <v>0</v>
      </c>
      <c r="EV45" s="11">
        <v>5</v>
      </c>
      <c r="EW45" s="11">
        <f>COUNTIF(ED17:ED383,EV45)</f>
        <v>0</v>
      </c>
      <c r="EX45" s="62">
        <f>(EW45/EW51)</f>
        <v>0</v>
      </c>
      <c r="EY45" s="11">
        <v>5</v>
      </c>
      <c r="EZ45" s="11">
        <f>COUNTIF(EE17:EE383,EY45)</f>
        <v>0</v>
      </c>
      <c r="FA45" s="62">
        <f t="shared" ref="FA45" si="24">(EZ45/EZ51)</f>
        <v>0</v>
      </c>
      <c r="FB45" s="11">
        <v>5</v>
      </c>
      <c r="FC45" s="11">
        <f>COUNTIF(EF17:EF383,FB45)</f>
        <v>0</v>
      </c>
      <c r="FD45" s="62">
        <f t="shared" ref="FD45" si="25">(FC45/FC51)</f>
        <v>0</v>
      </c>
      <c r="FE45" s="11">
        <v>5</v>
      </c>
      <c r="FF45" s="11">
        <f>COUNTIF(EG17:EG383,FE45)</f>
        <v>0</v>
      </c>
      <c r="FG45" s="62">
        <f t="shared" ref="FG45" si="26">(FF45/FF51)</f>
        <v>0</v>
      </c>
      <c r="FH45" s="11">
        <v>5</v>
      </c>
      <c r="FI45" s="11">
        <f>COUNTIF(EH17:EH383,FH45)</f>
        <v>0</v>
      </c>
      <c r="FJ45" s="62">
        <f t="shared" ref="FJ45" si="27">(FI45/FI51)</f>
        <v>0</v>
      </c>
      <c r="FL45" s="174">
        <v>537</v>
      </c>
      <c r="FM45" s="78"/>
      <c r="FN45" s="56">
        <v>3</v>
      </c>
      <c r="FO45" s="56">
        <v>2</v>
      </c>
      <c r="FP45" s="78">
        <v>3</v>
      </c>
      <c r="FQ45" s="56">
        <v>2</v>
      </c>
      <c r="FR45" s="56">
        <v>2</v>
      </c>
      <c r="FS45" s="56">
        <v>1</v>
      </c>
      <c r="FT45" s="56">
        <v>1</v>
      </c>
      <c r="FU45" s="56">
        <v>2</v>
      </c>
      <c r="FV45" s="56">
        <v>1</v>
      </c>
      <c r="FW45" s="56">
        <v>2</v>
      </c>
      <c r="FX45" s="56">
        <v>2</v>
      </c>
      <c r="FY45" s="56">
        <v>1</v>
      </c>
      <c r="FZ45" s="56">
        <v>1</v>
      </c>
      <c r="GA45" s="56">
        <v>2</v>
      </c>
      <c r="GB45" s="56">
        <v>2</v>
      </c>
      <c r="GC45" s="56">
        <v>1</v>
      </c>
      <c r="GD45" s="56">
        <v>1</v>
      </c>
      <c r="GE45" s="56">
        <v>3</v>
      </c>
      <c r="GF45" s="56">
        <v>3</v>
      </c>
      <c r="GG45" s="56">
        <v>3</v>
      </c>
      <c r="GH45" s="56">
        <v>3</v>
      </c>
      <c r="GI45" s="56">
        <v>3</v>
      </c>
      <c r="GJ45" s="56">
        <v>3</v>
      </c>
      <c r="GK45" s="56">
        <v>1</v>
      </c>
      <c r="GL45" s="56">
        <v>2</v>
      </c>
      <c r="GM45" s="56"/>
      <c r="GN45" s="56"/>
      <c r="GO45" s="56"/>
      <c r="GP45" s="56"/>
      <c r="GQ45" s="56"/>
      <c r="GR45" s="151"/>
      <c r="GS45" s="151"/>
      <c r="GT45" s="52"/>
      <c r="GU45" s="11">
        <v>5</v>
      </c>
      <c r="GV45" s="11">
        <f>COUNTIF(GE17:GE383,GU45)</f>
        <v>1</v>
      </c>
      <c r="GW45" s="62">
        <f>(GV45/GV51)</f>
        <v>2.1276595744680851E-2</v>
      </c>
      <c r="GX45" s="11">
        <v>5</v>
      </c>
      <c r="GY45" s="11">
        <f>COUNTIF(GF17:GF383,GX45)</f>
        <v>0</v>
      </c>
      <c r="GZ45" s="62">
        <f>(GY45/GY51)</f>
        <v>0</v>
      </c>
      <c r="HA45" s="11">
        <v>5</v>
      </c>
      <c r="HB45" s="11">
        <f>COUNTIF(GG17:GG383,HA45)</f>
        <v>1</v>
      </c>
      <c r="HC45" s="62">
        <f t="shared" ref="HC45" si="28">(HB45/HB51)</f>
        <v>2.2222222222222223E-2</v>
      </c>
      <c r="HD45" s="11">
        <v>5</v>
      </c>
      <c r="HE45" s="11">
        <f>COUNTIF(GH17:GH383,HD45)</f>
        <v>1</v>
      </c>
      <c r="HF45" s="62">
        <f t="shared" ref="HF45" si="29">(HE45/HE51)</f>
        <v>2.2727272727272728E-2</v>
      </c>
      <c r="HG45" s="11">
        <v>5</v>
      </c>
      <c r="HH45" s="11">
        <f>COUNTIF(GI17:GI383,HG45)</f>
        <v>0</v>
      </c>
      <c r="HI45" s="62">
        <f t="shared" ref="HI45" si="30">(HH45/HH51)</f>
        <v>0</v>
      </c>
      <c r="HJ45" s="11">
        <v>5</v>
      </c>
      <c r="HK45" s="11">
        <f>COUNTIF(GJ17:GJ383,HJ45)</f>
        <v>0</v>
      </c>
      <c r="HL45" s="62">
        <f t="shared" ref="HL45" si="31">(HK45/HK51)</f>
        <v>0</v>
      </c>
    </row>
    <row r="46" spans="1:222" ht="17.25">
      <c r="A46" s="186"/>
      <c r="B46" s="186"/>
      <c r="C46" s="129"/>
      <c r="D46" s="52"/>
      <c r="E46" s="52"/>
      <c r="F46" s="174">
        <v>538</v>
      </c>
      <c r="G46" s="34">
        <v>3</v>
      </c>
      <c r="H46" s="34">
        <v>5</v>
      </c>
      <c r="I46" s="34">
        <v>6</v>
      </c>
      <c r="J46" s="34">
        <v>5</v>
      </c>
      <c r="K46" s="34">
        <v>4</v>
      </c>
      <c r="L46" s="34">
        <v>5</v>
      </c>
      <c r="M46" s="34">
        <v>5</v>
      </c>
      <c r="N46" s="34">
        <v>6</v>
      </c>
      <c r="O46" s="34">
        <v>6</v>
      </c>
      <c r="P46" s="34">
        <v>5</v>
      </c>
      <c r="Q46" s="34">
        <v>3</v>
      </c>
      <c r="R46" s="34">
        <v>5</v>
      </c>
      <c r="S46" s="34">
        <v>6</v>
      </c>
      <c r="T46" s="34">
        <v>5</v>
      </c>
      <c r="U46" s="34">
        <v>5</v>
      </c>
      <c r="V46" s="34">
        <v>5</v>
      </c>
      <c r="W46" s="34">
        <v>5</v>
      </c>
      <c r="X46" s="34">
        <v>5</v>
      </c>
      <c r="Y46" s="34">
        <v>6</v>
      </c>
      <c r="Z46" s="34">
        <v>6</v>
      </c>
      <c r="AA46" s="34">
        <v>6</v>
      </c>
      <c r="AB46" s="34">
        <v>4</v>
      </c>
      <c r="AC46" s="34">
        <v>5</v>
      </c>
      <c r="AD46" s="34">
        <v>5</v>
      </c>
      <c r="AE46" s="34">
        <v>5</v>
      </c>
      <c r="AF46" s="34">
        <v>4</v>
      </c>
      <c r="AG46" s="56"/>
      <c r="AH46" s="56"/>
      <c r="AI46" s="56"/>
      <c r="AJ46" s="56"/>
      <c r="AK46" s="56"/>
      <c r="AL46" s="151"/>
      <c r="AM46" s="151"/>
      <c r="AN46" s="52"/>
      <c r="AO46" s="11">
        <v>4</v>
      </c>
      <c r="AP46" s="11">
        <f>COUNTIF(Y17:Y383,AO46)</f>
        <v>11</v>
      </c>
      <c r="AQ46" s="62">
        <f>(AP46/AP51)</f>
        <v>0.23404255319148937</v>
      </c>
      <c r="AR46" s="11">
        <v>4</v>
      </c>
      <c r="AS46" s="11">
        <f>COUNTIF(Z17:Z383,AR46)</f>
        <v>10</v>
      </c>
      <c r="AT46" s="62">
        <f>(AS46/AS51)</f>
        <v>0.21739130434782608</v>
      </c>
      <c r="AU46" s="11">
        <v>4</v>
      </c>
      <c r="AV46" s="11">
        <f>COUNTIF(AA17:AA383,AU46)</f>
        <v>11</v>
      </c>
      <c r="AW46" s="62">
        <f t="shared" ref="AW46" si="32">(AV46/AV51)</f>
        <v>0.24444444444444444</v>
      </c>
      <c r="AX46" s="11">
        <v>4</v>
      </c>
      <c r="AY46" s="11">
        <f>COUNTIF(AB17:AB383,AX46)</f>
        <v>13</v>
      </c>
      <c r="AZ46" s="62">
        <f t="shared" ref="AZ46" si="33">(AY46/AY51)</f>
        <v>0.29545454545454547</v>
      </c>
      <c r="BA46" s="11">
        <v>4</v>
      </c>
      <c r="BB46" s="11">
        <f>COUNTIF(AC17:AC383,BA46)</f>
        <v>13</v>
      </c>
      <c r="BC46" s="62">
        <f t="shared" ref="BC46" si="34">(BB46/BB51)</f>
        <v>0.30232558139534882</v>
      </c>
      <c r="BD46" s="11">
        <v>4</v>
      </c>
      <c r="BE46" s="11">
        <f>COUNTIF(AD17:AD383,BD46)</f>
        <v>11</v>
      </c>
      <c r="BF46" s="62">
        <f t="shared" ref="BF46" si="35">(BE46/BE51)</f>
        <v>0.26190476190476192</v>
      </c>
      <c r="BG46" s="70"/>
      <c r="BH46" s="174">
        <v>538</v>
      </c>
      <c r="BI46" s="121">
        <v>3</v>
      </c>
      <c r="BJ46" s="121">
        <v>5</v>
      </c>
      <c r="BK46" s="121">
        <v>6</v>
      </c>
      <c r="BL46" s="121">
        <v>5</v>
      </c>
      <c r="BM46" s="121">
        <v>4</v>
      </c>
      <c r="BN46" s="121">
        <v>5</v>
      </c>
      <c r="BO46" s="121">
        <v>5</v>
      </c>
      <c r="BP46" s="121">
        <v>5</v>
      </c>
      <c r="BQ46" s="121">
        <v>5</v>
      </c>
      <c r="BR46" s="121">
        <v>5</v>
      </c>
      <c r="BS46" s="121">
        <v>3</v>
      </c>
      <c r="BT46" s="121">
        <v>5</v>
      </c>
      <c r="BU46" s="120">
        <v>5</v>
      </c>
      <c r="BV46" s="120">
        <v>4</v>
      </c>
      <c r="BW46" s="120">
        <v>4</v>
      </c>
      <c r="BX46" s="120">
        <v>5</v>
      </c>
      <c r="BY46" s="120">
        <v>5</v>
      </c>
      <c r="BZ46" s="120">
        <v>5</v>
      </c>
      <c r="CA46" s="120">
        <v>4</v>
      </c>
      <c r="CB46" s="120">
        <v>4</v>
      </c>
      <c r="CC46" s="120">
        <v>6</v>
      </c>
      <c r="CD46" s="120">
        <v>4</v>
      </c>
      <c r="CE46" s="120">
        <v>3</v>
      </c>
      <c r="CF46" s="120">
        <v>5</v>
      </c>
      <c r="CG46" s="120">
        <v>3</v>
      </c>
      <c r="CH46" s="120">
        <v>4</v>
      </c>
      <c r="CI46" s="56"/>
      <c r="CJ46" s="56"/>
      <c r="CK46" s="56"/>
      <c r="CL46" s="56"/>
      <c r="CM46" s="56"/>
      <c r="CN46" s="151"/>
      <c r="CO46" s="151"/>
      <c r="CP46" s="52"/>
      <c r="CQ46" s="11">
        <v>4</v>
      </c>
      <c r="CR46" s="11">
        <f>COUNTIF(CA17:CA383,CQ46)</f>
        <v>12</v>
      </c>
      <c r="CS46" s="62">
        <f>(CR46/CR51)</f>
        <v>0.25531914893617019</v>
      </c>
      <c r="CT46" s="11">
        <v>4</v>
      </c>
      <c r="CU46" s="11">
        <f>COUNTIF(CB17:CB383,CT46)</f>
        <v>18</v>
      </c>
      <c r="CV46" s="62">
        <f>(CU46/CU51)</f>
        <v>0.39130434782608697</v>
      </c>
      <c r="CW46" s="11">
        <v>4</v>
      </c>
      <c r="CX46" s="11">
        <f>COUNTIF(CC17:CC383,CW46)</f>
        <v>15</v>
      </c>
      <c r="CY46" s="62">
        <f t="shared" ref="CY46" si="36">(CX46/CX51)</f>
        <v>0.33333333333333331</v>
      </c>
      <c r="CZ46" s="11">
        <v>4</v>
      </c>
      <c r="DA46" s="11">
        <f>COUNTIF(CD17:CD383,CZ46)</f>
        <v>12</v>
      </c>
      <c r="DB46" s="62">
        <f t="shared" ref="DB46" si="37">(DA46/DA51)</f>
        <v>0.27272727272727271</v>
      </c>
      <c r="DC46" s="11">
        <v>4</v>
      </c>
      <c r="DD46" s="11">
        <f>COUNTIF(CE17:CE383,DC46)</f>
        <v>15</v>
      </c>
      <c r="DE46" s="62">
        <f t="shared" ref="DE46" si="38">(DD46/DD51)</f>
        <v>0.34883720930232559</v>
      </c>
      <c r="DF46" s="11">
        <v>4</v>
      </c>
      <c r="DG46" s="11">
        <f>COUNTIF(CF17:CF383,DF46)</f>
        <v>14</v>
      </c>
      <c r="DH46" s="62">
        <f t="shared" ref="DH46" si="39">(DG46/DG51)</f>
        <v>0.33333333333333331</v>
      </c>
      <c r="DI46" s="70"/>
      <c r="DJ46" s="174">
        <v>538</v>
      </c>
      <c r="DK46" s="121">
        <v>0</v>
      </c>
      <c r="DL46" s="121">
        <v>0</v>
      </c>
      <c r="DM46" s="121">
        <v>0</v>
      </c>
      <c r="DN46" s="121">
        <v>0</v>
      </c>
      <c r="DO46" s="120">
        <v>0</v>
      </c>
      <c r="DP46" s="121">
        <v>0</v>
      </c>
      <c r="DQ46" s="121">
        <v>0</v>
      </c>
      <c r="DR46" s="121">
        <v>1</v>
      </c>
      <c r="DS46" s="121">
        <v>1</v>
      </c>
      <c r="DT46" s="121">
        <v>0</v>
      </c>
      <c r="DU46" s="121">
        <v>0</v>
      </c>
      <c r="DV46" s="121">
        <v>0</v>
      </c>
      <c r="DW46" s="120">
        <v>1</v>
      </c>
      <c r="DX46" s="120">
        <v>1</v>
      </c>
      <c r="DY46" s="120">
        <v>1</v>
      </c>
      <c r="DZ46" s="120">
        <v>0</v>
      </c>
      <c r="EA46" s="120">
        <v>0</v>
      </c>
      <c r="EB46" s="120">
        <v>0</v>
      </c>
      <c r="EC46" s="120">
        <v>2</v>
      </c>
      <c r="ED46" s="120">
        <v>2</v>
      </c>
      <c r="EE46" s="120">
        <v>0</v>
      </c>
      <c r="EF46" s="120">
        <v>0</v>
      </c>
      <c r="EG46" s="120">
        <v>2</v>
      </c>
      <c r="EH46" s="120">
        <v>0</v>
      </c>
      <c r="EI46" s="120">
        <v>2</v>
      </c>
      <c r="EJ46" s="120">
        <v>0</v>
      </c>
      <c r="EK46" s="56"/>
      <c r="EL46" s="56"/>
      <c r="EM46" s="56"/>
      <c r="EN46" s="56"/>
      <c r="EO46" s="56"/>
      <c r="EP46" s="151"/>
      <c r="EQ46" s="151"/>
      <c r="ER46" s="52"/>
      <c r="ES46" s="11">
        <v>4</v>
      </c>
      <c r="ET46" s="11">
        <f>COUNTIF(EC17:EC383,ES46)</f>
        <v>0</v>
      </c>
      <c r="EU46" s="62">
        <f>(ET46/ET51)</f>
        <v>0</v>
      </c>
      <c r="EV46" s="11">
        <v>4</v>
      </c>
      <c r="EW46" s="11">
        <f>COUNTIF(ED17:ED383,EV46)</f>
        <v>0</v>
      </c>
      <c r="EX46" s="62">
        <f>(EW46/EW51)</f>
        <v>0</v>
      </c>
      <c r="EY46" s="11">
        <v>4</v>
      </c>
      <c r="EZ46" s="11">
        <f>COUNTIF(EE17:EE383,EY46)</f>
        <v>0</v>
      </c>
      <c r="FA46" s="62">
        <f t="shared" ref="FA46" si="40">(EZ46/EZ51)</f>
        <v>0</v>
      </c>
      <c r="FB46" s="11">
        <v>4</v>
      </c>
      <c r="FC46" s="11">
        <f>COUNTIF(EF17:EF383,FB46)</f>
        <v>0</v>
      </c>
      <c r="FD46" s="62">
        <f t="shared" ref="FD46" si="41">(FC46/FC51)</f>
        <v>0</v>
      </c>
      <c r="FE46" s="11">
        <v>4</v>
      </c>
      <c r="FF46" s="11">
        <f>COUNTIF(EG17:EG383,FE46)</f>
        <v>0</v>
      </c>
      <c r="FG46" s="62">
        <f t="shared" ref="FG46" si="42">(FF46/FF51)</f>
        <v>0</v>
      </c>
      <c r="FH46" s="11">
        <v>4</v>
      </c>
      <c r="FI46" s="11">
        <f>COUNTIF(EH17:EH383,FH46)</f>
        <v>0</v>
      </c>
      <c r="FJ46" s="62">
        <f t="shared" ref="FJ46" si="43">(FI46/FI51)</f>
        <v>0</v>
      </c>
      <c r="FL46" s="174">
        <v>538</v>
      </c>
      <c r="FM46" s="78"/>
      <c r="FN46" s="78">
        <v>2</v>
      </c>
      <c r="FO46" s="78">
        <v>3</v>
      </c>
      <c r="FP46" s="78">
        <v>4</v>
      </c>
      <c r="FQ46" s="78">
        <v>2</v>
      </c>
      <c r="FR46" s="78">
        <v>4</v>
      </c>
      <c r="FS46" s="78">
        <v>0</v>
      </c>
      <c r="FT46" s="78">
        <v>2</v>
      </c>
      <c r="FU46" s="78">
        <v>1</v>
      </c>
      <c r="FV46" s="56">
        <v>3</v>
      </c>
      <c r="FW46" s="56">
        <v>3</v>
      </c>
      <c r="FX46" s="56">
        <v>1</v>
      </c>
      <c r="FY46" s="56">
        <v>3</v>
      </c>
      <c r="FZ46" s="56">
        <v>2</v>
      </c>
      <c r="GA46" s="56">
        <v>3</v>
      </c>
      <c r="GB46" s="56">
        <v>2</v>
      </c>
      <c r="GC46" s="56">
        <v>3</v>
      </c>
      <c r="GD46" s="56">
        <v>1</v>
      </c>
      <c r="GE46" s="56">
        <v>1</v>
      </c>
      <c r="GF46" s="56">
        <v>1</v>
      </c>
      <c r="GG46" s="56">
        <v>0</v>
      </c>
      <c r="GH46" s="56">
        <v>2</v>
      </c>
      <c r="GI46" s="56">
        <v>3</v>
      </c>
      <c r="GJ46" s="56">
        <v>2</v>
      </c>
      <c r="GK46" s="56">
        <v>3</v>
      </c>
      <c r="GL46" s="56">
        <v>3</v>
      </c>
      <c r="GM46" s="56"/>
      <c r="GN46" s="56"/>
      <c r="GO46" s="56"/>
      <c r="GP46" s="56"/>
      <c r="GQ46" s="56"/>
      <c r="GR46" s="151"/>
      <c r="GS46" s="151"/>
      <c r="GT46" s="52"/>
      <c r="GU46" s="11">
        <v>4</v>
      </c>
      <c r="GV46" s="11">
        <f>COUNTIF(GE17:GE383,GU46)</f>
        <v>3</v>
      </c>
      <c r="GW46" s="62">
        <f>(GV46/GV51)</f>
        <v>6.3829787234042548E-2</v>
      </c>
      <c r="GX46" s="11">
        <v>4</v>
      </c>
      <c r="GY46" s="11">
        <f>COUNTIF(GF17:GF383,GX46)</f>
        <v>6</v>
      </c>
      <c r="GZ46" s="62">
        <f>(GY46/GY51)</f>
        <v>0.13043478260869565</v>
      </c>
      <c r="HA46" s="11">
        <v>4</v>
      </c>
      <c r="HB46" s="11">
        <f>COUNTIF(GG17:GG383,HA46)</f>
        <v>3</v>
      </c>
      <c r="HC46" s="62">
        <f t="shared" ref="HC46" si="44">(HB46/HB51)</f>
        <v>6.6666666666666666E-2</v>
      </c>
      <c r="HD46" s="11">
        <v>4</v>
      </c>
      <c r="HE46" s="11">
        <f>COUNTIF(GH17:GH383,HD46)</f>
        <v>1</v>
      </c>
      <c r="HF46" s="62">
        <f t="shared" ref="HF46" si="45">(HE46/HE51)</f>
        <v>2.2727272727272728E-2</v>
      </c>
      <c r="HG46" s="11">
        <v>4</v>
      </c>
      <c r="HH46" s="11">
        <f>COUNTIF(GI17:GI383,HG46)</f>
        <v>2</v>
      </c>
      <c r="HI46" s="62">
        <f t="shared" ref="HI46" si="46">(HH46/HH51)</f>
        <v>4.6511627906976744E-2</v>
      </c>
      <c r="HJ46" s="11">
        <v>4</v>
      </c>
      <c r="HK46" s="11">
        <f>COUNTIF(GJ17:GJ383,HJ46)</f>
        <v>1</v>
      </c>
      <c r="HL46" s="62">
        <f t="shared" ref="HL46" si="47">(HK46/HK51)</f>
        <v>2.3809523809523808E-2</v>
      </c>
    </row>
    <row r="47" spans="1:222" ht="17.25">
      <c r="A47" s="186"/>
      <c r="B47" s="186"/>
      <c r="C47" s="129"/>
      <c r="D47" s="52"/>
      <c r="E47" s="52"/>
      <c r="F47" s="174">
        <v>539</v>
      </c>
      <c r="G47" s="34">
        <v>6</v>
      </c>
      <c r="H47" s="34">
        <v>6</v>
      </c>
      <c r="I47" s="151">
        <v>6</v>
      </c>
      <c r="J47" s="151">
        <v>6</v>
      </c>
      <c r="K47" s="151">
        <v>6</v>
      </c>
      <c r="L47" s="151">
        <v>6</v>
      </c>
      <c r="M47" s="151">
        <v>4</v>
      </c>
      <c r="N47" s="151">
        <v>6</v>
      </c>
      <c r="O47" s="151">
        <v>6</v>
      </c>
      <c r="P47" s="34">
        <v>6</v>
      </c>
      <c r="Q47" s="34">
        <v>5</v>
      </c>
      <c r="R47" s="34">
        <v>6</v>
      </c>
      <c r="S47" s="34">
        <v>6</v>
      </c>
      <c r="T47" s="34">
        <v>5</v>
      </c>
      <c r="U47" s="34">
        <v>5</v>
      </c>
      <c r="V47" s="34">
        <v>6</v>
      </c>
      <c r="W47" s="34">
        <v>6</v>
      </c>
      <c r="X47" s="34">
        <v>6</v>
      </c>
      <c r="Y47" s="34">
        <v>4</v>
      </c>
      <c r="Z47" s="34">
        <v>6</v>
      </c>
      <c r="AA47" s="34">
        <v>6</v>
      </c>
      <c r="AB47" s="34">
        <v>5</v>
      </c>
      <c r="AC47" s="34">
        <v>6</v>
      </c>
      <c r="AD47" s="34">
        <v>5</v>
      </c>
      <c r="AE47" s="34">
        <v>5</v>
      </c>
      <c r="AF47" s="34">
        <v>6</v>
      </c>
      <c r="AG47" s="56"/>
      <c r="AH47" s="56"/>
      <c r="AI47" s="56"/>
      <c r="AJ47" s="56"/>
      <c r="AK47" s="56"/>
      <c r="AL47" s="151"/>
      <c r="AM47" s="151"/>
      <c r="AN47" s="52"/>
      <c r="AO47" s="11">
        <v>3</v>
      </c>
      <c r="AP47" s="11">
        <f>COUNTIF(Y17:Y383,AO47)</f>
        <v>4</v>
      </c>
      <c r="AQ47" s="62">
        <f>(AP47/AP51)</f>
        <v>8.5106382978723402E-2</v>
      </c>
      <c r="AR47" s="11">
        <v>3</v>
      </c>
      <c r="AS47" s="11">
        <f>COUNTIF(Z17:Z383,AR47)</f>
        <v>4</v>
      </c>
      <c r="AT47" s="62">
        <f>(AS47/AS51)</f>
        <v>8.6956521739130432E-2</v>
      </c>
      <c r="AU47" s="11">
        <v>3</v>
      </c>
      <c r="AV47" s="11">
        <f>COUNTIF(AA17:AA383,AU47)</f>
        <v>1</v>
      </c>
      <c r="AW47" s="62">
        <f t="shared" ref="AW47" si="48">(AV47/AV51)</f>
        <v>2.2222222222222223E-2</v>
      </c>
      <c r="AX47" s="11">
        <v>3</v>
      </c>
      <c r="AY47" s="11">
        <f>COUNTIF(AB17:AB383,AX47)</f>
        <v>3</v>
      </c>
      <c r="AZ47" s="62">
        <f t="shared" ref="AZ47" si="49">(AY47/AY51)</f>
        <v>6.8181818181818177E-2</v>
      </c>
      <c r="BA47" s="11">
        <v>3</v>
      </c>
      <c r="BB47" s="11">
        <f>COUNTIF(AC17:AC383,BA47)</f>
        <v>3</v>
      </c>
      <c r="BC47" s="62">
        <f t="shared" ref="BC47" si="50">(BB47/BB51)</f>
        <v>6.9767441860465115E-2</v>
      </c>
      <c r="BD47" s="11">
        <v>3</v>
      </c>
      <c r="BE47" s="11">
        <f>COUNTIF(AD17:AD383,BD47)</f>
        <v>7</v>
      </c>
      <c r="BF47" s="62">
        <f t="shared" ref="BF47" si="51">(BE47/BE51)</f>
        <v>0.16666666666666666</v>
      </c>
      <c r="BG47" s="70"/>
      <c r="BH47" s="174">
        <v>539</v>
      </c>
      <c r="BI47" s="121">
        <v>6</v>
      </c>
      <c r="BJ47" s="121">
        <v>5</v>
      </c>
      <c r="BK47" s="121">
        <v>6</v>
      </c>
      <c r="BL47" s="121">
        <v>6</v>
      </c>
      <c r="BM47" s="121">
        <v>6</v>
      </c>
      <c r="BN47" s="121">
        <v>5</v>
      </c>
      <c r="BO47" s="121">
        <v>4</v>
      </c>
      <c r="BP47" s="121">
        <v>6</v>
      </c>
      <c r="BQ47" s="121">
        <v>6</v>
      </c>
      <c r="BR47" s="121">
        <v>5</v>
      </c>
      <c r="BS47" s="121">
        <v>5</v>
      </c>
      <c r="BT47" s="121">
        <v>5</v>
      </c>
      <c r="BU47" s="120">
        <v>6</v>
      </c>
      <c r="BV47" s="120">
        <v>5</v>
      </c>
      <c r="BW47" s="120">
        <v>5</v>
      </c>
      <c r="BX47" s="120">
        <v>5</v>
      </c>
      <c r="BY47" s="120">
        <v>5</v>
      </c>
      <c r="BZ47" s="120">
        <v>6</v>
      </c>
      <c r="CA47" s="120">
        <v>4</v>
      </c>
      <c r="CB47" s="120">
        <v>6</v>
      </c>
      <c r="CC47" s="120">
        <v>6</v>
      </c>
      <c r="CD47" s="120">
        <v>5</v>
      </c>
      <c r="CE47" s="120">
        <v>6</v>
      </c>
      <c r="CF47" s="120">
        <v>5</v>
      </c>
      <c r="CG47" s="120">
        <v>5</v>
      </c>
      <c r="CH47" s="120">
        <v>5</v>
      </c>
      <c r="CI47" s="56"/>
      <c r="CJ47" s="56"/>
      <c r="CK47" s="56"/>
      <c r="CL47" s="56"/>
      <c r="CM47" s="56"/>
      <c r="CN47" s="151"/>
      <c r="CO47" s="151"/>
      <c r="CP47" s="52"/>
      <c r="CQ47" s="11">
        <v>3</v>
      </c>
      <c r="CR47" s="11">
        <f>COUNTIF(CA17:CA383,CQ47)</f>
        <v>8</v>
      </c>
      <c r="CS47" s="62">
        <f>(CR47/CR51)</f>
        <v>0.1702127659574468</v>
      </c>
      <c r="CT47" s="11">
        <v>3</v>
      </c>
      <c r="CU47" s="11">
        <f>COUNTIF(CB17:CB383,CT47)</f>
        <v>5</v>
      </c>
      <c r="CV47" s="62">
        <f>(CU47/CU51)</f>
        <v>0.10869565217391304</v>
      </c>
      <c r="CW47" s="11">
        <v>3</v>
      </c>
      <c r="CX47" s="11">
        <f>COUNTIF(CC17:CC383,CW47)</f>
        <v>5</v>
      </c>
      <c r="CY47" s="62">
        <f t="shared" ref="CY47" si="52">(CX47/CX51)</f>
        <v>0.1111111111111111</v>
      </c>
      <c r="CZ47" s="11">
        <v>3</v>
      </c>
      <c r="DA47" s="11">
        <f>COUNTIF(CD17:CD383,CZ47)</f>
        <v>6</v>
      </c>
      <c r="DB47" s="62">
        <f t="shared" ref="DB47" si="53">(DA47/DA51)</f>
        <v>0.13636363636363635</v>
      </c>
      <c r="DC47" s="11">
        <v>3</v>
      </c>
      <c r="DD47" s="11">
        <f>COUNTIF(CE17:CE383,DC47)</f>
        <v>8</v>
      </c>
      <c r="DE47" s="62">
        <f t="shared" ref="DE47" si="54">(DD47/DD51)</f>
        <v>0.18604651162790697</v>
      </c>
      <c r="DF47" s="11">
        <v>3</v>
      </c>
      <c r="DG47" s="11">
        <f>COUNTIF(CF17:CF383,DF47)</f>
        <v>9</v>
      </c>
      <c r="DH47" s="62">
        <f t="shared" ref="DH47" si="55">(DG47/DG51)</f>
        <v>0.21428571428571427</v>
      </c>
      <c r="DI47" s="70"/>
      <c r="DJ47" s="174">
        <v>539</v>
      </c>
      <c r="DK47" s="121">
        <v>0</v>
      </c>
      <c r="DL47" s="121">
        <v>1</v>
      </c>
      <c r="DM47" s="121">
        <v>0</v>
      </c>
      <c r="DN47" s="121">
        <v>0</v>
      </c>
      <c r="DO47" s="120">
        <v>0</v>
      </c>
      <c r="DP47" s="121">
        <v>1</v>
      </c>
      <c r="DQ47" s="121">
        <v>0</v>
      </c>
      <c r="DR47" s="121">
        <v>0</v>
      </c>
      <c r="DS47" s="121">
        <v>0</v>
      </c>
      <c r="DT47" s="121">
        <v>1</v>
      </c>
      <c r="DU47" s="121">
        <v>0</v>
      </c>
      <c r="DV47" s="121">
        <v>1</v>
      </c>
      <c r="DW47" s="120">
        <v>0</v>
      </c>
      <c r="DX47" s="120">
        <v>0</v>
      </c>
      <c r="DY47" s="120">
        <v>0</v>
      </c>
      <c r="DZ47" s="120">
        <v>1</v>
      </c>
      <c r="EA47" s="120">
        <v>1</v>
      </c>
      <c r="EB47" s="120">
        <v>0</v>
      </c>
      <c r="EC47" s="120">
        <v>0</v>
      </c>
      <c r="ED47" s="120">
        <v>0</v>
      </c>
      <c r="EE47" s="120">
        <v>0</v>
      </c>
      <c r="EF47" s="120">
        <v>0</v>
      </c>
      <c r="EG47" s="120">
        <v>0</v>
      </c>
      <c r="EH47" s="120">
        <v>0</v>
      </c>
      <c r="EI47" s="120">
        <v>0</v>
      </c>
      <c r="EJ47" s="120">
        <v>1</v>
      </c>
      <c r="EK47" s="56"/>
      <c r="EL47" s="56"/>
      <c r="EM47" s="56"/>
      <c r="EN47" s="56"/>
      <c r="EO47" s="56"/>
      <c r="EP47" s="151"/>
      <c r="EQ47" s="151"/>
      <c r="ER47" s="52"/>
      <c r="ES47" s="11">
        <v>3</v>
      </c>
      <c r="ET47" s="11">
        <f>COUNTIF(EC17:EC383,ES47)</f>
        <v>0</v>
      </c>
      <c r="EU47" s="62">
        <f>(ET47/ET51)</f>
        <v>0</v>
      </c>
      <c r="EV47" s="11">
        <v>3</v>
      </c>
      <c r="EW47" s="11">
        <f>COUNTIF(ED17:ED383,EV47)</f>
        <v>0</v>
      </c>
      <c r="EX47" s="62">
        <f>(EW47/EW51)</f>
        <v>0</v>
      </c>
      <c r="EY47" s="11">
        <v>3</v>
      </c>
      <c r="EZ47" s="11">
        <f>COUNTIF(EE17:EE383,EY47)</f>
        <v>0</v>
      </c>
      <c r="FA47" s="62">
        <f t="shared" ref="FA47" si="56">(EZ47/EZ51)</f>
        <v>0</v>
      </c>
      <c r="FB47" s="11">
        <v>3</v>
      </c>
      <c r="FC47" s="11">
        <f>COUNTIF(EF17:EF383,FB47)</f>
        <v>0</v>
      </c>
      <c r="FD47" s="62">
        <f t="shared" ref="FD47" si="57">(FC47/FC51)</f>
        <v>0</v>
      </c>
      <c r="FE47" s="11">
        <v>3</v>
      </c>
      <c r="FF47" s="11">
        <f>COUNTIF(EG17:EG383,FE47)</f>
        <v>1</v>
      </c>
      <c r="FG47" s="62">
        <f t="shared" ref="FG47" si="58">(FF47/FF51)</f>
        <v>2.3255813953488372E-2</v>
      </c>
      <c r="FH47" s="11">
        <v>3</v>
      </c>
      <c r="FI47" s="11">
        <f>COUNTIF(EH17:EH383,FH47)</f>
        <v>0</v>
      </c>
      <c r="FJ47" s="62">
        <f t="shared" ref="FJ47" si="59">(FI47/FI51)</f>
        <v>0</v>
      </c>
      <c r="FL47" s="174">
        <v>539</v>
      </c>
      <c r="FM47" s="78"/>
      <c r="FN47" s="78">
        <v>1</v>
      </c>
      <c r="FO47" s="56">
        <v>1</v>
      </c>
      <c r="FP47" s="78">
        <v>3</v>
      </c>
      <c r="FQ47" s="56">
        <v>2</v>
      </c>
      <c r="FR47" s="56">
        <v>2</v>
      </c>
      <c r="FS47" s="56">
        <v>1</v>
      </c>
      <c r="FT47" s="56">
        <v>2</v>
      </c>
      <c r="FU47" s="56">
        <v>2</v>
      </c>
      <c r="FV47" s="56">
        <v>1</v>
      </c>
      <c r="FW47" s="56">
        <v>1</v>
      </c>
      <c r="FX47" s="56">
        <v>1</v>
      </c>
      <c r="FY47" s="56">
        <v>2</v>
      </c>
      <c r="FZ47" s="56">
        <v>1</v>
      </c>
      <c r="GA47" s="56">
        <v>1</v>
      </c>
      <c r="GB47" s="56">
        <v>2</v>
      </c>
      <c r="GC47" s="56">
        <v>3</v>
      </c>
      <c r="GD47" s="56">
        <v>0</v>
      </c>
      <c r="GE47" s="56">
        <v>1</v>
      </c>
      <c r="GF47" s="56">
        <v>3</v>
      </c>
      <c r="GG47" s="56">
        <v>2</v>
      </c>
      <c r="GH47" s="56">
        <v>1</v>
      </c>
      <c r="GI47" s="56">
        <v>1</v>
      </c>
      <c r="GJ47" s="56">
        <v>3</v>
      </c>
      <c r="GK47" s="56">
        <v>3</v>
      </c>
      <c r="GL47" s="56">
        <v>3</v>
      </c>
      <c r="GM47" s="56"/>
      <c r="GN47" s="56"/>
      <c r="GO47" s="56"/>
      <c r="GP47" s="56"/>
      <c r="GQ47" s="56"/>
      <c r="GR47" s="151"/>
      <c r="GS47" s="151"/>
      <c r="GT47" s="52"/>
      <c r="GU47" s="11">
        <v>3</v>
      </c>
      <c r="GV47" s="11">
        <f>COUNTIF(GE17:GE383,GU47)</f>
        <v>10</v>
      </c>
      <c r="GW47" s="62">
        <f>(GV47/GV51)</f>
        <v>0.21276595744680851</v>
      </c>
      <c r="GX47" s="11">
        <v>3</v>
      </c>
      <c r="GY47" s="11">
        <f>COUNTIF(GF17:GF383,GX47)</f>
        <v>8</v>
      </c>
      <c r="GZ47" s="62">
        <f>(GY47/GY51)</f>
        <v>0.17391304347826086</v>
      </c>
      <c r="HA47" s="11">
        <v>3</v>
      </c>
      <c r="HB47" s="11">
        <f>COUNTIF(GG17:GG383,HA47)</f>
        <v>8</v>
      </c>
      <c r="HC47" s="62">
        <f t="shared" ref="HC47" si="60">(HB47/HB51)</f>
        <v>0.17777777777777778</v>
      </c>
      <c r="HD47" s="11">
        <v>3</v>
      </c>
      <c r="HE47" s="11">
        <f>COUNTIF(GH17:GH383,HD47)</f>
        <v>9</v>
      </c>
      <c r="HF47" s="62">
        <f t="shared" ref="HF47" si="61">(HE47/HE51)</f>
        <v>0.20454545454545456</v>
      </c>
      <c r="HG47" s="11">
        <v>3</v>
      </c>
      <c r="HH47" s="11">
        <f>COUNTIF(GI17:GI383,HG47)</f>
        <v>11</v>
      </c>
      <c r="HI47" s="62">
        <f t="shared" ref="HI47" si="62">(HH47/HH51)</f>
        <v>0.2558139534883721</v>
      </c>
      <c r="HJ47" s="11">
        <v>3</v>
      </c>
      <c r="HK47" s="11">
        <f>COUNTIF(GJ17:GJ383,HJ47)</f>
        <v>13</v>
      </c>
      <c r="HL47" s="62">
        <f t="shared" ref="HL47" si="63">(HK47/HK51)</f>
        <v>0.30952380952380953</v>
      </c>
    </row>
    <row r="48" spans="1:222" ht="17.25">
      <c r="A48" s="186"/>
      <c r="B48" s="186"/>
      <c r="C48" s="129"/>
      <c r="D48" s="52"/>
      <c r="E48" s="52"/>
      <c r="F48" s="174">
        <v>540</v>
      </c>
      <c r="G48" s="49">
        <v>2</v>
      </c>
      <c r="H48" s="151">
        <v>4</v>
      </c>
      <c r="I48" s="151">
        <v>6</v>
      </c>
      <c r="J48" s="151">
        <v>5</v>
      </c>
      <c r="K48" s="151">
        <v>6</v>
      </c>
      <c r="L48" s="151">
        <v>5</v>
      </c>
      <c r="M48" s="151">
        <v>4</v>
      </c>
      <c r="N48" s="151">
        <v>4</v>
      </c>
      <c r="O48" s="151">
        <v>5</v>
      </c>
      <c r="P48" s="151">
        <v>4</v>
      </c>
      <c r="Q48" s="151">
        <v>5</v>
      </c>
      <c r="R48" s="151">
        <v>5</v>
      </c>
      <c r="S48" s="151">
        <v>6</v>
      </c>
      <c r="T48" s="151">
        <v>3</v>
      </c>
      <c r="U48" s="151">
        <v>6</v>
      </c>
      <c r="V48" s="151">
        <v>6</v>
      </c>
      <c r="W48" s="151">
        <v>4</v>
      </c>
      <c r="X48" s="151">
        <v>5</v>
      </c>
      <c r="Y48" s="151">
        <v>5</v>
      </c>
      <c r="Z48" s="151">
        <v>5</v>
      </c>
      <c r="AA48" s="151">
        <v>5</v>
      </c>
      <c r="AB48" s="151">
        <v>5</v>
      </c>
      <c r="AC48" s="151">
        <v>5</v>
      </c>
      <c r="AD48" s="151">
        <v>5</v>
      </c>
      <c r="AE48" s="151">
        <v>5</v>
      </c>
      <c r="AF48" s="151">
        <v>5</v>
      </c>
      <c r="AG48" s="56"/>
      <c r="AH48" s="56"/>
      <c r="AI48" s="56"/>
      <c r="AJ48" s="56"/>
      <c r="AK48" s="56"/>
      <c r="AL48" s="151"/>
      <c r="AM48" s="151"/>
      <c r="AN48" s="52"/>
      <c r="AO48" s="11">
        <v>2</v>
      </c>
      <c r="AP48" s="11">
        <f>COUNTIF(Y17:Y383,AO48)</f>
        <v>2</v>
      </c>
      <c r="AQ48" s="62">
        <f>(AP48/AP51)</f>
        <v>4.2553191489361701E-2</v>
      </c>
      <c r="AR48" s="11">
        <v>2</v>
      </c>
      <c r="AS48" s="11">
        <f>COUNTIF(Z17:Z383,AR48)</f>
        <v>0</v>
      </c>
      <c r="AT48" s="62">
        <f>(AS48/AS51)</f>
        <v>0</v>
      </c>
      <c r="AU48" s="11">
        <v>2</v>
      </c>
      <c r="AV48" s="11">
        <f>COUNTIF(AA17:AA383,AU48)</f>
        <v>2</v>
      </c>
      <c r="AW48" s="62">
        <f t="shared" ref="AW48" si="64">(AV48/AV51)</f>
        <v>4.4444444444444446E-2</v>
      </c>
      <c r="AX48" s="11">
        <v>2</v>
      </c>
      <c r="AY48" s="11">
        <f>COUNTIF(AB17:AB383,AX48)</f>
        <v>0</v>
      </c>
      <c r="AZ48" s="62">
        <f t="shared" ref="AZ48" si="65">(AY48/AY51)</f>
        <v>0</v>
      </c>
      <c r="BA48" s="11">
        <v>2</v>
      </c>
      <c r="BB48" s="11">
        <f>COUNTIF(AC17:AC383,BA48)</f>
        <v>0</v>
      </c>
      <c r="BC48" s="62">
        <f t="shared" ref="BC48" si="66">(BB48/BB51)</f>
        <v>0</v>
      </c>
      <c r="BD48" s="11">
        <v>2</v>
      </c>
      <c r="BE48" s="11">
        <f>COUNTIF(AD17:AD383,BD48)</f>
        <v>0</v>
      </c>
      <c r="BF48" s="62">
        <f t="shared" ref="BF48" si="67">(BE48/BE51)</f>
        <v>0</v>
      </c>
      <c r="BG48" s="70"/>
      <c r="BH48" s="174">
        <v>540</v>
      </c>
      <c r="BI48" s="121">
        <v>1</v>
      </c>
      <c r="BJ48" s="121">
        <v>4</v>
      </c>
      <c r="BK48" s="121">
        <v>6</v>
      </c>
      <c r="BL48" s="121">
        <v>5</v>
      </c>
      <c r="BM48" s="121">
        <v>5</v>
      </c>
      <c r="BN48" s="121">
        <v>5</v>
      </c>
      <c r="BO48" s="121">
        <v>3</v>
      </c>
      <c r="BP48" s="121">
        <v>4</v>
      </c>
      <c r="BQ48" s="121">
        <v>5</v>
      </c>
      <c r="BR48" s="121">
        <v>3</v>
      </c>
      <c r="BS48" s="121">
        <v>5</v>
      </c>
      <c r="BT48" s="121">
        <v>5</v>
      </c>
      <c r="BU48" s="120">
        <v>5</v>
      </c>
      <c r="BV48" s="120">
        <v>3</v>
      </c>
      <c r="BW48" s="120">
        <v>6</v>
      </c>
      <c r="BX48" s="120">
        <v>6</v>
      </c>
      <c r="BY48" s="120">
        <v>4</v>
      </c>
      <c r="BZ48" s="120">
        <v>4</v>
      </c>
      <c r="CA48" s="120">
        <v>3</v>
      </c>
      <c r="CB48" s="120">
        <v>5</v>
      </c>
      <c r="CC48" s="120">
        <v>5</v>
      </c>
      <c r="CD48" s="120">
        <v>4</v>
      </c>
      <c r="CE48" s="120">
        <v>5</v>
      </c>
      <c r="CF48" s="120">
        <v>4</v>
      </c>
      <c r="CG48" s="120">
        <v>5</v>
      </c>
      <c r="CH48" s="120">
        <v>4</v>
      </c>
      <c r="CI48" s="56"/>
      <c r="CJ48" s="56"/>
      <c r="CK48" s="56"/>
      <c r="CL48" s="56"/>
      <c r="CM48" s="56"/>
      <c r="CN48" s="151"/>
      <c r="CO48" s="151"/>
      <c r="CP48" s="52"/>
      <c r="CQ48" s="11">
        <v>2</v>
      </c>
      <c r="CR48" s="11">
        <f>COUNTIF(CA17:CA383,CQ48)</f>
        <v>2</v>
      </c>
      <c r="CS48" s="62">
        <f>(CR48/CR51)</f>
        <v>4.2553191489361701E-2</v>
      </c>
      <c r="CT48" s="11">
        <v>2</v>
      </c>
      <c r="CU48" s="11">
        <f>COUNTIF(CB17:CB383,CT48)</f>
        <v>2</v>
      </c>
      <c r="CV48" s="62">
        <f>(CU48/CU51)</f>
        <v>4.3478260869565216E-2</v>
      </c>
      <c r="CW48" s="11">
        <v>2</v>
      </c>
      <c r="CX48" s="11">
        <f>COUNTIF(CC17:CC383,CW48)</f>
        <v>2</v>
      </c>
      <c r="CY48" s="62">
        <f t="shared" ref="CY48" si="68">(CX48/CX51)</f>
        <v>4.4444444444444446E-2</v>
      </c>
      <c r="CZ48" s="11">
        <v>2</v>
      </c>
      <c r="DA48" s="11">
        <f>COUNTIF(CD17:CD383,CZ48)</f>
        <v>4</v>
      </c>
      <c r="DB48" s="62">
        <f t="shared" ref="DB48" si="69">(DA48/DA51)</f>
        <v>9.0909090909090912E-2</v>
      </c>
      <c r="DC48" s="11">
        <v>2</v>
      </c>
      <c r="DD48" s="11">
        <f>COUNTIF(CE17:CE383,DC48)</f>
        <v>1</v>
      </c>
      <c r="DE48" s="62">
        <f t="shared" ref="DE48" si="70">(DD48/DD51)</f>
        <v>2.3255813953488372E-2</v>
      </c>
      <c r="DF48" s="11">
        <v>2</v>
      </c>
      <c r="DG48" s="11">
        <f>COUNTIF(CF17:CF383,DF48)</f>
        <v>2</v>
      </c>
      <c r="DH48" s="62">
        <f t="shared" ref="DH48" si="71">(DG48/DG51)</f>
        <v>4.7619047619047616E-2</v>
      </c>
      <c r="DI48" s="70"/>
      <c r="DJ48" s="174">
        <v>540</v>
      </c>
      <c r="DK48" s="121">
        <v>2</v>
      </c>
      <c r="DL48" s="121">
        <v>0</v>
      </c>
      <c r="DM48" s="121">
        <v>0</v>
      </c>
      <c r="DN48" s="121">
        <v>0</v>
      </c>
      <c r="DO48" s="120">
        <v>1</v>
      </c>
      <c r="DP48" s="121">
        <v>0</v>
      </c>
      <c r="DQ48" s="121">
        <v>1</v>
      </c>
      <c r="DR48" s="121">
        <v>0</v>
      </c>
      <c r="DS48" s="121">
        <v>0</v>
      </c>
      <c r="DT48" s="121">
        <v>1</v>
      </c>
      <c r="DU48" s="121">
        <v>0</v>
      </c>
      <c r="DV48" s="121">
        <v>0</v>
      </c>
      <c r="DW48" s="120">
        <v>1</v>
      </c>
      <c r="DX48" s="120">
        <v>0</v>
      </c>
      <c r="DY48" s="120">
        <v>0</v>
      </c>
      <c r="DZ48" s="120">
        <v>0</v>
      </c>
      <c r="EA48" s="120">
        <v>0</v>
      </c>
      <c r="EB48" s="120">
        <v>1</v>
      </c>
      <c r="EC48" s="120">
        <v>2</v>
      </c>
      <c r="ED48" s="120">
        <v>0</v>
      </c>
      <c r="EE48" s="120">
        <v>0</v>
      </c>
      <c r="EF48" s="120">
        <v>1</v>
      </c>
      <c r="EG48" s="120">
        <v>0</v>
      </c>
      <c r="EH48" s="120">
        <v>1</v>
      </c>
      <c r="EI48" s="120">
        <v>0</v>
      </c>
      <c r="EJ48" s="120">
        <v>1</v>
      </c>
      <c r="EK48" s="56"/>
      <c r="EL48" s="56"/>
      <c r="EM48" s="56"/>
      <c r="EN48" s="56"/>
      <c r="EO48" s="56"/>
      <c r="EP48" s="151"/>
      <c r="EQ48" s="151"/>
      <c r="ER48" s="52"/>
      <c r="ES48" s="11">
        <v>2</v>
      </c>
      <c r="ET48" s="11">
        <f>COUNTIF(EC17:EC383,ES48)</f>
        <v>4</v>
      </c>
      <c r="EU48" s="62">
        <f>(ET48/ET51)</f>
        <v>8.5106382978723402E-2</v>
      </c>
      <c r="EV48" s="11">
        <v>2</v>
      </c>
      <c r="EW48" s="11">
        <f>COUNTIF(ED17:ED383,EV48)</f>
        <v>4</v>
      </c>
      <c r="EX48" s="62">
        <f>(EW48/EW51)</f>
        <v>8.6956521739130432E-2</v>
      </c>
      <c r="EY48" s="11">
        <v>2</v>
      </c>
      <c r="EZ48" s="11">
        <f>COUNTIF(EE17:EE383,EY48)</f>
        <v>1</v>
      </c>
      <c r="FA48" s="62">
        <f t="shared" ref="FA48" si="72">(EZ48/EZ51)</f>
        <v>2.2222222222222223E-2</v>
      </c>
      <c r="FB48" s="11">
        <v>2</v>
      </c>
      <c r="FC48" s="11">
        <f>COUNTIF(EF17:EF383,FB48)</f>
        <v>4</v>
      </c>
      <c r="FD48" s="62">
        <f t="shared" ref="FD48" si="73">(FC48/FC51)</f>
        <v>9.0909090909090912E-2</v>
      </c>
      <c r="FE48" s="11">
        <v>2</v>
      </c>
      <c r="FF48" s="11">
        <f>COUNTIF(EG17:EG383,FE48)</f>
        <v>2</v>
      </c>
      <c r="FG48" s="62">
        <f t="shared" ref="FG48" si="74">(FF48/FF51)</f>
        <v>4.6511627906976744E-2</v>
      </c>
      <c r="FH48" s="11">
        <v>2</v>
      </c>
      <c r="FI48" s="11">
        <f>COUNTIF(EH17:EH383,FH48)</f>
        <v>0</v>
      </c>
      <c r="FJ48" s="62">
        <f t="shared" ref="FJ48" si="75">(FI48/FI51)</f>
        <v>0</v>
      </c>
      <c r="FL48" s="174">
        <v>540</v>
      </c>
      <c r="FM48" s="78"/>
      <c r="FN48" s="78">
        <v>3</v>
      </c>
      <c r="FO48" s="56">
        <v>2</v>
      </c>
      <c r="FP48" s="78">
        <v>3</v>
      </c>
      <c r="FQ48" s="56">
        <v>1</v>
      </c>
      <c r="FR48" s="56">
        <v>1</v>
      </c>
      <c r="FS48" s="56">
        <v>1</v>
      </c>
      <c r="FT48" s="56">
        <v>4</v>
      </c>
      <c r="FU48" s="56">
        <v>3</v>
      </c>
      <c r="FV48" s="56">
        <v>0</v>
      </c>
      <c r="FW48" s="56">
        <v>5</v>
      </c>
      <c r="FX48" s="56">
        <v>1</v>
      </c>
      <c r="FY48" s="56">
        <v>1</v>
      </c>
      <c r="FZ48" s="56">
        <v>2</v>
      </c>
      <c r="GA48" s="56">
        <v>2</v>
      </c>
      <c r="GB48" s="56">
        <v>2</v>
      </c>
      <c r="GC48" s="56">
        <v>2</v>
      </c>
      <c r="GD48" s="56">
        <v>1</v>
      </c>
      <c r="GE48" s="56">
        <v>4</v>
      </c>
      <c r="GF48" s="56">
        <v>1</v>
      </c>
      <c r="GG48" s="56">
        <v>2</v>
      </c>
      <c r="GH48" s="56">
        <v>2</v>
      </c>
      <c r="GI48" s="56">
        <v>1</v>
      </c>
      <c r="GJ48" s="56">
        <v>0</v>
      </c>
      <c r="GK48" s="56">
        <v>4</v>
      </c>
      <c r="GL48" s="56">
        <v>0</v>
      </c>
      <c r="GM48" s="56"/>
      <c r="GN48" s="56"/>
      <c r="GO48" s="56"/>
      <c r="GP48" s="56"/>
      <c r="GQ48" s="56"/>
      <c r="GR48" s="151"/>
      <c r="GS48" s="151"/>
      <c r="GT48" s="52"/>
      <c r="GU48" s="11">
        <v>2</v>
      </c>
      <c r="GV48" s="11">
        <f>COUNTIF(GE17:GE383,GU48)</f>
        <v>13</v>
      </c>
      <c r="GW48" s="62">
        <f>(GV48/GV51)</f>
        <v>0.27659574468085107</v>
      </c>
      <c r="GX48" s="11">
        <v>2</v>
      </c>
      <c r="GY48" s="11">
        <f>COUNTIF(GF17:GF383,GX48)</f>
        <v>17</v>
      </c>
      <c r="GZ48" s="62">
        <f>(GY48/GY51)</f>
        <v>0.36956521739130432</v>
      </c>
      <c r="HA48" s="11">
        <v>2</v>
      </c>
      <c r="HB48" s="11">
        <f>COUNTIF(GG17:GG383,HA48)</f>
        <v>19</v>
      </c>
      <c r="HC48" s="62">
        <f t="shared" ref="HC48" si="76">(HB48/HB51)</f>
        <v>0.42222222222222222</v>
      </c>
      <c r="HD48" s="11">
        <v>2</v>
      </c>
      <c r="HE48" s="11">
        <f>COUNTIF(GH17:GH383,HD48)</f>
        <v>14</v>
      </c>
      <c r="HF48" s="62">
        <f t="shared" ref="HF48" si="77">(HE48/HE51)</f>
        <v>0.31818181818181818</v>
      </c>
      <c r="HG48" s="11">
        <v>2</v>
      </c>
      <c r="HH48" s="11">
        <f>COUNTIF(GI17:GI383,HG48)</f>
        <v>13</v>
      </c>
      <c r="HI48" s="62">
        <f t="shared" ref="HI48" si="78">(HH48/HH51)</f>
        <v>0.30232558139534882</v>
      </c>
      <c r="HJ48" s="11">
        <v>2</v>
      </c>
      <c r="HK48" s="11">
        <f>COUNTIF(GJ17:GJ383,HJ48)</f>
        <v>17</v>
      </c>
      <c r="HL48" s="62">
        <f t="shared" ref="HL48" si="79">(HK48/HK51)</f>
        <v>0.40476190476190477</v>
      </c>
    </row>
    <row r="49" spans="1:220" ht="17.25">
      <c r="A49" s="186"/>
      <c r="B49" s="186"/>
      <c r="C49" s="129"/>
      <c r="D49" s="52"/>
      <c r="E49" s="52"/>
      <c r="F49" s="174">
        <v>541</v>
      </c>
      <c r="G49" s="49">
        <v>5</v>
      </c>
      <c r="H49" s="49">
        <v>4</v>
      </c>
      <c r="I49" s="151">
        <v>5</v>
      </c>
      <c r="J49" s="151">
        <v>4</v>
      </c>
      <c r="K49" s="151">
        <v>4</v>
      </c>
      <c r="L49" s="151">
        <v>4</v>
      </c>
      <c r="M49" s="151">
        <v>5</v>
      </c>
      <c r="N49" s="151">
        <v>5</v>
      </c>
      <c r="O49" s="151">
        <v>3</v>
      </c>
      <c r="P49" s="151">
        <v>4</v>
      </c>
      <c r="Q49" s="151">
        <v>5</v>
      </c>
      <c r="R49" s="151">
        <v>4</v>
      </c>
      <c r="S49" s="151">
        <v>5</v>
      </c>
      <c r="T49" s="151">
        <v>5</v>
      </c>
      <c r="U49" s="151">
        <v>5</v>
      </c>
      <c r="V49" s="151">
        <v>5</v>
      </c>
      <c r="W49" s="151">
        <v>3</v>
      </c>
      <c r="X49" s="151">
        <v>4</v>
      </c>
      <c r="Y49" s="151">
        <v>5</v>
      </c>
      <c r="Z49" s="49">
        <v>5</v>
      </c>
      <c r="AA49" s="151">
        <v>4</v>
      </c>
      <c r="AB49" s="151">
        <v>5</v>
      </c>
      <c r="AC49" s="151">
        <v>6</v>
      </c>
      <c r="AD49" s="151">
        <v>5</v>
      </c>
      <c r="AE49" s="151">
        <v>4</v>
      </c>
      <c r="AF49" s="151">
        <v>5</v>
      </c>
      <c r="AG49" s="56"/>
      <c r="AH49" s="56"/>
      <c r="AI49" s="56"/>
      <c r="AJ49" s="56"/>
      <c r="AK49" s="56"/>
      <c r="AL49" s="151"/>
      <c r="AM49" s="151"/>
      <c r="AN49" s="52"/>
      <c r="AO49" s="11">
        <v>1</v>
      </c>
      <c r="AP49" s="11">
        <f>COUNTIF(Y17:Y383,AO49)</f>
        <v>0</v>
      </c>
      <c r="AQ49" s="62">
        <f>(AP49/AP51)</f>
        <v>0</v>
      </c>
      <c r="AR49" s="11">
        <v>1</v>
      </c>
      <c r="AS49" s="11">
        <f>COUNTIF(Z17:Z383,AR49)</f>
        <v>1</v>
      </c>
      <c r="AT49" s="62">
        <f>(AS49/AS51)</f>
        <v>2.1739130434782608E-2</v>
      </c>
      <c r="AU49" s="11">
        <v>1</v>
      </c>
      <c r="AV49" s="11">
        <f>COUNTIF(AA17:AA383,AU49)</f>
        <v>0</v>
      </c>
      <c r="AW49" s="62">
        <f t="shared" ref="AW49" si="80">(AV49/AV51)</f>
        <v>0</v>
      </c>
      <c r="AX49" s="11">
        <v>1</v>
      </c>
      <c r="AY49" s="11">
        <f>COUNTIF(AB17:AB383,AX49)</f>
        <v>0</v>
      </c>
      <c r="AZ49" s="62">
        <f t="shared" ref="AZ49" si="81">(AY49/AY51)</f>
        <v>0</v>
      </c>
      <c r="BA49" s="11">
        <v>1</v>
      </c>
      <c r="BB49" s="11">
        <f>COUNTIF(AC17:AC383,BA49)</f>
        <v>0</v>
      </c>
      <c r="BC49" s="62">
        <f t="shared" ref="BC49" si="82">(BB49/BB51)</f>
        <v>0</v>
      </c>
      <c r="BD49" s="11">
        <v>1</v>
      </c>
      <c r="BE49" s="11">
        <f>COUNTIF(AD17:AD383,BD49)</f>
        <v>0</v>
      </c>
      <c r="BF49" s="62">
        <f t="shared" ref="BF49" si="83">(BE49/BE51)</f>
        <v>0</v>
      </c>
      <c r="BG49" s="70"/>
      <c r="BH49" s="174">
        <v>541</v>
      </c>
      <c r="BI49" s="121">
        <v>6</v>
      </c>
      <c r="BJ49" s="121">
        <v>4</v>
      </c>
      <c r="BK49" s="121">
        <v>5</v>
      </c>
      <c r="BL49" s="121">
        <v>3</v>
      </c>
      <c r="BM49" s="121">
        <v>4</v>
      </c>
      <c r="BN49" s="121">
        <v>3</v>
      </c>
      <c r="BO49" s="121">
        <v>5</v>
      </c>
      <c r="BP49" s="121">
        <v>5</v>
      </c>
      <c r="BQ49" s="121">
        <v>3</v>
      </c>
      <c r="BR49" s="121">
        <v>4</v>
      </c>
      <c r="BS49" s="121">
        <v>4</v>
      </c>
      <c r="BT49" s="121">
        <v>3</v>
      </c>
      <c r="BU49" s="120">
        <v>5</v>
      </c>
      <c r="BV49" s="120">
        <v>5</v>
      </c>
      <c r="BW49" s="120">
        <v>4</v>
      </c>
      <c r="BX49" s="120">
        <v>5</v>
      </c>
      <c r="BY49" s="120">
        <v>3</v>
      </c>
      <c r="BZ49" s="120">
        <v>4</v>
      </c>
      <c r="CA49" s="120">
        <v>5</v>
      </c>
      <c r="CB49" s="120">
        <v>5</v>
      </c>
      <c r="CC49" s="120">
        <v>4</v>
      </c>
      <c r="CD49" s="120">
        <v>5</v>
      </c>
      <c r="CE49" s="120">
        <v>5</v>
      </c>
      <c r="CF49" s="120">
        <v>4</v>
      </c>
      <c r="CG49" s="120">
        <v>2</v>
      </c>
      <c r="CH49" s="120">
        <v>5</v>
      </c>
      <c r="CI49" s="56"/>
      <c r="CJ49" s="56"/>
      <c r="CK49" s="56"/>
      <c r="CL49" s="56"/>
      <c r="CM49" s="56"/>
      <c r="CN49" s="151"/>
      <c r="CO49" s="151"/>
      <c r="CP49" s="52"/>
      <c r="CQ49" s="11">
        <v>1</v>
      </c>
      <c r="CR49" s="11">
        <f>COUNTIF(CA17:CA383,CQ49)</f>
        <v>1</v>
      </c>
      <c r="CS49" s="62">
        <f>(CR49/CR51)</f>
        <v>2.1276595744680851E-2</v>
      </c>
      <c r="CT49" s="11">
        <v>1</v>
      </c>
      <c r="CU49" s="11">
        <f>COUNTIF(CB17:CB383,CT49)</f>
        <v>1</v>
      </c>
      <c r="CV49" s="62">
        <f>(CU49/CU51)</f>
        <v>2.1739130434782608E-2</v>
      </c>
      <c r="CW49" s="11">
        <v>1</v>
      </c>
      <c r="CX49" s="11">
        <f>COUNTIF(CC17:CC383,CW49)</f>
        <v>0</v>
      </c>
      <c r="CY49" s="62">
        <f t="shared" ref="CY49" si="84">(CX49/CX51)</f>
        <v>0</v>
      </c>
      <c r="CZ49" s="11">
        <v>1</v>
      </c>
      <c r="DA49" s="11">
        <f>COUNTIF(CD17:CD383,CZ49)</f>
        <v>0</v>
      </c>
      <c r="DB49" s="62">
        <f t="shared" ref="DB49" si="85">(DA49/DA51)</f>
        <v>0</v>
      </c>
      <c r="DC49" s="11">
        <v>1</v>
      </c>
      <c r="DD49" s="11">
        <f>COUNTIF(CE17:CE383,DC49)</f>
        <v>0</v>
      </c>
      <c r="DE49" s="62">
        <f t="shared" ref="DE49" si="86">(DD49/DD51)</f>
        <v>0</v>
      </c>
      <c r="DF49" s="11">
        <v>1</v>
      </c>
      <c r="DG49" s="11">
        <f>COUNTIF(CF17:CF383,DF49)</f>
        <v>0</v>
      </c>
      <c r="DH49" s="62">
        <f t="shared" ref="DH49" si="87">(DG49/DG51)</f>
        <v>0</v>
      </c>
      <c r="DI49" s="70"/>
      <c r="DJ49" s="174">
        <v>541</v>
      </c>
      <c r="DK49" s="121">
        <v>0</v>
      </c>
      <c r="DL49" s="121">
        <v>0</v>
      </c>
      <c r="DM49" s="121">
        <v>0</v>
      </c>
      <c r="DN49" s="121">
        <v>1</v>
      </c>
      <c r="DO49" s="120">
        <v>1</v>
      </c>
      <c r="DP49" s="121">
        <v>1</v>
      </c>
      <c r="DQ49" s="121">
        <v>0</v>
      </c>
      <c r="DR49" s="121">
        <v>0</v>
      </c>
      <c r="DS49" s="121">
        <v>0</v>
      </c>
      <c r="DT49" s="121">
        <v>0</v>
      </c>
      <c r="DU49" s="121">
        <v>1</v>
      </c>
      <c r="DV49" s="121">
        <v>1</v>
      </c>
      <c r="DW49" s="120">
        <v>0</v>
      </c>
      <c r="DX49" s="120">
        <v>0</v>
      </c>
      <c r="DY49" s="120">
        <v>1</v>
      </c>
      <c r="DZ49" s="120">
        <v>0</v>
      </c>
      <c r="EA49" s="120">
        <v>0</v>
      </c>
      <c r="EB49" s="120">
        <v>0</v>
      </c>
      <c r="EC49" s="120">
        <v>0</v>
      </c>
      <c r="ED49" s="120">
        <v>0</v>
      </c>
      <c r="EE49" s="120">
        <v>0</v>
      </c>
      <c r="EF49" s="120">
        <v>0</v>
      </c>
      <c r="EG49" s="120">
        <v>1</v>
      </c>
      <c r="EH49" s="120">
        <v>1</v>
      </c>
      <c r="EI49" s="120">
        <v>2</v>
      </c>
      <c r="EJ49" s="120">
        <v>0</v>
      </c>
      <c r="EK49" s="56"/>
      <c r="EL49" s="56"/>
      <c r="EM49" s="56"/>
      <c r="EN49" s="56"/>
      <c r="EO49" s="56"/>
      <c r="EP49" s="151"/>
      <c r="EQ49" s="151"/>
      <c r="ER49" s="52"/>
      <c r="ES49" s="11">
        <v>1</v>
      </c>
      <c r="ET49" s="11">
        <f>COUNTIF(EC17:EC383,ES49)</f>
        <v>11</v>
      </c>
      <c r="EU49" s="62">
        <f>(ET49/ET51)</f>
        <v>0.23404255319148937</v>
      </c>
      <c r="EV49" s="11">
        <v>1</v>
      </c>
      <c r="EW49" s="11">
        <f>COUNTIF(ED17:ED383,EV49)</f>
        <v>14</v>
      </c>
      <c r="EX49" s="62">
        <f>(EW49/EW51)</f>
        <v>0.30434782608695654</v>
      </c>
      <c r="EY49" s="11">
        <v>1</v>
      </c>
      <c r="EZ49" s="11">
        <f>COUNTIF(EE17:EE383,EY49)</f>
        <v>14</v>
      </c>
      <c r="FA49" s="62">
        <f t="shared" ref="FA49" si="88">(EZ49/EZ51)</f>
        <v>0.31111111111111112</v>
      </c>
      <c r="FB49" s="11">
        <v>1</v>
      </c>
      <c r="FC49" s="11">
        <f>COUNTIF(EF17:EF383,FB49)</f>
        <v>11</v>
      </c>
      <c r="FD49" s="62">
        <f t="shared" ref="FD49" si="89">(FC49/FC51)</f>
        <v>0.25</v>
      </c>
      <c r="FE49" s="11">
        <v>1</v>
      </c>
      <c r="FF49" s="11">
        <f>COUNTIF(EG17:EG383,FE49)</f>
        <v>19</v>
      </c>
      <c r="FG49" s="62">
        <f t="shared" ref="FG49" si="90">(FF49/FF51)</f>
        <v>0.44186046511627908</v>
      </c>
      <c r="FH49" s="11">
        <v>1</v>
      </c>
      <c r="FI49" s="11">
        <f>COUNTIF(EH17:EH383,FH49)</f>
        <v>13</v>
      </c>
      <c r="FJ49" s="62">
        <f t="shared" ref="FJ49" si="91">(FI49/FI51)</f>
        <v>0.30952380952380953</v>
      </c>
      <c r="FL49" s="174">
        <v>541</v>
      </c>
      <c r="FM49" s="78"/>
      <c r="FN49" s="78">
        <v>3</v>
      </c>
      <c r="FO49" s="56">
        <v>3</v>
      </c>
      <c r="FP49" s="78">
        <v>1</v>
      </c>
      <c r="FQ49" s="56">
        <v>2</v>
      </c>
      <c r="FR49" s="56">
        <v>2</v>
      </c>
      <c r="FS49" s="56">
        <v>2</v>
      </c>
      <c r="FT49" s="56">
        <v>2</v>
      </c>
      <c r="FU49" s="56">
        <v>1</v>
      </c>
      <c r="FV49" s="56">
        <v>1</v>
      </c>
      <c r="FW49" s="56">
        <v>1</v>
      </c>
      <c r="FX49" s="56">
        <v>2</v>
      </c>
      <c r="FY49" s="56">
        <v>2</v>
      </c>
      <c r="FZ49" s="56">
        <v>2</v>
      </c>
      <c r="GA49" s="56">
        <v>2</v>
      </c>
      <c r="GB49" s="56">
        <v>1</v>
      </c>
      <c r="GC49" s="56">
        <v>4</v>
      </c>
      <c r="GD49" s="56">
        <v>3</v>
      </c>
      <c r="GE49" s="56">
        <v>2</v>
      </c>
      <c r="GF49" s="78">
        <v>1</v>
      </c>
      <c r="GG49" s="56">
        <v>1</v>
      </c>
      <c r="GH49" s="56">
        <v>3</v>
      </c>
      <c r="GI49" s="56">
        <v>2</v>
      </c>
      <c r="GJ49" s="56">
        <v>2</v>
      </c>
      <c r="GK49" s="56">
        <v>2</v>
      </c>
      <c r="GL49" s="56">
        <v>5</v>
      </c>
      <c r="GM49" s="56"/>
      <c r="GN49" s="56"/>
      <c r="GO49" s="56"/>
      <c r="GP49" s="56"/>
      <c r="GQ49" s="56"/>
      <c r="GR49" s="151"/>
      <c r="GS49" s="151"/>
      <c r="GT49" s="52"/>
      <c r="GU49" s="11">
        <v>1</v>
      </c>
      <c r="GV49" s="11">
        <f>COUNTIF(GE17:GE383,GU49)</f>
        <v>14</v>
      </c>
      <c r="GW49" s="62">
        <f>(GV49/GV51)</f>
        <v>0.2978723404255319</v>
      </c>
      <c r="GX49" s="11">
        <v>1</v>
      </c>
      <c r="GY49" s="11">
        <f>COUNTIF(GF17:GF383,GX49)</f>
        <v>14</v>
      </c>
      <c r="GZ49" s="62">
        <f>(GY49/GY51)</f>
        <v>0.30434782608695654</v>
      </c>
      <c r="HA49" s="11">
        <v>1</v>
      </c>
      <c r="HB49" s="11">
        <f>COUNTIF(GG17:GG383,HA49)</f>
        <v>8</v>
      </c>
      <c r="HC49" s="62">
        <f t="shared" ref="HC49" si="92">(HB49/HB51)</f>
        <v>0.17777777777777778</v>
      </c>
      <c r="HD49" s="11">
        <v>1</v>
      </c>
      <c r="HE49" s="11">
        <f>COUNTIF(GH17:GH383,HD49)</f>
        <v>18</v>
      </c>
      <c r="HF49" s="62">
        <f t="shared" ref="HF49" si="93">(HE49/HE51)</f>
        <v>0.40909090909090912</v>
      </c>
      <c r="HG49" s="11">
        <v>1</v>
      </c>
      <c r="HH49" s="11">
        <f>COUNTIF(GI17:GI383,HG49)</f>
        <v>12</v>
      </c>
      <c r="HI49" s="62">
        <f t="shared" ref="HI49" si="94">(HH49/HH51)</f>
        <v>0.27906976744186046</v>
      </c>
      <c r="HJ49" s="11">
        <v>1</v>
      </c>
      <c r="HK49" s="11">
        <f>COUNTIF(GJ17:GJ383,HJ49)</f>
        <v>9</v>
      </c>
      <c r="HL49" s="62">
        <f t="shared" ref="HL49" si="95">(HK49/HK51)</f>
        <v>0.21428571428571427</v>
      </c>
    </row>
    <row r="50" spans="1:220" ht="17.25">
      <c r="A50" s="186"/>
      <c r="B50" s="186"/>
      <c r="C50" s="129"/>
      <c r="D50" s="52"/>
      <c r="E50" s="52"/>
      <c r="F50" s="174">
        <v>542</v>
      </c>
      <c r="G50" s="34">
        <v>5</v>
      </c>
      <c r="H50" s="151">
        <v>2</v>
      </c>
      <c r="I50" s="151">
        <v>5</v>
      </c>
      <c r="J50" s="151">
        <v>4</v>
      </c>
      <c r="K50" s="151">
        <v>6</v>
      </c>
      <c r="L50" s="151">
        <v>5</v>
      </c>
      <c r="M50" s="151">
        <v>4</v>
      </c>
      <c r="N50" s="151">
        <v>4</v>
      </c>
      <c r="O50" s="151">
        <v>5</v>
      </c>
      <c r="P50" s="151">
        <v>6</v>
      </c>
      <c r="Q50" s="151">
        <v>6</v>
      </c>
      <c r="R50" s="151">
        <v>5</v>
      </c>
      <c r="S50" s="151">
        <v>4</v>
      </c>
      <c r="T50" s="151">
        <v>5</v>
      </c>
      <c r="U50" s="151">
        <v>5</v>
      </c>
      <c r="V50" s="151">
        <v>5</v>
      </c>
      <c r="W50" s="151">
        <v>6</v>
      </c>
      <c r="X50" s="151">
        <v>5</v>
      </c>
      <c r="Y50" s="151">
        <v>2</v>
      </c>
      <c r="Z50" s="49">
        <v>3</v>
      </c>
      <c r="AA50" s="151">
        <v>3</v>
      </c>
      <c r="AB50" s="151">
        <v>5</v>
      </c>
      <c r="AC50" s="151">
        <v>5</v>
      </c>
      <c r="AD50" s="151">
        <v>3</v>
      </c>
      <c r="AE50" s="151">
        <v>5</v>
      </c>
      <c r="AF50" s="151">
        <v>6</v>
      </c>
      <c r="AG50" s="56"/>
      <c r="AH50" s="56"/>
      <c r="AI50" s="56"/>
      <c r="AJ50" s="56"/>
      <c r="AK50" s="56"/>
      <c r="AL50" s="151"/>
      <c r="AM50" s="151"/>
      <c r="AN50" s="52"/>
      <c r="AO50" s="11">
        <v>0</v>
      </c>
      <c r="AP50" s="11">
        <f>COUNTIF(Y17:Y383,AO50)</f>
        <v>0</v>
      </c>
      <c r="AQ50" s="62">
        <f>(AP50/AP51)</f>
        <v>0</v>
      </c>
      <c r="AR50" s="11">
        <v>0</v>
      </c>
      <c r="AS50" s="11">
        <f>COUNTIF(Z17:Z383,AR50)</f>
        <v>0</v>
      </c>
      <c r="AT50" s="62">
        <f>(AS50/AS51)</f>
        <v>0</v>
      </c>
      <c r="AU50" s="11">
        <v>0</v>
      </c>
      <c r="AV50" s="11">
        <f>COUNTIF(AA17:AA383,AU50)</f>
        <v>0</v>
      </c>
      <c r="AW50" s="62">
        <f t="shared" ref="AW50" si="96">(AV50/AV51)</f>
        <v>0</v>
      </c>
      <c r="AX50" s="11">
        <v>0</v>
      </c>
      <c r="AY50" s="11">
        <f>COUNTIF(AB17:AB383,AX50)</f>
        <v>0</v>
      </c>
      <c r="AZ50" s="62">
        <f t="shared" ref="AZ50" si="97">(AY50/AY51)</f>
        <v>0</v>
      </c>
      <c r="BA50" s="11">
        <v>0</v>
      </c>
      <c r="BB50" s="11">
        <f>COUNTIF(AC17:AC383,BA50)</f>
        <v>0</v>
      </c>
      <c r="BC50" s="62">
        <f t="shared" ref="BC50" si="98">(BB50/BB51)</f>
        <v>0</v>
      </c>
      <c r="BD50" s="11">
        <v>0</v>
      </c>
      <c r="BE50" s="11">
        <f>COUNTIF(AD17:AD383,BD50)</f>
        <v>0</v>
      </c>
      <c r="BF50" s="62">
        <f t="shared" ref="BF50" si="99">(BE50/BE51)</f>
        <v>0</v>
      </c>
      <c r="BG50" s="70"/>
      <c r="BH50" s="174">
        <v>542</v>
      </c>
      <c r="BI50" s="121">
        <v>5</v>
      </c>
      <c r="BJ50" s="121">
        <v>2</v>
      </c>
      <c r="BK50" s="121">
        <v>5</v>
      </c>
      <c r="BL50" s="121">
        <v>3</v>
      </c>
      <c r="BM50" s="121">
        <v>5</v>
      </c>
      <c r="BN50" s="121">
        <v>5</v>
      </c>
      <c r="BO50" s="121">
        <v>3</v>
      </c>
      <c r="BP50" s="121">
        <v>3</v>
      </c>
      <c r="BQ50" s="121">
        <v>3</v>
      </c>
      <c r="BR50" s="121">
        <v>4</v>
      </c>
      <c r="BS50" s="121">
        <v>5</v>
      </c>
      <c r="BT50" s="121">
        <v>5</v>
      </c>
      <c r="BU50" s="120">
        <v>4</v>
      </c>
      <c r="BV50" s="120">
        <v>4</v>
      </c>
      <c r="BW50" s="120">
        <v>5</v>
      </c>
      <c r="BX50" s="120">
        <v>5</v>
      </c>
      <c r="BY50" s="120">
        <v>6</v>
      </c>
      <c r="BZ50" s="120">
        <v>5</v>
      </c>
      <c r="CA50" s="120">
        <v>1</v>
      </c>
      <c r="CB50" s="120">
        <v>2</v>
      </c>
      <c r="CC50" s="120">
        <v>3</v>
      </c>
      <c r="CD50" s="120">
        <v>5</v>
      </c>
      <c r="CE50" s="120">
        <v>5</v>
      </c>
      <c r="CF50" s="120">
        <v>3</v>
      </c>
      <c r="CG50" s="120">
        <v>5</v>
      </c>
      <c r="CH50" s="120">
        <v>5</v>
      </c>
      <c r="CI50" s="56"/>
      <c r="CJ50" s="56"/>
      <c r="CK50" s="56"/>
      <c r="CL50" s="56"/>
      <c r="CM50" s="56"/>
      <c r="CN50" s="151"/>
      <c r="CO50" s="151"/>
      <c r="CP50" s="52"/>
      <c r="CQ50" s="11">
        <v>0</v>
      </c>
      <c r="CR50" s="11">
        <f>COUNTIF(CA17:CA383,CQ50)</f>
        <v>0</v>
      </c>
      <c r="CS50" s="62">
        <f>(CR50/CR51)</f>
        <v>0</v>
      </c>
      <c r="CT50" s="11">
        <v>0</v>
      </c>
      <c r="CU50" s="11">
        <f>COUNTIF(CB17:CB383,CT50)</f>
        <v>0</v>
      </c>
      <c r="CV50" s="62">
        <f>(CU50/CU51)</f>
        <v>0</v>
      </c>
      <c r="CW50" s="11">
        <v>0</v>
      </c>
      <c r="CX50" s="11">
        <f>COUNTIF(CC17:CC383,CW50)</f>
        <v>0</v>
      </c>
      <c r="CY50" s="62">
        <f t="shared" ref="CY50" si="100">(CX50/CX51)</f>
        <v>0</v>
      </c>
      <c r="CZ50" s="11">
        <v>0</v>
      </c>
      <c r="DA50" s="11">
        <f>COUNTIF(CD17:CD383,CZ50)</f>
        <v>0</v>
      </c>
      <c r="DB50" s="62">
        <f t="shared" ref="DB50" si="101">(DA50/DA51)</f>
        <v>0</v>
      </c>
      <c r="DC50" s="11">
        <v>0</v>
      </c>
      <c r="DD50" s="11">
        <f>COUNTIF(CE17:CE383,DC50)</f>
        <v>1</v>
      </c>
      <c r="DE50" s="62">
        <f t="shared" ref="DE50" si="102">(DD50/DD51)</f>
        <v>2.3255813953488372E-2</v>
      </c>
      <c r="DF50" s="11">
        <v>0</v>
      </c>
      <c r="DG50" s="11">
        <f>COUNTIF(CF17:CF383,DF50)</f>
        <v>0</v>
      </c>
      <c r="DH50" s="62">
        <f t="shared" ref="DH50" si="103">(DG50/DG51)</f>
        <v>0</v>
      </c>
      <c r="DI50" s="70"/>
      <c r="DJ50" s="174">
        <v>542</v>
      </c>
      <c r="DK50" s="121">
        <v>0</v>
      </c>
      <c r="DL50" s="121">
        <v>0</v>
      </c>
      <c r="DM50" s="121">
        <v>0</v>
      </c>
      <c r="DN50" s="121">
        <v>1</v>
      </c>
      <c r="DO50" s="120">
        <v>1</v>
      </c>
      <c r="DP50" s="121">
        <v>0</v>
      </c>
      <c r="DQ50" s="121">
        <v>1</v>
      </c>
      <c r="DR50" s="121">
        <v>1</v>
      </c>
      <c r="DS50" s="121">
        <v>2</v>
      </c>
      <c r="DT50" s="121">
        <v>2</v>
      </c>
      <c r="DU50" s="121">
        <v>1</v>
      </c>
      <c r="DV50" s="121">
        <v>0</v>
      </c>
      <c r="DW50" s="120">
        <v>0</v>
      </c>
      <c r="DX50" s="120">
        <v>1</v>
      </c>
      <c r="DY50" s="120">
        <v>0</v>
      </c>
      <c r="DZ50" s="120">
        <v>0</v>
      </c>
      <c r="EA50" s="120">
        <v>0</v>
      </c>
      <c r="EB50" s="120">
        <v>0</v>
      </c>
      <c r="EC50" s="120">
        <v>1</v>
      </c>
      <c r="ED50" s="120">
        <v>1</v>
      </c>
      <c r="EE50" s="120">
        <v>0</v>
      </c>
      <c r="EF50" s="120">
        <v>0</v>
      </c>
      <c r="EG50" s="120">
        <v>0</v>
      </c>
      <c r="EH50" s="120">
        <v>0</v>
      </c>
      <c r="EI50" s="120">
        <v>0</v>
      </c>
      <c r="EJ50" s="120">
        <v>1</v>
      </c>
      <c r="EK50" s="56"/>
      <c r="EL50" s="56"/>
      <c r="EM50" s="56"/>
      <c r="EN50" s="56"/>
      <c r="EO50" s="56"/>
      <c r="EP50" s="151"/>
      <c r="EQ50" s="151"/>
      <c r="ER50" s="52"/>
      <c r="ES50" s="11">
        <v>0</v>
      </c>
      <c r="ET50" s="11">
        <f>COUNTIF(EC17:EC383,ES50)</f>
        <v>32</v>
      </c>
      <c r="EU50" s="62">
        <f>(ET50/ET51)</f>
        <v>0.68085106382978722</v>
      </c>
      <c r="EV50" s="11">
        <v>0</v>
      </c>
      <c r="EW50" s="11">
        <f>COUNTIF(ED17:ED383,EV50)</f>
        <v>28</v>
      </c>
      <c r="EX50" s="62">
        <f>(EW50/EW51)</f>
        <v>0.60869565217391308</v>
      </c>
      <c r="EY50" s="11">
        <v>0</v>
      </c>
      <c r="EZ50" s="11">
        <f>COUNTIF(EE17:EE383,EY50)</f>
        <v>30</v>
      </c>
      <c r="FA50" s="62">
        <f t="shared" ref="FA50" si="104">(EZ50/EZ51)</f>
        <v>0.66666666666666663</v>
      </c>
      <c r="FB50" s="11">
        <v>0</v>
      </c>
      <c r="FC50" s="11">
        <f>COUNTIF(EF17:EF383,FB50)</f>
        <v>29</v>
      </c>
      <c r="FD50" s="62">
        <f t="shared" ref="FD50" si="105">(FC50/FC51)</f>
        <v>0.65909090909090906</v>
      </c>
      <c r="FE50" s="11">
        <v>0</v>
      </c>
      <c r="FF50" s="11">
        <f>COUNTIF(EG17:EG383,FE50)</f>
        <v>21</v>
      </c>
      <c r="FG50" s="62">
        <f t="shared" ref="FG50" si="106">(FF50/FF51)</f>
        <v>0.48837209302325579</v>
      </c>
      <c r="FH50" s="11">
        <v>0</v>
      </c>
      <c r="FI50" s="11">
        <f>COUNTIF(EH17:EH383,FH50)</f>
        <v>29</v>
      </c>
      <c r="FJ50" s="62">
        <f t="shared" ref="FJ50" si="107">(FI50/FI51)</f>
        <v>0.69047619047619047</v>
      </c>
      <c r="FL50" s="174">
        <v>542</v>
      </c>
      <c r="FM50" s="78"/>
      <c r="FN50" s="78">
        <v>3</v>
      </c>
      <c r="FO50" s="56">
        <v>1</v>
      </c>
      <c r="FP50" s="78">
        <v>2</v>
      </c>
      <c r="FQ50" s="56">
        <v>0</v>
      </c>
      <c r="FR50" s="56">
        <v>4</v>
      </c>
      <c r="FS50" s="56">
        <v>3</v>
      </c>
      <c r="FT50" s="56">
        <v>0</v>
      </c>
      <c r="FU50" s="56">
        <v>3</v>
      </c>
      <c r="FV50" s="56">
        <v>1</v>
      </c>
      <c r="FW50" s="56">
        <v>1</v>
      </c>
      <c r="FX50" s="56">
        <v>1</v>
      </c>
      <c r="FY50" s="56">
        <v>2</v>
      </c>
      <c r="FZ50" s="56">
        <v>2</v>
      </c>
      <c r="GA50" s="56">
        <v>0</v>
      </c>
      <c r="GB50" s="56">
        <v>2</v>
      </c>
      <c r="GC50" s="56">
        <v>3</v>
      </c>
      <c r="GD50" s="56">
        <v>2</v>
      </c>
      <c r="GE50" s="56">
        <v>3</v>
      </c>
      <c r="GF50" s="78">
        <v>3</v>
      </c>
      <c r="GG50" s="56">
        <v>3</v>
      </c>
      <c r="GH50" s="56">
        <v>1</v>
      </c>
      <c r="GI50" s="56">
        <v>3</v>
      </c>
      <c r="GJ50" s="56">
        <v>2</v>
      </c>
      <c r="GK50" s="56">
        <v>4</v>
      </c>
      <c r="GL50" s="56">
        <v>3</v>
      </c>
      <c r="GM50" s="56"/>
      <c r="GN50" s="56"/>
      <c r="GO50" s="56"/>
      <c r="GP50" s="56"/>
      <c r="GQ50" s="56"/>
      <c r="GR50" s="151"/>
      <c r="GS50" s="151"/>
      <c r="GT50" s="52"/>
      <c r="GU50" s="11">
        <v>0</v>
      </c>
      <c r="GV50" s="11">
        <f>COUNTIF(GE17:GE383,GU50)</f>
        <v>6</v>
      </c>
      <c r="GW50" s="62">
        <f>(GV50/GV51)</f>
        <v>0.1276595744680851</v>
      </c>
      <c r="GX50" s="11">
        <v>0</v>
      </c>
      <c r="GY50" s="11">
        <f>COUNTIF(GF17:GF383,GX50)</f>
        <v>1</v>
      </c>
      <c r="GZ50" s="62">
        <f>(GY50/GY51)</f>
        <v>2.1739130434782608E-2</v>
      </c>
      <c r="HA50" s="11">
        <v>0</v>
      </c>
      <c r="HB50" s="11">
        <f>COUNTIF(GG17:GG383,HA50)</f>
        <v>6</v>
      </c>
      <c r="HC50" s="62">
        <f t="shared" ref="HC50" si="108">(HB50/HB51)</f>
        <v>0.13333333333333333</v>
      </c>
      <c r="HD50" s="11">
        <v>0</v>
      </c>
      <c r="HE50" s="11">
        <f>COUNTIF(GH17:GH383,HD50)</f>
        <v>1</v>
      </c>
      <c r="HF50" s="62">
        <f t="shared" ref="HF50" si="109">(HE50/HE51)</f>
        <v>2.2727272727272728E-2</v>
      </c>
      <c r="HG50" s="11">
        <v>0</v>
      </c>
      <c r="HH50" s="11">
        <f>COUNTIF(GI17:GI383,HG50)</f>
        <v>5</v>
      </c>
      <c r="HI50" s="62">
        <f t="shared" ref="HI50" si="110">(HH50/HH51)</f>
        <v>0.11627906976744186</v>
      </c>
      <c r="HJ50" s="11">
        <v>0</v>
      </c>
      <c r="HK50" s="11">
        <f>COUNTIF(GJ17:GJ383,HJ50)</f>
        <v>2</v>
      </c>
      <c r="HL50" s="62">
        <f t="shared" ref="HL50" si="111">(HK50/HK51)</f>
        <v>4.7619047619047616E-2</v>
      </c>
    </row>
    <row r="51" spans="1:220" ht="17.25">
      <c r="A51" s="186"/>
      <c r="B51" s="186"/>
      <c r="C51" s="129"/>
      <c r="D51" s="52"/>
      <c r="E51" s="52"/>
      <c r="F51" s="174">
        <v>543</v>
      </c>
      <c r="G51" s="34">
        <v>6</v>
      </c>
      <c r="H51" s="151">
        <v>4</v>
      </c>
      <c r="I51" s="151">
        <v>5</v>
      </c>
      <c r="J51" s="151">
        <v>3</v>
      </c>
      <c r="K51" s="151">
        <v>5</v>
      </c>
      <c r="L51" s="151">
        <v>5</v>
      </c>
      <c r="M51" s="151">
        <v>4</v>
      </c>
      <c r="N51" s="151">
        <v>4</v>
      </c>
      <c r="O51" s="151">
        <v>5</v>
      </c>
      <c r="P51" s="151">
        <v>4</v>
      </c>
      <c r="Q51" s="151">
        <v>3</v>
      </c>
      <c r="R51" s="151">
        <v>4</v>
      </c>
      <c r="S51" s="151">
        <v>3</v>
      </c>
      <c r="T51" s="151">
        <v>5</v>
      </c>
      <c r="U51" s="151">
        <v>5</v>
      </c>
      <c r="V51" s="151">
        <v>4</v>
      </c>
      <c r="W51" s="151">
        <v>5</v>
      </c>
      <c r="X51" s="151">
        <v>4</v>
      </c>
      <c r="Y51" s="151">
        <v>3</v>
      </c>
      <c r="Z51" s="49">
        <v>5</v>
      </c>
      <c r="AA51" s="151">
        <v>4</v>
      </c>
      <c r="AB51" s="151">
        <v>6</v>
      </c>
      <c r="AC51" s="151">
        <v>3</v>
      </c>
      <c r="AD51" s="151">
        <v>5</v>
      </c>
      <c r="AE51" s="151">
        <v>4</v>
      </c>
      <c r="AF51" s="151">
        <v>5</v>
      </c>
      <c r="AG51" s="56"/>
      <c r="AH51" s="56"/>
      <c r="AI51" s="56"/>
      <c r="AJ51" s="56">
        <v>4</v>
      </c>
      <c r="AK51" s="56">
        <v>5</v>
      </c>
      <c r="AL51" s="151"/>
      <c r="AM51" s="151"/>
      <c r="AN51" s="52"/>
      <c r="AO51" s="11"/>
      <c r="AP51" s="11">
        <f>SUM(AP44:AP50)</f>
        <v>47</v>
      </c>
      <c r="AQ51" s="62">
        <f>SUM(AQ44:AQ50)</f>
        <v>1</v>
      </c>
      <c r="AR51" s="11"/>
      <c r="AS51" s="11">
        <f>SUM(AS44:AS50)</f>
        <v>46</v>
      </c>
      <c r="AT51" s="62">
        <f>SUM(AT44:AT50)</f>
        <v>0.99999999999999989</v>
      </c>
      <c r="AU51" s="11"/>
      <c r="AV51" s="11">
        <f>SUM(AV44:AV50)</f>
        <v>45</v>
      </c>
      <c r="AW51" s="62">
        <f t="shared" ref="AW51" si="112">SUM(AW44:AW50)</f>
        <v>1</v>
      </c>
      <c r="AX51" s="11"/>
      <c r="AY51" s="11">
        <f>SUM(AY44:AY50)</f>
        <v>44</v>
      </c>
      <c r="AZ51" s="62">
        <f t="shared" ref="AZ51" si="113">SUM(AZ44:AZ50)</f>
        <v>1</v>
      </c>
      <c r="BA51" s="11"/>
      <c r="BB51" s="11">
        <f>SUM(BB44:BB50)</f>
        <v>43</v>
      </c>
      <c r="BC51" s="62">
        <f t="shared" ref="BC51" si="114">SUM(BC44:BC50)</f>
        <v>1</v>
      </c>
      <c r="BD51" s="11"/>
      <c r="BE51" s="11">
        <f>SUM(BE44:BE50)</f>
        <v>42</v>
      </c>
      <c r="BF51" s="62">
        <f t="shared" ref="BF51" si="115">SUM(BF44:BF50)</f>
        <v>0.99999999999999989</v>
      </c>
      <c r="BG51" s="70"/>
      <c r="BH51" s="174">
        <v>543</v>
      </c>
      <c r="BI51" s="121">
        <v>6</v>
      </c>
      <c r="BJ51" s="121">
        <v>4</v>
      </c>
      <c r="BK51" s="121">
        <v>4</v>
      </c>
      <c r="BL51" s="121">
        <v>3</v>
      </c>
      <c r="BM51" s="121">
        <v>3</v>
      </c>
      <c r="BN51" s="121">
        <v>4</v>
      </c>
      <c r="BO51" s="120">
        <v>4</v>
      </c>
      <c r="BP51" s="120">
        <v>4</v>
      </c>
      <c r="BQ51" s="121">
        <v>5</v>
      </c>
      <c r="BR51" s="121">
        <v>4</v>
      </c>
      <c r="BS51" s="121">
        <v>2</v>
      </c>
      <c r="BT51" s="121">
        <v>3</v>
      </c>
      <c r="BU51" s="120">
        <v>3</v>
      </c>
      <c r="BV51" s="120">
        <v>4</v>
      </c>
      <c r="BW51" s="120">
        <v>4</v>
      </c>
      <c r="BX51" s="120">
        <v>2</v>
      </c>
      <c r="BY51" s="120">
        <v>4</v>
      </c>
      <c r="BZ51" s="120">
        <v>3</v>
      </c>
      <c r="CA51" s="120">
        <v>2</v>
      </c>
      <c r="CB51" s="120">
        <v>4</v>
      </c>
      <c r="CC51" s="120">
        <v>4</v>
      </c>
      <c r="CD51" s="120">
        <v>6</v>
      </c>
      <c r="CE51" s="120">
        <v>2</v>
      </c>
      <c r="CF51" s="120">
        <v>4</v>
      </c>
      <c r="CG51" s="120">
        <v>3</v>
      </c>
      <c r="CH51" s="120">
        <v>5</v>
      </c>
      <c r="CI51" s="56"/>
      <c r="CJ51" s="56"/>
      <c r="CK51" s="56"/>
      <c r="CL51" s="56">
        <v>4</v>
      </c>
      <c r="CM51" s="56">
        <v>4</v>
      </c>
      <c r="CN51" s="151"/>
      <c r="CO51" s="151"/>
      <c r="CP51" s="52"/>
      <c r="CQ51" s="11"/>
      <c r="CR51" s="11">
        <f>SUM(CR44:CR50)</f>
        <v>47</v>
      </c>
      <c r="CS51" s="62">
        <f>SUM(CS44:CS50)</f>
        <v>1</v>
      </c>
      <c r="CT51" s="11"/>
      <c r="CU51" s="11">
        <f>SUM(CU44:CU50)</f>
        <v>46</v>
      </c>
      <c r="CV51" s="62">
        <f>SUM(CV44:CV50)</f>
        <v>1</v>
      </c>
      <c r="CW51" s="11"/>
      <c r="CX51" s="11">
        <f>SUM(CX44:CX50)</f>
        <v>45</v>
      </c>
      <c r="CY51" s="62">
        <f>SUM(CY44:CY50)</f>
        <v>0.99999999999999989</v>
      </c>
      <c r="CZ51" s="11"/>
      <c r="DA51" s="11">
        <f>SUM(DA44:DA50)</f>
        <v>44</v>
      </c>
      <c r="DB51" s="62">
        <f>SUM(DB44:DB50)</f>
        <v>1</v>
      </c>
      <c r="DC51" s="11"/>
      <c r="DD51" s="11">
        <f>SUM(DD44:DD50)</f>
        <v>43</v>
      </c>
      <c r="DE51" s="62">
        <f>SUM(DE44:DE50)</f>
        <v>1</v>
      </c>
      <c r="DF51" s="11"/>
      <c r="DG51" s="11">
        <f>SUM(DG44:DG50)</f>
        <v>42</v>
      </c>
      <c r="DH51" s="62">
        <f>SUM(DH44:DH50)</f>
        <v>1</v>
      </c>
      <c r="DI51" s="70"/>
      <c r="DJ51" s="174">
        <v>543</v>
      </c>
      <c r="DK51" s="120">
        <v>0</v>
      </c>
      <c r="DL51" s="120">
        <v>0</v>
      </c>
      <c r="DM51" s="120">
        <v>1</v>
      </c>
      <c r="DN51" s="120">
        <v>0</v>
      </c>
      <c r="DO51" s="120">
        <v>2</v>
      </c>
      <c r="DP51" s="120">
        <v>1</v>
      </c>
      <c r="DQ51" s="120">
        <v>0</v>
      </c>
      <c r="DR51" s="120">
        <v>0</v>
      </c>
      <c r="DS51" s="120">
        <v>0</v>
      </c>
      <c r="DT51" s="120">
        <v>0</v>
      </c>
      <c r="DU51" s="120">
        <v>1</v>
      </c>
      <c r="DV51" s="120">
        <v>1</v>
      </c>
      <c r="DW51" s="120">
        <v>0</v>
      </c>
      <c r="DX51" s="120">
        <v>1</v>
      </c>
      <c r="DY51" s="120">
        <v>1</v>
      </c>
      <c r="DZ51" s="120">
        <v>2</v>
      </c>
      <c r="EA51" s="120">
        <v>1</v>
      </c>
      <c r="EB51" s="120">
        <v>1</v>
      </c>
      <c r="EC51" s="120">
        <v>1</v>
      </c>
      <c r="ED51" s="120">
        <v>1</v>
      </c>
      <c r="EE51" s="120">
        <v>0</v>
      </c>
      <c r="EF51" s="120">
        <v>0</v>
      </c>
      <c r="EG51" s="120">
        <v>1</v>
      </c>
      <c r="EH51" s="120">
        <v>1</v>
      </c>
      <c r="EI51" s="120">
        <v>1</v>
      </c>
      <c r="EJ51" s="120">
        <v>0</v>
      </c>
      <c r="EK51" s="56"/>
      <c r="EL51" s="56"/>
      <c r="EM51" s="56"/>
      <c r="EN51" s="56">
        <v>0</v>
      </c>
      <c r="EO51" s="56">
        <v>1</v>
      </c>
      <c r="EP51" s="151"/>
      <c r="EQ51" s="151"/>
      <c r="ER51" s="52"/>
      <c r="ES51" s="11"/>
      <c r="ET51" s="11">
        <f>SUM(ET44:ET50)</f>
        <v>47</v>
      </c>
      <c r="EU51" s="62">
        <f>SUM(EU44:EU50)</f>
        <v>1</v>
      </c>
      <c r="EV51" s="11"/>
      <c r="EW51" s="11">
        <f>SUM(EW44:EW50)</f>
        <v>46</v>
      </c>
      <c r="EX51" s="62">
        <f>SUM(EX44:EX50)</f>
        <v>1</v>
      </c>
      <c r="EY51" s="11"/>
      <c r="EZ51" s="11">
        <f>SUM(EZ44:EZ50)</f>
        <v>45</v>
      </c>
      <c r="FA51" s="62">
        <f>SUM(FA44:FA50)</f>
        <v>1</v>
      </c>
      <c r="FB51" s="11"/>
      <c r="FC51" s="11">
        <f>SUM(FC44:FC50)</f>
        <v>44</v>
      </c>
      <c r="FD51" s="62">
        <f>SUM(FD44:FD50)</f>
        <v>1</v>
      </c>
      <c r="FE51" s="11"/>
      <c r="FF51" s="11">
        <f>SUM(FF44:FF50)</f>
        <v>43</v>
      </c>
      <c r="FG51" s="62">
        <f>SUM(FG44:FG50)</f>
        <v>1</v>
      </c>
      <c r="FH51" s="11"/>
      <c r="FI51" s="11">
        <f>SUM(FI44:FI50)</f>
        <v>42</v>
      </c>
      <c r="FJ51" s="62">
        <f>SUM(FJ44:FJ50)</f>
        <v>1</v>
      </c>
      <c r="FL51" s="174">
        <v>543</v>
      </c>
      <c r="FM51" s="56"/>
      <c r="FN51" s="78">
        <v>2</v>
      </c>
      <c r="FO51" s="56">
        <v>1</v>
      </c>
      <c r="FP51" s="78">
        <v>2</v>
      </c>
      <c r="FQ51" s="56">
        <v>1</v>
      </c>
      <c r="FR51" s="56">
        <v>3</v>
      </c>
      <c r="FS51" s="56">
        <v>2</v>
      </c>
      <c r="FT51" s="56">
        <v>1</v>
      </c>
      <c r="FU51" s="56">
        <v>2</v>
      </c>
      <c r="FV51" s="56">
        <v>2</v>
      </c>
      <c r="FW51" s="56">
        <v>1</v>
      </c>
      <c r="FX51" s="56">
        <v>2</v>
      </c>
      <c r="FY51" s="56">
        <v>1</v>
      </c>
      <c r="FZ51" s="56">
        <v>2</v>
      </c>
      <c r="GA51" s="56">
        <v>1</v>
      </c>
      <c r="GB51" s="56">
        <v>3</v>
      </c>
      <c r="GC51" s="56">
        <v>3</v>
      </c>
      <c r="GD51" s="56">
        <v>0</v>
      </c>
      <c r="GE51" s="56">
        <v>2</v>
      </c>
      <c r="GF51" s="78">
        <v>2</v>
      </c>
      <c r="GG51" s="56">
        <v>4</v>
      </c>
      <c r="GH51" s="56">
        <v>2</v>
      </c>
      <c r="GI51" s="56">
        <v>2</v>
      </c>
      <c r="GJ51" s="56">
        <v>3</v>
      </c>
      <c r="GK51" s="56">
        <v>2</v>
      </c>
      <c r="GL51" s="56">
        <v>3</v>
      </c>
      <c r="GM51" s="56"/>
      <c r="GN51" s="56"/>
      <c r="GO51" s="56"/>
      <c r="GP51" s="56">
        <v>3</v>
      </c>
      <c r="GQ51" s="56">
        <v>3</v>
      </c>
      <c r="GR51" s="151"/>
      <c r="GS51" s="151"/>
      <c r="GT51" s="52"/>
      <c r="GU51" s="11"/>
      <c r="GV51" s="11">
        <f>SUM(GV44:GV50)</f>
        <v>47</v>
      </c>
      <c r="GW51" s="62">
        <f>SUM(GW44:GW50)</f>
        <v>1</v>
      </c>
      <c r="GX51" s="11"/>
      <c r="GY51" s="11">
        <f>SUM(GY44:GY50)</f>
        <v>46</v>
      </c>
      <c r="GZ51" s="62">
        <f>SUM(GZ44:GZ50)</f>
        <v>1</v>
      </c>
      <c r="HA51" s="11"/>
      <c r="HB51" s="11">
        <f>SUM(HB44:HB50)</f>
        <v>45</v>
      </c>
      <c r="HC51" s="62">
        <f>SUM(HC44:HC50)</f>
        <v>1</v>
      </c>
      <c r="HD51" s="11"/>
      <c r="HE51" s="11">
        <f>SUM(HE44:HE50)</f>
        <v>44</v>
      </c>
      <c r="HF51" s="62">
        <f>SUM(HF44:HF50)</f>
        <v>1</v>
      </c>
      <c r="HG51" s="11"/>
      <c r="HH51" s="11">
        <f>SUM(HH44:HH50)</f>
        <v>43</v>
      </c>
      <c r="HI51" s="62">
        <f>SUM(HI44:HI50)</f>
        <v>1</v>
      </c>
      <c r="HJ51" s="11"/>
      <c r="HK51" s="11">
        <f>SUM(HK44:HK50)</f>
        <v>42</v>
      </c>
      <c r="HL51" s="62">
        <f>SUM(HL44:HL50)</f>
        <v>1</v>
      </c>
    </row>
    <row r="52" spans="1:220" ht="17.25">
      <c r="A52" s="186"/>
      <c r="B52" s="186"/>
      <c r="C52" s="129"/>
      <c r="D52" s="52"/>
      <c r="E52" s="52"/>
      <c r="F52" s="174">
        <v>544</v>
      </c>
      <c r="G52" s="34">
        <v>6</v>
      </c>
      <c r="H52" s="151">
        <v>6</v>
      </c>
      <c r="I52" s="151">
        <v>6</v>
      </c>
      <c r="J52" s="151">
        <v>5</v>
      </c>
      <c r="K52" s="151">
        <v>6</v>
      </c>
      <c r="L52" s="151">
        <v>4</v>
      </c>
      <c r="M52" s="151">
        <v>6</v>
      </c>
      <c r="N52" s="151">
        <v>6</v>
      </c>
      <c r="O52" s="151">
        <v>6</v>
      </c>
      <c r="P52" s="151">
        <v>4</v>
      </c>
      <c r="Q52" s="151">
        <v>6</v>
      </c>
      <c r="R52" s="151">
        <v>5</v>
      </c>
      <c r="S52" s="151">
        <v>5</v>
      </c>
      <c r="T52" s="151">
        <v>4</v>
      </c>
      <c r="U52" s="151">
        <v>4</v>
      </c>
      <c r="V52" s="151">
        <v>6</v>
      </c>
      <c r="W52" s="151">
        <v>6</v>
      </c>
      <c r="X52" s="151">
        <v>6</v>
      </c>
      <c r="Y52" s="151">
        <v>5</v>
      </c>
      <c r="Z52" s="49">
        <v>5</v>
      </c>
      <c r="AA52" s="151">
        <v>5</v>
      </c>
      <c r="AB52" s="151">
        <v>6</v>
      </c>
      <c r="AC52" s="151">
        <v>5</v>
      </c>
      <c r="AD52" s="151">
        <v>5</v>
      </c>
      <c r="AE52" s="151">
        <v>5</v>
      </c>
      <c r="AF52" s="151">
        <v>6</v>
      </c>
      <c r="AG52" s="56"/>
      <c r="AH52" s="56"/>
      <c r="AI52" s="56">
        <v>6</v>
      </c>
      <c r="AJ52" s="56">
        <v>5</v>
      </c>
      <c r="AK52" s="56"/>
      <c r="AL52" s="151"/>
      <c r="AM52" s="151"/>
      <c r="AN52" s="52"/>
      <c r="AO52" s="631" t="s">
        <v>320</v>
      </c>
      <c r="AP52" s="632"/>
      <c r="AQ52" s="632"/>
      <c r="AR52" s="631" t="s">
        <v>305</v>
      </c>
      <c r="AS52" s="632"/>
      <c r="AT52" s="632"/>
      <c r="AU52" s="631"/>
      <c r="AV52" s="632"/>
      <c r="AW52" s="632"/>
      <c r="AX52" s="631"/>
      <c r="AY52" s="632"/>
      <c r="AZ52" s="632"/>
      <c r="BA52" s="631"/>
      <c r="BB52" s="632"/>
      <c r="BC52" s="632"/>
      <c r="BD52" s="631"/>
      <c r="BE52" s="632"/>
      <c r="BF52" s="632"/>
      <c r="BG52" s="70"/>
      <c r="BH52" s="174">
        <v>544</v>
      </c>
      <c r="BI52" s="121">
        <v>5</v>
      </c>
      <c r="BJ52" s="121">
        <v>5</v>
      </c>
      <c r="BK52" s="121">
        <v>6</v>
      </c>
      <c r="BL52" s="121">
        <v>4</v>
      </c>
      <c r="BM52" s="121">
        <v>6</v>
      </c>
      <c r="BN52" s="121">
        <v>4</v>
      </c>
      <c r="BO52" s="120">
        <v>5</v>
      </c>
      <c r="BP52" s="120">
        <v>6</v>
      </c>
      <c r="BQ52" s="121">
        <v>6</v>
      </c>
      <c r="BR52" s="121">
        <v>4</v>
      </c>
      <c r="BS52" s="121">
        <v>6</v>
      </c>
      <c r="BT52" s="121">
        <v>5</v>
      </c>
      <c r="BU52" s="120">
        <v>5</v>
      </c>
      <c r="BV52" s="120">
        <v>4</v>
      </c>
      <c r="BW52" s="120">
        <v>4</v>
      </c>
      <c r="BX52" s="120">
        <v>6</v>
      </c>
      <c r="BY52" s="120">
        <v>6</v>
      </c>
      <c r="BZ52" s="120">
        <v>5</v>
      </c>
      <c r="CA52" s="120">
        <v>5</v>
      </c>
      <c r="CB52" s="120">
        <v>4</v>
      </c>
      <c r="CC52" s="120">
        <v>4</v>
      </c>
      <c r="CD52" s="120">
        <v>6</v>
      </c>
      <c r="CE52" s="120">
        <v>4</v>
      </c>
      <c r="CF52" s="120">
        <v>5</v>
      </c>
      <c r="CG52" s="120">
        <v>5</v>
      </c>
      <c r="CH52" s="120">
        <v>6</v>
      </c>
      <c r="CI52" s="56"/>
      <c r="CJ52" s="56"/>
      <c r="CK52" s="56">
        <v>6</v>
      </c>
      <c r="CL52" s="56">
        <v>4</v>
      </c>
      <c r="CM52" s="56"/>
      <c r="CN52" s="151"/>
      <c r="CO52" s="151"/>
      <c r="CP52" s="52"/>
      <c r="CQ52" s="631" t="s">
        <v>320</v>
      </c>
      <c r="CR52" s="632"/>
      <c r="CS52" s="632"/>
      <c r="CT52" s="631" t="s">
        <v>305</v>
      </c>
      <c r="CU52" s="632"/>
      <c r="CV52" s="632"/>
      <c r="CW52" s="631"/>
      <c r="CX52" s="632"/>
      <c r="CY52" s="632"/>
      <c r="CZ52" s="631"/>
      <c r="DA52" s="632"/>
      <c r="DB52" s="632"/>
      <c r="DC52" s="631"/>
      <c r="DD52" s="632"/>
      <c r="DE52" s="632"/>
      <c r="DF52" s="631"/>
      <c r="DG52" s="632"/>
      <c r="DH52" s="632"/>
      <c r="DI52" s="70"/>
      <c r="DJ52" s="174">
        <v>544</v>
      </c>
      <c r="DK52" s="120">
        <v>1</v>
      </c>
      <c r="DL52" s="120">
        <v>1</v>
      </c>
      <c r="DM52" s="120">
        <v>0</v>
      </c>
      <c r="DN52" s="120">
        <v>1</v>
      </c>
      <c r="DO52" s="120">
        <v>0</v>
      </c>
      <c r="DP52" s="120">
        <v>0</v>
      </c>
      <c r="DQ52" s="120">
        <v>1</v>
      </c>
      <c r="DR52" s="120">
        <v>0</v>
      </c>
      <c r="DS52" s="120">
        <v>0</v>
      </c>
      <c r="DT52" s="120">
        <v>0</v>
      </c>
      <c r="DU52" s="120">
        <v>0</v>
      </c>
      <c r="DV52" s="120">
        <v>0</v>
      </c>
      <c r="DW52" s="120">
        <v>0</v>
      </c>
      <c r="DX52" s="120">
        <v>0</v>
      </c>
      <c r="DY52" s="120">
        <v>0</v>
      </c>
      <c r="DZ52" s="120">
        <v>0</v>
      </c>
      <c r="EA52" s="120">
        <v>0</v>
      </c>
      <c r="EB52" s="120">
        <v>1</v>
      </c>
      <c r="EC52" s="120">
        <v>0</v>
      </c>
      <c r="ED52" s="120">
        <v>1</v>
      </c>
      <c r="EE52" s="120">
        <v>1</v>
      </c>
      <c r="EF52" s="120">
        <v>0</v>
      </c>
      <c r="EG52" s="120">
        <v>1</v>
      </c>
      <c r="EH52" s="120">
        <v>0</v>
      </c>
      <c r="EI52" s="120">
        <v>0</v>
      </c>
      <c r="EJ52" s="120">
        <v>0</v>
      </c>
      <c r="EK52" s="56"/>
      <c r="EL52" s="56"/>
      <c r="EM52" s="56">
        <v>0</v>
      </c>
      <c r="EN52" s="56">
        <v>1</v>
      </c>
      <c r="EO52" s="56"/>
      <c r="EP52" s="151"/>
      <c r="EQ52" s="151"/>
      <c r="ER52" s="52"/>
      <c r="ES52" s="631" t="s">
        <v>320</v>
      </c>
      <c r="ET52" s="632"/>
      <c r="EU52" s="632"/>
      <c r="EV52" s="631" t="s">
        <v>305</v>
      </c>
      <c r="EW52" s="632"/>
      <c r="EX52" s="632"/>
      <c r="EY52" s="631"/>
      <c r="EZ52" s="632"/>
      <c r="FA52" s="632"/>
      <c r="FB52" s="631"/>
      <c r="FC52" s="632"/>
      <c r="FD52" s="632"/>
      <c r="FE52" s="631"/>
      <c r="FF52" s="632"/>
      <c r="FG52" s="632"/>
      <c r="FH52" s="631"/>
      <c r="FI52" s="632"/>
      <c r="FJ52" s="632"/>
      <c r="FL52" s="174">
        <v>544</v>
      </c>
      <c r="FM52" s="56"/>
      <c r="FN52" s="78">
        <v>3</v>
      </c>
      <c r="FO52" s="56">
        <v>2</v>
      </c>
      <c r="FP52" s="78">
        <v>1</v>
      </c>
      <c r="FQ52" s="56">
        <v>3</v>
      </c>
      <c r="FR52" s="56">
        <v>1</v>
      </c>
      <c r="FS52" s="56">
        <v>1</v>
      </c>
      <c r="FT52" s="56">
        <v>1</v>
      </c>
      <c r="FU52" s="56">
        <v>1</v>
      </c>
      <c r="FV52" s="56">
        <v>2</v>
      </c>
      <c r="FW52" s="56">
        <v>2</v>
      </c>
      <c r="FX52" s="56">
        <v>4</v>
      </c>
      <c r="FY52" s="56">
        <v>3</v>
      </c>
      <c r="FZ52" s="56">
        <v>1</v>
      </c>
      <c r="GA52" s="56">
        <v>1</v>
      </c>
      <c r="GB52" s="56">
        <v>4</v>
      </c>
      <c r="GC52" s="56">
        <v>2</v>
      </c>
      <c r="GD52" s="56">
        <v>1</v>
      </c>
      <c r="GE52" s="56">
        <v>4</v>
      </c>
      <c r="GF52" s="78">
        <v>3</v>
      </c>
      <c r="GG52" s="56">
        <v>2</v>
      </c>
      <c r="GH52" s="56">
        <v>2</v>
      </c>
      <c r="GI52" s="56">
        <v>3</v>
      </c>
      <c r="GJ52" s="56">
        <v>1</v>
      </c>
      <c r="GK52" s="56">
        <v>2</v>
      </c>
      <c r="GL52" s="56">
        <v>2</v>
      </c>
      <c r="GM52" s="56"/>
      <c r="GN52" s="56"/>
      <c r="GO52" s="56">
        <v>1</v>
      </c>
      <c r="GP52" s="56">
        <v>3</v>
      </c>
      <c r="GQ52" s="56"/>
      <c r="GR52" s="151"/>
      <c r="GS52" s="151"/>
      <c r="GT52" s="52"/>
      <c r="GU52" s="631" t="s">
        <v>320</v>
      </c>
      <c r="GV52" s="632"/>
      <c r="GW52" s="632"/>
      <c r="GX52" s="631" t="s">
        <v>305</v>
      </c>
      <c r="GY52" s="632"/>
      <c r="GZ52" s="632"/>
      <c r="HA52" s="631"/>
      <c r="HB52" s="632"/>
      <c r="HC52" s="632"/>
      <c r="HD52" s="631"/>
      <c r="HE52" s="632"/>
      <c r="HF52" s="632"/>
      <c r="HG52" s="631"/>
      <c r="HH52" s="632"/>
      <c r="HI52" s="632"/>
      <c r="HJ52" s="631"/>
      <c r="HK52" s="632"/>
      <c r="HL52" s="632"/>
    </row>
    <row r="53" spans="1:220" ht="17.25">
      <c r="A53" s="186"/>
      <c r="B53" s="186"/>
      <c r="C53" s="129"/>
      <c r="D53" s="52"/>
      <c r="E53" s="52"/>
      <c r="F53" s="174">
        <v>545</v>
      </c>
      <c r="G53" s="34">
        <v>4</v>
      </c>
      <c r="H53" s="151">
        <v>4</v>
      </c>
      <c r="I53" s="151">
        <v>4</v>
      </c>
      <c r="J53" s="151">
        <v>5</v>
      </c>
      <c r="K53" s="151">
        <v>3</v>
      </c>
      <c r="L53" s="151">
        <v>4</v>
      </c>
      <c r="M53" s="151">
        <v>3</v>
      </c>
      <c r="N53" s="151">
        <v>6</v>
      </c>
      <c r="O53" s="151">
        <v>5</v>
      </c>
      <c r="P53" s="151">
        <v>5</v>
      </c>
      <c r="Q53" s="151">
        <v>3</v>
      </c>
      <c r="R53" s="151">
        <v>6</v>
      </c>
      <c r="S53" s="151">
        <v>5</v>
      </c>
      <c r="T53" s="151">
        <v>4</v>
      </c>
      <c r="U53" s="151">
        <v>5</v>
      </c>
      <c r="V53" s="151">
        <v>5</v>
      </c>
      <c r="W53" s="151">
        <v>4</v>
      </c>
      <c r="X53" s="151">
        <v>5</v>
      </c>
      <c r="Y53" s="151">
        <v>4</v>
      </c>
      <c r="Z53" s="49">
        <v>3</v>
      </c>
      <c r="AA53" s="151">
        <v>5</v>
      </c>
      <c r="AB53" s="151">
        <v>4</v>
      </c>
      <c r="AC53" s="151">
        <v>5</v>
      </c>
      <c r="AD53" s="151">
        <v>4</v>
      </c>
      <c r="AE53" s="151">
        <v>3</v>
      </c>
      <c r="AF53" s="56">
        <v>4</v>
      </c>
      <c r="AG53" s="56"/>
      <c r="AH53" s="56">
        <v>3</v>
      </c>
      <c r="AI53" s="56">
        <v>5</v>
      </c>
      <c r="AJ53" s="56"/>
      <c r="AK53" s="56"/>
      <c r="AL53" s="151"/>
      <c r="AM53" s="151"/>
      <c r="AN53" s="52"/>
      <c r="AO53" s="11">
        <v>6</v>
      </c>
      <c r="AP53" s="11">
        <f>COUNTIF(AE17:AE383,AO53)</f>
        <v>11</v>
      </c>
      <c r="AQ53" s="62">
        <f>(AP53/AP60)</f>
        <v>0.26829268292682928</v>
      </c>
      <c r="AR53" s="11">
        <v>6</v>
      </c>
      <c r="AS53" s="11">
        <f>COUNTIF(AF17:AF383,AR53)</f>
        <v>16</v>
      </c>
      <c r="AT53" s="62">
        <f>(AS53/AS60)</f>
        <v>0.4</v>
      </c>
      <c r="AU53" s="11"/>
      <c r="AV53" s="11"/>
      <c r="AW53" s="62"/>
      <c r="AX53" s="11"/>
      <c r="AY53" s="11"/>
      <c r="AZ53" s="62"/>
      <c r="BA53" s="11"/>
      <c r="BB53" s="11"/>
      <c r="BC53" s="62"/>
      <c r="BD53" s="11"/>
      <c r="BE53" s="11"/>
      <c r="BF53" s="62"/>
      <c r="BG53" s="70"/>
      <c r="BH53" s="174">
        <v>545</v>
      </c>
      <c r="BI53" s="121">
        <v>2</v>
      </c>
      <c r="BJ53" s="121">
        <v>3</v>
      </c>
      <c r="BK53" s="121">
        <v>3</v>
      </c>
      <c r="BL53" s="121">
        <v>5</v>
      </c>
      <c r="BM53" s="121">
        <v>1</v>
      </c>
      <c r="BN53" s="121">
        <v>3</v>
      </c>
      <c r="BO53" s="120">
        <v>2</v>
      </c>
      <c r="BP53" s="120">
        <v>3</v>
      </c>
      <c r="BQ53" s="121">
        <v>5</v>
      </c>
      <c r="BR53" s="121">
        <v>5</v>
      </c>
      <c r="BS53" s="121">
        <v>3</v>
      </c>
      <c r="BT53" s="121">
        <v>5</v>
      </c>
      <c r="BU53" s="120">
        <v>2</v>
      </c>
      <c r="BV53" s="120">
        <v>2</v>
      </c>
      <c r="BW53" s="120">
        <v>4</v>
      </c>
      <c r="BX53" s="120">
        <v>4</v>
      </c>
      <c r="BY53" s="120">
        <v>3</v>
      </c>
      <c r="BZ53" s="120">
        <v>4</v>
      </c>
      <c r="CA53" s="120">
        <v>3</v>
      </c>
      <c r="CB53" s="120">
        <v>2</v>
      </c>
      <c r="CC53" s="120">
        <v>4</v>
      </c>
      <c r="CD53" s="120">
        <v>2</v>
      </c>
      <c r="CE53" s="120">
        <v>4</v>
      </c>
      <c r="CF53" s="120">
        <v>3</v>
      </c>
      <c r="CG53" s="120">
        <v>2</v>
      </c>
      <c r="CH53" s="56">
        <v>4</v>
      </c>
      <c r="CI53" s="56"/>
      <c r="CJ53" s="56">
        <v>3</v>
      </c>
      <c r="CK53" s="56">
        <v>3</v>
      </c>
      <c r="CL53" s="56"/>
      <c r="CM53" s="56"/>
      <c r="CN53" s="151"/>
      <c r="CO53" s="151"/>
      <c r="CP53" s="52"/>
      <c r="CQ53" s="11">
        <v>6</v>
      </c>
      <c r="CR53" s="11">
        <f>COUNTIF(CG17:CG383,CQ53)</f>
        <v>6</v>
      </c>
      <c r="CS53" s="62">
        <f>(CR53/CR60)</f>
        <v>0.14634146341463414</v>
      </c>
      <c r="CT53" s="11">
        <v>6</v>
      </c>
      <c r="CU53" s="11">
        <f>COUNTIF(CH17:CH383,CT53)</f>
        <v>11</v>
      </c>
      <c r="CV53" s="62">
        <f>(CU53/CU60)</f>
        <v>0.27500000000000002</v>
      </c>
      <c r="CW53" s="11"/>
      <c r="CX53" s="11"/>
      <c r="CY53" s="62"/>
      <c r="CZ53" s="11"/>
      <c r="DA53" s="11"/>
      <c r="DB53" s="62"/>
      <c r="DC53" s="11"/>
      <c r="DD53" s="11"/>
      <c r="DE53" s="62"/>
      <c r="DF53" s="11"/>
      <c r="DG53" s="11"/>
      <c r="DH53" s="62"/>
      <c r="DI53" s="70"/>
      <c r="DJ53" s="174">
        <v>545</v>
      </c>
      <c r="DK53" s="120">
        <v>2</v>
      </c>
      <c r="DL53" s="120">
        <v>1</v>
      </c>
      <c r="DM53" s="120">
        <v>1</v>
      </c>
      <c r="DN53" s="120">
        <v>0</v>
      </c>
      <c r="DO53" s="120">
        <v>2</v>
      </c>
      <c r="DP53" s="120">
        <v>1</v>
      </c>
      <c r="DQ53" s="120">
        <v>1</v>
      </c>
      <c r="DR53" s="120">
        <v>3</v>
      </c>
      <c r="DS53" s="120">
        <v>0</v>
      </c>
      <c r="DT53" s="120">
        <v>0</v>
      </c>
      <c r="DU53" s="120">
        <v>0</v>
      </c>
      <c r="DV53" s="120">
        <v>1</v>
      </c>
      <c r="DW53" s="120">
        <v>3</v>
      </c>
      <c r="DX53" s="120">
        <v>2</v>
      </c>
      <c r="DY53" s="120">
        <v>1</v>
      </c>
      <c r="DZ53" s="120">
        <v>1</v>
      </c>
      <c r="EA53" s="120">
        <v>1</v>
      </c>
      <c r="EB53" s="120">
        <v>1</v>
      </c>
      <c r="EC53" s="120">
        <v>1</v>
      </c>
      <c r="ED53" s="120">
        <v>1</v>
      </c>
      <c r="EE53" s="120">
        <v>1</v>
      </c>
      <c r="EF53" s="120">
        <v>2</v>
      </c>
      <c r="EG53" s="120">
        <v>1</v>
      </c>
      <c r="EH53" s="120">
        <v>1</v>
      </c>
      <c r="EI53" s="120">
        <v>1</v>
      </c>
      <c r="EJ53" s="120">
        <v>0</v>
      </c>
      <c r="EK53" s="56"/>
      <c r="EL53" s="56">
        <v>0</v>
      </c>
      <c r="EM53" s="56">
        <v>2</v>
      </c>
      <c r="EN53" s="56"/>
      <c r="EO53" s="56"/>
      <c r="EP53" s="151"/>
      <c r="EQ53" s="151"/>
      <c r="ER53" s="52"/>
      <c r="ES53" s="11">
        <v>6</v>
      </c>
      <c r="ET53" s="11">
        <f>COUNTIF(EI17:EI383,ES53)</f>
        <v>0</v>
      </c>
      <c r="EU53" s="62">
        <f>(ET53/ET60)</f>
        <v>0</v>
      </c>
      <c r="EV53" s="11">
        <v>6</v>
      </c>
      <c r="EW53" s="11">
        <f>COUNTIF(EJ17:EJ383,EV53)</f>
        <v>0</v>
      </c>
      <c r="EX53" s="62">
        <f>(EW53/EW60)</f>
        <v>0</v>
      </c>
      <c r="EY53" s="11"/>
      <c r="EZ53" s="11"/>
      <c r="FA53" s="62"/>
      <c r="FB53" s="11"/>
      <c r="FC53" s="11"/>
      <c r="FD53" s="62"/>
      <c r="FE53" s="11"/>
      <c r="FF53" s="11"/>
      <c r="FG53" s="62"/>
      <c r="FH53" s="11"/>
      <c r="FI53" s="11"/>
      <c r="FJ53" s="62"/>
      <c r="FL53" s="174">
        <v>545</v>
      </c>
      <c r="FM53" s="56"/>
      <c r="FN53" s="78">
        <v>2</v>
      </c>
      <c r="FO53" s="56">
        <v>2</v>
      </c>
      <c r="FP53" s="78">
        <v>1</v>
      </c>
      <c r="FQ53" s="56">
        <v>1</v>
      </c>
      <c r="FR53" s="56">
        <v>5</v>
      </c>
      <c r="FS53" s="56">
        <v>3</v>
      </c>
      <c r="FT53" s="56">
        <v>3</v>
      </c>
      <c r="FU53" s="56">
        <v>2</v>
      </c>
      <c r="FV53" s="56">
        <v>2</v>
      </c>
      <c r="FW53" s="56">
        <v>2</v>
      </c>
      <c r="FX53" s="56">
        <v>1</v>
      </c>
      <c r="FY53" s="56">
        <v>3</v>
      </c>
      <c r="FZ53" s="56">
        <v>0</v>
      </c>
      <c r="GA53" s="56">
        <v>2</v>
      </c>
      <c r="GB53" s="56">
        <v>3</v>
      </c>
      <c r="GC53" s="56">
        <v>2</v>
      </c>
      <c r="GD53" s="56">
        <v>3</v>
      </c>
      <c r="GE53" s="56">
        <v>1</v>
      </c>
      <c r="GF53" s="78">
        <v>4</v>
      </c>
      <c r="GG53" s="56">
        <v>2</v>
      </c>
      <c r="GH53" s="56">
        <v>2</v>
      </c>
      <c r="GI53" s="56">
        <v>2</v>
      </c>
      <c r="GJ53" s="56">
        <v>2</v>
      </c>
      <c r="GK53" s="56">
        <v>2</v>
      </c>
      <c r="GL53" s="56">
        <v>3</v>
      </c>
      <c r="GM53" s="56"/>
      <c r="GN53" s="56">
        <v>1</v>
      </c>
      <c r="GO53" s="56">
        <v>5</v>
      </c>
      <c r="GP53" s="56"/>
      <c r="GQ53" s="56"/>
      <c r="GR53" s="151"/>
      <c r="GS53" s="151"/>
      <c r="GT53" s="52"/>
      <c r="GU53" s="11">
        <v>6</v>
      </c>
      <c r="GV53" s="11">
        <f>COUNTIF(GK17:GK383,GU53)</f>
        <v>0</v>
      </c>
      <c r="GW53" s="62">
        <f>(GV53/GV60)</f>
        <v>0</v>
      </c>
      <c r="GX53" s="11">
        <v>6</v>
      </c>
      <c r="GY53" s="11">
        <f>COUNTIF(GL17:GL383,GX53)</f>
        <v>0</v>
      </c>
      <c r="GZ53" s="62">
        <f>(GY53/GY60)</f>
        <v>0</v>
      </c>
      <c r="HA53" s="11"/>
      <c r="HB53" s="11"/>
      <c r="HC53" s="62"/>
      <c r="HD53" s="11"/>
      <c r="HE53" s="11"/>
      <c r="HF53" s="62"/>
      <c r="HG53" s="11"/>
      <c r="HH53" s="11"/>
      <c r="HI53" s="62"/>
      <c r="HJ53" s="11"/>
      <c r="HK53" s="11"/>
      <c r="HL53" s="62"/>
    </row>
    <row r="54" spans="1:220" ht="17.25">
      <c r="A54" s="186"/>
      <c r="B54" s="186"/>
      <c r="C54" s="129"/>
      <c r="D54" s="52"/>
      <c r="E54" s="52"/>
      <c r="F54" s="174">
        <v>546</v>
      </c>
      <c r="G54" s="34">
        <v>4</v>
      </c>
      <c r="H54" s="151">
        <v>3</v>
      </c>
      <c r="I54" s="151">
        <v>3</v>
      </c>
      <c r="J54" s="151">
        <v>6</v>
      </c>
      <c r="K54" s="151">
        <v>3</v>
      </c>
      <c r="L54" s="151">
        <v>4</v>
      </c>
      <c r="M54" s="151">
        <v>5</v>
      </c>
      <c r="N54" s="151">
        <v>2</v>
      </c>
      <c r="O54" s="151">
        <v>5</v>
      </c>
      <c r="P54" s="151">
        <v>4</v>
      </c>
      <c r="Q54" s="151">
        <v>5</v>
      </c>
      <c r="R54" s="151">
        <v>6</v>
      </c>
      <c r="S54" s="151">
        <v>5</v>
      </c>
      <c r="T54" s="151">
        <v>4</v>
      </c>
      <c r="U54" s="151">
        <v>4</v>
      </c>
      <c r="V54" s="151">
        <v>4</v>
      </c>
      <c r="W54" s="151">
        <v>5</v>
      </c>
      <c r="X54" s="151">
        <v>5</v>
      </c>
      <c r="Y54" s="151">
        <v>4</v>
      </c>
      <c r="Z54" s="49">
        <v>4</v>
      </c>
      <c r="AA54" s="151">
        <v>6</v>
      </c>
      <c r="AB54" s="151">
        <v>5</v>
      </c>
      <c r="AC54" s="151">
        <v>4</v>
      </c>
      <c r="AD54" s="151">
        <v>5</v>
      </c>
      <c r="AE54" s="56">
        <v>3</v>
      </c>
      <c r="AF54" s="56">
        <v>6</v>
      </c>
      <c r="AG54" s="56">
        <v>5</v>
      </c>
      <c r="AH54" s="56">
        <v>4</v>
      </c>
      <c r="AI54" s="56"/>
      <c r="AJ54" s="56"/>
      <c r="AK54" s="56"/>
      <c r="AL54" s="151"/>
      <c r="AM54" s="151"/>
      <c r="AN54" s="52"/>
      <c r="AO54" s="11">
        <v>5</v>
      </c>
      <c r="AP54" s="11">
        <f>COUNTIF(AE17:AE383,AO54)</f>
        <v>14</v>
      </c>
      <c r="AQ54" s="62">
        <f>(AP54/AP60)</f>
        <v>0.34146341463414637</v>
      </c>
      <c r="AR54" s="11">
        <v>5</v>
      </c>
      <c r="AS54" s="11">
        <f>COUNTIF(AF17:AF383,AR54)</f>
        <v>11</v>
      </c>
      <c r="AT54" s="62">
        <f>(AS54/AS60)</f>
        <v>0.27500000000000002</v>
      </c>
      <c r="AU54" s="11"/>
      <c r="AV54" s="11"/>
      <c r="AW54" s="62"/>
      <c r="AX54" s="11"/>
      <c r="AY54" s="11"/>
      <c r="AZ54" s="62"/>
      <c r="BA54" s="11"/>
      <c r="BB54" s="11"/>
      <c r="BC54" s="62"/>
      <c r="BD54" s="11"/>
      <c r="BE54" s="11"/>
      <c r="BF54" s="62"/>
      <c r="BG54" s="70"/>
      <c r="BH54" s="174">
        <v>546</v>
      </c>
      <c r="BI54" s="121">
        <v>4</v>
      </c>
      <c r="BJ54" s="121">
        <v>3</v>
      </c>
      <c r="BK54" s="121">
        <v>3</v>
      </c>
      <c r="BL54" s="121">
        <v>5</v>
      </c>
      <c r="BM54" s="121">
        <v>3</v>
      </c>
      <c r="BN54" s="121">
        <v>4</v>
      </c>
      <c r="BO54" s="120">
        <v>4</v>
      </c>
      <c r="BP54" s="120">
        <v>2</v>
      </c>
      <c r="BQ54" s="121">
        <v>5</v>
      </c>
      <c r="BR54" s="121">
        <v>3</v>
      </c>
      <c r="BS54" s="121">
        <v>5</v>
      </c>
      <c r="BT54" s="121">
        <v>5</v>
      </c>
      <c r="BU54" s="120">
        <v>5</v>
      </c>
      <c r="BV54" s="120">
        <v>3</v>
      </c>
      <c r="BW54" s="120">
        <v>4</v>
      </c>
      <c r="BX54" s="120">
        <v>4</v>
      </c>
      <c r="BY54" s="120">
        <v>4</v>
      </c>
      <c r="BZ54" s="120">
        <v>5</v>
      </c>
      <c r="CA54" s="120">
        <v>4</v>
      </c>
      <c r="CB54" s="120">
        <v>4</v>
      </c>
      <c r="CC54" s="120">
        <v>6</v>
      </c>
      <c r="CD54" s="120">
        <v>5</v>
      </c>
      <c r="CE54" s="120">
        <v>4</v>
      </c>
      <c r="CF54" s="120">
        <v>4</v>
      </c>
      <c r="CG54" s="120">
        <v>3</v>
      </c>
      <c r="CH54" s="56">
        <v>5</v>
      </c>
      <c r="CI54" s="56">
        <v>5</v>
      </c>
      <c r="CJ54" s="56">
        <v>3</v>
      </c>
      <c r="CK54" s="56"/>
      <c r="CL54" s="56"/>
      <c r="CM54" s="56"/>
      <c r="CN54" s="151"/>
      <c r="CO54" s="151"/>
      <c r="CP54" s="52"/>
      <c r="CQ54" s="11">
        <v>5</v>
      </c>
      <c r="CR54" s="11">
        <f>COUNTIF(CG17:CG383,CQ54)</f>
        <v>13</v>
      </c>
      <c r="CS54" s="62">
        <f>(CR54/CR60)</f>
        <v>0.31707317073170732</v>
      </c>
      <c r="CT54" s="11">
        <v>5</v>
      </c>
      <c r="CU54" s="11">
        <f>COUNTIF(CH17:CH383,CT54)</f>
        <v>11</v>
      </c>
      <c r="CV54" s="62">
        <f>(CU54/CU60)</f>
        <v>0.27500000000000002</v>
      </c>
      <c r="CW54" s="11"/>
      <c r="CX54" s="11"/>
      <c r="CY54" s="62"/>
      <c r="CZ54" s="11"/>
      <c r="DA54" s="11"/>
      <c r="DB54" s="62"/>
      <c r="DC54" s="11"/>
      <c r="DD54" s="11"/>
      <c r="DE54" s="62"/>
      <c r="DF54" s="11"/>
      <c r="DG54" s="11"/>
      <c r="DH54" s="62"/>
      <c r="DI54" s="70"/>
      <c r="DJ54" s="174">
        <v>546</v>
      </c>
      <c r="DK54" s="120">
        <v>0</v>
      </c>
      <c r="DL54" s="120">
        <v>0</v>
      </c>
      <c r="DM54" s="120">
        <v>0</v>
      </c>
      <c r="DN54" s="120">
        <v>1</v>
      </c>
      <c r="DO54" s="120">
        <v>0</v>
      </c>
      <c r="DP54" s="120">
        <v>0</v>
      </c>
      <c r="DQ54" s="120">
        <v>1</v>
      </c>
      <c r="DR54" s="120">
        <v>0</v>
      </c>
      <c r="DS54" s="120">
        <v>0</v>
      </c>
      <c r="DT54" s="120">
        <v>1</v>
      </c>
      <c r="DU54" s="120">
        <v>0</v>
      </c>
      <c r="DV54" s="120">
        <v>1</v>
      </c>
      <c r="DW54" s="120">
        <v>0</v>
      </c>
      <c r="DX54" s="120">
        <v>1</v>
      </c>
      <c r="DY54" s="120">
        <v>0</v>
      </c>
      <c r="DZ54" s="120">
        <v>0</v>
      </c>
      <c r="EA54" s="120">
        <v>1</v>
      </c>
      <c r="EB54" s="120">
        <v>0</v>
      </c>
      <c r="EC54" s="120">
        <v>0</v>
      </c>
      <c r="ED54" s="120">
        <v>0</v>
      </c>
      <c r="EE54" s="120">
        <v>0</v>
      </c>
      <c r="EF54" s="120">
        <v>0</v>
      </c>
      <c r="EG54" s="120">
        <v>0</v>
      </c>
      <c r="EH54" s="120">
        <v>1</v>
      </c>
      <c r="EI54" s="120">
        <v>0</v>
      </c>
      <c r="EJ54" s="120">
        <v>1</v>
      </c>
      <c r="EK54" s="56">
        <v>0</v>
      </c>
      <c r="EL54" s="56">
        <v>1</v>
      </c>
      <c r="EM54" s="56"/>
      <c r="EN54" s="56"/>
      <c r="EO54" s="56"/>
      <c r="EP54" s="151"/>
      <c r="EQ54" s="151"/>
      <c r="ER54" s="52"/>
      <c r="ES54" s="11">
        <v>5</v>
      </c>
      <c r="ET54" s="11">
        <f>COUNTIF(EI17:EI383,ES54)</f>
        <v>0</v>
      </c>
      <c r="EU54" s="62">
        <f>(ET54/ET60)</f>
        <v>0</v>
      </c>
      <c r="EV54" s="11">
        <v>5</v>
      </c>
      <c r="EW54" s="11">
        <f>COUNTIF(EJ17:EJ383,EV54)</f>
        <v>0</v>
      </c>
      <c r="EX54" s="62">
        <f>(EW54/EW60)</f>
        <v>0</v>
      </c>
      <c r="EY54" s="11"/>
      <c r="EZ54" s="11"/>
      <c r="FA54" s="62"/>
      <c r="FB54" s="11"/>
      <c r="FC54" s="11"/>
      <c r="FD54" s="62"/>
      <c r="FE54" s="11"/>
      <c r="FF54" s="11"/>
      <c r="FG54" s="62"/>
      <c r="FH54" s="11"/>
      <c r="FI54" s="11"/>
      <c r="FJ54" s="62"/>
      <c r="FL54" s="174">
        <v>546</v>
      </c>
      <c r="FM54" s="56"/>
      <c r="FN54" s="78">
        <v>2</v>
      </c>
      <c r="FO54" s="56">
        <v>0</v>
      </c>
      <c r="FP54" s="78">
        <v>0</v>
      </c>
      <c r="FQ54" s="56">
        <v>3</v>
      </c>
      <c r="FR54" s="56">
        <v>4</v>
      </c>
      <c r="FS54" s="56">
        <v>2</v>
      </c>
      <c r="FT54" s="56">
        <v>2</v>
      </c>
      <c r="FU54" s="56">
        <v>1</v>
      </c>
      <c r="FV54" s="56">
        <v>1</v>
      </c>
      <c r="FW54" s="56">
        <v>3</v>
      </c>
      <c r="FX54" s="56">
        <v>1</v>
      </c>
      <c r="FY54" s="56">
        <v>1</v>
      </c>
      <c r="FZ54" s="56">
        <v>0</v>
      </c>
      <c r="GA54" s="56">
        <v>2</v>
      </c>
      <c r="GB54" s="56">
        <v>2</v>
      </c>
      <c r="GC54" s="56">
        <v>2</v>
      </c>
      <c r="GD54" s="56">
        <v>2</v>
      </c>
      <c r="GE54" s="56">
        <v>1</v>
      </c>
      <c r="GF54" s="78">
        <v>2</v>
      </c>
      <c r="GG54" s="56">
        <v>2</v>
      </c>
      <c r="GH54" s="56">
        <v>1</v>
      </c>
      <c r="GI54" s="56">
        <v>3</v>
      </c>
      <c r="GJ54" s="56">
        <v>3</v>
      </c>
      <c r="GK54" s="56">
        <v>1</v>
      </c>
      <c r="GL54" s="56">
        <v>1</v>
      </c>
      <c r="GM54" s="56">
        <v>2</v>
      </c>
      <c r="GN54" s="56">
        <v>2</v>
      </c>
      <c r="GO54" s="56"/>
      <c r="GP54" s="56"/>
      <c r="GQ54" s="56"/>
      <c r="GR54" s="151"/>
      <c r="GS54" s="151"/>
      <c r="GT54" s="52"/>
      <c r="GU54" s="11">
        <v>5</v>
      </c>
      <c r="GV54" s="11">
        <f>COUNTIF(GK17:GK383,GU54)</f>
        <v>0</v>
      </c>
      <c r="GW54" s="62">
        <f>(GV54/GV60)</f>
        <v>0</v>
      </c>
      <c r="GX54" s="11">
        <v>5</v>
      </c>
      <c r="GY54" s="11">
        <f>COUNTIF(GL17:GL383,GX54)</f>
        <v>1</v>
      </c>
      <c r="GZ54" s="62">
        <f>(GY54/GY60)</f>
        <v>2.5000000000000001E-2</v>
      </c>
      <c r="HA54" s="11"/>
      <c r="HB54" s="11"/>
      <c r="HC54" s="62"/>
      <c r="HD54" s="11"/>
      <c r="HE54" s="11"/>
      <c r="HF54" s="62"/>
      <c r="HG54" s="11"/>
      <c r="HH54" s="11"/>
      <c r="HI54" s="62"/>
      <c r="HJ54" s="11"/>
      <c r="HK54" s="11"/>
      <c r="HL54" s="62"/>
    </row>
    <row r="55" spans="1:220" ht="17.25">
      <c r="A55" s="186"/>
      <c r="B55" s="186"/>
      <c r="C55" s="129"/>
      <c r="D55" s="22"/>
      <c r="E55" s="52"/>
      <c r="F55" s="174">
        <v>547</v>
      </c>
      <c r="G55" s="34">
        <v>3</v>
      </c>
      <c r="H55" s="151">
        <v>3</v>
      </c>
      <c r="I55" s="151">
        <v>5</v>
      </c>
      <c r="J55" s="151">
        <v>3</v>
      </c>
      <c r="K55" s="151">
        <v>5</v>
      </c>
      <c r="L55" s="151">
        <v>5</v>
      </c>
      <c r="M55" s="151">
        <v>3</v>
      </c>
      <c r="N55" s="151">
        <v>4</v>
      </c>
      <c r="O55" s="151">
        <v>6</v>
      </c>
      <c r="P55" s="151">
        <v>4</v>
      </c>
      <c r="Q55" s="151">
        <v>5</v>
      </c>
      <c r="R55" s="151">
        <v>4</v>
      </c>
      <c r="S55" s="151">
        <v>5</v>
      </c>
      <c r="T55" s="151">
        <v>4</v>
      </c>
      <c r="U55" s="151">
        <v>5</v>
      </c>
      <c r="V55" s="151">
        <v>5</v>
      </c>
      <c r="W55" s="151">
        <v>6</v>
      </c>
      <c r="X55" s="151">
        <v>4</v>
      </c>
      <c r="Y55" s="151">
        <v>6</v>
      </c>
      <c r="Z55" s="49">
        <v>5</v>
      </c>
      <c r="AA55" s="151">
        <v>5</v>
      </c>
      <c r="AB55" s="151">
        <v>5</v>
      </c>
      <c r="AC55" s="151">
        <v>4</v>
      </c>
      <c r="AD55" s="56">
        <v>3</v>
      </c>
      <c r="AE55" s="56">
        <v>4</v>
      </c>
      <c r="AF55" s="56">
        <v>5</v>
      </c>
      <c r="AG55" s="56">
        <v>6</v>
      </c>
      <c r="AH55" s="56"/>
      <c r="AI55" s="56"/>
      <c r="AJ55" s="56"/>
      <c r="AK55" s="56"/>
      <c r="AL55" s="151"/>
      <c r="AM55" s="151"/>
      <c r="AN55" s="52"/>
      <c r="AO55" s="11">
        <v>4</v>
      </c>
      <c r="AP55" s="11">
        <f>COUNTIF(AE17:AE383,AO55)</f>
        <v>14</v>
      </c>
      <c r="AQ55" s="62">
        <f>(AP55/AP60)</f>
        <v>0.34146341463414637</v>
      </c>
      <c r="AR55" s="11">
        <v>4</v>
      </c>
      <c r="AS55" s="11">
        <f>COUNTIF(AF17:AF383,AR55)</f>
        <v>10</v>
      </c>
      <c r="AT55" s="62">
        <f>(AS55/AS60)</f>
        <v>0.25</v>
      </c>
      <c r="AU55" s="11"/>
      <c r="AV55" s="11"/>
      <c r="AW55" s="62"/>
      <c r="AX55" s="11"/>
      <c r="AY55" s="11"/>
      <c r="AZ55" s="62"/>
      <c r="BA55" s="11"/>
      <c r="BB55" s="11"/>
      <c r="BC55" s="62"/>
      <c r="BD55" s="11"/>
      <c r="BE55" s="11"/>
      <c r="BF55" s="62"/>
      <c r="BG55" s="70"/>
      <c r="BH55" s="174">
        <v>547</v>
      </c>
      <c r="BI55" s="121">
        <v>3</v>
      </c>
      <c r="BJ55" s="121">
        <v>3</v>
      </c>
      <c r="BK55" s="121">
        <v>4</v>
      </c>
      <c r="BL55" s="121">
        <v>3</v>
      </c>
      <c r="BM55" s="121">
        <v>5</v>
      </c>
      <c r="BN55" s="121">
        <v>4</v>
      </c>
      <c r="BO55" s="120">
        <v>2</v>
      </c>
      <c r="BP55" s="120">
        <v>2</v>
      </c>
      <c r="BQ55" s="121">
        <v>5</v>
      </c>
      <c r="BR55" s="121">
        <v>4</v>
      </c>
      <c r="BS55" s="121">
        <v>4</v>
      </c>
      <c r="BT55" s="121">
        <v>3</v>
      </c>
      <c r="BU55" s="120">
        <v>4</v>
      </c>
      <c r="BV55" s="120">
        <v>4</v>
      </c>
      <c r="BW55" s="120">
        <v>5</v>
      </c>
      <c r="BX55" s="120">
        <v>4</v>
      </c>
      <c r="BY55" s="120">
        <v>5</v>
      </c>
      <c r="BZ55" s="120">
        <v>3</v>
      </c>
      <c r="CA55" s="120">
        <v>5</v>
      </c>
      <c r="CB55" s="120">
        <v>4</v>
      </c>
      <c r="CC55" s="120">
        <v>4</v>
      </c>
      <c r="CD55" s="120">
        <v>4</v>
      </c>
      <c r="CE55" s="120">
        <v>4</v>
      </c>
      <c r="CF55" s="56">
        <v>3</v>
      </c>
      <c r="CG55" s="56">
        <v>6</v>
      </c>
      <c r="CH55" s="56">
        <v>5</v>
      </c>
      <c r="CI55" s="56">
        <v>6</v>
      </c>
      <c r="CJ55" s="56"/>
      <c r="CK55" s="56"/>
      <c r="CL55" s="56"/>
      <c r="CM55" s="56"/>
      <c r="CN55" s="151"/>
      <c r="CO55" s="151"/>
      <c r="CP55" s="52"/>
      <c r="CQ55" s="11">
        <v>4</v>
      </c>
      <c r="CR55" s="11">
        <f>COUNTIF(CG17:CG383,CQ55)</f>
        <v>12</v>
      </c>
      <c r="CS55" s="62">
        <f>(CR55/CR60)</f>
        <v>0.29268292682926828</v>
      </c>
      <c r="CT55" s="11">
        <v>4</v>
      </c>
      <c r="CU55" s="11">
        <f>COUNTIF(CH17:CH383,CT55)</f>
        <v>13</v>
      </c>
      <c r="CV55" s="62">
        <f>(CU55/CU60)</f>
        <v>0.32500000000000001</v>
      </c>
      <c r="CW55" s="11"/>
      <c r="CX55" s="11"/>
      <c r="CY55" s="62"/>
      <c r="CZ55" s="11"/>
      <c r="DA55" s="11"/>
      <c r="DB55" s="62"/>
      <c r="DC55" s="11"/>
      <c r="DD55" s="11"/>
      <c r="DE55" s="62"/>
      <c r="DF55" s="11"/>
      <c r="DG55" s="11"/>
      <c r="DH55" s="62"/>
      <c r="DI55" s="70"/>
      <c r="DJ55" s="174">
        <v>547</v>
      </c>
      <c r="DK55" s="120">
        <v>0</v>
      </c>
      <c r="DL55" s="120">
        <v>0</v>
      </c>
      <c r="DM55" s="120">
        <v>1</v>
      </c>
      <c r="DN55" s="120">
        <v>0</v>
      </c>
      <c r="DO55" s="120">
        <v>0</v>
      </c>
      <c r="DP55" s="120">
        <v>1</v>
      </c>
      <c r="DQ55" s="120">
        <v>1</v>
      </c>
      <c r="DR55" s="120">
        <v>2</v>
      </c>
      <c r="DS55" s="120">
        <v>1</v>
      </c>
      <c r="DT55" s="120">
        <v>0</v>
      </c>
      <c r="DU55" s="120">
        <v>1</v>
      </c>
      <c r="DV55" s="120">
        <v>1</v>
      </c>
      <c r="DW55" s="120">
        <v>1</v>
      </c>
      <c r="DX55" s="120">
        <v>0</v>
      </c>
      <c r="DY55" s="120">
        <v>0</v>
      </c>
      <c r="DZ55" s="120">
        <v>1</v>
      </c>
      <c r="EA55" s="120">
        <v>1</v>
      </c>
      <c r="EB55" s="120">
        <v>1</v>
      </c>
      <c r="EC55" s="120">
        <v>1</v>
      </c>
      <c r="ED55" s="120">
        <v>1</v>
      </c>
      <c r="EE55" s="120">
        <v>1</v>
      </c>
      <c r="EF55" s="120">
        <v>1</v>
      </c>
      <c r="EG55" s="120">
        <v>0</v>
      </c>
      <c r="EH55" s="120">
        <v>0</v>
      </c>
      <c r="EI55" s="120">
        <v>0</v>
      </c>
      <c r="EJ55" s="120">
        <v>0</v>
      </c>
      <c r="EK55" s="56">
        <v>0</v>
      </c>
      <c r="EL55" s="56"/>
      <c r="EM55" s="56"/>
      <c r="EN55" s="56"/>
      <c r="EO55" s="56"/>
      <c r="EP55" s="151"/>
      <c r="EQ55" s="151"/>
      <c r="ER55" s="52"/>
      <c r="ES55" s="11">
        <v>4</v>
      </c>
      <c r="ET55" s="11">
        <f>COUNTIF(EI17:EI383,ES55)</f>
        <v>0</v>
      </c>
      <c r="EU55" s="62">
        <f>(ET55/ET60)</f>
        <v>0</v>
      </c>
      <c r="EV55" s="11">
        <v>4</v>
      </c>
      <c r="EW55" s="11">
        <f>COUNTIF(EJ17:EJ383,EV55)</f>
        <v>0</v>
      </c>
      <c r="EX55" s="62">
        <f>(EW55/EW60)</f>
        <v>0</v>
      </c>
      <c r="EY55" s="11"/>
      <c r="EZ55" s="11"/>
      <c r="FA55" s="62"/>
      <c r="FB55" s="11"/>
      <c r="FC55" s="11"/>
      <c r="FD55" s="62"/>
      <c r="FE55" s="11"/>
      <c r="FF55" s="11"/>
      <c r="FG55" s="62"/>
      <c r="FH55" s="11"/>
      <c r="FI55" s="11"/>
      <c r="FJ55" s="62"/>
      <c r="FL55" s="174">
        <v>547</v>
      </c>
      <c r="FM55" s="56"/>
      <c r="FN55" s="78">
        <v>2</v>
      </c>
      <c r="FO55" s="56">
        <v>0</v>
      </c>
      <c r="FP55" s="78">
        <v>3</v>
      </c>
      <c r="FQ55" s="56">
        <v>1</v>
      </c>
      <c r="FR55" s="56">
        <v>1</v>
      </c>
      <c r="FS55" s="56">
        <v>3</v>
      </c>
      <c r="FT55" s="56">
        <v>0</v>
      </c>
      <c r="FU55" s="56">
        <v>1</v>
      </c>
      <c r="FV55" s="56">
        <v>2</v>
      </c>
      <c r="FW55" s="56">
        <v>1</v>
      </c>
      <c r="FX55" s="56">
        <v>2</v>
      </c>
      <c r="FY55" s="56">
        <v>2</v>
      </c>
      <c r="FZ55" s="56">
        <v>1</v>
      </c>
      <c r="GA55" s="56">
        <v>2</v>
      </c>
      <c r="GB55" s="56">
        <v>1</v>
      </c>
      <c r="GC55" s="56">
        <v>2</v>
      </c>
      <c r="GD55" s="56">
        <v>1</v>
      </c>
      <c r="GE55" s="56">
        <v>0</v>
      </c>
      <c r="GF55" s="78">
        <v>2</v>
      </c>
      <c r="GG55" s="56">
        <v>3</v>
      </c>
      <c r="GH55" s="56">
        <v>1</v>
      </c>
      <c r="GI55" s="56">
        <v>1</v>
      </c>
      <c r="GJ55" s="56">
        <v>3</v>
      </c>
      <c r="GK55" s="56">
        <v>1</v>
      </c>
      <c r="GL55" s="56">
        <v>1</v>
      </c>
      <c r="GM55" s="56">
        <v>1</v>
      </c>
      <c r="GN55" s="56"/>
      <c r="GO55" s="56"/>
      <c r="GP55" s="56"/>
      <c r="GQ55" s="56"/>
      <c r="GR55" s="151"/>
      <c r="GS55" s="151"/>
      <c r="GT55" s="52"/>
      <c r="GU55" s="11">
        <v>4</v>
      </c>
      <c r="GV55" s="11">
        <f>COUNTIF(GK17:GK383,GU55)</f>
        <v>3</v>
      </c>
      <c r="GW55" s="62">
        <f>(GV55/GV60)</f>
        <v>7.3170731707317069E-2</v>
      </c>
      <c r="GX55" s="11">
        <v>4</v>
      </c>
      <c r="GY55" s="11">
        <f>COUNTIF(GL17:GL383,GX55)</f>
        <v>2</v>
      </c>
      <c r="GZ55" s="62">
        <f>(GY55/GY60)</f>
        <v>0.05</v>
      </c>
      <c r="HA55" s="11"/>
      <c r="HB55" s="11"/>
      <c r="HC55" s="62"/>
      <c r="HD55" s="11"/>
      <c r="HE55" s="11"/>
      <c r="HF55" s="62"/>
      <c r="HG55" s="11"/>
      <c r="HH55" s="11"/>
      <c r="HI55" s="62"/>
      <c r="HJ55" s="11"/>
      <c r="HK55" s="11"/>
      <c r="HL55" s="62"/>
    </row>
    <row r="56" spans="1:220" ht="17.25">
      <c r="D56" s="22"/>
      <c r="E56" s="22"/>
      <c r="F56" s="174">
        <v>548</v>
      </c>
      <c r="G56" s="34">
        <v>5</v>
      </c>
      <c r="H56" s="151">
        <v>6</v>
      </c>
      <c r="I56" s="151">
        <v>4</v>
      </c>
      <c r="J56" s="151">
        <v>5</v>
      </c>
      <c r="K56" s="151">
        <v>5</v>
      </c>
      <c r="L56" s="34">
        <v>5</v>
      </c>
      <c r="M56" s="34">
        <v>6</v>
      </c>
      <c r="N56" s="34">
        <v>5</v>
      </c>
      <c r="O56" s="34">
        <v>4</v>
      </c>
      <c r="P56" s="34">
        <v>4</v>
      </c>
      <c r="Q56" s="34">
        <v>5</v>
      </c>
      <c r="R56" s="34">
        <v>3</v>
      </c>
      <c r="S56" s="34">
        <v>4</v>
      </c>
      <c r="T56" s="34">
        <v>3</v>
      </c>
      <c r="U56" s="34">
        <v>4</v>
      </c>
      <c r="V56" s="34">
        <v>5</v>
      </c>
      <c r="W56" s="34">
        <v>5</v>
      </c>
      <c r="X56" s="34">
        <v>5</v>
      </c>
      <c r="Y56" s="34">
        <v>3</v>
      </c>
      <c r="Z56" s="49">
        <v>6</v>
      </c>
      <c r="AA56" s="34">
        <v>5</v>
      </c>
      <c r="AB56" s="34">
        <v>6</v>
      </c>
      <c r="AC56" s="56">
        <v>6</v>
      </c>
      <c r="AD56" s="56">
        <v>6</v>
      </c>
      <c r="AE56" s="56">
        <v>4</v>
      </c>
      <c r="AF56" s="56">
        <v>4</v>
      </c>
      <c r="AG56" s="56"/>
      <c r="AH56" s="56"/>
      <c r="AI56" s="56"/>
      <c r="AJ56" s="56"/>
      <c r="AK56" s="56"/>
      <c r="AL56" s="151"/>
      <c r="AM56" s="151"/>
      <c r="AN56" s="52"/>
      <c r="AO56" s="11">
        <v>3</v>
      </c>
      <c r="AP56" s="11">
        <f>COUNTIF(AE17:AE383,AO56)</f>
        <v>2</v>
      </c>
      <c r="AQ56" s="62">
        <f>(AP56/AP60)</f>
        <v>4.878048780487805E-2</v>
      </c>
      <c r="AR56" s="11">
        <v>3</v>
      </c>
      <c r="AS56" s="11">
        <f>COUNTIF(AF17:AF383,AR56)</f>
        <v>3</v>
      </c>
      <c r="AT56" s="62">
        <f>(AS56/AS60)</f>
        <v>7.4999999999999997E-2</v>
      </c>
      <c r="AU56" s="11"/>
      <c r="AV56" s="11"/>
      <c r="AW56" s="62"/>
      <c r="AX56" s="11"/>
      <c r="AY56" s="11"/>
      <c r="AZ56" s="62"/>
      <c r="BA56" s="11"/>
      <c r="BB56" s="11"/>
      <c r="BC56" s="62"/>
      <c r="BD56" s="11"/>
      <c r="BE56" s="11"/>
      <c r="BF56" s="62"/>
      <c r="BG56" s="70"/>
      <c r="BH56" s="174">
        <v>548</v>
      </c>
      <c r="BI56" s="121">
        <v>4</v>
      </c>
      <c r="BJ56" s="121">
        <v>6</v>
      </c>
      <c r="BK56" s="121">
        <v>2</v>
      </c>
      <c r="BL56" s="121">
        <v>5</v>
      </c>
      <c r="BM56" s="121">
        <v>4</v>
      </c>
      <c r="BN56" s="121">
        <v>5</v>
      </c>
      <c r="BO56" s="120">
        <v>6</v>
      </c>
      <c r="BP56" s="120">
        <v>5</v>
      </c>
      <c r="BQ56" s="121">
        <v>4</v>
      </c>
      <c r="BR56" s="121">
        <v>4</v>
      </c>
      <c r="BS56" s="121">
        <v>5</v>
      </c>
      <c r="BT56" s="121">
        <v>3</v>
      </c>
      <c r="BU56" s="120">
        <v>3</v>
      </c>
      <c r="BV56" s="120">
        <v>3</v>
      </c>
      <c r="BW56" s="120">
        <v>4</v>
      </c>
      <c r="BX56" s="120">
        <v>5</v>
      </c>
      <c r="BY56" s="120">
        <v>4</v>
      </c>
      <c r="BZ56" s="120">
        <v>5</v>
      </c>
      <c r="CA56" s="120">
        <v>3</v>
      </c>
      <c r="CB56" s="120">
        <v>5</v>
      </c>
      <c r="CC56" s="120">
        <v>4</v>
      </c>
      <c r="CD56" s="120">
        <v>6</v>
      </c>
      <c r="CE56" s="56">
        <v>5</v>
      </c>
      <c r="CF56" s="56">
        <v>4</v>
      </c>
      <c r="CG56" s="56">
        <v>4</v>
      </c>
      <c r="CH56" s="56">
        <v>3</v>
      </c>
      <c r="CI56" s="56"/>
      <c r="CJ56" s="56"/>
      <c r="CK56" s="56"/>
      <c r="CL56" s="56"/>
      <c r="CM56" s="56"/>
      <c r="CN56" s="151"/>
      <c r="CO56" s="151"/>
      <c r="CP56" s="52"/>
      <c r="CQ56" s="11">
        <v>3</v>
      </c>
      <c r="CR56" s="11">
        <f>COUNTIF(CG17:CG383,CQ56)</f>
        <v>8</v>
      </c>
      <c r="CS56" s="62">
        <f>(CR56/CR60)</f>
        <v>0.1951219512195122</v>
      </c>
      <c r="CT56" s="11">
        <v>3</v>
      </c>
      <c r="CU56" s="11">
        <f>COUNTIF(CH17:CH383,CT56)</f>
        <v>4</v>
      </c>
      <c r="CV56" s="62">
        <f>(CU56/CU60)</f>
        <v>0.1</v>
      </c>
      <c r="CW56" s="11"/>
      <c r="CX56" s="11"/>
      <c r="CY56" s="62"/>
      <c r="CZ56" s="11"/>
      <c r="DA56" s="11"/>
      <c r="DB56" s="62"/>
      <c r="DC56" s="11"/>
      <c r="DD56" s="11"/>
      <c r="DE56" s="62"/>
      <c r="DF56" s="11"/>
      <c r="DG56" s="11"/>
      <c r="DH56" s="62"/>
      <c r="DI56" s="70"/>
      <c r="DJ56" s="174">
        <v>548</v>
      </c>
      <c r="DK56" s="120">
        <v>1</v>
      </c>
      <c r="DL56" s="120">
        <v>0</v>
      </c>
      <c r="DM56" s="120">
        <v>2</v>
      </c>
      <c r="DN56" s="120">
        <v>0</v>
      </c>
      <c r="DO56" s="120">
        <v>1</v>
      </c>
      <c r="DP56" s="120">
        <v>0</v>
      </c>
      <c r="DQ56" s="120">
        <v>0</v>
      </c>
      <c r="DR56" s="120">
        <v>0</v>
      </c>
      <c r="DS56" s="120">
        <v>0</v>
      </c>
      <c r="DT56" s="120">
        <v>0</v>
      </c>
      <c r="DU56" s="120">
        <v>0</v>
      </c>
      <c r="DV56" s="120">
        <v>0</v>
      </c>
      <c r="DW56" s="120">
        <v>1</v>
      </c>
      <c r="DX56" s="120">
        <v>0</v>
      </c>
      <c r="DY56" s="120">
        <v>0</v>
      </c>
      <c r="DZ56" s="120">
        <v>0</v>
      </c>
      <c r="EA56" s="120">
        <v>1</v>
      </c>
      <c r="EB56" s="120">
        <v>0</v>
      </c>
      <c r="EC56" s="120">
        <v>0</v>
      </c>
      <c r="ED56" s="120">
        <v>1</v>
      </c>
      <c r="EE56" s="120">
        <v>1</v>
      </c>
      <c r="EF56" s="120">
        <v>0</v>
      </c>
      <c r="EG56" s="120">
        <v>1</v>
      </c>
      <c r="EH56" s="120">
        <v>0</v>
      </c>
      <c r="EI56" s="120">
        <v>0</v>
      </c>
      <c r="EJ56" s="120">
        <v>1</v>
      </c>
      <c r="EK56" s="56"/>
      <c r="EL56" s="56"/>
      <c r="EM56" s="56"/>
      <c r="EN56" s="56"/>
      <c r="EO56" s="56"/>
      <c r="EP56" s="151"/>
      <c r="EQ56" s="151"/>
      <c r="ER56" s="52"/>
      <c r="ES56" s="11">
        <v>3</v>
      </c>
      <c r="ET56" s="11">
        <f>COUNTIF(EI17:EI383,ES56)</f>
        <v>0</v>
      </c>
      <c r="EU56" s="62">
        <f>(ET56/ET60)</f>
        <v>0</v>
      </c>
      <c r="EV56" s="11">
        <v>3</v>
      </c>
      <c r="EW56" s="11">
        <f>COUNTIF(EJ17:EJ383,EV56)</f>
        <v>0</v>
      </c>
      <c r="EX56" s="62">
        <f>(EW56/EW60)</f>
        <v>0</v>
      </c>
      <c r="EY56" s="11"/>
      <c r="EZ56" s="11"/>
      <c r="FA56" s="62"/>
      <c r="FB56" s="11"/>
      <c r="FC56" s="11"/>
      <c r="FD56" s="62"/>
      <c r="FE56" s="11"/>
      <c r="FF56" s="11"/>
      <c r="FG56" s="62"/>
      <c r="FH56" s="11"/>
      <c r="FI56" s="11"/>
      <c r="FJ56" s="62"/>
      <c r="FL56" s="174">
        <v>548</v>
      </c>
      <c r="FM56" s="56"/>
      <c r="FN56" s="78">
        <v>1</v>
      </c>
      <c r="FO56" s="56">
        <v>3</v>
      </c>
      <c r="FP56" s="78">
        <v>1</v>
      </c>
      <c r="FQ56" s="56">
        <v>2</v>
      </c>
      <c r="FR56" s="56">
        <v>0</v>
      </c>
      <c r="FS56" s="56">
        <v>3</v>
      </c>
      <c r="FT56" s="56">
        <v>2</v>
      </c>
      <c r="FU56" s="56">
        <v>1</v>
      </c>
      <c r="FV56" s="56">
        <v>0</v>
      </c>
      <c r="FW56" s="56">
        <v>1</v>
      </c>
      <c r="FX56" s="56">
        <v>4</v>
      </c>
      <c r="FY56" s="56">
        <v>2</v>
      </c>
      <c r="FZ56" s="56">
        <v>1</v>
      </c>
      <c r="GA56" s="56">
        <v>3</v>
      </c>
      <c r="GB56" s="56">
        <v>2</v>
      </c>
      <c r="GC56" s="56">
        <v>2</v>
      </c>
      <c r="GD56" s="56">
        <v>1</v>
      </c>
      <c r="GE56" s="56">
        <v>0</v>
      </c>
      <c r="GF56" s="78">
        <v>2</v>
      </c>
      <c r="GG56" s="56">
        <v>3</v>
      </c>
      <c r="GH56" s="56">
        <v>2</v>
      </c>
      <c r="GI56" s="56">
        <v>2</v>
      </c>
      <c r="GJ56" s="56">
        <v>2</v>
      </c>
      <c r="GK56" s="56">
        <v>3</v>
      </c>
      <c r="GL56" s="56">
        <v>1</v>
      </c>
      <c r="GM56" s="56"/>
      <c r="GN56" s="56"/>
      <c r="GO56" s="56"/>
      <c r="GP56" s="56"/>
      <c r="GQ56" s="56"/>
      <c r="GR56" s="151"/>
      <c r="GS56" s="151"/>
      <c r="GT56" s="52"/>
      <c r="GU56" s="11">
        <v>3</v>
      </c>
      <c r="GV56" s="11">
        <f>COUNTIF(GK17:GK383,GU56)</f>
        <v>6</v>
      </c>
      <c r="GW56" s="62">
        <f>(GV56/GV60)</f>
        <v>0.14634146341463414</v>
      </c>
      <c r="GX56" s="11">
        <v>3</v>
      </c>
      <c r="GY56" s="11">
        <f>COUNTIF(GL17:GL383,GX56)</f>
        <v>9</v>
      </c>
      <c r="GZ56" s="62">
        <f>(GY56/GY60)</f>
        <v>0.22500000000000001</v>
      </c>
      <c r="HA56" s="11"/>
      <c r="HB56" s="11"/>
      <c r="HC56" s="62"/>
      <c r="HD56" s="11"/>
      <c r="HE56" s="11"/>
      <c r="HF56" s="62"/>
      <c r="HG56" s="11"/>
      <c r="HH56" s="11"/>
      <c r="HI56" s="62"/>
      <c r="HJ56" s="11"/>
      <c r="HK56" s="11"/>
      <c r="HL56" s="62"/>
    </row>
    <row r="57" spans="1:220" ht="17.25">
      <c r="D57" s="22"/>
      <c r="E57" s="22"/>
      <c r="F57" s="174">
        <v>549</v>
      </c>
      <c r="G57" s="34">
        <v>5</v>
      </c>
      <c r="H57" s="151">
        <v>4</v>
      </c>
      <c r="I57" s="151">
        <v>4</v>
      </c>
      <c r="J57" s="151">
        <v>3</v>
      </c>
      <c r="K57" s="151">
        <v>5</v>
      </c>
      <c r="L57" s="151">
        <v>6</v>
      </c>
      <c r="M57" s="151">
        <v>6</v>
      </c>
      <c r="N57" s="151">
        <v>4</v>
      </c>
      <c r="O57" s="151">
        <v>4</v>
      </c>
      <c r="P57" s="151">
        <v>4</v>
      </c>
      <c r="Q57" s="151">
        <v>4</v>
      </c>
      <c r="R57" s="151">
        <v>4</v>
      </c>
      <c r="S57" s="151">
        <v>3</v>
      </c>
      <c r="T57" s="151">
        <v>5</v>
      </c>
      <c r="U57" s="151">
        <v>4</v>
      </c>
      <c r="V57" s="151">
        <v>5</v>
      </c>
      <c r="W57" s="151">
        <v>3</v>
      </c>
      <c r="X57" s="151">
        <v>4</v>
      </c>
      <c r="Y57" s="151">
        <v>5</v>
      </c>
      <c r="Z57" s="49">
        <v>4</v>
      </c>
      <c r="AA57" s="151">
        <v>5</v>
      </c>
      <c r="AB57" s="78">
        <v>4</v>
      </c>
      <c r="AC57" s="56">
        <v>4</v>
      </c>
      <c r="AD57" s="56">
        <v>3</v>
      </c>
      <c r="AE57" s="56">
        <v>5</v>
      </c>
      <c r="AF57" s="56"/>
      <c r="AG57" s="56"/>
      <c r="AH57" s="56"/>
      <c r="AI57" s="56"/>
      <c r="AJ57" s="56"/>
      <c r="AK57" s="56"/>
      <c r="AL57" s="151"/>
      <c r="AM57" s="151"/>
      <c r="AN57" s="52"/>
      <c r="AO57" s="11">
        <v>2</v>
      </c>
      <c r="AP57" s="11">
        <f>COUNTIF(AE17:AE383,AO57)</f>
        <v>0</v>
      </c>
      <c r="AQ57" s="62">
        <f>(AP57/AP60)</f>
        <v>0</v>
      </c>
      <c r="AR57" s="11">
        <v>2</v>
      </c>
      <c r="AS57" s="11">
        <f>COUNTIF(AF17:AF383,AR57)</f>
        <v>0</v>
      </c>
      <c r="AT57" s="62">
        <f>(AS57/AS60)</f>
        <v>0</v>
      </c>
      <c r="AU57" s="11"/>
      <c r="AV57" s="11"/>
      <c r="AW57" s="62"/>
      <c r="AX57" s="11"/>
      <c r="AY57" s="11"/>
      <c r="AZ57" s="62"/>
      <c r="BA57" s="11"/>
      <c r="BB57" s="11"/>
      <c r="BC57" s="62"/>
      <c r="BD57" s="11"/>
      <c r="BE57" s="11"/>
      <c r="BF57" s="62"/>
      <c r="BG57" s="70"/>
      <c r="BH57" s="174">
        <v>549</v>
      </c>
      <c r="BI57" s="121">
        <v>5</v>
      </c>
      <c r="BJ57" s="121">
        <v>2</v>
      </c>
      <c r="BK57" s="121">
        <v>3</v>
      </c>
      <c r="BL57" s="121">
        <v>2</v>
      </c>
      <c r="BM57" s="121">
        <v>4</v>
      </c>
      <c r="BN57" s="121">
        <v>5</v>
      </c>
      <c r="BO57" s="120">
        <v>6</v>
      </c>
      <c r="BP57" s="120">
        <v>4</v>
      </c>
      <c r="BQ57" s="121">
        <v>4</v>
      </c>
      <c r="BR57" s="121">
        <v>4</v>
      </c>
      <c r="BS57" s="121">
        <v>3</v>
      </c>
      <c r="BT57" s="121">
        <v>3</v>
      </c>
      <c r="BU57" s="120">
        <v>2</v>
      </c>
      <c r="BV57" s="120">
        <v>5</v>
      </c>
      <c r="BW57" s="120">
        <v>3</v>
      </c>
      <c r="BX57" s="120">
        <v>3</v>
      </c>
      <c r="BY57" s="120">
        <v>1</v>
      </c>
      <c r="BZ57" s="120">
        <v>4</v>
      </c>
      <c r="CA57" s="120">
        <v>3</v>
      </c>
      <c r="CB57" s="120">
        <v>3</v>
      </c>
      <c r="CC57" s="120">
        <v>5</v>
      </c>
      <c r="CD57" s="120">
        <v>2</v>
      </c>
      <c r="CE57" s="56">
        <v>5</v>
      </c>
      <c r="CF57" s="56">
        <v>2</v>
      </c>
      <c r="CG57" s="56">
        <v>4</v>
      </c>
      <c r="CH57" s="56"/>
      <c r="CI57" s="56"/>
      <c r="CJ57" s="56"/>
      <c r="CK57" s="56"/>
      <c r="CL57" s="56"/>
      <c r="CM57" s="56"/>
      <c r="CN57" s="151"/>
      <c r="CO57" s="151"/>
      <c r="CP57" s="52"/>
      <c r="CQ57" s="11">
        <v>2</v>
      </c>
      <c r="CR57" s="11">
        <f>COUNTIF(CG17:CG383,CQ57)</f>
        <v>2</v>
      </c>
      <c r="CS57" s="62">
        <f>(CR57/CR60)</f>
        <v>4.878048780487805E-2</v>
      </c>
      <c r="CT57" s="11">
        <v>2</v>
      </c>
      <c r="CU57" s="11">
        <f>COUNTIF(CH17:CH383,CT57)</f>
        <v>1</v>
      </c>
      <c r="CV57" s="62">
        <f>(CU57/CU60)</f>
        <v>2.5000000000000001E-2</v>
      </c>
      <c r="CW57" s="11"/>
      <c r="CX57" s="11"/>
      <c r="CY57" s="62"/>
      <c r="CZ57" s="11"/>
      <c r="DA57" s="11"/>
      <c r="DB57" s="62"/>
      <c r="DC57" s="11"/>
      <c r="DD57" s="11"/>
      <c r="DE57" s="62"/>
      <c r="DF57" s="11"/>
      <c r="DG57" s="11"/>
      <c r="DH57" s="62"/>
      <c r="DI57" s="70"/>
      <c r="DJ57" s="174">
        <v>549</v>
      </c>
      <c r="DK57" s="120">
        <v>0</v>
      </c>
      <c r="DL57" s="120">
        <v>2</v>
      </c>
      <c r="DM57" s="120">
        <v>1</v>
      </c>
      <c r="DN57" s="120">
        <v>1</v>
      </c>
      <c r="DO57" s="120">
        <v>1</v>
      </c>
      <c r="DP57" s="120">
        <v>1</v>
      </c>
      <c r="DQ57" s="120">
        <v>0</v>
      </c>
      <c r="DR57" s="120">
        <v>0</v>
      </c>
      <c r="DS57" s="120">
        <v>0</v>
      </c>
      <c r="DT57" s="120">
        <v>0</v>
      </c>
      <c r="DU57" s="120">
        <v>1</v>
      </c>
      <c r="DV57" s="120">
        <v>1</v>
      </c>
      <c r="DW57" s="120">
        <v>1</v>
      </c>
      <c r="DX57" s="120">
        <v>0</v>
      </c>
      <c r="DY57" s="120">
        <v>1</v>
      </c>
      <c r="DZ57" s="120">
        <v>2</v>
      </c>
      <c r="EA57" s="120">
        <v>2</v>
      </c>
      <c r="EB57" s="120">
        <v>0</v>
      </c>
      <c r="EC57" s="120">
        <v>2</v>
      </c>
      <c r="ED57" s="120">
        <v>1</v>
      </c>
      <c r="EE57" s="120">
        <v>0</v>
      </c>
      <c r="EF57" s="120">
        <v>2</v>
      </c>
      <c r="EG57" s="120">
        <v>1</v>
      </c>
      <c r="EH57" s="120">
        <v>1</v>
      </c>
      <c r="EI57" s="120">
        <v>1</v>
      </c>
      <c r="EJ57" s="120"/>
      <c r="EK57" s="56"/>
      <c r="EL57" s="56"/>
      <c r="EM57" s="56"/>
      <c r="EN57" s="56"/>
      <c r="EO57" s="56"/>
      <c r="EP57" s="151"/>
      <c r="EQ57" s="151"/>
      <c r="ER57" s="52"/>
      <c r="ES57" s="11">
        <v>2</v>
      </c>
      <c r="ET57" s="11">
        <f>COUNTIF(EI17:EI383,ES57)</f>
        <v>5</v>
      </c>
      <c r="EU57" s="62">
        <f>(ET57/ET60)</f>
        <v>0.12195121951219512</v>
      </c>
      <c r="EV57" s="11">
        <v>2</v>
      </c>
      <c r="EW57" s="11">
        <f>COUNTIF(EJ17:EJ383,EV57)</f>
        <v>2</v>
      </c>
      <c r="EX57" s="62">
        <f>(EW57/EW60)</f>
        <v>0.05</v>
      </c>
      <c r="EY57" s="11"/>
      <c r="EZ57" s="11"/>
      <c r="FA57" s="62"/>
      <c r="FB57" s="11"/>
      <c r="FC57" s="11"/>
      <c r="FD57" s="62"/>
      <c r="FE57" s="11"/>
      <c r="FF57" s="11"/>
      <c r="FG57" s="62"/>
      <c r="FH57" s="11"/>
      <c r="FI57" s="11"/>
      <c r="FJ57" s="62"/>
      <c r="FL57" s="174">
        <v>549</v>
      </c>
      <c r="FM57" s="56"/>
      <c r="FN57" s="78">
        <v>1</v>
      </c>
      <c r="FO57" s="56">
        <v>3</v>
      </c>
      <c r="FP57" s="78">
        <v>2</v>
      </c>
      <c r="FQ57" s="56">
        <v>3</v>
      </c>
      <c r="FR57" s="56">
        <v>1</v>
      </c>
      <c r="FS57" s="56">
        <v>1</v>
      </c>
      <c r="FT57" s="56">
        <v>1</v>
      </c>
      <c r="FU57" s="56">
        <v>3</v>
      </c>
      <c r="FV57" s="56">
        <v>1</v>
      </c>
      <c r="FW57" s="56">
        <v>1</v>
      </c>
      <c r="FX57" s="56">
        <v>2</v>
      </c>
      <c r="FY57" s="56">
        <v>1</v>
      </c>
      <c r="FZ57" s="56">
        <v>3</v>
      </c>
      <c r="GA57" s="56">
        <v>2</v>
      </c>
      <c r="GB57" s="56">
        <v>1</v>
      </c>
      <c r="GC57" s="56">
        <v>3</v>
      </c>
      <c r="GD57" s="56">
        <v>1</v>
      </c>
      <c r="GE57" s="56">
        <v>0</v>
      </c>
      <c r="GF57" s="78">
        <v>4</v>
      </c>
      <c r="GG57" s="56">
        <v>2</v>
      </c>
      <c r="GH57" s="56">
        <v>2</v>
      </c>
      <c r="GI57" s="56">
        <v>1</v>
      </c>
      <c r="GJ57" s="56">
        <v>2</v>
      </c>
      <c r="GK57" s="56">
        <v>3</v>
      </c>
      <c r="GL57" s="56"/>
      <c r="GM57" s="56"/>
      <c r="GN57" s="56"/>
      <c r="GO57" s="56"/>
      <c r="GP57" s="56"/>
      <c r="GQ57" s="56"/>
      <c r="GR57" s="151"/>
      <c r="GS57" s="151"/>
      <c r="GT57" s="52"/>
      <c r="GU57" s="11">
        <v>2</v>
      </c>
      <c r="GV57" s="11">
        <f>COUNTIF(GK17:GK383,GU57)</f>
        <v>15</v>
      </c>
      <c r="GW57" s="62">
        <f>(GV57/GV60)</f>
        <v>0.36585365853658536</v>
      </c>
      <c r="GX57" s="11">
        <v>2</v>
      </c>
      <c r="GY57" s="11">
        <f>COUNTIF(GL17:GL383,GX57)</f>
        <v>13</v>
      </c>
      <c r="GZ57" s="62">
        <f>(GY57/GY60)</f>
        <v>0.32500000000000001</v>
      </c>
      <c r="HA57" s="11"/>
      <c r="HB57" s="11"/>
      <c r="HC57" s="62"/>
      <c r="HD57" s="11"/>
      <c r="HE57" s="11"/>
      <c r="HF57" s="62"/>
      <c r="HG57" s="11"/>
      <c r="HH57" s="11"/>
      <c r="HI57" s="62"/>
      <c r="HJ57" s="11"/>
      <c r="HK57" s="11"/>
      <c r="HL57" s="62"/>
    </row>
    <row r="58" spans="1:220" ht="17.25">
      <c r="D58" s="22"/>
      <c r="E58" s="22"/>
      <c r="F58" s="174">
        <v>550</v>
      </c>
      <c r="G58" s="34">
        <v>6</v>
      </c>
      <c r="H58" s="151">
        <v>6</v>
      </c>
      <c r="I58" s="151">
        <v>6</v>
      </c>
      <c r="J58" s="151">
        <v>5</v>
      </c>
      <c r="K58" s="151">
        <v>3</v>
      </c>
      <c r="L58" s="151">
        <v>4</v>
      </c>
      <c r="M58" s="151">
        <v>4</v>
      </c>
      <c r="N58" s="151">
        <v>5</v>
      </c>
      <c r="O58" s="151">
        <v>2</v>
      </c>
      <c r="P58" s="151">
        <v>4</v>
      </c>
      <c r="Q58" s="151">
        <v>6</v>
      </c>
      <c r="R58" s="151">
        <v>4</v>
      </c>
      <c r="S58" s="151">
        <v>4</v>
      </c>
      <c r="T58" s="151">
        <v>5</v>
      </c>
      <c r="U58" s="151">
        <v>4</v>
      </c>
      <c r="V58" s="151">
        <v>5</v>
      </c>
      <c r="W58" s="151">
        <v>4</v>
      </c>
      <c r="X58" s="151">
        <v>6</v>
      </c>
      <c r="Y58" s="151">
        <v>5</v>
      </c>
      <c r="Z58" s="49">
        <v>5</v>
      </c>
      <c r="AA58" s="78">
        <v>4</v>
      </c>
      <c r="AB58" s="56">
        <v>4</v>
      </c>
      <c r="AC58" s="56">
        <v>4</v>
      </c>
      <c r="AD58" s="56">
        <v>5</v>
      </c>
      <c r="AE58" s="56"/>
      <c r="AF58" s="56"/>
      <c r="AG58" s="56"/>
      <c r="AH58" s="56"/>
      <c r="AI58" s="56"/>
      <c r="AJ58" s="56"/>
      <c r="AK58" s="56"/>
      <c r="AL58" s="151"/>
      <c r="AM58" s="151"/>
      <c r="AN58" s="52"/>
      <c r="AO58" s="11">
        <v>1</v>
      </c>
      <c r="AP58" s="11">
        <f>COUNTIF(AE17:AE383,AO58)</f>
        <v>0</v>
      </c>
      <c r="AQ58" s="62">
        <f>(AP58/AP60)</f>
        <v>0</v>
      </c>
      <c r="AR58" s="11">
        <v>1</v>
      </c>
      <c r="AS58" s="11">
        <f>COUNTIF(AF17:AF383,AR58)</f>
        <v>0</v>
      </c>
      <c r="AT58" s="62">
        <f>(AS58/AS60)</f>
        <v>0</v>
      </c>
      <c r="AU58" s="11"/>
      <c r="AV58" s="11"/>
      <c r="AW58" s="62"/>
      <c r="AX58" s="11"/>
      <c r="AY58" s="11"/>
      <c r="AZ58" s="62"/>
      <c r="BA58" s="11"/>
      <c r="BB58" s="11"/>
      <c r="BC58" s="62"/>
      <c r="BD58" s="11"/>
      <c r="BE58" s="11"/>
      <c r="BF58" s="62"/>
      <c r="BG58" s="70"/>
      <c r="BH58" s="174">
        <v>550</v>
      </c>
      <c r="BI58" s="121">
        <v>6</v>
      </c>
      <c r="BJ58" s="121">
        <v>6</v>
      </c>
      <c r="BK58" s="121">
        <v>5</v>
      </c>
      <c r="BL58" s="121">
        <v>5</v>
      </c>
      <c r="BM58" s="121">
        <v>3</v>
      </c>
      <c r="BN58" s="121">
        <v>4</v>
      </c>
      <c r="BO58" s="120">
        <v>4</v>
      </c>
      <c r="BP58" s="120">
        <v>5</v>
      </c>
      <c r="BQ58" s="121">
        <v>2</v>
      </c>
      <c r="BR58" s="121">
        <v>4</v>
      </c>
      <c r="BS58" s="121">
        <v>6</v>
      </c>
      <c r="BT58" s="121">
        <v>3</v>
      </c>
      <c r="BU58" s="120">
        <v>4</v>
      </c>
      <c r="BV58" s="120">
        <v>3</v>
      </c>
      <c r="BW58" s="120">
        <v>4</v>
      </c>
      <c r="BX58" s="120">
        <v>4</v>
      </c>
      <c r="BY58" s="120">
        <v>3</v>
      </c>
      <c r="BZ58" s="120">
        <v>5</v>
      </c>
      <c r="CA58" s="120">
        <v>5</v>
      </c>
      <c r="CB58" s="120">
        <v>5</v>
      </c>
      <c r="CC58" s="121">
        <v>4</v>
      </c>
      <c r="CD58" s="56">
        <v>4</v>
      </c>
      <c r="CE58" s="56">
        <v>4</v>
      </c>
      <c r="CF58" s="56">
        <v>5</v>
      </c>
      <c r="CG58" s="56"/>
      <c r="CH58" s="56"/>
      <c r="CI58" s="56"/>
      <c r="CJ58" s="56"/>
      <c r="CK58" s="56"/>
      <c r="CL58" s="56"/>
      <c r="CM58" s="56"/>
      <c r="CN58" s="151"/>
      <c r="CO58" s="151"/>
      <c r="CP58" s="52"/>
      <c r="CQ58" s="11">
        <v>1</v>
      </c>
      <c r="CR58" s="11">
        <f>COUNTIF(CG17:CG383,CQ58)</f>
        <v>0</v>
      </c>
      <c r="CS58" s="62">
        <f>(CR58/CR60)</f>
        <v>0</v>
      </c>
      <c r="CT58" s="11">
        <v>1</v>
      </c>
      <c r="CU58" s="11">
        <f>COUNTIF(CH17:CH383,CT58)</f>
        <v>0</v>
      </c>
      <c r="CV58" s="62">
        <f>(CU58/CU60)</f>
        <v>0</v>
      </c>
      <c r="CW58" s="11"/>
      <c r="CX58" s="11"/>
      <c r="CY58" s="62"/>
      <c r="CZ58" s="11"/>
      <c r="DA58" s="11"/>
      <c r="DB58" s="62"/>
      <c r="DC58" s="11"/>
      <c r="DD58" s="11"/>
      <c r="DE58" s="62"/>
      <c r="DF58" s="11"/>
      <c r="DG58" s="11"/>
      <c r="DH58" s="62"/>
      <c r="DI58" s="70"/>
      <c r="DJ58" s="174">
        <v>550</v>
      </c>
      <c r="DK58" s="120">
        <v>0</v>
      </c>
      <c r="DL58" s="120">
        <v>0</v>
      </c>
      <c r="DM58" s="120">
        <v>1</v>
      </c>
      <c r="DN58" s="120">
        <v>0</v>
      </c>
      <c r="DO58" s="120">
        <v>0</v>
      </c>
      <c r="DP58" s="120">
        <v>0</v>
      </c>
      <c r="DQ58" s="120">
        <v>0</v>
      </c>
      <c r="DR58" s="120">
        <v>0</v>
      </c>
      <c r="DS58" s="120">
        <v>0</v>
      </c>
      <c r="DT58" s="120">
        <v>0</v>
      </c>
      <c r="DU58" s="120">
        <v>0</v>
      </c>
      <c r="DV58" s="120">
        <v>1</v>
      </c>
      <c r="DW58" s="120">
        <v>0</v>
      </c>
      <c r="DX58" s="120">
        <v>2</v>
      </c>
      <c r="DY58" s="120">
        <v>0</v>
      </c>
      <c r="DZ58" s="120">
        <v>1</v>
      </c>
      <c r="EA58" s="120">
        <v>1</v>
      </c>
      <c r="EB58" s="120">
        <v>1</v>
      </c>
      <c r="EC58" s="120">
        <v>0</v>
      </c>
      <c r="ED58" s="120">
        <v>0</v>
      </c>
      <c r="EE58" s="121">
        <v>0</v>
      </c>
      <c r="EF58" s="120">
        <v>0</v>
      </c>
      <c r="EG58" s="120">
        <v>0</v>
      </c>
      <c r="EH58" s="120">
        <v>0</v>
      </c>
      <c r="EI58" s="120"/>
      <c r="EJ58" s="120"/>
      <c r="EK58" s="56"/>
      <c r="EL58" s="56"/>
      <c r="EM58" s="56"/>
      <c r="EN58" s="56"/>
      <c r="EO58" s="56"/>
      <c r="EP58" s="151"/>
      <c r="EQ58" s="151"/>
      <c r="ER58" s="52"/>
      <c r="ES58" s="11">
        <v>1</v>
      </c>
      <c r="ET58" s="11">
        <f>COUNTIF(EI17:EI383,ES58)</f>
        <v>13</v>
      </c>
      <c r="EU58" s="62">
        <f>(ET58/ET60)</f>
        <v>0.31707317073170732</v>
      </c>
      <c r="EV58" s="11">
        <v>1</v>
      </c>
      <c r="EW58" s="11">
        <f>COUNTIF(EJ17:EJ383,EV58)</f>
        <v>9</v>
      </c>
      <c r="EX58" s="62">
        <f>(EW58/EW60)</f>
        <v>0.22500000000000001</v>
      </c>
      <c r="EY58" s="11"/>
      <c r="EZ58" s="11"/>
      <c r="FA58" s="62"/>
      <c r="FB58" s="11"/>
      <c r="FC58" s="11"/>
      <c r="FD58" s="62"/>
      <c r="FE58" s="11"/>
      <c r="FF58" s="11"/>
      <c r="FG58" s="62"/>
      <c r="FH58" s="11"/>
      <c r="FI58" s="11"/>
      <c r="FJ58" s="62"/>
      <c r="FL58" s="174">
        <v>550</v>
      </c>
      <c r="FM58" s="56"/>
      <c r="FN58" s="78">
        <v>3</v>
      </c>
      <c r="FO58" s="56">
        <v>2</v>
      </c>
      <c r="FP58" s="78">
        <v>1</v>
      </c>
      <c r="FQ58" s="56">
        <v>3</v>
      </c>
      <c r="FR58" s="56">
        <v>1</v>
      </c>
      <c r="FS58" s="56">
        <v>2</v>
      </c>
      <c r="FT58" s="56">
        <v>2</v>
      </c>
      <c r="FU58" s="56">
        <v>1</v>
      </c>
      <c r="FV58" s="56">
        <v>1</v>
      </c>
      <c r="FW58" s="56">
        <v>4</v>
      </c>
      <c r="FX58" s="56">
        <v>2</v>
      </c>
      <c r="FY58" s="56">
        <v>4</v>
      </c>
      <c r="FZ58" s="56">
        <v>0</v>
      </c>
      <c r="GA58" s="56">
        <v>3</v>
      </c>
      <c r="GB58" s="56">
        <v>1</v>
      </c>
      <c r="GC58" s="56">
        <v>2</v>
      </c>
      <c r="GD58" s="56">
        <v>2</v>
      </c>
      <c r="GE58" s="56">
        <v>3</v>
      </c>
      <c r="GF58" s="78">
        <v>4</v>
      </c>
      <c r="GG58" s="78">
        <v>1</v>
      </c>
      <c r="GH58" s="56">
        <v>1</v>
      </c>
      <c r="GI58" s="56">
        <v>3</v>
      </c>
      <c r="GJ58" s="56">
        <v>3</v>
      </c>
      <c r="GK58" s="56"/>
      <c r="GL58" s="56"/>
      <c r="GM58" s="56"/>
      <c r="GN58" s="56"/>
      <c r="GO58" s="56"/>
      <c r="GP58" s="56"/>
      <c r="GQ58" s="56"/>
      <c r="GR58" s="151"/>
      <c r="GS58" s="151"/>
      <c r="GT58" s="52"/>
      <c r="GU58" s="11">
        <v>1</v>
      </c>
      <c r="GV58" s="11">
        <f>COUNTIF(GK17:GK383,GU58)</f>
        <v>14</v>
      </c>
      <c r="GW58" s="62">
        <f>(GV58/GV60)</f>
        <v>0.34146341463414637</v>
      </c>
      <c r="GX58" s="11">
        <v>1</v>
      </c>
      <c r="GY58" s="11">
        <f>COUNTIF(GL17:GL383,GX58)</f>
        <v>13</v>
      </c>
      <c r="GZ58" s="62">
        <f>(GY58/GY60)</f>
        <v>0.32500000000000001</v>
      </c>
      <c r="HA58" s="11"/>
      <c r="HB58" s="11"/>
      <c r="HC58" s="62"/>
      <c r="HD58" s="11"/>
      <c r="HE58" s="11"/>
      <c r="HF58" s="62"/>
      <c r="HG58" s="11"/>
      <c r="HH58" s="11"/>
      <c r="HI58" s="62"/>
      <c r="HJ58" s="11"/>
      <c r="HK58" s="11"/>
      <c r="HL58" s="62"/>
    </row>
    <row r="59" spans="1:220" ht="17.25">
      <c r="D59" s="22"/>
      <c r="E59" s="22"/>
      <c r="F59" s="174">
        <v>551</v>
      </c>
      <c r="G59" s="34">
        <v>5</v>
      </c>
      <c r="H59" s="151">
        <v>5</v>
      </c>
      <c r="I59" s="151">
        <v>3</v>
      </c>
      <c r="J59" s="151">
        <v>3</v>
      </c>
      <c r="K59" s="151">
        <v>6</v>
      </c>
      <c r="L59" s="151">
        <v>6</v>
      </c>
      <c r="M59" s="151">
        <v>6</v>
      </c>
      <c r="N59" s="151">
        <v>4</v>
      </c>
      <c r="O59" s="151">
        <v>6</v>
      </c>
      <c r="P59" s="151">
        <v>4</v>
      </c>
      <c r="Q59" s="151">
        <v>5</v>
      </c>
      <c r="R59" s="151">
        <v>5</v>
      </c>
      <c r="S59" s="151">
        <v>6</v>
      </c>
      <c r="T59" s="151">
        <v>5</v>
      </c>
      <c r="U59" s="151">
        <v>6</v>
      </c>
      <c r="V59" s="151">
        <v>4</v>
      </c>
      <c r="W59" s="151">
        <v>3</v>
      </c>
      <c r="X59" s="151">
        <v>5</v>
      </c>
      <c r="Y59" s="151">
        <v>4</v>
      </c>
      <c r="Z59" s="56">
        <v>4</v>
      </c>
      <c r="AA59" s="56">
        <v>5</v>
      </c>
      <c r="AB59" s="78">
        <v>5</v>
      </c>
      <c r="AC59" s="56">
        <v>4</v>
      </c>
      <c r="AD59" s="56"/>
      <c r="AE59" s="56"/>
      <c r="AF59" s="56"/>
      <c r="AG59" s="56"/>
      <c r="AH59" s="56"/>
      <c r="AI59" s="56"/>
      <c r="AJ59" s="56"/>
      <c r="AK59" s="56"/>
      <c r="AL59" s="151"/>
      <c r="AM59" s="151"/>
      <c r="AN59" s="52"/>
      <c r="AO59" s="11">
        <v>0</v>
      </c>
      <c r="AP59" s="11">
        <f>COUNTIF(AE17:AE383,AO59)</f>
        <v>0</v>
      </c>
      <c r="AQ59" s="62">
        <f>(AP59/AP60)</f>
        <v>0</v>
      </c>
      <c r="AR59" s="11">
        <v>0</v>
      </c>
      <c r="AS59" s="11">
        <f>COUNTIF(AF17:AF383,AR59)</f>
        <v>0</v>
      </c>
      <c r="AT59" s="62">
        <f>(AS59/AS60)</f>
        <v>0</v>
      </c>
      <c r="AU59" s="11"/>
      <c r="AV59" s="11"/>
      <c r="AW59" s="62"/>
      <c r="AX59" s="11"/>
      <c r="AY59" s="11"/>
      <c r="AZ59" s="62"/>
      <c r="BA59" s="11"/>
      <c r="BB59" s="11"/>
      <c r="BC59" s="62"/>
      <c r="BD59" s="11"/>
      <c r="BE59" s="11"/>
      <c r="BF59" s="62"/>
      <c r="BG59" s="70"/>
      <c r="BH59" s="174">
        <v>551</v>
      </c>
      <c r="BI59" s="121">
        <v>4</v>
      </c>
      <c r="BJ59" s="121">
        <v>5</v>
      </c>
      <c r="BK59" s="121">
        <v>3</v>
      </c>
      <c r="BL59" s="121">
        <v>2</v>
      </c>
      <c r="BM59" s="121">
        <v>6</v>
      </c>
      <c r="BN59" s="121">
        <v>6</v>
      </c>
      <c r="BO59" s="120">
        <v>6</v>
      </c>
      <c r="BP59" s="120">
        <v>4</v>
      </c>
      <c r="BQ59" s="121">
        <v>6</v>
      </c>
      <c r="BR59" s="121">
        <v>4</v>
      </c>
      <c r="BS59" s="121">
        <v>4</v>
      </c>
      <c r="BT59" s="121">
        <v>5</v>
      </c>
      <c r="BU59" s="120">
        <v>6</v>
      </c>
      <c r="BV59" s="120">
        <v>5</v>
      </c>
      <c r="BW59" s="120">
        <v>6</v>
      </c>
      <c r="BX59" s="120">
        <v>4</v>
      </c>
      <c r="BY59" s="120">
        <v>3</v>
      </c>
      <c r="BZ59" s="120">
        <v>4</v>
      </c>
      <c r="CA59" s="120">
        <v>3</v>
      </c>
      <c r="CB59" s="56">
        <v>4</v>
      </c>
      <c r="CC59" s="56">
        <v>5</v>
      </c>
      <c r="CD59" s="121">
        <v>4</v>
      </c>
      <c r="CE59" s="56">
        <v>4</v>
      </c>
      <c r="CF59" s="56"/>
      <c r="CG59" s="56"/>
      <c r="CH59" s="56"/>
      <c r="CI59" s="56"/>
      <c r="CJ59" s="56"/>
      <c r="CK59" s="56"/>
      <c r="CL59" s="56"/>
      <c r="CM59" s="56"/>
      <c r="CN59" s="151"/>
      <c r="CO59" s="151"/>
      <c r="CP59" s="52"/>
      <c r="CQ59" s="11">
        <v>0</v>
      </c>
      <c r="CR59" s="11">
        <f>COUNTIF(CG17:CG383,CQ59)</f>
        <v>0</v>
      </c>
      <c r="CS59" s="62">
        <f>(CR59/CR60)</f>
        <v>0</v>
      </c>
      <c r="CT59" s="11">
        <v>0</v>
      </c>
      <c r="CU59" s="11">
        <f>COUNTIF(CH17:CH383,CT59)</f>
        <v>0</v>
      </c>
      <c r="CV59" s="62">
        <f>(CU59/CU60)</f>
        <v>0</v>
      </c>
      <c r="CW59" s="11"/>
      <c r="CX59" s="11"/>
      <c r="CY59" s="62"/>
      <c r="CZ59" s="11"/>
      <c r="DA59" s="11"/>
      <c r="DB59" s="62"/>
      <c r="DC59" s="11"/>
      <c r="DD59" s="11"/>
      <c r="DE59" s="62"/>
      <c r="DF59" s="11"/>
      <c r="DG59" s="11"/>
      <c r="DH59" s="62"/>
      <c r="DI59" s="70"/>
      <c r="DJ59" s="174">
        <v>551</v>
      </c>
      <c r="DK59" s="120">
        <v>1</v>
      </c>
      <c r="DL59" s="120">
        <v>0</v>
      </c>
      <c r="DM59" s="120">
        <v>0</v>
      </c>
      <c r="DN59" s="120">
        <v>1</v>
      </c>
      <c r="DO59" s="120">
        <v>0</v>
      </c>
      <c r="DP59" s="120">
        <v>0</v>
      </c>
      <c r="DQ59" s="120">
        <v>0</v>
      </c>
      <c r="DR59" s="120">
        <v>0</v>
      </c>
      <c r="DS59" s="120">
        <v>0</v>
      </c>
      <c r="DT59" s="120">
        <v>0</v>
      </c>
      <c r="DU59" s="120">
        <v>1</v>
      </c>
      <c r="DV59" s="120">
        <v>0</v>
      </c>
      <c r="DW59" s="120">
        <v>0</v>
      </c>
      <c r="DX59" s="120">
        <v>0</v>
      </c>
      <c r="DY59" s="120">
        <v>0</v>
      </c>
      <c r="DZ59" s="120">
        <v>0</v>
      </c>
      <c r="EA59" s="120">
        <v>0</v>
      </c>
      <c r="EB59" s="120">
        <v>1</v>
      </c>
      <c r="EC59" s="120">
        <v>1</v>
      </c>
      <c r="ED59" s="120">
        <v>0</v>
      </c>
      <c r="EE59" s="120">
        <v>0</v>
      </c>
      <c r="EF59" s="121">
        <v>1</v>
      </c>
      <c r="EG59" s="120">
        <v>0</v>
      </c>
      <c r="EH59" s="120"/>
      <c r="EI59" s="120"/>
      <c r="EJ59" s="120"/>
      <c r="EK59" s="56"/>
      <c r="EL59" s="56"/>
      <c r="EM59" s="56"/>
      <c r="EN59" s="56"/>
      <c r="EO59" s="56"/>
      <c r="EP59" s="151"/>
      <c r="EQ59" s="151"/>
      <c r="ER59" s="52"/>
      <c r="ES59" s="11">
        <v>0</v>
      </c>
      <c r="ET59" s="11">
        <f>COUNTIF(EI17:EI383,ES59)</f>
        <v>23</v>
      </c>
      <c r="EU59" s="62">
        <f>(ET59/ET60)</f>
        <v>0.56097560975609762</v>
      </c>
      <c r="EV59" s="11">
        <v>0</v>
      </c>
      <c r="EW59" s="11">
        <f>COUNTIF(EJ17:EJ383,EV59)</f>
        <v>29</v>
      </c>
      <c r="EX59" s="62">
        <f>(EW59/EW60)</f>
        <v>0.72499999999999998</v>
      </c>
      <c r="EY59" s="11"/>
      <c r="EZ59" s="11"/>
      <c r="FA59" s="62"/>
      <c r="FB59" s="11"/>
      <c r="FC59" s="11"/>
      <c r="FD59" s="62"/>
      <c r="FE59" s="11"/>
      <c r="FF59" s="11"/>
      <c r="FG59" s="62"/>
      <c r="FH59" s="11"/>
      <c r="FI59" s="11"/>
      <c r="FJ59" s="62"/>
      <c r="FL59" s="174">
        <v>551</v>
      </c>
      <c r="FM59" s="56"/>
      <c r="FN59" s="78">
        <v>3</v>
      </c>
      <c r="FO59" s="56">
        <v>1</v>
      </c>
      <c r="FP59" s="78">
        <v>3</v>
      </c>
      <c r="FQ59" s="56">
        <v>2</v>
      </c>
      <c r="FR59" s="56">
        <v>0</v>
      </c>
      <c r="FS59" s="56">
        <v>2</v>
      </c>
      <c r="FT59" s="56">
        <v>1</v>
      </c>
      <c r="FU59" s="56">
        <v>3</v>
      </c>
      <c r="FV59" s="56">
        <v>3</v>
      </c>
      <c r="FW59" s="56">
        <v>0</v>
      </c>
      <c r="FX59" s="56">
        <v>3</v>
      </c>
      <c r="FY59" s="56">
        <v>2</v>
      </c>
      <c r="FZ59" s="56">
        <v>5</v>
      </c>
      <c r="GA59" s="56">
        <v>2</v>
      </c>
      <c r="GB59" s="56">
        <v>3</v>
      </c>
      <c r="GC59" s="56">
        <v>2</v>
      </c>
      <c r="GD59" s="56">
        <v>5</v>
      </c>
      <c r="GE59" s="56">
        <v>3</v>
      </c>
      <c r="GF59" s="56">
        <v>2</v>
      </c>
      <c r="GG59" s="56">
        <v>0</v>
      </c>
      <c r="GH59" s="78">
        <v>1</v>
      </c>
      <c r="GI59" s="56">
        <v>3</v>
      </c>
      <c r="GJ59" s="56"/>
      <c r="GK59" s="56"/>
      <c r="GL59" s="56"/>
      <c r="GM59" s="56"/>
      <c r="GN59" s="56"/>
      <c r="GO59" s="56"/>
      <c r="GP59" s="56"/>
      <c r="GQ59" s="56"/>
      <c r="GR59" s="151"/>
      <c r="GS59" s="151"/>
      <c r="GT59" s="52"/>
      <c r="GU59" s="11">
        <v>0</v>
      </c>
      <c r="GV59" s="11">
        <f>COUNTIF(GK17:GK383,GU59)</f>
        <v>3</v>
      </c>
      <c r="GW59" s="62">
        <f>(GV59/GV60)</f>
        <v>7.3170731707317069E-2</v>
      </c>
      <c r="GX59" s="11">
        <v>0</v>
      </c>
      <c r="GY59" s="11">
        <f>COUNTIF(GL17:GL383,GX59)</f>
        <v>2</v>
      </c>
      <c r="GZ59" s="62">
        <f>(GY59/GY60)</f>
        <v>0.05</v>
      </c>
      <c r="HA59" s="11"/>
      <c r="HB59" s="11"/>
      <c r="HC59" s="62"/>
      <c r="HD59" s="11"/>
      <c r="HE59" s="11"/>
      <c r="HF59" s="62"/>
      <c r="HG59" s="11"/>
      <c r="HH59" s="11"/>
      <c r="HI59" s="62"/>
      <c r="HJ59" s="11"/>
      <c r="HK59" s="11"/>
      <c r="HL59" s="62"/>
    </row>
    <row r="60" spans="1:220" ht="17.25">
      <c r="D60" s="54"/>
      <c r="E60" s="22"/>
      <c r="F60" s="174">
        <v>552</v>
      </c>
      <c r="G60" s="34">
        <v>5</v>
      </c>
      <c r="H60" s="151">
        <v>6</v>
      </c>
      <c r="I60" s="151">
        <v>6</v>
      </c>
      <c r="J60" s="151">
        <v>3</v>
      </c>
      <c r="K60" s="151">
        <v>5</v>
      </c>
      <c r="L60" s="151">
        <v>5</v>
      </c>
      <c r="M60" s="151">
        <v>5</v>
      </c>
      <c r="N60" s="151">
        <v>5</v>
      </c>
      <c r="O60" s="151">
        <v>6</v>
      </c>
      <c r="P60" s="151">
        <v>5</v>
      </c>
      <c r="Q60" s="151">
        <v>6</v>
      </c>
      <c r="R60" s="151">
        <v>5</v>
      </c>
      <c r="S60" s="151">
        <v>4</v>
      </c>
      <c r="T60" s="151">
        <v>5</v>
      </c>
      <c r="U60" s="151">
        <v>4</v>
      </c>
      <c r="V60" s="151">
        <v>5</v>
      </c>
      <c r="W60" s="151">
        <v>6</v>
      </c>
      <c r="X60" s="151">
        <v>5</v>
      </c>
      <c r="Y60" s="56">
        <v>5</v>
      </c>
      <c r="Z60" s="78">
        <v>4</v>
      </c>
      <c r="AA60" s="56">
        <v>5</v>
      </c>
      <c r="AB60" s="56">
        <v>6</v>
      </c>
      <c r="AC60" s="56"/>
      <c r="AD60" s="56"/>
      <c r="AE60" s="56"/>
      <c r="AF60" s="56"/>
      <c r="AG60" s="56"/>
      <c r="AH60" s="56"/>
      <c r="AI60" s="56"/>
      <c r="AJ60" s="56"/>
      <c r="AK60" s="56"/>
      <c r="AL60" s="151"/>
      <c r="AM60" s="151"/>
      <c r="AN60" s="52"/>
      <c r="AO60" s="11"/>
      <c r="AP60" s="11">
        <f>SUM(AP53:AP59)</f>
        <v>41</v>
      </c>
      <c r="AQ60" s="62">
        <f>SUM(AQ53:AQ59)</f>
        <v>1.0000000000000002</v>
      </c>
      <c r="AR60" s="11"/>
      <c r="AS60" s="11">
        <f>SUM(AS53:AS59)</f>
        <v>40</v>
      </c>
      <c r="AT60" s="62">
        <f>SUM(AT53:AT59)</f>
        <v>1</v>
      </c>
      <c r="AU60" s="11"/>
      <c r="AV60" s="11"/>
      <c r="AW60" s="62"/>
      <c r="AX60" s="11"/>
      <c r="AY60" s="11"/>
      <c r="AZ60" s="62"/>
      <c r="BA60" s="11"/>
      <c r="BB60" s="11"/>
      <c r="BC60" s="62"/>
      <c r="BD60" s="11"/>
      <c r="BE60" s="11"/>
      <c r="BF60" s="62"/>
      <c r="BG60" s="70"/>
      <c r="BH60" s="174">
        <v>552</v>
      </c>
      <c r="BI60" s="121">
        <v>5</v>
      </c>
      <c r="BJ60" s="121">
        <v>6</v>
      </c>
      <c r="BK60" s="121">
        <v>6</v>
      </c>
      <c r="BL60" s="121">
        <v>3</v>
      </c>
      <c r="BM60" s="121">
        <v>4</v>
      </c>
      <c r="BN60" s="121">
        <v>5</v>
      </c>
      <c r="BO60" s="120">
        <v>5</v>
      </c>
      <c r="BP60" s="120">
        <v>5</v>
      </c>
      <c r="BQ60" s="121">
        <v>5</v>
      </c>
      <c r="BR60" s="121">
        <v>5</v>
      </c>
      <c r="BS60" s="121">
        <v>6</v>
      </c>
      <c r="BT60" s="121">
        <v>5</v>
      </c>
      <c r="BU60" s="120">
        <v>4</v>
      </c>
      <c r="BV60" s="120">
        <v>5</v>
      </c>
      <c r="BW60" s="120">
        <v>4</v>
      </c>
      <c r="BX60" s="120">
        <v>5</v>
      </c>
      <c r="BY60" s="120">
        <v>6</v>
      </c>
      <c r="BZ60" s="120">
        <v>4</v>
      </c>
      <c r="CA60" s="56">
        <v>5</v>
      </c>
      <c r="CB60" s="121">
        <v>4</v>
      </c>
      <c r="CC60" s="56">
        <v>5</v>
      </c>
      <c r="CD60" s="56">
        <v>6</v>
      </c>
      <c r="CE60" s="56"/>
      <c r="CF60" s="56"/>
      <c r="CG60" s="56"/>
      <c r="CH60" s="56"/>
      <c r="CI60" s="56"/>
      <c r="CJ60" s="56"/>
      <c r="CK60" s="56"/>
      <c r="CL60" s="56"/>
      <c r="CM60" s="56"/>
      <c r="CN60" s="151"/>
      <c r="CO60" s="151"/>
      <c r="CP60" s="52"/>
      <c r="CQ60" s="11"/>
      <c r="CR60" s="11">
        <f>SUM(CR53:CR59)</f>
        <v>41</v>
      </c>
      <c r="CS60" s="62">
        <f>SUM(CS53:CS59)</f>
        <v>1</v>
      </c>
      <c r="CT60" s="11"/>
      <c r="CU60" s="11">
        <f>SUM(CU53:CU59)</f>
        <v>40</v>
      </c>
      <c r="CV60" s="62">
        <f>SUM(CV53:CV59)</f>
        <v>1</v>
      </c>
      <c r="CW60" s="11"/>
      <c r="CX60" s="11"/>
      <c r="CY60" s="62"/>
      <c r="CZ60" s="11"/>
      <c r="DA60" s="11"/>
      <c r="DB60" s="62"/>
      <c r="DC60" s="11"/>
      <c r="DD60" s="11"/>
      <c r="DE60" s="62"/>
      <c r="DF60" s="11"/>
      <c r="DG60" s="11"/>
      <c r="DH60" s="62"/>
      <c r="DI60" s="70"/>
      <c r="DJ60" s="174">
        <v>552</v>
      </c>
      <c r="DK60" s="120">
        <v>0</v>
      </c>
      <c r="DL60" s="120">
        <v>0</v>
      </c>
      <c r="DM60" s="120">
        <v>0</v>
      </c>
      <c r="DN60" s="120">
        <v>0</v>
      </c>
      <c r="DO60" s="120">
        <v>1</v>
      </c>
      <c r="DP60" s="120">
        <v>0</v>
      </c>
      <c r="DQ60" s="120">
        <v>0</v>
      </c>
      <c r="DR60" s="120">
        <v>0</v>
      </c>
      <c r="DS60" s="120">
        <v>1</v>
      </c>
      <c r="DT60" s="120">
        <v>0</v>
      </c>
      <c r="DU60" s="120">
        <v>0</v>
      </c>
      <c r="DV60" s="120">
        <v>0</v>
      </c>
      <c r="DW60" s="120">
        <v>0</v>
      </c>
      <c r="DX60" s="120">
        <v>0</v>
      </c>
      <c r="DY60" s="120">
        <v>0</v>
      </c>
      <c r="DZ60" s="120">
        <v>0</v>
      </c>
      <c r="EA60" s="120">
        <v>0</v>
      </c>
      <c r="EB60" s="120">
        <v>1</v>
      </c>
      <c r="EC60" s="120">
        <v>0</v>
      </c>
      <c r="ED60" s="121">
        <v>0</v>
      </c>
      <c r="EE60" s="120">
        <v>0</v>
      </c>
      <c r="EF60" s="120">
        <v>0</v>
      </c>
      <c r="EG60" s="120"/>
      <c r="EH60" s="120"/>
      <c r="EI60" s="120"/>
      <c r="EJ60" s="120"/>
      <c r="EK60" s="56"/>
      <c r="EL60" s="56"/>
      <c r="EM60" s="56"/>
      <c r="EN60" s="56"/>
      <c r="EO60" s="56"/>
      <c r="EP60" s="151"/>
      <c r="EQ60" s="151"/>
      <c r="ER60" s="52"/>
      <c r="ES60" s="11"/>
      <c r="ET60" s="11">
        <f>SUM(ET53:ET59)</f>
        <v>41</v>
      </c>
      <c r="EU60" s="62">
        <f>SUM(EU53:EU59)</f>
        <v>1</v>
      </c>
      <c r="EV60" s="11"/>
      <c r="EW60" s="11">
        <f>SUM(EW53:EW59)</f>
        <v>40</v>
      </c>
      <c r="EX60" s="62">
        <f>SUM(EX53:EX59)</f>
        <v>1</v>
      </c>
      <c r="EY60" s="11"/>
      <c r="EZ60" s="11"/>
      <c r="FA60" s="62"/>
      <c r="FB60" s="11"/>
      <c r="FC60" s="11"/>
      <c r="FD60" s="62"/>
      <c r="FE60" s="11"/>
      <c r="FF60" s="11"/>
      <c r="FG60" s="62"/>
      <c r="FH60" s="11"/>
      <c r="FI60" s="11"/>
      <c r="FJ60" s="62"/>
      <c r="FL60" s="174">
        <v>552</v>
      </c>
      <c r="FM60" s="56"/>
      <c r="FN60" s="78">
        <v>0</v>
      </c>
      <c r="FO60" s="56">
        <v>1</v>
      </c>
      <c r="FP60" s="78">
        <v>0</v>
      </c>
      <c r="FQ60" s="56">
        <v>2</v>
      </c>
      <c r="FR60" s="56">
        <v>3</v>
      </c>
      <c r="FS60" s="56">
        <v>3</v>
      </c>
      <c r="FT60" s="56">
        <v>3</v>
      </c>
      <c r="FU60" s="56">
        <v>3</v>
      </c>
      <c r="FV60" s="56">
        <v>2</v>
      </c>
      <c r="FW60" s="56">
        <v>1</v>
      </c>
      <c r="FX60" s="56">
        <v>3</v>
      </c>
      <c r="FY60" s="56">
        <v>0</v>
      </c>
      <c r="FZ60" s="56">
        <v>3</v>
      </c>
      <c r="GA60" s="56">
        <v>2</v>
      </c>
      <c r="GB60" s="56">
        <v>3</v>
      </c>
      <c r="GC60" s="56">
        <v>3</v>
      </c>
      <c r="GD60" s="56">
        <v>2</v>
      </c>
      <c r="GE60" s="56">
        <v>2</v>
      </c>
      <c r="GF60" s="78">
        <v>1</v>
      </c>
      <c r="GG60" s="56">
        <v>2</v>
      </c>
      <c r="GH60" s="56">
        <v>3</v>
      </c>
      <c r="GI60" s="56"/>
      <c r="GJ60" s="56"/>
      <c r="GK60" s="56"/>
      <c r="GL60" s="56"/>
      <c r="GM60" s="56"/>
      <c r="GN60" s="56"/>
      <c r="GO60" s="56"/>
      <c r="GP60" s="56"/>
      <c r="GQ60" s="56"/>
      <c r="GR60" s="151"/>
      <c r="GS60" s="151"/>
      <c r="GT60" s="52"/>
      <c r="GU60" s="11"/>
      <c r="GV60" s="11">
        <f>SUM(GV53:GV59)</f>
        <v>41</v>
      </c>
      <c r="GW60" s="62">
        <f>SUM(GW53:GW59)</f>
        <v>0.99999999999999989</v>
      </c>
      <c r="GX60" s="11"/>
      <c r="GY60" s="11">
        <f>SUM(GY53:GY59)</f>
        <v>40</v>
      </c>
      <c r="GZ60" s="62">
        <f>SUM(GZ53:GZ59)</f>
        <v>1</v>
      </c>
      <c r="HA60" s="11"/>
      <c r="HB60" s="11"/>
      <c r="HC60" s="62"/>
      <c r="HD60" s="11"/>
      <c r="HE60" s="11"/>
      <c r="HF60" s="62"/>
      <c r="HG60" s="11"/>
      <c r="HH60" s="11"/>
      <c r="HI60" s="62"/>
      <c r="HJ60" s="11"/>
      <c r="HK60" s="11"/>
      <c r="HL60" s="62"/>
    </row>
    <row r="61" spans="1:220" ht="17.25">
      <c r="D61" s="54"/>
      <c r="E61" s="54"/>
      <c r="F61" s="174">
        <v>553</v>
      </c>
      <c r="G61" s="34">
        <v>6</v>
      </c>
      <c r="H61" s="151">
        <v>5</v>
      </c>
      <c r="I61" s="151">
        <v>4</v>
      </c>
      <c r="J61" s="151">
        <v>4</v>
      </c>
      <c r="K61" s="151">
        <v>4</v>
      </c>
      <c r="L61" s="151">
        <v>4</v>
      </c>
      <c r="M61" s="151">
        <v>5</v>
      </c>
      <c r="N61" s="151">
        <v>5</v>
      </c>
      <c r="O61" s="151">
        <v>3</v>
      </c>
      <c r="P61" s="151">
        <v>5</v>
      </c>
      <c r="Q61" s="151">
        <v>5</v>
      </c>
      <c r="R61" s="151">
        <v>5</v>
      </c>
      <c r="S61" s="151">
        <v>4</v>
      </c>
      <c r="T61" s="151">
        <v>5</v>
      </c>
      <c r="U61" s="151">
        <v>5</v>
      </c>
      <c r="V61" s="151">
        <v>5</v>
      </c>
      <c r="W61" s="151">
        <v>4</v>
      </c>
      <c r="X61" s="56">
        <v>4</v>
      </c>
      <c r="Y61" s="56">
        <v>5</v>
      </c>
      <c r="Z61" s="56">
        <v>5</v>
      </c>
      <c r="AA61" s="78">
        <v>4</v>
      </c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151"/>
      <c r="AM61" s="151"/>
      <c r="AN61" s="52"/>
      <c r="AO61" s="70"/>
      <c r="AP61" s="60"/>
      <c r="AQ61" s="70"/>
      <c r="AR61" s="21"/>
      <c r="AS61" s="70"/>
      <c r="AT61" s="70"/>
      <c r="AU61" s="70"/>
      <c r="AV61" s="21"/>
      <c r="AW61" s="70"/>
      <c r="AX61" s="70"/>
      <c r="AY61" s="21"/>
      <c r="AZ61" s="70"/>
      <c r="BA61" s="70"/>
      <c r="BB61" s="70"/>
      <c r="BC61" s="70"/>
      <c r="BD61" s="70"/>
      <c r="BE61" s="70"/>
      <c r="BF61" s="70"/>
      <c r="BG61" s="70"/>
      <c r="BH61" s="174">
        <v>553</v>
      </c>
      <c r="BI61" s="121">
        <v>6</v>
      </c>
      <c r="BJ61" s="121">
        <v>4</v>
      </c>
      <c r="BK61" s="121">
        <v>4</v>
      </c>
      <c r="BL61" s="121">
        <v>4</v>
      </c>
      <c r="BM61" s="121">
        <v>4</v>
      </c>
      <c r="BN61" s="121">
        <v>4</v>
      </c>
      <c r="BO61" s="120">
        <v>5</v>
      </c>
      <c r="BP61" s="120">
        <v>4</v>
      </c>
      <c r="BQ61" s="121">
        <v>3</v>
      </c>
      <c r="BR61" s="121">
        <v>4</v>
      </c>
      <c r="BS61" s="121">
        <v>5</v>
      </c>
      <c r="BT61" s="121">
        <v>4</v>
      </c>
      <c r="BU61" s="120">
        <v>4</v>
      </c>
      <c r="BV61" s="120">
        <v>5</v>
      </c>
      <c r="BW61" s="120">
        <v>4</v>
      </c>
      <c r="BX61" s="120">
        <v>4</v>
      </c>
      <c r="BY61" s="120">
        <v>3</v>
      </c>
      <c r="BZ61" s="56">
        <v>3</v>
      </c>
      <c r="CA61" s="56">
        <v>5</v>
      </c>
      <c r="CB61" s="56">
        <v>4</v>
      </c>
      <c r="CC61" s="121">
        <v>3</v>
      </c>
      <c r="CD61" s="56"/>
      <c r="CE61" s="56"/>
      <c r="CF61" s="56"/>
      <c r="CG61" s="56"/>
      <c r="CH61" s="56"/>
      <c r="CI61" s="56"/>
      <c r="CJ61" s="56"/>
      <c r="CK61" s="56"/>
      <c r="CL61" s="56"/>
      <c r="CM61" s="56"/>
      <c r="CN61" s="151"/>
      <c r="CO61" s="151"/>
      <c r="CP61" s="52"/>
      <c r="CQ61" s="129"/>
      <c r="CR61" s="60"/>
      <c r="CS61" s="129"/>
      <c r="CT61" s="21"/>
      <c r="CU61" s="129"/>
      <c r="CV61" s="129"/>
      <c r="CW61" s="129"/>
      <c r="CX61" s="21"/>
      <c r="CY61" s="129"/>
      <c r="CZ61" s="129"/>
      <c r="DA61" s="21"/>
      <c r="DB61" s="129"/>
      <c r="DC61" s="129"/>
      <c r="DD61" s="129"/>
      <c r="DE61" s="129"/>
      <c r="DF61" s="129"/>
      <c r="DG61" s="129"/>
      <c r="DH61" s="129"/>
      <c r="DI61" s="70"/>
      <c r="DJ61" s="174">
        <v>553</v>
      </c>
      <c r="DK61" s="120">
        <v>0</v>
      </c>
      <c r="DL61" s="120">
        <v>1</v>
      </c>
      <c r="DM61" s="120">
        <v>0</v>
      </c>
      <c r="DN61" s="120">
        <v>0</v>
      </c>
      <c r="DO61" s="120">
        <v>0</v>
      </c>
      <c r="DP61" s="120">
        <v>0</v>
      </c>
      <c r="DQ61" s="120">
        <v>0</v>
      </c>
      <c r="DR61" s="120">
        <v>1</v>
      </c>
      <c r="DS61" s="120">
        <v>0</v>
      </c>
      <c r="DT61" s="120">
        <v>1</v>
      </c>
      <c r="DU61" s="120">
        <v>0</v>
      </c>
      <c r="DV61" s="120">
        <v>1</v>
      </c>
      <c r="DW61" s="120">
        <v>0</v>
      </c>
      <c r="DX61" s="120">
        <v>0</v>
      </c>
      <c r="DY61" s="120">
        <v>1</v>
      </c>
      <c r="DZ61" s="120">
        <v>1</v>
      </c>
      <c r="EA61" s="120">
        <v>1</v>
      </c>
      <c r="EB61" s="120">
        <v>1</v>
      </c>
      <c r="EC61" s="120">
        <v>0</v>
      </c>
      <c r="ED61" s="120">
        <v>1</v>
      </c>
      <c r="EE61" s="121">
        <v>1</v>
      </c>
      <c r="EF61" s="120"/>
      <c r="EG61" s="120"/>
      <c r="EH61" s="120"/>
      <c r="EI61" s="120"/>
      <c r="EJ61" s="120"/>
      <c r="EK61" s="56"/>
      <c r="EL61" s="56"/>
      <c r="EM61" s="56"/>
      <c r="EN61" s="56"/>
      <c r="EO61" s="56"/>
      <c r="EP61" s="151"/>
      <c r="EQ61" s="151"/>
      <c r="ER61" s="52"/>
      <c r="ES61" s="129"/>
      <c r="ET61" s="60"/>
      <c r="EU61" s="129"/>
      <c r="EV61" s="21"/>
      <c r="EW61" s="129"/>
      <c r="EX61" s="129"/>
      <c r="EY61" s="129"/>
      <c r="EZ61" s="21"/>
      <c r="FA61" s="129"/>
      <c r="FB61" s="129"/>
      <c r="FC61" s="21"/>
      <c r="FD61" s="129"/>
      <c r="FE61" s="129"/>
      <c r="FF61" s="129"/>
      <c r="FG61" s="129"/>
      <c r="FH61" s="129"/>
      <c r="FI61" s="129"/>
      <c r="FJ61" s="129"/>
      <c r="FL61" s="174">
        <v>553</v>
      </c>
      <c r="FM61" s="56"/>
      <c r="FN61" s="78">
        <v>2</v>
      </c>
      <c r="FO61" s="56">
        <v>3</v>
      </c>
      <c r="FP61" s="78">
        <v>1</v>
      </c>
      <c r="FQ61" s="56">
        <v>1</v>
      </c>
      <c r="FR61" s="56">
        <v>0</v>
      </c>
      <c r="FS61" s="56">
        <v>2</v>
      </c>
      <c r="FT61" s="56">
        <v>2</v>
      </c>
      <c r="FU61" s="56">
        <v>3</v>
      </c>
      <c r="FV61" s="56">
        <v>2</v>
      </c>
      <c r="FW61" s="56">
        <v>4</v>
      </c>
      <c r="FX61" s="56">
        <v>0</v>
      </c>
      <c r="FY61" s="56">
        <v>1</v>
      </c>
      <c r="FZ61" s="56">
        <v>2</v>
      </c>
      <c r="GA61" s="56">
        <v>3</v>
      </c>
      <c r="GB61" s="56">
        <v>2</v>
      </c>
      <c r="GC61" s="56">
        <v>2</v>
      </c>
      <c r="GD61" s="56">
        <v>2</v>
      </c>
      <c r="GE61" s="56">
        <v>1</v>
      </c>
      <c r="GF61" s="56">
        <v>1</v>
      </c>
      <c r="GG61" s="78">
        <v>1</v>
      </c>
      <c r="GH61" s="56"/>
      <c r="GI61" s="56"/>
      <c r="GJ61" s="56"/>
      <c r="GK61" s="56"/>
      <c r="GL61" s="56"/>
      <c r="GM61" s="56"/>
      <c r="GN61" s="56"/>
      <c r="GO61" s="56"/>
      <c r="GP61" s="56"/>
      <c r="GQ61" s="56"/>
      <c r="GR61" s="151"/>
      <c r="GS61" s="151"/>
      <c r="GT61" s="52"/>
      <c r="GU61" s="129"/>
      <c r="GV61" s="60"/>
      <c r="GW61" s="129"/>
      <c r="GX61" s="21"/>
      <c r="GY61" s="129"/>
      <c r="GZ61" s="129"/>
      <c r="HA61" s="129"/>
      <c r="HB61" s="21"/>
      <c r="HC61" s="129"/>
      <c r="HD61" s="129"/>
      <c r="HE61" s="21"/>
      <c r="HF61" s="129"/>
      <c r="HG61" s="129"/>
      <c r="HH61" s="129"/>
      <c r="HI61" s="129"/>
      <c r="HJ61" s="129"/>
      <c r="HK61" s="129"/>
      <c r="HL61" s="129"/>
    </row>
    <row r="62" spans="1:220" ht="17.25">
      <c r="D62" s="54"/>
      <c r="E62" s="54"/>
      <c r="F62" s="174">
        <v>554</v>
      </c>
      <c r="G62" s="34">
        <v>5</v>
      </c>
      <c r="H62" s="151">
        <v>6</v>
      </c>
      <c r="I62" s="151">
        <v>5</v>
      </c>
      <c r="J62" s="151">
        <v>5</v>
      </c>
      <c r="K62" s="151">
        <v>4</v>
      </c>
      <c r="L62" s="151">
        <v>5</v>
      </c>
      <c r="M62" s="151">
        <v>5</v>
      </c>
      <c r="N62" s="151">
        <v>5</v>
      </c>
      <c r="O62" s="151">
        <v>6</v>
      </c>
      <c r="P62" s="151">
        <v>5</v>
      </c>
      <c r="Q62" s="151">
        <v>4</v>
      </c>
      <c r="R62" s="151">
        <v>4</v>
      </c>
      <c r="S62" s="151">
        <v>6</v>
      </c>
      <c r="T62" s="151">
        <v>5</v>
      </c>
      <c r="U62" s="151">
        <v>6</v>
      </c>
      <c r="V62" s="151">
        <v>5</v>
      </c>
      <c r="W62" s="56">
        <v>6</v>
      </c>
      <c r="X62" s="56">
        <v>4</v>
      </c>
      <c r="Y62" s="56">
        <v>5</v>
      </c>
      <c r="Z62" s="56">
        <v>5</v>
      </c>
      <c r="AA62" s="56"/>
      <c r="AB62" s="78"/>
      <c r="AC62" s="56"/>
      <c r="AD62" s="56"/>
      <c r="AE62" s="78"/>
      <c r="AF62" s="56"/>
      <c r="AG62" s="56"/>
      <c r="AH62" s="56"/>
      <c r="AI62" s="56"/>
      <c r="AJ62" s="56"/>
      <c r="AK62" s="56"/>
      <c r="AL62" s="151"/>
      <c r="AM62" s="151"/>
      <c r="AN62" s="52"/>
      <c r="AO62" s="70"/>
      <c r="AP62" s="60"/>
      <c r="AQ62" s="70"/>
      <c r="AR62" s="21"/>
      <c r="AS62" s="70"/>
      <c r="AT62" s="70"/>
      <c r="AU62" s="70"/>
      <c r="AV62" s="70"/>
      <c r="AW62" s="21"/>
      <c r="AX62" s="70"/>
      <c r="AY62" s="70"/>
      <c r="AZ62" s="21"/>
      <c r="BA62" s="70"/>
      <c r="BB62" s="70"/>
      <c r="BC62" s="70"/>
      <c r="BD62" s="70"/>
      <c r="BE62" s="70"/>
      <c r="BF62" s="70"/>
      <c r="BG62" s="70"/>
      <c r="BH62" s="174">
        <v>554</v>
      </c>
      <c r="BI62" s="121">
        <v>4</v>
      </c>
      <c r="BJ62" s="121">
        <v>6</v>
      </c>
      <c r="BK62" s="121">
        <v>3</v>
      </c>
      <c r="BL62" s="121">
        <v>4</v>
      </c>
      <c r="BM62" s="121">
        <v>3</v>
      </c>
      <c r="BN62" s="121">
        <v>4</v>
      </c>
      <c r="BO62" s="120">
        <v>5</v>
      </c>
      <c r="BP62" s="120">
        <v>5</v>
      </c>
      <c r="BQ62" s="121">
        <v>6</v>
      </c>
      <c r="BR62" s="121">
        <v>5</v>
      </c>
      <c r="BS62" s="121">
        <v>3</v>
      </c>
      <c r="BT62" s="121">
        <v>4</v>
      </c>
      <c r="BU62" s="120">
        <v>5</v>
      </c>
      <c r="BV62" s="120">
        <v>5</v>
      </c>
      <c r="BW62" s="120">
        <v>5</v>
      </c>
      <c r="BX62" s="120">
        <v>5</v>
      </c>
      <c r="BY62" s="56">
        <v>6</v>
      </c>
      <c r="BZ62" s="56">
        <v>3</v>
      </c>
      <c r="CA62" s="56">
        <v>5</v>
      </c>
      <c r="CB62" s="56">
        <v>4</v>
      </c>
      <c r="CC62" s="56"/>
      <c r="CD62" s="121"/>
      <c r="CE62" s="56"/>
      <c r="CF62" s="56"/>
      <c r="CG62" s="121"/>
      <c r="CH62" s="56"/>
      <c r="CI62" s="56"/>
      <c r="CJ62" s="56"/>
      <c r="CK62" s="56"/>
      <c r="CL62" s="56"/>
      <c r="CM62" s="56"/>
      <c r="CN62" s="151"/>
      <c r="CO62" s="151"/>
      <c r="CP62" s="52"/>
      <c r="CQ62" s="129"/>
      <c r="CR62" s="60"/>
      <c r="CS62" s="129"/>
      <c r="CT62" s="21"/>
      <c r="CU62" s="129"/>
      <c r="CV62" s="129"/>
      <c r="CW62" s="129"/>
      <c r="CX62" s="129"/>
      <c r="CY62" s="21"/>
      <c r="CZ62" s="129"/>
      <c r="DA62" s="129"/>
      <c r="DB62" s="21"/>
      <c r="DC62" s="129"/>
      <c r="DD62" s="129"/>
      <c r="DE62" s="129"/>
      <c r="DF62" s="129"/>
      <c r="DG62" s="129"/>
      <c r="DH62" s="129"/>
      <c r="DI62" s="70"/>
      <c r="DJ62" s="174">
        <v>554</v>
      </c>
      <c r="DK62" s="120">
        <v>1</v>
      </c>
      <c r="DL62" s="120">
        <v>0</v>
      </c>
      <c r="DM62" s="120">
        <v>2</v>
      </c>
      <c r="DN62" s="120">
        <v>1</v>
      </c>
      <c r="DO62" s="120">
        <v>1</v>
      </c>
      <c r="DP62" s="120">
        <v>1</v>
      </c>
      <c r="DQ62" s="120">
        <v>0</v>
      </c>
      <c r="DR62" s="120">
        <v>0</v>
      </c>
      <c r="DS62" s="120">
        <v>0</v>
      </c>
      <c r="DT62" s="120">
        <v>0</v>
      </c>
      <c r="DU62" s="120">
        <v>1</v>
      </c>
      <c r="DV62" s="120">
        <v>0</v>
      </c>
      <c r="DW62" s="120">
        <v>1</v>
      </c>
      <c r="DX62" s="120">
        <v>0</v>
      </c>
      <c r="DY62" s="120">
        <v>1</v>
      </c>
      <c r="DZ62" s="120">
        <v>0</v>
      </c>
      <c r="EA62" s="120">
        <v>0</v>
      </c>
      <c r="EB62" s="120">
        <v>1</v>
      </c>
      <c r="EC62" s="120">
        <v>0</v>
      </c>
      <c r="ED62" s="120">
        <v>1</v>
      </c>
      <c r="EE62" s="120"/>
      <c r="EF62" s="121"/>
      <c r="EG62" s="120"/>
      <c r="EH62" s="120"/>
      <c r="EI62" s="121"/>
      <c r="EJ62" s="120"/>
      <c r="EK62" s="56"/>
      <c r="EL62" s="56"/>
      <c r="EM62" s="56"/>
      <c r="EN62" s="56"/>
      <c r="EO62" s="56"/>
      <c r="EP62" s="151"/>
      <c r="EQ62" s="151"/>
      <c r="ER62" s="52"/>
      <c r="ES62" s="129"/>
      <c r="ET62" s="60"/>
      <c r="EU62" s="129"/>
      <c r="EV62" s="21"/>
      <c r="EW62" s="129"/>
      <c r="EX62" s="129"/>
      <c r="EY62" s="129"/>
      <c r="EZ62" s="129"/>
      <c r="FA62" s="21"/>
      <c r="FB62" s="129"/>
      <c r="FC62" s="129"/>
      <c r="FD62" s="21"/>
      <c r="FE62" s="129"/>
      <c r="FF62" s="129"/>
      <c r="FG62" s="129"/>
      <c r="FH62" s="129"/>
      <c r="FI62" s="129"/>
      <c r="FJ62" s="129"/>
      <c r="FL62" s="174">
        <v>554</v>
      </c>
      <c r="FM62" s="56"/>
      <c r="FN62" s="78">
        <v>2</v>
      </c>
      <c r="FO62" s="56">
        <v>1</v>
      </c>
      <c r="FP62" s="78">
        <v>1</v>
      </c>
      <c r="FQ62" s="56">
        <v>2</v>
      </c>
      <c r="FR62" s="56">
        <v>2</v>
      </c>
      <c r="FS62" s="56">
        <v>1</v>
      </c>
      <c r="FT62" s="56">
        <v>0</v>
      </c>
      <c r="FU62" s="56">
        <v>2</v>
      </c>
      <c r="FV62" s="56">
        <v>2</v>
      </c>
      <c r="FW62" s="56">
        <v>1</v>
      </c>
      <c r="FX62" s="56">
        <v>0</v>
      </c>
      <c r="FY62" s="56">
        <v>1</v>
      </c>
      <c r="FZ62" s="56">
        <v>4</v>
      </c>
      <c r="GA62" s="56">
        <v>4</v>
      </c>
      <c r="GB62" s="56">
        <v>3</v>
      </c>
      <c r="GC62" s="56">
        <v>1</v>
      </c>
      <c r="GD62" s="56">
        <v>1</v>
      </c>
      <c r="GE62" s="56">
        <v>2</v>
      </c>
      <c r="GF62" s="56">
        <v>1</v>
      </c>
      <c r="GG62" s="56"/>
      <c r="GH62" s="78"/>
      <c r="GI62" s="56"/>
      <c r="GJ62" s="56"/>
      <c r="GK62" s="78"/>
      <c r="GL62" s="56"/>
      <c r="GM62" s="56"/>
      <c r="GN62" s="56"/>
      <c r="GO62" s="56"/>
      <c r="GP62" s="56"/>
      <c r="GQ62" s="56"/>
      <c r="GR62" s="151"/>
      <c r="GS62" s="151"/>
      <c r="GT62" s="52"/>
      <c r="GU62" s="129"/>
      <c r="GV62" s="60"/>
      <c r="GW62" s="129"/>
      <c r="GX62" s="21"/>
      <c r="GY62" s="129"/>
      <c r="GZ62" s="129"/>
      <c r="HA62" s="129"/>
      <c r="HB62" s="129"/>
      <c r="HC62" s="21"/>
      <c r="HD62" s="129"/>
      <c r="HE62" s="129"/>
      <c r="HF62" s="21"/>
      <c r="HG62" s="129"/>
      <c r="HH62" s="129"/>
      <c r="HI62" s="129"/>
      <c r="HJ62" s="129"/>
      <c r="HK62" s="129"/>
      <c r="HL62" s="129"/>
    </row>
    <row r="63" spans="1:220" ht="17.25">
      <c r="D63" s="54"/>
      <c r="E63" s="54"/>
      <c r="F63" s="174">
        <v>555</v>
      </c>
      <c r="G63" s="34">
        <v>6</v>
      </c>
      <c r="H63" s="151">
        <v>3</v>
      </c>
      <c r="I63" s="151">
        <v>4</v>
      </c>
      <c r="J63" s="151">
        <v>5</v>
      </c>
      <c r="K63" s="151">
        <v>4</v>
      </c>
      <c r="L63" s="151">
        <v>2</v>
      </c>
      <c r="M63" s="151">
        <v>5</v>
      </c>
      <c r="N63" s="151">
        <v>4</v>
      </c>
      <c r="O63" s="151">
        <v>6</v>
      </c>
      <c r="P63" s="151">
        <v>5</v>
      </c>
      <c r="Q63" s="151">
        <v>4</v>
      </c>
      <c r="R63" s="151">
        <v>4</v>
      </c>
      <c r="S63" s="151">
        <v>5</v>
      </c>
      <c r="T63" s="151">
        <v>4</v>
      </c>
      <c r="U63" s="151">
        <v>3</v>
      </c>
      <c r="V63" s="78">
        <v>5</v>
      </c>
      <c r="W63" s="56">
        <v>6</v>
      </c>
      <c r="X63" s="56">
        <v>4</v>
      </c>
      <c r="Y63" s="56">
        <v>4</v>
      </c>
      <c r="Z63" s="56"/>
      <c r="AA63" s="56"/>
      <c r="AB63" s="56"/>
      <c r="AC63" s="78"/>
      <c r="AD63" s="56"/>
      <c r="AE63" s="56"/>
      <c r="AF63" s="78"/>
      <c r="AG63" s="56"/>
      <c r="AH63" s="56"/>
      <c r="AI63" s="56"/>
      <c r="AJ63" s="56"/>
      <c r="AK63" s="56"/>
      <c r="AL63" s="151"/>
      <c r="AM63" s="151"/>
      <c r="AN63" s="52"/>
      <c r="AO63" s="70"/>
      <c r="AP63" s="60"/>
      <c r="AQ63" s="70"/>
      <c r="AR63" s="21"/>
      <c r="AS63" s="70"/>
      <c r="AT63" s="70"/>
      <c r="AU63" s="70"/>
      <c r="AV63" s="70"/>
      <c r="AW63" s="70"/>
      <c r="AX63" s="70"/>
      <c r="AY63" s="70"/>
      <c r="AZ63" s="70"/>
      <c r="BA63" s="21"/>
      <c r="BB63" s="70"/>
      <c r="BC63" s="70"/>
      <c r="BD63" s="70"/>
      <c r="BE63" s="70"/>
      <c r="BF63" s="70"/>
      <c r="BG63" s="70"/>
      <c r="BH63" s="174">
        <v>555</v>
      </c>
      <c r="BI63" s="121">
        <v>6</v>
      </c>
      <c r="BJ63" s="121">
        <v>2</v>
      </c>
      <c r="BK63" s="121">
        <v>3</v>
      </c>
      <c r="BL63" s="121">
        <v>4</v>
      </c>
      <c r="BM63" s="121">
        <v>4</v>
      </c>
      <c r="BN63" s="121">
        <v>1</v>
      </c>
      <c r="BO63" s="120">
        <v>5</v>
      </c>
      <c r="BP63" s="120">
        <v>3</v>
      </c>
      <c r="BQ63" s="121">
        <v>6</v>
      </c>
      <c r="BR63" s="121">
        <v>4</v>
      </c>
      <c r="BS63" s="121">
        <v>3</v>
      </c>
      <c r="BT63" s="121">
        <v>4</v>
      </c>
      <c r="BU63" s="120">
        <v>4</v>
      </c>
      <c r="BV63" s="120">
        <v>2</v>
      </c>
      <c r="BW63" s="120">
        <v>2</v>
      </c>
      <c r="BX63" s="121">
        <v>4</v>
      </c>
      <c r="BY63" s="56">
        <v>6</v>
      </c>
      <c r="BZ63" s="56">
        <v>3</v>
      </c>
      <c r="CA63" s="56">
        <v>3</v>
      </c>
      <c r="CB63" s="56"/>
      <c r="CC63" s="56"/>
      <c r="CD63" s="56"/>
      <c r="CE63" s="121"/>
      <c r="CF63" s="56"/>
      <c r="CG63" s="56"/>
      <c r="CH63" s="121"/>
      <c r="CI63" s="56"/>
      <c r="CJ63" s="56"/>
      <c r="CK63" s="56"/>
      <c r="CL63" s="56"/>
      <c r="CM63" s="56"/>
      <c r="CN63" s="151"/>
      <c r="CO63" s="151"/>
      <c r="CP63" s="52"/>
      <c r="CQ63" s="129"/>
      <c r="CR63" s="60"/>
      <c r="CS63" s="129"/>
      <c r="CT63" s="21"/>
      <c r="CU63" s="129"/>
      <c r="CV63" s="129"/>
      <c r="CW63" s="129"/>
      <c r="CX63" s="129"/>
      <c r="CY63" s="129"/>
      <c r="CZ63" s="129"/>
      <c r="DA63" s="129"/>
      <c r="DB63" s="129"/>
      <c r="DC63" s="21"/>
      <c r="DD63" s="129"/>
      <c r="DE63" s="129"/>
      <c r="DF63" s="129"/>
      <c r="DG63" s="129"/>
      <c r="DH63" s="129"/>
      <c r="DI63" s="70"/>
      <c r="DJ63" s="174">
        <v>555</v>
      </c>
      <c r="DK63" s="120">
        <v>0</v>
      </c>
      <c r="DL63" s="120">
        <v>1</v>
      </c>
      <c r="DM63" s="120">
        <v>1</v>
      </c>
      <c r="DN63" s="120">
        <v>1</v>
      </c>
      <c r="DO63" s="120">
        <v>0</v>
      </c>
      <c r="DP63" s="120">
        <v>1</v>
      </c>
      <c r="DQ63" s="120">
        <v>0</v>
      </c>
      <c r="DR63" s="120">
        <v>1</v>
      </c>
      <c r="DS63" s="120">
        <v>0</v>
      </c>
      <c r="DT63" s="120">
        <v>1</v>
      </c>
      <c r="DU63" s="120">
        <v>1</v>
      </c>
      <c r="DV63" s="120">
        <v>0</v>
      </c>
      <c r="DW63" s="120">
        <v>1</v>
      </c>
      <c r="DX63" s="120">
        <v>2</v>
      </c>
      <c r="DY63" s="120">
        <v>1</v>
      </c>
      <c r="DZ63" s="121">
        <v>1</v>
      </c>
      <c r="EA63" s="120">
        <v>0</v>
      </c>
      <c r="EB63" s="120">
        <v>1</v>
      </c>
      <c r="EC63" s="120">
        <v>1</v>
      </c>
      <c r="ED63" s="120"/>
      <c r="EE63" s="120"/>
      <c r="EF63" s="120"/>
      <c r="EG63" s="121"/>
      <c r="EH63" s="120"/>
      <c r="EI63" s="120"/>
      <c r="EJ63" s="121"/>
      <c r="EK63" s="56"/>
      <c r="EL63" s="56"/>
      <c r="EM63" s="56"/>
      <c r="EN63" s="56"/>
      <c r="EO63" s="56"/>
      <c r="EP63" s="151"/>
      <c r="EQ63" s="151"/>
      <c r="ER63" s="52"/>
      <c r="ES63" s="129"/>
      <c r="ET63" s="60"/>
      <c r="EU63" s="129"/>
      <c r="EV63" s="21"/>
      <c r="EW63" s="129"/>
      <c r="EX63" s="129"/>
      <c r="EY63" s="129"/>
      <c r="EZ63" s="129"/>
      <c r="FA63" s="129"/>
      <c r="FB63" s="129"/>
      <c r="FC63" s="129"/>
      <c r="FD63" s="129"/>
      <c r="FE63" s="21"/>
      <c r="FF63" s="129"/>
      <c r="FG63" s="129"/>
      <c r="FH63" s="129"/>
      <c r="FI63" s="129"/>
      <c r="FJ63" s="129"/>
      <c r="FL63" s="174">
        <v>555</v>
      </c>
      <c r="FM63" s="56"/>
      <c r="FN63" s="78">
        <v>1</v>
      </c>
      <c r="FO63" s="56">
        <v>2</v>
      </c>
      <c r="FP63" s="78">
        <v>2</v>
      </c>
      <c r="FQ63" s="56">
        <v>3</v>
      </c>
      <c r="FR63" s="56">
        <v>3</v>
      </c>
      <c r="FS63" s="56">
        <v>1</v>
      </c>
      <c r="FT63" s="56">
        <v>3</v>
      </c>
      <c r="FU63" s="56">
        <v>2</v>
      </c>
      <c r="FV63" s="56">
        <v>1</v>
      </c>
      <c r="FW63" s="56">
        <v>3</v>
      </c>
      <c r="FX63" s="56">
        <v>3</v>
      </c>
      <c r="FY63" s="56">
        <v>2</v>
      </c>
      <c r="FZ63" s="56">
        <v>3</v>
      </c>
      <c r="GA63" s="56">
        <v>3</v>
      </c>
      <c r="GB63" s="78">
        <v>3</v>
      </c>
      <c r="GC63" s="56">
        <v>3</v>
      </c>
      <c r="GD63" s="56">
        <v>2</v>
      </c>
      <c r="GE63" s="56">
        <v>2</v>
      </c>
      <c r="GF63" s="56"/>
      <c r="GG63" s="56"/>
      <c r="GH63" s="56"/>
      <c r="GI63" s="78"/>
      <c r="GJ63" s="56"/>
      <c r="GK63" s="56"/>
      <c r="GL63" s="78"/>
      <c r="GM63" s="56"/>
      <c r="GN63" s="56"/>
      <c r="GO63" s="56"/>
      <c r="GP63" s="56"/>
      <c r="GQ63" s="56"/>
      <c r="GR63" s="151"/>
      <c r="GS63" s="151"/>
      <c r="GT63" s="52"/>
      <c r="GU63" s="129"/>
      <c r="GV63" s="60"/>
      <c r="GW63" s="129"/>
      <c r="GX63" s="21"/>
      <c r="GY63" s="129"/>
      <c r="GZ63" s="129"/>
      <c r="HA63" s="129"/>
      <c r="HB63" s="129"/>
      <c r="HC63" s="129"/>
      <c r="HD63" s="129"/>
      <c r="HE63" s="129"/>
      <c r="HF63" s="129"/>
      <c r="HG63" s="21"/>
      <c r="HH63" s="129"/>
      <c r="HI63" s="129"/>
      <c r="HJ63" s="129"/>
      <c r="HK63" s="129"/>
      <c r="HL63" s="129"/>
    </row>
    <row r="64" spans="1:220" ht="17.25">
      <c r="D64" s="54"/>
      <c r="E64" s="54"/>
      <c r="F64" s="174">
        <v>556</v>
      </c>
      <c r="G64" s="34">
        <v>5</v>
      </c>
      <c r="H64" s="151">
        <v>6</v>
      </c>
      <c r="I64" s="151">
        <v>5</v>
      </c>
      <c r="J64" s="151">
        <v>3</v>
      </c>
      <c r="K64" s="151">
        <v>5</v>
      </c>
      <c r="L64" s="151">
        <v>4</v>
      </c>
      <c r="M64" s="151">
        <v>6</v>
      </c>
      <c r="N64" s="151">
        <v>5</v>
      </c>
      <c r="O64" s="151">
        <v>6</v>
      </c>
      <c r="P64" s="151">
        <v>4</v>
      </c>
      <c r="Q64" s="151">
        <v>5</v>
      </c>
      <c r="R64" s="151">
        <v>5</v>
      </c>
      <c r="S64" s="151">
        <v>6</v>
      </c>
      <c r="T64" s="151">
        <v>5</v>
      </c>
      <c r="U64" s="151">
        <v>4</v>
      </c>
      <c r="V64" s="78">
        <v>4</v>
      </c>
      <c r="W64" s="56">
        <v>3</v>
      </c>
      <c r="X64" s="56">
        <v>5</v>
      </c>
      <c r="Y64" s="56"/>
      <c r="Z64" s="56"/>
      <c r="AA64" s="56"/>
      <c r="AB64" s="56"/>
      <c r="AC64" s="56"/>
      <c r="AD64" s="78"/>
      <c r="AE64" s="56"/>
      <c r="AF64" s="56"/>
      <c r="AG64" s="78"/>
      <c r="AH64" s="56"/>
      <c r="AI64" s="56"/>
      <c r="AJ64" s="56"/>
      <c r="AK64" s="56"/>
      <c r="AL64" s="151"/>
      <c r="AM64" s="151"/>
      <c r="AN64" s="52"/>
      <c r="AO64" s="70"/>
      <c r="AP64" s="60"/>
      <c r="AQ64" s="70"/>
      <c r="AR64" s="21"/>
      <c r="AS64" s="70"/>
      <c r="AT64" s="70"/>
      <c r="AU64" s="70"/>
      <c r="AV64" s="70"/>
      <c r="AW64" s="70"/>
      <c r="AX64" s="70"/>
      <c r="AY64" s="70"/>
      <c r="AZ64" s="70"/>
      <c r="BA64" s="70"/>
      <c r="BB64" s="21"/>
      <c r="BC64" s="70"/>
      <c r="BD64" s="70"/>
      <c r="BE64" s="70"/>
      <c r="BF64" s="70"/>
      <c r="BG64" s="70"/>
      <c r="BH64" s="174">
        <v>556</v>
      </c>
      <c r="BI64" s="121">
        <v>4</v>
      </c>
      <c r="BJ64" s="121">
        <v>6</v>
      </c>
      <c r="BK64" s="121">
        <v>5</v>
      </c>
      <c r="BL64" s="121">
        <v>2</v>
      </c>
      <c r="BM64" s="121">
        <v>5</v>
      </c>
      <c r="BN64" s="121">
        <v>4</v>
      </c>
      <c r="BO64" s="120">
        <v>6</v>
      </c>
      <c r="BP64" s="120">
        <v>4</v>
      </c>
      <c r="BQ64" s="121">
        <v>6</v>
      </c>
      <c r="BR64" s="121">
        <v>4</v>
      </c>
      <c r="BS64" s="121">
        <v>5</v>
      </c>
      <c r="BT64" s="121">
        <v>4</v>
      </c>
      <c r="BU64" s="120">
        <v>5</v>
      </c>
      <c r="BV64" s="120">
        <v>5</v>
      </c>
      <c r="BW64" s="120">
        <v>4</v>
      </c>
      <c r="BX64" s="121">
        <v>4</v>
      </c>
      <c r="BY64" s="56">
        <v>3</v>
      </c>
      <c r="BZ64" s="56">
        <v>5</v>
      </c>
      <c r="CA64" s="56"/>
      <c r="CB64" s="56"/>
      <c r="CC64" s="56"/>
      <c r="CD64" s="56"/>
      <c r="CE64" s="56"/>
      <c r="CF64" s="121"/>
      <c r="CG64" s="56"/>
      <c r="CH64" s="56"/>
      <c r="CI64" s="121"/>
      <c r="CJ64" s="56"/>
      <c r="CK64" s="56"/>
      <c r="CL64" s="56"/>
      <c r="CM64" s="56"/>
      <c r="CN64" s="151"/>
      <c r="CO64" s="151"/>
      <c r="CP64" s="52"/>
      <c r="CQ64" s="129"/>
      <c r="CR64" s="60"/>
      <c r="CS64" s="129"/>
      <c r="CT64" s="21"/>
      <c r="CU64" s="129"/>
      <c r="CV64" s="129"/>
      <c r="CW64" s="129"/>
      <c r="CX64" s="129"/>
      <c r="CY64" s="129"/>
      <c r="CZ64" s="129"/>
      <c r="DA64" s="129"/>
      <c r="DB64" s="129"/>
      <c r="DC64" s="129"/>
      <c r="DD64" s="21"/>
      <c r="DE64" s="129"/>
      <c r="DF64" s="129"/>
      <c r="DG64" s="129"/>
      <c r="DH64" s="129"/>
      <c r="DI64" s="70"/>
      <c r="DJ64" s="174">
        <v>556</v>
      </c>
      <c r="DK64" s="120">
        <v>1</v>
      </c>
      <c r="DL64" s="120">
        <v>0</v>
      </c>
      <c r="DM64" s="120">
        <v>0</v>
      </c>
      <c r="DN64" s="120">
        <v>1</v>
      </c>
      <c r="DO64" s="120">
        <v>0</v>
      </c>
      <c r="DP64" s="120">
        <v>0</v>
      </c>
      <c r="DQ64" s="120">
        <v>0</v>
      </c>
      <c r="DR64" s="120">
        <v>1</v>
      </c>
      <c r="DS64" s="120">
        <v>0</v>
      </c>
      <c r="DT64" s="120">
        <v>0</v>
      </c>
      <c r="DU64" s="120">
        <v>0</v>
      </c>
      <c r="DV64" s="120">
        <v>1</v>
      </c>
      <c r="DW64" s="120">
        <v>1</v>
      </c>
      <c r="DX64" s="120">
        <v>0</v>
      </c>
      <c r="DY64" s="120">
        <v>0</v>
      </c>
      <c r="DZ64" s="121">
        <v>0</v>
      </c>
      <c r="EA64" s="120">
        <v>0</v>
      </c>
      <c r="EB64" s="120">
        <v>0</v>
      </c>
      <c r="EC64" s="120"/>
      <c r="ED64" s="120"/>
      <c r="EE64" s="120"/>
      <c r="EF64" s="120"/>
      <c r="EG64" s="120"/>
      <c r="EH64" s="121"/>
      <c r="EI64" s="120"/>
      <c r="EJ64" s="120"/>
      <c r="EK64" s="121"/>
      <c r="EL64" s="56"/>
      <c r="EM64" s="56"/>
      <c r="EN64" s="56"/>
      <c r="EO64" s="56"/>
      <c r="EP64" s="151"/>
      <c r="EQ64" s="151"/>
      <c r="ER64" s="52"/>
      <c r="ES64" s="129"/>
      <c r="ET64" s="60"/>
      <c r="EU64" s="129"/>
      <c r="EV64" s="21"/>
      <c r="EW64" s="129"/>
      <c r="EX64" s="129"/>
      <c r="EY64" s="129"/>
      <c r="EZ64" s="129"/>
      <c r="FA64" s="129"/>
      <c r="FB64" s="129"/>
      <c r="FC64" s="129"/>
      <c r="FD64" s="129"/>
      <c r="FE64" s="129"/>
      <c r="FF64" s="21"/>
      <c r="FG64" s="129"/>
      <c r="FH64" s="129"/>
      <c r="FI64" s="129"/>
      <c r="FJ64" s="129"/>
      <c r="FL64" s="174">
        <v>556</v>
      </c>
      <c r="FM64" s="56"/>
      <c r="FN64" s="78">
        <v>2</v>
      </c>
      <c r="FO64" s="56">
        <v>2</v>
      </c>
      <c r="FP64" s="78">
        <v>2</v>
      </c>
      <c r="FQ64" s="56">
        <v>3</v>
      </c>
      <c r="FR64" s="56">
        <v>2</v>
      </c>
      <c r="FS64" s="56">
        <v>1</v>
      </c>
      <c r="FT64" s="56">
        <v>1</v>
      </c>
      <c r="FU64" s="56">
        <v>1</v>
      </c>
      <c r="FV64" s="56">
        <v>0</v>
      </c>
      <c r="FW64" s="56">
        <v>2</v>
      </c>
      <c r="FX64" s="56">
        <v>2</v>
      </c>
      <c r="FY64" s="56">
        <v>4</v>
      </c>
      <c r="FZ64" s="56">
        <v>2</v>
      </c>
      <c r="GA64" s="56">
        <v>2</v>
      </c>
      <c r="GB64" s="78">
        <v>1</v>
      </c>
      <c r="GC64" s="56">
        <v>1</v>
      </c>
      <c r="GD64" s="56">
        <v>3</v>
      </c>
      <c r="GE64" s="56"/>
      <c r="GF64" s="56"/>
      <c r="GG64" s="56"/>
      <c r="GH64" s="56"/>
      <c r="GI64" s="56"/>
      <c r="GJ64" s="78"/>
      <c r="GK64" s="56"/>
      <c r="GL64" s="56"/>
      <c r="GM64" s="121"/>
      <c r="GN64" s="56"/>
      <c r="GO64" s="56"/>
      <c r="GP64" s="56"/>
      <c r="GQ64" s="56"/>
      <c r="GR64" s="151"/>
      <c r="GS64" s="151"/>
      <c r="GT64" s="52"/>
      <c r="GU64" s="129"/>
      <c r="GV64" s="60"/>
      <c r="GW64" s="129"/>
      <c r="GX64" s="21"/>
      <c r="GY64" s="129"/>
      <c r="GZ64" s="129"/>
      <c r="HA64" s="129"/>
      <c r="HB64" s="129"/>
      <c r="HC64" s="129"/>
      <c r="HD64" s="129"/>
      <c r="HE64" s="129"/>
      <c r="HF64" s="129"/>
      <c r="HG64" s="129"/>
      <c r="HH64" s="21"/>
      <c r="HI64" s="129"/>
      <c r="HJ64" s="129"/>
      <c r="HK64" s="129"/>
      <c r="HL64" s="129"/>
    </row>
    <row r="65" spans="4:220" ht="17.25">
      <c r="D65" s="54"/>
      <c r="E65" s="54"/>
      <c r="F65" s="174">
        <v>557</v>
      </c>
      <c r="G65" s="34">
        <v>5</v>
      </c>
      <c r="H65" s="151">
        <v>6</v>
      </c>
      <c r="I65" s="151">
        <v>4</v>
      </c>
      <c r="J65" s="151">
        <v>3</v>
      </c>
      <c r="K65" s="151">
        <v>5</v>
      </c>
      <c r="L65" s="151">
        <v>5</v>
      </c>
      <c r="M65" s="151">
        <v>5</v>
      </c>
      <c r="N65" s="151">
        <v>5</v>
      </c>
      <c r="O65" s="151">
        <v>3</v>
      </c>
      <c r="P65" s="151">
        <v>6</v>
      </c>
      <c r="Q65" s="151">
        <v>4</v>
      </c>
      <c r="R65" s="151">
        <v>4</v>
      </c>
      <c r="S65" s="151">
        <v>6</v>
      </c>
      <c r="T65" s="151">
        <v>3</v>
      </c>
      <c r="U65" s="151">
        <v>6</v>
      </c>
      <c r="V65" s="78">
        <v>4</v>
      </c>
      <c r="W65" s="56">
        <v>5</v>
      </c>
      <c r="X65" s="56"/>
      <c r="Y65" s="56"/>
      <c r="Z65" s="56"/>
      <c r="AA65" s="56"/>
      <c r="AB65" s="56"/>
      <c r="AC65" s="56"/>
      <c r="AD65" s="56"/>
      <c r="AE65" s="78"/>
      <c r="AF65" s="56"/>
      <c r="AG65" s="56"/>
      <c r="AH65" s="78"/>
      <c r="AI65" s="56"/>
      <c r="AJ65" s="56"/>
      <c r="AK65" s="56"/>
      <c r="AL65" s="151"/>
      <c r="AM65" s="151"/>
      <c r="AN65" s="52"/>
      <c r="AO65" s="70"/>
      <c r="AP65" s="60"/>
      <c r="AQ65" s="70"/>
      <c r="AR65" s="21"/>
      <c r="AS65" s="70"/>
      <c r="AT65" s="70"/>
      <c r="AU65" s="70"/>
      <c r="AV65" s="70"/>
      <c r="AW65" s="70"/>
      <c r="AX65" s="70"/>
      <c r="AY65" s="70"/>
      <c r="AZ65" s="70"/>
      <c r="BA65" s="70"/>
      <c r="BB65" s="70"/>
      <c r="BC65" s="21"/>
      <c r="BD65" s="70"/>
      <c r="BE65" s="70"/>
      <c r="BF65" s="70"/>
      <c r="BG65" s="70"/>
      <c r="BH65" s="174">
        <v>557</v>
      </c>
      <c r="BI65" s="121">
        <v>5</v>
      </c>
      <c r="BJ65" s="121">
        <v>6</v>
      </c>
      <c r="BK65" s="121">
        <v>3</v>
      </c>
      <c r="BL65" s="121">
        <v>3</v>
      </c>
      <c r="BM65" s="121">
        <v>4</v>
      </c>
      <c r="BN65" s="121">
        <v>4</v>
      </c>
      <c r="BO65" s="120">
        <v>4</v>
      </c>
      <c r="BP65" s="120">
        <v>4</v>
      </c>
      <c r="BQ65" s="121">
        <v>3</v>
      </c>
      <c r="BR65" s="121">
        <v>5</v>
      </c>
      <c r="BS65" s="121">
        <v>4</v>
      </c>
      <c r="BT65" s="121">
        <v>4</v>
      </c>
      <c r="BU65" s="120">
        <v>6</v>
      </c>
      <c r="BV65" s="120">
        <v>3</v>
      </c>
      <c r="BW65" s="120">
        <v>5</v>
      </c>
      <c r="BX65" s="121">
        <v>4</v>
      </c>
      <c r="BY65" s="56">
        <v>4</v>
      </c>
      <c r="BZ65" s="56"/>
      <c r="CA65" s="56"/>
      <c r="CB65" s="56"/>
      <c r="CC65" s="56"/>
      <c r="CD65" s="56"/>
      <c r="CE65" s="56"/>
      <c r="CF65" s="56"/>
      <c r="CG65" s="121"/>
      <c r="CH65" s="56"/>
      <c r="CI65" s="56"/>
      <c r="CJ65" s="121"/>
      <c r="CK65" s="56"/>
      <c r="CL65" s="56"/>
      <c r="CM65" s="56"/>
      <c r="CN65" s="151"/>
      <c r="CO65" s="151"/>
      <c r="CP65" s="52"/>
      <c r="CQ65" s="129"/>
      <c r="CR65" s="60"/>
      <c r="CS65" s="129"/>
      <c r="CT65" s="21"/>
      <c r="CU65" s="129"/>
      <c r="CV65" s="129"/>
      <c r="CW65" s="129"/>
      <c r="CX65" s="129"/>
      <c r="CY65" s="129"/>
      <c r="CZ65" s="129"/>
      <c r="DA65" s="129"/>
      <c r="DB65" s="129"/>
      <c r="DC65" s="129"/>
      <c r="DD65" s="129"/>
      <c r="DE65" s="21"/>
      <c r="DF65" s="129"/>
      <c r="DG65" s="129"/>
      <c r="DH65" s="129"/>
      <c r="DI65" s="70"/>
      <c r="DJ65" s="174">
        <v>557</v>
      </c>
      <c r="DK65" s="120">
        <v>0</v>
      </c>
      <c r="DL65" s="120">
        <v>0</v>
      </c>
      <c r="DM65" s="120">
        <v>1</v>
      </c>
      <c r="DN65" s="120">
        <v>0</v>
      </c>
      <c r="DO65" s="120">
        <v>1</v>
      </c>
      <c r="DP65" s="120">
        <v>1</v>
      </c>
      <c r="DQ65" s="120">
        <v>1</v>
      </c>
      <c r="DR65" s="120">
        <v>1</v>
      </c>
      <c r="DS65" s="120">
        <v>0</v>
      </c>
      <c r="DT65" s="120">
        <v>1</v>
      </c>
      <c r="DU65" s="120">
        <v>0</v>
      </c>
      <c r="DV65" s="120">
        <v>0</v>
      </c>
      <c r="DW65" s="120">
        <v>0</v>
      </c>
      <c r="DX65" s="120">
        <v>0</v>
      </c>
      <c r="DY65" s="120">
        <v>1</v>
      </c>
      <c r="DZ65" s="121">
        <v>0</v>
      </c>
      <c r="EA65" s="120">
        <v>1</v>
      </c>
      <c r="EB65" s="120"/>
      <c r="EC65" s="120"/>
      <c r="ED65" s="120"/>
      <c r="EE65" s="120"/>
      <c r="EF65" s="120"/>
      <c r="EG65" s="120"/>
      <c r="EH65" s="120"/>
      <c r="EI65" s="121"/>
      <c r="EJ65" s="120"/>
      <c r="EK65" s="56"/>
      <c r="EL65" s="121"/>
      <c r="EM65" s="56"/>
      <c r="EN65" s="56"/>
      <c r="EO65" s="56"/>
      <c r="EP65" s="151"/>
      <c r="EQ65" s="151"/>
      <c r="ER65" s="52"/>
      <c r="ES65" s="129"/>
      <c r="ET65" s="60"/>
      <c r="EU65" s="129"/>
      <c r="EV65" s="21"/>
      <c r="EW65" s="129"/>
      <c r="EX65" s="129"/>
      <c r="EY65" s="129"/>
      <c r="EZ65" s="129"/>
      <c r="FA65" s="129"/>
      <c r="FB65" s="129"/>
      <c r="FC65" s="129"/>
      <c r="FD65" s="129"/>
      <c r="FE65" s="129"/>
      <c r="FF65" s="129"/>
      <c r="FG65" s="21"/>
      <c r="FH65" s="129"/>
      <c r="FI65" s="129"/>
      <c r="FJ65" s="129"/>
      <c r="FL65" s="174">
        <v>557</v>
      </c>
      <c r="FM65" s="56"/>
      <c r="FN65" s="78">
        <v>3</v>
      </c>
      <c r="FO65" s="56">
        <v>0</v>
      </c>
      <c r="FP65" s="78">
        <v>2</v>
      </c>
      <c r="FQ65" s="56">
        <v>3</v>
      </c>
      <c r="FR65" s="56">
        <v>3</v>
      </c>
      <c r="FS65" s="56">
        <v>3</v>
      </c>
      <c r="FT65" s="56">
        <v>1</v>
      </c>
      <c r="FU65" s="56">
        <v>3</v>
      </c>
      <c r="FV65" s="56">
        <v>5</v>
      </c>
      <c r="FW65" s="56">
        <v>1</v>
      </c>
      <c r="FX65" s="56">
        <v>2</v>
      </c>
      <c r="FY65" s="56">
        <v>2</v>
      </c>
      <c r="FZ65" s="56">
        <v>1</v>
      </c>
      <c r="GA65" s="56">
        <v>3</v>
      </c>
      <c r="GB65" s="78">
        <v>1</v>
      </c>
      <c r="GC65" s="56">
        <v>5</v>
      </c>
      <c r="GD65" s="56"/>
      <c r="GE65" s="56"/>
      <c r="GF65" s="56"/>
      <c r="GG65" s="56"/>
      <c r="GH65" s="56"/>
      <c r="GI65" s="56"/>
      <c r="GJ65" s="56"/>
      <c r="GK65" s="78"/>
      <c r="GL65" s="56"/>
      <c r="GM65" s="56"/>
      <c r="GN65" s="121"/>
      <c r="GO65" s="56"/>
      <c r="GP65" s="56"/>
      <c r="GQ65" s="56"/>
      <c r="GR65" s="151"/>
      <c r="GS65" s="151"/>
      <c r="GT65" s="52"/>
      <c r="GU65" s="129"/>
      <c r="GV65" s="60"/>
      <c r="GW65" s="129"/>
      <c r="GX65" s="21"/>
      <c r="GY65" s="129"/>
      <c r="GZ65" s="129"/>
      <c r="HA65" s="129"/>
      <c r="HB65" s="129"/>
      <c r="HC65" s="129"/>
      <c r="HD65" s="129"/>
      <c r="HE65" s="129"/>
      <c r="HF65" s="129"/>
      <c r="HG65" s="129"/>
      <c r="HH65" s="129"/>
      <c r="HI65" s="21"/>
      <c r="HJ65" s="129"/>
      <c r="HK65" s="129"/>
      <c r="HL65" s="129"/>
    </row>
    <row r="66" spans="4:220" ht="17.25">
      <c r="D66" s="54"/>
      <c r="E66" s="54"/>
      <c r="F66" s="174">
        <v>558</v>
      </c>
      <c r="G66" s="34">
        <v>5</v>
      </c>
      <c r="H66" s="151">
        <v>5</v>
      </c>
      <c r="I66" s="151">
        <v>6</v>
      </c>
      <c r="J66" s="151">
        <v>6</v>
      </c>
      <c r="K66" s="151">
        <v>6</v>
      </c>
      <c r="L66" s="151">
        <v>6</v>
      </c>
      <c r="M66" s="151">
        <v>5</v>
      </c>
      <c r="N66" s="151">
        <v>5</v>
      </c>
      <c r="O66" s="151">
        <v>4</v>
      </c>
      <c r="P66" s="151">
        <v>5</v>
      </c>
      <c r="Q66" s="151">
        <v>6</v>
      </c>
      <c r="R66" s="151">
        <v>5</v>
      </c>
      <c r="S66" s="151">
        <v>6</v>
      </c>
      <c r="T66" s="151">
        <v>6</v>
      </c>
      <c r="U66" s="151">
        <v>6</v>
      </c>
      <c r="V66" s="78">
        <v>6</v>
      </c>
      <c r="W66" s="56"/>
      <c r="X66" s="56"/>
      <c r="Y66" s="56"/>
      <c r="Z66" s="56"/>
      <c r="AA66" s="56"/>
      <c r="AB66" s="56"/>
      <c r="AC66" s="56"/>
      <c r="AD66" s="56"/>
      <c r="AE66" s="78"/>
      <c r="AF66" s="78"/>
      <c r="AG66" s="56"/>
      <c r="AH66" s="56"/>
      <c r="AI66" s="78"/>
      <c r="AJ66" s="56"/>
      <c r="AK66" s="56"/>
      <c r="AL66" s="151"/>
      <c r="AM66" s="151"/>
      <c r="AN66" s="52"/>
      <c r="AO66" s="70"/>
      <c r="AP66" s="60"/>
      <c r="AQ66" s="70"/>
      <c r="AR66" s="21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174">
        <v>558</v>
      </c>
      <c r="BI66" s="121">
        <v>5</v>
      </c>
      <c r="BJ66" s="121">
        <v>5</v>
      </c>
      <c r="BK66" s="121">
        <v>5</v>
      </c>
      <c r="BL66" s="121">
        <v>6</v>
      </c>
      <c r="BM66" s="121">
        <v>6</v>
      </c>
      <c r="BN66" s="121">
        <v>5</v>
      </c>
      <c r="BO66" s="120">
        <v>5</v>
      </c>
      <c r="BP66" s="120">
        <v>5</v>
      </c>
      <c r="BQ66" s="121">
        <v>4</v>
      </c>
      <c r="BR66" s="121">
        <v>3</v>
      </c>
      <c r="BS66" s="121">
        <v>5</v>
      </c>
      <c r="BT66" s="121">
        <v>5</v>
      </c>
      <c r="BU66" s="120">
        <v>5</v>
      </c>
      <c r="BV66" s="120">
        <v>6</v>
      </c>
      <c r="BW66" s="120">
        <v>6</v>
      </c>
      <c r="BX66" s="121">
        <v>6</v>
      </c>
      <c r="BY66" s="56"/>
      <c r="BZ66" s="56"/>
      <c r="CA66" s="56"/>
      <c r="CB66" s="56"/>
      <c r="CC66" s="56"/>
      <c r="CD66" s="56"/>
      <c r="CE66" s="56"/>
      <c r="CF66" s="56"/>
      <c r="CG66" s="121"/>
      <c r="CH66" s="121"/>
      <c r="CI66" s="56"/>
      <c r="CJ66" s="56"/>
      <c r="CK66" s="78"/>
      <c r="CL66" s="56"/>
      <c r="CM66" s="56"/>
      <c r="CN66" s="151"/>
      <c r="CO66" s="151"/>
      <c r="CP66" s="52"/>
      <c r="CQ66" s="129"/>
      <c r="CR66" s="60"/>
      <c r="CS66" s="129"/>
      <c r="CT66" s="21"/>
      <c r="CU66" s="129"/>
      <c r="CV66" s="129"/>
      <c r="CW66" s="129"/>
      <c r="CX66" s="129"/>
      <c r="CY66" s="129"/>
      <c r="CZ66" s="129"/>
      <c r="DA66" s="129"/>
      <c r="DB66" s="129"/>
      <c r="DC66" s="129"/>
      <c r="DD66" s="129"/>
      <c r="DE66" s="129"/>
      <c r="DF66" s="129"/>
      <c r="DG66" s="129"/>
      <c r="DH66" s="129"/>
      <c r="DI66" s="70"/>
      <c r="DJ66" s="174">
        <v>558</v>
      </c>
      <c r="DK66" s="120">
        <v>0</v>
      </c>
      <c r="DL66" s="120">
        <v>0</v>
      </c>
      <c r="DM66" s="120">
        <v>1</v>
      </c>
      <c r="DN66" s="120">
        <v>0</v>
      </c>
      <c r="DO66" s="120">
        <v>0</v>
      </c>
      <c r="DP66" s="120">
        <v>1</v>
      </c>
      <c r="DQ66" s="120">
        <v>0</v>
      </c>
      <c r="DR66" s="120">
        <v>0</v>
      </c>
      <c r="DS66" s="120">
        <v>0</v>
      </c>
      <c r="DT66" s="120">
        <v>2</v>
      </c>
      <c r="DU66" s="120">
        <v>1</v>
      </c>
      <c r="DV66" s="120">
        <v>0</v>
      </c>
      <c r="DW66" s="120">
        <v>1</v>
      </c>
      <c r="DX66" s="120">
        <v>0</v>
      </c>
      <c r="DY66" s="120">
        <v>0</v>
      </c>
      <c r="DZ66" s="121">
        <v>0</v>
      </c>
      <c r="EA66" s="120"/>
      <c r="EB66" s="120"/>
      <c r="EC66" s="120"/>
      <c r="ED66" s="120"/>
      <c r="EE66" s="120"/>
      <c r="EF66" s="120"/>
      <c r="EG66" s="120"/>
      <c r="EH66" s="120"/>
      <c r="EI66" s="121"/>
      <c r="EJ66" s="121"/>
      <c r="EK66" s="56"/>
      <c r="EL66" s="56"/>
      <c r="EM66" s="78"/>
      <c r="EN66" s="56"/>
      <c r="EO66" s="56"/>
      <c r="EP66" s="151"/>
      <c r="EQ66" s="151"/>
      <c r="ER66" s="52"/>
      <c r="ES66" s="129"/>
      <c r="ET66" s="60"/>
      <c r="EU66" s="129"/>
      <c r="EV66" s="21"/>
      <c r="EW66" s="129"/>
      <c r="EX66" s="129"/>
      <c r="EY66" s="129"/>
      <c r="EZ66" s="129"/>
      <c r="FA66" s="129"/>
      <c r="FB66" s="129"/>
      <c r="FC66" s="129"/>
      <c r="FD66" s="129"/>
      <c r="FE66" s="129"/>
      <c r="FF66" s="129"/>
      <c r="FG66" s="129"/>
      <c r="FH66" s="129"/>
      <c r="FI66" s="129"/>
      <c r="FJ66" s="129"/>
      <c r="FL66" s="174">
        <v>558</v>
      </c>
      <c r="FM66" s="56"/>
      <c r="FN66" s="78">
        <v>1</v>
      </c>
      <c r="FO66" s="56">
        <v>3</v>
      </c>
      <c r="FP66" s="78">
        <v>1</v>
      </c>
      <c r="FQ66" s="56">
        <v>2</v>
      </c>
      <c r="FR66" s="56">
        <v>1</v>
      </c>
      <c r="FS66" s="56">
        <v>3</v>
      </c>
      <c r="FT66" s="56">
        <v>3</v>
      </c>
      <c r="FU66" s="56">
        <v>4</v>
      </c>
      <c r="FV66" s="56">
        <v>2</v>
      </c>
      <c r="FW66" s="56">
        <v>2</v>
      </c>
      <c r="FX66" s="56">
        <v>2</v>
      </c>
      <c r="FY66" s="56">
        <v>3</v>
      </c>
      <c r="FZ66" s="56">
        <v>2</v>
      </c>
      <c r="GA66" s="56">
        <v>1</v>
      </c>
      <c r="GB66" s="78">
        <v>3</v>
      </c>
      <c r="GC66" s="56"/>
      <c r="GD66" s="56"/>
      <c r="GE66" s="56"/>
      <c r="GF66" s="56"/>
      <c r="GG66" s="56"/>
      <c r="GH66" s="56"/>
      <c r="GI66" s="56"/>
      <c r="GJ66" s="56"/>
      <c r="GK66" s="78"/>
      <c r="GL66" s="78"/>
      <c r="GM66" s="56"/>
      <c r="GN66" s="56"/>
      <c r="GO66" s="78"/>
      <c r="GP66" s="56"/>
      <c r="GQ66" s="56"/>
      <c r="GR66" s="151"/>
      <c r="GS66" s="151"/>
      <c r="GT66" s="52"/>
      <c r="GU66" s="129"/>
      <c r="GV66" s="60"/>
      <c r="GW66" s="129"/>
      <c r="GX66" s="21"/>
      <c r="GY66" s="129"/>
      <c r="GZ66" s="129"/>
      <c r="HA66" s="129"/>
      <c r="HB66" s="129"/>
      <c r="HC66" s="129"/>
      <c r="HD66" s="129"/>
      <c r="HE66" s="129"/>
      <c r="HF66" s="129"/>
      <c r="HG66" s="129"/>
      <c r="HH66" s="129"/>
      <c r="HI66" s="129"/>
      <c r="HJ66" s="129"/>
      <c r="HK66" s="129"/>
      <c r="HL66" s="129"/>
    </row>
    <row r="67" spans="4:220" ht="17.25">
      <c r="D67" s="54"/>
      <c r="E67" s="54"/>
      <c r="F67" s="174">
        <v>559</v>
      </c>
      <c r="G67" s="34">
        <v>5</v>
      </c>
      <c r="H67" s="151">
        <v>6</v>
      </c>
      <c r="I67" s="151">
        <v>5</v>
      </c>
      <c r="J67" s="151">
        <v>5</v>
      </c>
      <c r="K67" s="151">
        <v>5</v>
      </c>
      <c r="L67" s="151">
        <v>3</v>
      </c>
      <c r="M67" s="151">
        <v>5</v>
      </c>
      <c r="N67" s="151">
        <v>4</v>
      </c>
      <c r="O67" s="151">
        <v>5</v>
      </c>
      <c r="P67" s="151">
        <v>6</v>
      </c>
      <c r="Q67" s="151">
        <v>5</v>
      </c>
      <c r="R67" s="151">
        <v>6</v>
      </c>
      <c r="S67" s="151">
        <v>5</v>
      </c>
      <c r="T67" s="151">
        <v>5</v>
      </c>
      <c r="U67" s="151">
        <v>6</v>
      </c>
      <c r="V67" s="78"/>
      <c r="W67" s="56"/>
      <c r="X67" s="56"/>
      <c r="Y67" s="56"/>
      <c r="Z67" s="56"/>
      <c r="AA67" s="56"/>
      <c r="AB67" s="56"/>
      <c r="AC67" s="56"/>
      <c r="AD67" s="56"/>
      <c r="AE67" s="56"/>
      <c r="AF67" s="78"/>
      <c r="AG67" s="78"/>
      <c r="AH67" s="56"/>
      <c r="AI67" s="56"/>
      <c r="AJ67" s="78"/>
      <c r="AK67" s="56"/>
      <c r="AL67" s="151"/>
      <c r="AM67" s="151"/>
      <c r="AN67" s="52"/>
      <c r="AO67" s="70"/>
      <c r="AP67" s="60"/>
      <c r="AQ67" s="70"/>
      <c r="AR67" s="21"/>
      <c r="AS67" s="70"/>
      <c r="AT67" s="70"/>
      <c r="AU67" s="70"/>
      <c r="AV67" s="70"/>
      <c r="AW67" s="70"/>
      <c r="AX67" s="70"/>
      <c r="AY67" s="70"/>
      <c r="AZ67" s="70"/>
      <c r="BA67" s="70"/>
      <c r="BB67" s="70"/>
      <c r="BC67" s="70"/>
      <c r="BD67" s="21"/>
      <c r="BE67" s="70"/>
      <c r="BF67" s="70"/>
      <c r="BG67" s="70"/>
      <c r="BH67" s="174">
        <v>559</v>
      </c>
      <c r="BI67" s="121">
        <v>5</v>
      </c>
      <c r="BJ67" s="121">
        <v>6</v>
      </c>
      <c r="BK67" s="121">
        <v>4</v>
      </c>
      <c r="BL67" s="121">
        <v>5</v>
      </c>
      <c r="BM67" s="121">
        <v>5</v>
      </c>
      <c r="BN67" s="121">
        <v>2</v>
      </c>
      <c r="BO67" s="120">
        <v>5</v>
      </c>
      <c r="BP67" s="120">
        <v>4</v>
      </c>
      <c r="BQ67" s="121">
        <v>5</v>
      </c>
      <c r="BR67" s="121">
        <v>6</v>
      </c>
      <c r="BS67" s="121">
        <v>5</v>
      </c>
      <c r="BT67" s="120">
        <v>6</v>
      </c>
      <c r="BU67" s="120">
        <v>4</v>
      </c>
      <c r="BV67" s="120">
        <v>5</v>
      </c>
      <c r="BW67" s="120">
        <v>5</v>
      </c>
      <c r="BX67" s="121"/>
      <c r="BY67" s="56"/>
      <c r="BZ67" s="56"/>
      <c r="CA67" s="56"/>
      <c r="CB67" s="56"/>
      <c r="CC67" s="56"/>
      <c r="CD67" s="56"/>
      <c r="CE67" s="56"/>
      <c r="CF67" s="56"/>
      <c r="CG67" s="56"/>
      <c r="CH67" s="121"/>
      <c r="CI67" s="121"/>
      <c r="CJ67" s="56"/>
      <c r="CK67" s="56"/>
      <c r="CL67" s="78"/>
      <c r="CM67" s="56"/>
      <c r="CN67" s="151"/>
      <c r="CO67" s="151"/>
      <c r="CP67" s="52"/>
      <c r="CQ67" s="129"/>
      <c r="CR67" s="60"/>
      <c r="CS67" s="129"/>
      <c r="CT67" s="21"/>
      <c r="CU67" s="129"/>
      <c r="CV67" s="129"/>
      <c r="CW67" s="129"/>
      <c r="CX67" s="129"/>
      <c r="CY67" s="129"/>
      <c r="CZ67" s="129"/>
      <c r="DA67" s="129"/>
      <c r="DB67" s="129"/>
      <c r="DC67" s="129"/>
      <c r="DD67" s="129"/>
      <c r="DE67" s="129"/>
      <c r="DF67" s="21"/>
      <c r="DG67" s="129"/>
      <c r="DH67" s="129"/>
      <c r="DI67" s="70"/>
      <c r="DJ67" s="174">
        <v>559</v>
      </c>
      <c r="DK67" s="120">
        <v>0</v>
      </c>
      <c r="DL67" s="120">
        <v>0</v>
      </c>
      <c r="DM67" s="120">
        <v>1</v>
      </c>
      <c r="DN67" s="120">
        <v>0</v>
      </c>
      <c r="DO67" s="120">
        <v>0</v>
      </c>
      <c r="DP67" s="120">
        <v>1</v>
      </c>
      <c r="DQ67" s="120">
        <v>0</v>
      </c>
      <c r="DR67" s="120">
        <v>0</v>
      </c>
      <c r="DS67" s="120">
        <v>0</v>
      </c>
      <c r="DT67" s="120">
        <v>0</v>
      </c>
      <c r="DU67" s="120">
        <v>0</v>
      </c>
      <c r="DV67" s="120">
        <v>0</v>
      </c>
      <c r="DW67" s="120">
        <v>1</v>
      </c>
      <c r="DX67" s="120">
        <v>0</v>
      </c>
      <c r="DY67" s="120">
        <v>1</v>
      </c>
      <c r="DZ67" s="121"/>
      <c r="EA67" s="120"/>
      <c r="EB67" s="120"/>
      <c r="EC67" s="120"/>
      <c r="ED67" s="120"/>
      <c r="EE67" s="120"/>
      <c r="EF67" s="120"/>
      <c r="EG67" s="120"/>
      <c r="EH67" s="120"/>
      <c r="EI67" s="120"/>
      <c r="EJ67" s="121"/>
      <c r="EK67" s="121"/>
      <c r="EL67" s="56"/>
      <c r="EM67" s="56"/>
      <c r="EN67" s="78"/>
      <c r="EO67" s="56"/>
      <c r="EP67" s="151"/>
      <c r="EQ67" s="151"/>
      <c r="ER67" s="52"/>
      <c r="ES67" s="129"/>
      <c r="ET67" s="60"/>
      <c r="EU67" s="129"/>
      <c r="EV67" s="21"/>
      <c r="EW67" s="129"/>
      <c r="EX67" s="129"/>
      <c r="EY67" s="129"/>
      <c r="EZ67" s="129"/>
      <c r="FA67" s="129"/>
      <c r="FB67" s="129"/>
      <c r="FC67" s="129"/>
      <c r="FD67" s="129"/>
      <c r="FE67" s="129"/>
      <c r="FF67" s="129"/>
      <c r="FG67" s="129"/>
      <c r="FH67" s="21"/>
      <c r="FI67" s="129"/>
      <c r="FJ67" s="129"/>
      <c r="FL67" s="174">
        <v>559</v>
      </c>
      <c r="FM67" s="56"/>
      <c r="FN67" s="78">
        <v>3</v>
      </c>
      <c r="FO67" s="56">
        <v>3</v>
      </c>
      <c r="FP67" s="78">
        <v>2</v>
      </c>
      <c r="FQ67" s="56">
        <v>1</v>
      </c>
      <c r="FR67" s="56">
        <v>2</v>
      </c>
      <c r="FS67" s="56">
        <v>1</v>
      </c>
      <c r="FT67" s="56">
        <v>1</v>
      </c>
      <c r="FU67" s="56">
        <v>2</v>
      </c>
      <c r="FV67" s="56">
        <v>2</v>
      </c>
      <c r="FW67" s="56">
        <v>2</v>
      </c>
      <c r="FX67" s="56">
        <v>2</v>
      </c>
      <c r="FY67" s="56">
        <v>1</v>
      </c>
      <c r="FZ67" s="56">
        <v>2</v>
      </c>
      <c r="GA67" s="56">
        <v>1</v>
      </c>
      <c r="GB67" s="78"/>
      <c r="GC67" s="56"/>
      <c r="GD67" s="56"/>
      <c r="GE67" s="56"/>
      <c r="GF67" s="56"/>
      <c r="GG67" s="56"/>
      <c r="GH67" s="56"/>
      <c r="GI67" s="56"/>
      <c r="GJ67" s="56"/>
      <c r="GK67" s="56"/>
      <c r="GL67" s="78"/>
      <c r="GM67" s="121"/>
      <c r="GN67" s="56"/>
      <c r="GO67" s="56"/>
      <c r="GP67" s="78"/>
      <c r="GQ67" s="56"/>
      <c r="GR67" s="151"/>
      <c r="GS67" s="151"/>
      <c r="GT67" s="52"/>
      <c r="GU67" s="129"/>
      <c r="GV67" s="60"/>
      <c r="GW67" s="129"/>
      <c r="GX67" s="21"/>
      <c r="GY67" s="129"/>
      <c r="GZ67" s="129"/>
      <c r="HA67" s="129"/>
      <c r="HB67" s="129"/>
      <c r="HC67" s="129"/>
      <c r="HD67" s="129"/>
      <c r="HE67" s="129"/>
      <c r="HF67" s="129"/>
      <c r="HG67" s="129"/>
      <c r="HH67" s="129"/>
      <c r="HI67" s="129"/>
      <c r="HJ67" s="21"/>
      <c r="HK67" s="129"/>
      <c r="HL67" s="129"/>
    </row>
    <row r="68" spans="4:220" ht="17.25">
      <c r="E68" s="54"/>
      <c r="F68" s="174">
        <v>560</v>
      </c>
      <c r="G68" s="34">
        <v>4</v>
      </c>
      <c r="H68" s="151">
        <v>4</v>
      </c>
      <c r="I68" s="151">
        <v>4</v>
      </c>
      <c r="J68" s="151">
        <v>4</v>
      </c>
      <c r="K68" s="151">
        <v>4</v>
      </c>
      <c r="L68" s="151">
        <v>4</v>
      </c>
      <c r="M68" s="151">
        <v>5</v>
      </c>
      <c r="N68" s="151">
        <v>5</v>
      </c>
      <c r="O68" s="151">
        <v>4</v>
      </c>
      <c r="P68" s="151">
        <v>6</v>
      </c>
      <c r="Q68" s="151">
        <v>4</v>
      </c>
      <c r="R68" s="151">
        <v>6</v>
      </c>
      <c r="S68" s="151">
        <v>5</v>
      </c>
      <c r="T68" s="151">
        <v>5</v>
      </c>
      <c r="U68" s="151"/>
      <c r="V68" s="78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78"/>
      <c r="AH68" s="78"/>
      <c r="AI68" s="56"/>
      <c r="AJ68" s="56"/>
      <c r="AK68" s="78"/>
      <c r="AL68" s="151"/>
      <c r="AM68" s="151"/>
      <c r="AN68" s="52"/>
      <c r="AO68" s="70"/>
      <c r="AP68" s="60"/>
      <c r="AQ68" s="52"/>
      <c r="AR68" s="70"/>
      <c r="AS68" s="70"/>
      <c r="AT68" s="70"/>
      <c r="AU68" s="70"/>
      <c r="AV68" s="70"/>
      <c r="AW68" s="70"/>
      <c r="AX68" s="70"/>
      <c r="AY68" s="70"/>
      <c r="AZ68" s="70"/>
      <c r="BA68" s="70"/>
      <c r="BB68" s="70"/>
      <c r="BC68" s="70"/>
      <c r="BD68" s="70"/>
      <c r="BE68" s="70"/>
      <c r="BF68" s="70"/>
      <c r="BG68" s="70"/>
      <c r="BH68" s="174">
        <v>560</v>
      </c>
      <c r="BI68" s="121">
        <v>4</v>
      </c>
      <c r="BJ68" s="121">
        <v>4</v>
      </c>
      <c r="BK68" s="121">
        <v>3</v>
      </c>
      <c r="BL68" s="121">
        <v>4</v>
      </c>
      <c r="BM68" s="121">
        <v>3</v>
      </c>
      <c r="BN68" s="121">
        <v>4</v>
      </c>
      <c r="BO68" s="120">
        <v>5</v>
      </c>
      <c r="BP68" s="120">
        <v>4</v>
      </c>
      <c r="BQ68" s="121">
        <v>4</v>
      </c>
      <c r="BR68" s="121">
        <v>5</v>
      </c>
      <c r="BS68" s="120">
        <v>4</v>
      </c>
      <c r="BT68" s="120">
        <v>5</v>
      </c>
      <c r="BU68" s="120">
        <v>5</v>
      </c>
      <c r="BV68" s="120">
        <v>5</v>
      </c>
      <c r="BW68" s="120"/>
      <c r="BX68" s="121"/>
      <c r="BY68" s="56"/>
      <c r="BZ68" s="56"/>
      <c r="CA68" s="56"/>
      <c r="CB68" s="56"/>
      <c r="CC68" s="56"/>
      <c r="CD68" s="56"/>
      <c r="CE68" s="56"/>
      <c r="CF68" s="56"/>
      <c r="CG68" s="56"/>
      <c r="CH68" s="56"/>
      <c r="CI68" s="121"/>
      <c r="CJ68" s="121"/>
      <c r="CK68" s="56"/>
      <c r="CL68" s="56"/>
      <c r="CM68" s="78"/>
      <c r="CN68" s="151"/>
      <c r="CO68" s="151"/>
      <c r="CP68" s="52"/>
      <c r="CQ68" s="129"/>
      <c r="CR68" s="60"/>
      <c r="CS68" s="52"/>
      <c r="CT68" s="129"/>
      <c r="CU68" s="129"/>
      <c r="CV68" s="129"/>
      <c r="CW68" s="129"/>
      <c r="CX68" s="129"/>
      <c r="CY68" s="129"/>
      <c r="CZ68" s="129"/>
      <c r="DA68" s="129"/>
      <c r="DB68" s="129"/>
      <c r="DC68" s="129"/>
      <c r="DD68" s="129"/>
      <c r="DE68" s="129"/>
      <c r="DF68" s="129"/>
      <c r="DG68" s="129"/>
      <c r="DH68" s="129"/>
      <c r="DI68" s="70"/>
      <c r="DJ68" s="174">
        <v>560</v>
      </c>
      <c r="DK68" s="120">
        <v>0</v>
      </c>
      <c r="DL68" s="120">
        <v>0</v>
      </c>
      <c r="DM68" s="120">
        <v>1</v>
      </c>
      <c r="DN68" s="120">
        <v>0</v>
      </c>
      <c r="DO68" s="120">
        <v>1</v>
      </c>
      <c r="DP68" s="120">
        <v>0</v>
      </c>
      <c r="DQ68" s="120">
        <v>0</v>
      </c>
      <c r="DR68" s="120">
        <v>1</v>
      </c>
      <c r="DS68" s="120">
        <v>0</v>
      </c>
      <c r="DT68" s="120">
        <v>1</v>
      </c>
      <c r="DU68" s="120">
        <v>0</v>
      </c>
      <c r="DV68" s="120">
        <v>1</v>
      </c>
      <c r="DW68" s="120">
        <v>0</v>
      </c>
      <c r="DX68" s="120">
        <v>0</v>
      </c>
      <c r="DY68" s="120"/>
      <c r="DZ68" s="121"/>
      <c r="EA68" s="120"/>
      <c r="EB68" s="120"/>
      <c r="EC68" s="120"/>
      <c r="ED68" s="120"/>
      <c r="EE68" s="120"/>
      <c r="EF68" s="120"/>
      <c r="EG68" s="120"/>
      <c r="EH68" s="120"/>
      <c r="EI68" s="120"/>
      <c r="EJ68" s="120"/>
      <c r="EK68" s="121"/>
      <c r="EL68" s="121"/>
      <c r="EM68" s="56"/>
      <c r="EN68" s="56"/>
      <c r="EO68" s="78"/>
      <c r="EP68" s="151"/>
      <c r="EQ68" s="151"/>
      <c r="ER68" s="52"/>
      <c r="ES68" s="129"/>
      <c r="ET68" s="60"/>
      <c r="EU68" s="52"/>
      <c r="EV68" s="129"/>
      <c r="EW68" s="129"/>
      <c r="EX68" s="129"/>
      <c r="EY68" s="129"/>
      <c r="EZ68" s="129"/>
      <c r="FA68" s="129"/>
      <c r="FB68" s="129"/>
      <c r="FC68" s="129"/>
      <c r="FD68" s="129"/>
      <c r="FE68" s="129"/>
      <c r="FF68" s="129"/>
      <c r="FG68" s="129"/>
      <c r="FH68" s="129"/>
      <c r="FI68" s="129"/>
      <c r="FJ68" s="129"/>
      <c r="FL68" s="174">
        <v>560</v>
      </c>
      <c r="FM68" s="56"/>
      <c r="FN68" s="78">
        <v>2</v>
      </c>
      <c r="FO68" s="56">
        <v>3</v>
      </c>
      <c r="FP68" s="78">
        <v>3</v>
      </c>
      <c r="FQ68" s="56">
        <v>0</v>
      </c>
      <c r="FR68" s="56">
        <v>3</v>
      </c>
      <c r="FS68" s="56">
        <v>2</v>
      </c>
      <c r="FT68" s="56">
        <v>4</v>
      </c>
      <c r="FU68" s="56">
        <v>4</v>
      </c>
      <c r="FV68" s="56">
        <v>3</v>
      </c>
      <c r="FW68" s="56">
        <v>2</v>
      </c>
      <c r="FX68" s="56">
        <v>0</v>
      </c>
      <c r="FY68" s="56">
        <v>2</v>
      </c>
      <c r="FZ68" s="56">
        <v>2</v>
      </c>
      <c r="GA68" s="56"/>
      <c r="GB68" s="78"/>
      <c r="GC68" s="56"/>
      <c r="GD68" s="56"/>
      <c r="GE68" s="56"/>
      <c r="GF68" s="56"/>
      <c r="GG68" s="56"/>
      <c r="GH68" s="56"/>
      <c r="GI68" s="56"/>
      <c r="GJ68" s="56"/>
      <c r="GK68" s="56"/>
      <c r="GL68" s="56"/>
      <c r="GM68" s="121"/>
      <c r="GN68" s="121"/>
      <c r="GO68" s="56"/>
      <c r="GP68" s="56"/>
      <c r="GQ68" s="78"/>
      <c r="GR68" s="151"/>
      <c r="GS68" s="151"/>
      <c r="GT68" s="52"/>
      <c r="GU68" s="129"/>
      <c r="GV68" s="60"/>
      <c r="GW68" s="52"/>
      <c r="GX68" s="129"/>
      <c r="GY68" s="129"/>
      <c r="GZ68" s="129"/>
      <c r="HA68" s="129"/>
      <c r="HB68" s="129"/>
      <c r="HC68" s="129"/>
      <c r="HD68" s="129"/>
      <c r="HE68" s="129"/>
      <c r="HF68" s="129"/>
      <c r="HG68" s="129"/>
      <c r="HH68" s="129"/>
      <c r="HI68" s="129"/>
      <c r="HJ68" s="129"/>
      <c r="HK68" s="129"/>
      <c r="HL68" s="129"/>
    </row>
    <row r="69" spans="4:220" ht="17.25">
      <c r="D69" s="54"/>
      <c r="E69" s="54"/>
      <c r="F69" s="174">
        <v>561</v>
      </c>
      <c r="G69" s="34">
        <v>5</v>
      </c>
      <c r="H69" s="151">
        <v>5</v>
      </c>
      <c r="I69" s="151">
        <v>6</v>
      </c>
      <c r="J69" s="151">
        <v>6</v>
      </c>
      <c r="K69" s="151">
        <v>4</v>
      </c>
      <c r="L69" s="151">
        <v>5</v>
      </c>
      <c r="M69" s="151">
        <v>5</v>
      </c>
      <c r="N69" s="151">
        <v>5</v>
      </c>
      <c r="O69" s="151">
        <v>3</v>
      </c>
      <c r="P69" s="151">
        <v>6</v>
      </c>
      <c r="Q69" s="151">
        <v>4</v>
      </c>
      <c r="R69" s="151">
        <v>5</v>
      </c>
      <c r="S69" s="151">
        <v>5</v>
      </c>
      <c r="T69" s="151"/>
      <c r="U69" s="151"/>
      <c r="V69" s="78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78"/>
      <c r="AI69" s="78"/>
      <c r="AJ69" s="56"/>
      <c r="AK69" s="56"/>
      <c r="AL69" s="151"/>
      <c r="AM69" s="151"/>
      <c r="AN69" s="52"/>
      <c r="AO69" s="70"/>
      <c r="AP69" s="70"/>
      <c r="AQ69" s="70"/>
      <c r="AR69" s="70"/>
      <c r="AS69" s="70"/>
      <c r="AT69" s="15"/>
      <c r="AU69" s="70"/>
      <c r="AV69" s="70"/>
      <c r="AW69" s="70"/>
      <c r="AX69" s="70"/>
      <c r="AY69" s="70"/>
      <c r="AZ69" s="70"/>
      <c r="BA69" s="70"/>
      <c r="BB69" s="70"/>
      <c r="BC69" s="70"/>
      <c r="BD69" s="70"/>
      <c r="BE69" s="70"/>
      <c r="BF69" s="70"/>
      <c r="BG69" s="70"/>
      <c r="BH69" s="174">
        <v>561</v>
      </c>
      <c r="BI69" s="121">
        <v>4</v>
      </c>
      <c r="BJ69" s="121">
        <v>5</v>
      </c>
      <c r="BK69" s="121">
        <v>5</v>
      </c>
      <c r="BL69" s="121">
        <v>6</v>
      </c>
      <c r="BM69" s="121">
        <v>4</v>
      </c>
      <c r="BN69" s="121">
        <v>4</v>
      </c>
      <c r="BO69" s="120">
        <v>5</v>
      </c>
      <c r="BP69" s="120">
        <v>5</v>
      </c>
      <c r="BQ69" s="121">
        <v>3</v>
      </c>
      <c r="BR69" s="120">
        <v>6</v>
      </c>
      <c r="BS69" s="120">
        <v>4</v>
      </c>
      <c r="BT69" s="120">
        <v>5</v>
      </c>
      <c r="BU69" s="120">
        <v>5</v>
      </c>
      <c r="BV69" s="120"/>
      <c r="BW69" s="120"/>
      <c r="BX69" s="121"/>
      <c r="BY69" s="56"/>
      <c r="BZ69" s="56"/>
      <c r="CA69" s="56"/>
      <c r="CB69" s="56"/>
      <c r="CC69" s="56"/>
      <c r="CD69" s="56"/>
      <c r="CE69" s="56"/>
      <c r="CF69" s="56"/>
      <c r="CG69" s="56"/>
      <c r="CH69" s="56"/>
      <c r="CI69" s="56"/>
      <c r="CJ69" s="121"/>
      <c r="CK69" s="78"/>
      <c r="CL69" s="56"/>
      <c r="CM69" s="56"/>
      <c r="CN69" s="151"/>
      <c r="CO69" s="151"/>
      <c r="CP69" s="52"/>
      <c r="CQ69" s="129"/>
      <c r="CR69" s="129"/>
      <c r="CS69" s="129"/>
      <c r="CT69" s="129"/>
      <c r="CU69" s="129"/>
      <c r="CV69" s="152"/>
      <c r="CW69" s="129"/>
      <c r="CX69" s="129"/>
      <c r="CY69" s="129"/>
      <c r="CZ69" s="129"/>
      <c r="DA69" s="129"/>
      <c r="DB69" s="129"/>
      <c r="DC69" s="129"/>
      <c r="DD69" s="129"/>
      <c r="DE69" s="129"/>
      <c r="DF69" s="129"/>
      <c r="DG69" s="129"/>
      <c r="DH69" s="129"/>
      <c r="DI69" s="70"/>
      <c r="DJ69" s="174">
        <v>561</v>
      </c>
      <c r="DK69" s="120">
        <v>1</v>
      </c>
      <c r="DL69" s="120">
        <v>0</v>
      </c>
      <c r="DM69" s="120">
        <v>1</v>
      </c>
      <c r="DN69" s="120">
        <v>0</v>
      </c>
      <c r="DO69" s="120">
        <v>0</v>
      </c>
      <c r="DP69" s="120">
        <v>1</v>
      </c>
      <c r="DQ69" s="120">
        <v>0</v>
      </c>
      <c r="DR69" s="120">
        <v>0</v>
      </c>
      <c r="DS69" s="120">
        <v>0</v>
      </c>
      <c r="DT69" s="120">
        <v>0</v>
      </c>
      <c r="DU69" s="120">
        <v>0</v>
      </c>
      <c r="DV69" s="120">
        <v>0</v>
      </c>
      <c r="DW69" s="120">
        <v>0</v>
      </c>
      <c r="DX69" s="120"/>
      <c r="DY69" s="120"/>
      <c r="DZ69" s="121"/>
      <c r="EA69" s="120"/>
      <c r="EB69" s="120"/>
      <c r="EC69" s="120"/>
      <c r="ED69" s="120"/>
      <c r="EE69" s="120"/>
      <c r="EF69" s="120"/>
      <c r="EG69" s="120"/>
      <c r="EH69" s="120"/>
      <c r="EI69" s="120"/>
      <c r="EJ69" s="120"/>
      <c r="EK69" s="56"/>
      <c r="EL69" s="121"/>
      <c r="EM69" s="78"/>
      <c r="EN69" s="56"/>
      <c r="EO69" s="56"/>
      <c r="EP69" s="151"/>
      <c r="EQ69" s="151"/>
      <c r="ER69" s="52"/>
      <c r="ES69" s="129"/>
      <c r="ET69" s="129"/>
      <c r="EU69" s="129"/>
      <c r="EV69" s="129"/>
      <c r="EW69" s="129"/>
      <c r="EX69" s="152"/>
      <c r="EY69" s="129"/>
      <c r="EZ69" s="129"/>
      <c r="FA69" s="129"/>
      <c r="FB69" s="129"/>
      <c r="FC69" s="129"/>
      <c r="FD69" s="129"/>
      <c r="FE69" s="129"/>
      <c r="FF69" s="129"/>
      <c r="FG69" s="129"/>
      <c r="FH69" s="129"/>
      <c r="FI69" s="129"/>
      <c r="FJ69" s="129"/>
      <c r="FL69" s="174">
        <v>561</v>
      </c>
      <c r="FM69" s="56"/>
      <c r="FN69" s="78">
        <v>2</v>
      </c>
      <c r="FO69" s="56">
        <v>1</v>
      </c>
      <c r="FP69" s="78">
        <v>2</v>
      </c>
      <c r="FQ69" s="56">
        <v>2</v>
      </c>
      <c r="FR69" s="56">
        <v>2</v>
      </c>
      <c r="FS69" s="56">
        <v>1</v>
      </c>
      <c r="FT69" s="56">
        <v>2</v>
      </c>
      <c r="FU69" s="56">
        <v>1</v>
      </c>
      <c r="FV69" s="56">
        <v>0</v>
      </c>
      <c r="FW69" s="56">
        <v>2</v>
      </c>
      <c r="FX69" s="56">
        <v>4</v>
      </c>
      <c r="FY69" s="56">
        <v>2</v>
      </c>
      <c r="FZ69" s="56"/>
      <c r="GA69" s="56"/>
      <c r="GB69" s="78"/>
      <c r="GC69" s="56"/>
      <c r="GD69" s="56"/>
      <c r="GE69" s="56"/>
      <c r="GF69" s="56"/>
      <c r="GG69" s="56"/>
      <c r="GH69" s="56"/>
      <c r="GI69" s="56"/>
      <c r="GJ69" s="56"/>
      <c r="GK69" s="56"/>
      <c r="GL69" s="56"/>
      <c r="GM69" s="56"/>
      <c r="GN69" s="121"/>
      <c r="GO69" s="78"/>
      <c r="GP69" s="56"/>
      <c r="GQ69" s="56"/>
      <c r="GR69" s="151"/>
      <c r="GS69" s="151"/>
      <c r="GT69" s="52"/>
      <c r="GU69" s="129"/>
      <c r="GV69" s="129"/>
      <c r="GW69" s="129"/>
      <c r="GX69" s="129"/>
      <c r="GY69" s="129"/>
      <c r="GZ69" s="152"/>
      <c r="HA69" s="129"/>
      <c r="HB69" s="129"/>
      <c r="HC69" s="129"/>
      <c r="HD69" s="129"/>
      <c r="HE69" s="129"/>
      <c r="HF69" s="129"/>
      <c r="HG69" s="129"/>
      <c r="HH69" s="129"/>
      <c r="HI69" s="129"/>
      <c r="HJ69" s="129"/>
      <c r="HK69" s="129"/>
      <c r="HL69" s="129"/>
    </row>
    <row r="70" spans="4:220" ht="17.25">
      <c r="D70" s="54"/>
      <c r="E70" s="54"/>
      <c r="F70" s="174">
        <v>562</v>
      </c>
      <c r="G70" s="34">
        <v>4</v>
      </c>
      <c r="H70" s="151">
        <v>3</v>
      </c>
      <c r="I70" s="151">
        <v>4</v>
      </c>
      <c r="J70" s="151">
        <v>3</v>
      </c>
      <c r="K70" s="151">
        <v>5</v>
      </c>
      <c r="L70" s="151">
        <v>3</v>
      </c>
      <c r="M70" s="151">
        <v>5</v>
      </c>
      <c r="N70" s="151">
        <v>6</v>
      </c>
      <c r="O70" s="151">
        <v>6</v>
      </c>
      <c r="P70" s="151">
        <v>6</v>
      </c>
      <c r="Q70" s="151">
        <v>6</v>
      </c>
      <c r="R70" s="151">
        <v>5</v>
      </c>
      <c r="S70" s="151"/>
      <c r="T70" s="151"/>
      <c r="U70" s="151"/>
      <c r="V70" s="34"/>
      <c r="W70" s="151"/>
      <c r="X70" s="151"/>
      <c r="Y70" s="151"/>
      <c r="Z70" s="151"/>
      <c r="AA70" s="151"/>
      <c r="AB70" s="151"/>
      <c r="AC70" s="151"/>
      <c r="AD70" s="151"/>
      <c r="AE70" s="151"/>
      <c r="AF70" s="151"/>
      <c r="AG70" s="151"/>
      <c r="AH70" s="49"/>
      <c r="AI70" s="49"/>
      <c r="AJ70" s="49"/>
      <c r="AK70" s="151"/>
      <c r="AL70" s="151"/>
      <c r="AM70" s="151"/>
      <c r="AN70" s="52"/>
      <c r="AO70" s="70"/>
      <c r="AP70" s="15"/>
      <c r="AQ70" s="70"/>
      <c r="AR70" s="70"/>
      <c r="AS70" s="70"/>
      <c r="AT70" s="70"/>
      <c r="AU70" s="70"/>
      <c r="AV70" s="70"/>
      <c r="AW70" s="70"/>
      <c r="AX70" s="70"/>
      <c r="AY70" s="70"/>
      <c r="AZ70" s="70"/>
      <c r="BA70" s="70"/>
      <c r="BB70" s="70"/>
      <c r="BC70" s="70"/>
      <c r="BD70" s="70"/>
      <c r="BE70" s="70"/>
      <c r="BF70" s="70"/>
      <c r="BG70" s="70"/>
      <c r="BH70" s="174">
        <v>562</v>
      </c>
      <c r="BI70" s="121">
        <v>4</v>
      </c>
      <c r="BJ70" s="121">
        <v>3</v>
      </c>
      <c r="BK70" s="121">
        <v>4</v>
      </c>
      <c r="BL70" s="121">
        <v>3</v>
      </c>
      <c r="BM70" s="121">
        <v>5</v>
      </c>
      <c r="BN70" s="121">
        <v>2</v>
      </c>
      <c r="BO70" s="120">
        <v>5</v>
      </c>
      <c r="BP70" s="120">
        <v>6</v>
      </c>
      <c r="BQ70" s="120">
        <v>6</v>
      </c>
      <c r="BR70" s="120">
        <v>6</v>
      </c>
      <c r="BS70" s="120">
        <v>6</v>
      </c>
      <c r="BT70" s="120">
        <v>5</v>
      </c>
      <c r="BU70" s="120"/>
      <c r="BV70" s="120"/>
      <c r="BW70" s="120"/>
      <c r="BX70" s="121"/>
      <c r="BY70" s="120"/>
      <c r="BZ70" s="120"/>
      <c r="CA70" s="120"/>
      <c r="CB70" s="120"/>
      <c r="CC70" s="120"/>
      <c r="CD70" s="120"/>
      <c r="CE70" s="120"/>
      <c r="CF70" s="120"/>
      <c r="CG70" s="120"/>
      <c r="CH70" s="120"/>
      <c r="CI70" s="120"/>
      <c r="CJ70" s="121"/>
      <c r="CK70" s="49"/>
      <c r="CL70" s="49"/>
      <c r="CM70" s="151"/>
      <c r="CN70" s="151"/>
      <c r="CO70" s="151"/>
      <c r="CP70" s="52"/>
      <c r="CQ70" s="129"/>
      <c r="CR70" s="152"/>
      <c r="CS70" s="129"/>
      <c r="CT70" s="129"/>
      <c r="CU70" s="129"/>
      <c r="CV70" s="129"/>
      <c r="CW70" s="129"/>
      <c r="CX70" s="129"/>
      <c r="CY70" s="129"/>
      <c r="CZ70" s="129"/>
      <c r="DA70" s="129"/>
      <c r="DB70" s="129"/>
      <c r="DC70" s="129"/>
      <c r="DD70" s="129"/>
      <c r="DE70" s="129"/>
      <c r="DF70" s="129"/>
      <c r="DG70" s="129"/>
      <c r="DH70" s="129"/>
      <c r="DI70" s="70"/>
      <c r="DJ70" s="174">
        <v>562</v>
      </c>
      <c r="DK70" s="120">
        <v>0</v>
      </c>
      <c r="DL70" s="120">
        <v>0</v>
      </c>
      <c r="DM70" s="120">
        <v>0</v>
      </c>
      <c r="DN70" s="120">
        <v>0</v>
      </c>
      <c r="DO70" s="120">
        <v>0</v>
      </c>
      <c r="DP70" s="120">
        <v>1</v>
      </c>
      <c r="DQ70" s="120">
        <v>0</v>
      </c>
      <c r="DR70" s="120">
        <v>0</v>
      </c>
      <c r="DS70" s="120">
        <v>0</v>
      </c>
      <c r="DT70" s="120">
        <v>0</v>
      </c>
      <c r="DU70" s="120">
        <v>0</v>
      </c>
      <c r="DV70" s="120">
        <v>0</v>
      </c>
      <c r="DW70" s="120"/>
      <c r="DX70" s="120"/>
      <c r="DY70" s="120"/>
      <c r="DZ70" s="121"/>
      <c r="EA70" s="120"/>
      <c r="EB70" s="120"/>
      <c r="EC70" s="120"/>
      <c r="ED70" s="120"/>
      <c r="EE70" s="120"/>
      <c r="EF70" s="120"/>
      <c r="EG70" s="120"/>
      <c r="EH70" s="120"/>
      <c r="EI70" s="120"/>
      <c r="EJ70" s="120"/>
      <c r="EK70" s="120"/>
      <c r="EL70" s="121"/>
      <c r="EM70" s="49"/>
      <c r="EN70" s="49"/>
      <c r="EO70" s="151"/>
      <c r="EP70" s="151"/>
      <c r="EQ70" s="151"/>
      <c r="ER70" s="52"/>
      <c r="ES70" s="129"/>
      <c r="ET70" s="152"/>
      <c r="EU70" s="129"/>
      <c r="EV70" s="129"/>
      <c r="EW70" s="129"/>
      <c r="EX70" s="129"/>
      <c r="EY70" s="129"/>
      <c r="EZ70" s="129"/>
      <c r="FA70" s="129"/>
      <c r="FB70" s="129"/>
      <c r="FC70" s="129"/>
      <c r="FD70" s="129"/>
      <c r="FE70" s="129"/>
      <c r="FF70" s="129"/>
      <c r="FG70" s="129"/>
      <c r="FH70" s="129"/>
      <c r="FI70" s="129"/>
      <c r="FJ70" s="129"/>
      <c r="FL70" s="174">
        <v>562</v>
      </c>
      <c r="FM70" s="56"/>
      <c r="FN70" s="78">
        <v>2</v>
      </c>
      <c r="FO70" s="56">
        <v>0</v>
      </c>
      <c r="FP70" s="78">
        <v>1</v>
      </c>
      <c r="FQ70" s="56">
        <v>2</v>
      </c>
      <c r="FR70" s="56">
        <v>0</v>
      </c>
      <c r="FS70" s="56">
        <v>4</v>
      </c>
      <c r="FT70" s="56">
        <v>3</v>
      </c>
      <c r="FU70" s="56">
        <v>1</v>
      </c>
      <c r="FV70" s="56">
        <v>1</v>
      </c>
      <c r="FW70" s="56">
        <v>3</v>
      </c>
      <c r="FX70" s="56">
        <v>3</v>
      </c>
      <c r="FY70" s="56"/>
      <c r="FZ70" s="56"/>
      <c r="GA70" s="56"/>
      <c r="GB70" s="78"/>
      <c r="GC70" s="56"/>
      <c r="GD70" s="56"/>
      <c r="GE70" s="56"/>
      <c r="GF70" s="56"/>
      <c r="GG70" s="56"/>
      <c r="GH70" s="56"/>
      <c r="GI70" s="56"/>
      <c r="GJ70" s="56"/>
      <c r="GK70" s="56"/>
      <c r="GL70" s="56"/>
      <c r="GM70" s="120"/>
      <c r="GN70" s="121"/>
      <c r="GO70" s="49"/>
      <c r="GP70" s="49"/>
      <c r="GQ70" s="151"/>
      <c r="GR70" s="151"/>
      <c r="GS70" s="151"/>
      <c r="GT70" s="52"/>
      <c r="GU70" s="129"/>
      <c r="GV70" s="152"/>
      <c r="GW70" s="129"/>
      <c r="GX70" s="129"/>
      <c r="GY70" s="129"/>
      <c r="GZ70" s="129"/>
      <c r="HA70" s="129"/>
      <c r="HB70" s="129"/>
      <c r="HC70" s="129"/>
      <c r="HD70" s="129"/>
      <c r="HE70" s="129"/>
      <c r="HF70" s="129"/>
      <c r="HG70" s="129"/>
      <c r="HH70" s="129"/>
      <c r="HI70" s="129"/>
      <c r="HJ70" s="129"/>
      <c r="HK70" s="129"/>
      <c r="HL70" s="129"/>
    </row>
    <row r="71" spans="4:220" ht="17.25">
      <c r="D71" s="60"/>
      <c r="E71" s="70"/>
      <c r="F71" s="174">
        <v>563</v>
      </c>
      <c r="G71" s="34">
        <v>6</v>
      </c>
      <c r="H71" s="151">
        <v>3</v>
      </c>
      <c r="I71" s="151">
        <v>6</v>
      </c>
      <c r="J71" s="151">
        <v>5</v>
      </c>
      <c r="K71" s="151">
        <v>4</v>
      </c>
      <c r="L71" s="151">
        <v>4</v>
      </c>
      <c r="M71" s="151">
        <v>3</v>
      </c>
      <c r="N71" s="151">
        <v>2</v>
      </c>
      <c r="O71" s="151">
        <v>4</v>
      </c>
      <c r="P71" s="151">
        <v>5</v>
      </c>
      <c r="Q71" s="151">
        <v>4</v>
      </c>
      <c r="R71" s="151"/>
      <c r="S71" s="151"/>
      <c r="T71" s="151"/>
      <c r="U71" s="151"/>
      <c r="V71" s="34"/>
      <c r="W71" s="151"/>
      <c r="X71" s="56"/>
      <c r="Y71" s="151"/>
      <c r="Z71" s="151"/>
      <c r="AA71" s="151"/>
      <c r="AB71" s="151"/>
      <c r="AC71" s="151"/>
      <c r="AD71" s="151"/>
      <c r="AE71" s="151"/>
      <c r="AF71" s="151"/>
      <c r="AG71" s="151"/>
      <c r="AH71" s="151"/>
      <c r="AI71" s="151"/>
      <c r="AJ71" s="151"/>
      <c r="AK71" s="151"/>
      <c r="AL71" s="151"/>
      <c r="AM71" s="151"/>
      <c r="AN71" s="52"/>
      <c r="AO71" s="70"/>
      <c r="AP71" s="70"/>
      <c r="AQ71" s="70"/>
      <c r="AR71" s="70"/>
      <c r="AS71" s="70"/>
      <c r="AT71" s="70"/>
      <c r="AU71" s="70"/>
      <c r="AV71" s="70"/>
      <c r="AW71" s="70"/>
      <c r="AX71" s="70"/>
      <c r="AY71" s="70"/>
      <c r="AZ71" s="70"/>
      <c r="BA71" s="70"/>
      <c r="BB71" s="70"/>
      <c r="BC71" s="70"/>
      <c r="BD71" s="70"/>
      <c r="BE71" s="70"/>
      <c r="BF71" s="70"/>
      <c r="BG71" s="70"/>
      <c r="BH71" s="174">
        <v>563</v>
      </c>
      <c r="BI71" s="121">
        <v>6</v>
      </c>
      <c r="BJ71" s="121">
        <v>2</v>
      </c>
      <c r="BK71" s="121">
        <v>4</v>
      </c>
      <c r="BL71" s="121">
        <v>5</v>
      </c>
      <c r="BM71" s="121">
        <v>4</v>
      </c>
      <c r="BN71" s="121">
        <v>4</v>
      </c>
      <c r="BO71" s="120">
        <v>3</v>
      </c>
      <c r="BP71" s="120">
        <v>1</v>
      </c>
      <c r="BQ71" s="120">
        <v>4</v>
      </c>
      <c r="BR71" s="120">
        <v>4</v>
      </c>
      <c r="BS71" s="120">
        <v>4</v>
      </c>
      <c r="BT71" s="120"/>
      <c r="BU71" s="120"/>
      <c r="BV71" s="120"/>
      <c r="BW71" s="120"/>
      <c r="BX71" s="121"/>
      <c r="BY71" s="120"/>
      <c r="BZ71" s="56"/>
      <c r="CA71" s="120"/>
      <c r="CB71" s="120"/>
      <c r="CC71" s="120"/>
      <c r="CD71" s="120"/>
      <c r="CE71" s="120"/>
      <c r="CF71" s="120"/>
      <c r="CG71" s="120"/>
      <c r="CH71" s="120"/>
      <c r="CI71" s="120"/>
      <c r="CJ71" s="120"/>
      <c r="CK71" s="151"/>
      <c r="CL71" s="151"/>
      <c r="CM71" s="151"/>
      <c r="CN71" s="151"/>
      <c r="CO71" s="151"/>
      <c r="CP71" s="52"/>
      <c r="CQ71" s="129"/>
      <c r="CR71" s="129"/>
      <c r="CS71" s="129"/>
      <c r="CT71" s="129"/>
      <c r="CU71" s="129"/>
      <c r="CV71" s="129"/>
      <c r="CW71" s="129"/>
      <c r="CX71" s="129"/>
      <c r="CY71" s="129"/>
      <c r="CZ71" s="129"/>
      <c r="DA71" s="129"/>
      <c r="DB71" s="129"/>
      <c r="DC71" s="129"/>
      <c r="DD71" s="129"/>
      <c r="DE71" s="129"/>
      <c r="DF71" s="129"/>
      <c r="DG71" s="129"/>
      <c r="DH71" s="129"/>
      <c r="DI71" s="70"/>
      <c r="DJ71" s="174">
        <v>563</v>
      </c>
      <c r="DK71" s="120">
        <v>0</v>
      </c>
      <c r="DL71" s="120">
        <v>1</v>
      </c>
      <c r="DM71" s="120">
        <v>2</v>
      </c>
      <c r="DN71" s="120">
        <v>0</v>
      </c>
      <c r="DO71" s="120">
        <v>0</v>
      </c>
      <c r="DP71" s="120">
        <v>0</v>
      </c>
      <c r="DQ71" s="120">
        <v>0</v>
      </c>
      <c r="DR71" s="120">
        <v>1</v>
      </c>
      <c r="DS71" s="120">
        <v>0</v>
      </c>
      <c r="DT71" s="120">
        <v>1</v>
      </c>
      <c r="DU71" s="120">
        <v>0</v>
      </c>
      <c r="DV71" s="120"/>
      <c r="DW71" s="120"/>
      <c r="DX71" s="120"/>
      <c r="DY71" s="120"/>
      <c r="DZ71" s="121"/>
      <c r="EA71" s="120"/>
      <c r="EB71" s="120"/>
      <c r="EC71" s="120"/>
      <c r="ED71" s="120"/>
      <c r="EE71" s="120"/>
      <c r="EF71" s="120"/>
      <c r="EG71" s="120"/>
      <c r="EH71" s="120"/>
      <c r="EI71" s="120"/>
      <c r="EJ71" s="120"/>
      <c r="EK71" s="120"/>
      <c r="EL71" s="120"/>
      <c r="EM71" s="151"/>
      <c r="EN71" s="151"/>
      <c r="EO71" s="151"/>
      <c r="EP71" s="151"/>
      <c r="EQ71" s="151"/>
      <c r="ER71" s="52"/>
      <c r="ES71" s="129"/>
      <c r="ET71" s="129"/>
      <c r="EU71" s="129"/>
      <c r="EV71" s="129"/>
      <c r="EW71" s="129"/>
      <c r="EX71" s="129"/>
      <c r="EY71" s="129"/>
      <c r="EZ71" s="129"/>
      <c r="FA71" s="129"/>
      <c r="FB71" s="129"/>
      <c r="FC71" s="129"/>
      <c r="FD71" s="129"/>
      <c r="FE71" s="129"/>
      <c r="FF71" s="129"/>
      <c r="FG71" s="129"/>
      <c r="FH71" s="129"/>
      <c r="FI71" s="129"/>
      <c r="FJ71" s="129"/>
      <c r="FL71" s="174">
        <v>563</v>
      </c>
      <c r="FM71" s="56"/>
      <c r="FN71" s="78">
        <v>1</v>
      </c>
      <c r="FO71" s="56">
        <v>1</v>
      </c>
      <c r="FP71" s="78">
        <v>2</v>
      </c>
      <c r="FQ71" s="56">
        <v>4</v>
      </c>
      <c r="FR71" s="56">
        <v>3</v>
      </c>
      <c r="FS71" s="56">
        <v>1</v>
      </c>
      <c r="FT71" s="56">
        <v>1</v>
      </c>
      <c r="FU71" s="56">
        <v>3</v>
      </c>
      <c r="FV71" s="56">
        <v>0</v>
      </c>
      <c r="FW71" s="56">
        <v>0</v>
      </c>
      <c r="FX71" s="56"/>
      <c r="FY71" s="56"/>
      <c r="FZ71" s="56"/>
      <c r="GA71" s="56"/>
      <c r="GB71" s="78"/>
      <c r="GC71" s="56"/>
      <c r="GD71" s="56"/>
      <c r="GE71" s="56"/>
      <c r="GF71" s="56"/>
      <c r="GG71" s="56"/>
      <c r="GH71" s="56"/>
      <c r="GI71" s="56"/>
      <c r="GJ71" s="56"/>
      <c r="GK71" s="56"/>
      <c r="GL71" s="56"/>
      <c r="GM71" s="120"/>
      <c r="GN71" s="120"/>
      <c r="GO71" s="151"/>
      <c r="GP71" s="151"/>
      <c r="GQ71" s="151"/>
      <c r="GR71" s="151"/>
      <c r="GS71" s="151"/>
      <c r="GT71" s="52"/>
      <c r="GU71" s="129"/>
      <c r="GV71" s="129"/>
      <c r="GW71" s="129"/>
      <c r="GX71" s="129"/>
      <c r="GY71" s="129"/>
      <c r="GZ71" s="129"/>
      <c r="HA71" s="129"/>
      <c r="HB71" s="129"/>
      <c r="HC71" s="129"/>
      <c r="HD71" s="129"/>
      <c r="HE71" s="129"/>
      <c r="HF71" s="129"/>
      <c r="HG71" s="129"/>
      <c r="HH71" s="129"/>
      <c r="HI71" s="129"/>
      <c r="HJ71" s="129"/>
      <c r="HK71" s="129"/>
      <c r="HL71" s="129"/>
    </row>
    <row r="72" spans="4:220" ht="17.25">
      <c r="D72" s="70"/>
      <c r="E72" s="70"/>
      <c r="F72" s="174">
        <v>564</v>
      </c>
      <c r="G72" s="151">
        <v>1</v>
      </c>
      <c r="H72" s="151">
        <v>3</v>
      </c>
      <c r="I72" s="151">
        <v>1</v>
      </c>
      <c r="J72" s="151">
        <v>1</v>
      </c>
      <c r="K72" s="151">
        <v>1</v>
      </c>
      <c r="L72" s="151">
        <v>3</v>
      </c>
      <c r="M72" s="151">
        <v>3</v>
      </c>
      <c r="N72" s="151">
        <v>2</v>
      </c>
      <c r="O72" s="151">
        <v>4</v>
      </c>
      <c r="P72" s="151">
        <v>0</v>
      </c>
      <c r="Q72" s="151"/>
      <c r="R72" s="151"/>
      <c r="S72" s="151"/>
      <c r="T72" s="151"/>
      <c r="U72" s="151"/>
      <c r="V72" s="151"/>
      <c r="W72" s="151"/>
      <c r="X72" s="151"/>
      <c r="Y72" s="151"/>
      <c r="Z72" s="151"/>
      <c r="AA72" s="151"/>
      <c r="AB72" s="151"/>
      <c r="AC72" s="151"/>
      <c r="AD72" s="151"/>
      <c r="AE72" s="151"/>
      <c r="AF72" s="151"/>
      <c r="AG72" s="151"/>
      <c r="AH72" s="151"/>
      <c r="AI72" s="151"/>
      <c r="AJ72" s="151"/>
      <c r="AK72" s="151"/>
      <c r="AL72" s="151"/>
      <c r="AM72" s="151"/>
      <c r="AN72" s="52"/>
      <c r="AO72" s="70"/>
      <c r="AP72" s="70"/>
      <c r="AQ72" s="70"/>
      <c r="AR72" s="70"/>
      <c r="AS72" s="70"/>
      <c r="AT72" s="70"/>
      <c r="AU72" s="70"/>
      <c r="AV72" s="70"/>
      <c r="AW72" s="70"/>
      <c r="AX72" s="70"/>
      <c r="AY72" s="70"/>
      <c r="AZ72" s="70"/>
      <c r="BA72" s="70"/>
      <c r="BB72" s="70"/>
      <c r="BC72" s="70"/>
      <c r="BD72" s="70"/>
      <c r="BE72" s="70"/>
      <c r="BF72" s="70"/>
      <c r="BG72" s="70"/>
      <c r="BH72" s="174">
        <v>564</v>
      </c>
      <c r="BI72" s="121">
        <v>1</v>
      </c>
      <c r="BJ72" s="121">
        <v>2</v>
      </c>
      <c r="BK72" s="121">
        <v>1</v>
      </c>
      <c r="BL72" s="121">
        <v>0</v>
      </c>
      <c r="BM72" s="121">
        <v>1</v>
      </c>
      <c r="BN72" s="121">
        <v>3</v>
      </c>
      <c r="BO72" s="120">
        <v>3</v>
      </c>
      <c r="BP72" s="120">
        <v>1</v>
      </c>
      <c r="BQ72" s="120">
        <v>3</v>
      </c>
      <c r="BR72" s="120">
        <v>0</v>
      </c>
      <c r="BS72" s="120"/>
      <c r="BT72" s="120"/>
      <c r="BU72" s="120"/>
      <c r="BV72" s="120"/>
      <c r="BW72" s="120"/>
      <c r="BX72" s="120"/>
      <c r="BY72" s="120"/>
      <c r="BZ72" s="120"/>
      <c r="CA72" s="120"/>
      <c r="CB72" s="120"/>
      <c r="CC72" s="120"/>
      <c r="CD72" s="120"/>
      <c r="CE72" s="120"/>
      <c r="CF72" s="120"/>
      <c r="CG72" s="120"/>
      <c r="CH72" s="120"/>
      <c r="CI72" s="120"/>
      <c r="CJ72" s="120"/>
      <c r="CK72" s="151"/>
      <c r="CL72" s="151"/>
      <c r="CM72" s="151"/>
      <c r="CN72" s="151"/>
      <c r="CO72" s="151"/>
      <c r="CP72" s="52"/>
      <c r="CQ72" s="129"/>
      <c r="CR72" s="129"/>
      <c r="CS72" s="129"/>
      <c r="CT72" s="129"/>
      <c r="CU72" s="129"/>
      <c r="CV72" s="129"/>
      <c r="CW72" s="129"/>
      <c r="CX72" s="129"/>
      <c r="CY72" s="129"/>
      <c r="CZ72" s="129"/>
      <c r="DA72" s="129"/>
      <c r="DB72" s="129"/>
      <c r="DC72" s="129"/>
      <c r="DD72" s="129"/>
      <c r="DE72" s="129"/>
      <c r="DF72" s="129"/>
      <c r="DG72" s="129"/>
      <c r="DH72" s="129"/>
      <c r="DI72" s="70"/>
      <c r="DJ72" s="174">
        <v>564</v>
      </c>
      <c r="DK72" s="120">
        <v>0</v>
      </c>
      <c r="DL72" s="120">
        <v>1</v>
      </c>
      <c r="DM72" s="120">
        <v>0</v>
      </c>
      <c r="DN72" s="120">
        <v>1</v>
      </c>
      <c r="DO72" s="120">
        <v>0</v>
      </c>
      <c r="DP72" s="120">
        <v>0</v>
      </c>
      <c r="DQ72" s="120">
        <v>0</v>
      </c>
      <c r="DR72" s="120">
        <v>1</v>
      </c>
      <c r="DS72" s="120">
        <v>1</v>
      </c>
      <c r="DT72" s="120">
        <v>0</v>
      </c>
      <c r="DU72" s="120"/>
      <c r="DV72" s="120"/>
      <c r="DW72" s="120"/>
      <c r="DX72" s="120"/>
      <c r="DY72" s="120"/>
      <c r="DZ72" s="120"/>
      <c r="EA72" s="120"/>
      <c r="EB72" s="120"/>
      <c r="EC72" s="120"/>
      <c r="ED72" s="120"/>
      <c r="EE72" s="120"/>
      <c r="EF72" s="120"/>
      <c r="EG72" s="120"/>
      <c r="EH72" s="120"/>
      <c r="EI72" s="120"/>
      <c r="EJ72" s="120"/>
      <c r="EK72" s="120"/>
      <c r="EL72" s="120"/>
      <c r="EM72" s="151"/>
      <c r="EN72" s="151"/>
      <c r="EO72" s="151"/>
      <c r="EP72" s="151"/>
      <c r="EQ72" s="151"/>
      <c r="ER72" s="52"/>
      <c r="ES72" s="129"/>
      <c r="ET72" s="129"/>
      <c r="EU72" s="129"/>
      <c r="EV72" s="129"/>
      <c r="EW72" s="129"/>
      <c r="EX72" s="129"/>
      <c r="EY72" s="129"/>
      <c r="EZ72" s="129"/>
      <c r="FA72" s="129"/>
      <c r="FB72" s="129"/>
      <c r="FC72" s="129"/>
      <c r="FD72" s="129"/>
      <c r="FE72" s="129"/>
      <c r="FF72" s="129"/>
      <c r="FG72" s="129"/>
      <c r="FH72" s="129"/>
      <c r="FI72" s="129"/>
      <c r="FJ72" s="129"/>
      <c r="FL72" s="174">
        <v>564</v>
      </c>
      <c r="FM72" s="56"/>
      <c r="FN72" s="78">
        <v>2</v>
      </c>
      <c r="FO72" s="56">
        <v>4</v>
      </c>
      <c r="FP72" s="78">
        <v>3</v>
      </c>
      <c r="FQ72" s="56">
        <v>1</v>
      </c>
      <c r="FR72" s="56">
        <v>1</v>
      </c>
      <c r="FS72" s="56">
        <v>4</v>
      </c>
      <c r="FT72" s="56">
        <v>1</v>
      </c>
      <c r="FU72" s="56">
        <v>0</v>
      </c>
      <c r="FV72" s="56">
        <v>2</v>
      </c>
      <c r="FW72" s="56"/>
      <c r="FX72" s="56"/>
      <c r="FY72" s="56"/>
      <c r="FZ72" s="56"/>
      <c r="GA72" s="56"/>
      <c r="GB72" s="56"/>
      <c r="GC72" s="56"/>
      <c r="GD72" s="56"/>
      <c r="GE72" s="56"/>
      <c r="GF72" s="56"/>
      <c r="GG72" s="56"/>
      <c r="GH72" s="56"/>
      <c r="GI72" s="56"/>
      <c r="GJ72" s="56"/>
      <c r="GK72" s="56"/>
      <c r="GL72" s="56"/>
      <c r="GM72" s="120"/>
      <c r="GN72" s="120"/>
      <c r="GO72" s="151"/>
      <c r="GP72" s="151"/>
      <c r="GQ72" s="151"/>
      <c r="GR72" s="151"/>
      <c r="GS72" s="151"/>
      <c r="GT72" s="52"/>
      <c r="GU72" s="129"/>
      <c r="GV72" s="129"/>
      <c r="GW72" s="129"/>
      <c r="GX72" s="129"/>
      <c r="GY72" s="129"/>
      <c r="GZ72" s="129"/>
      <c r="HA72" s="129"/>
      <c r="HB72" s="129"/>
      <c r="HC72" s="129"/>
      <c r="HD72" s="129"/>
      <c r="HE72" s="129"/>
      <c r="HF72" s="129"/>
      <c r="HG72" s="129"/>
      <c r="HH72" s="129"/>
      <c r="HI72" s="129"/>
      <c r="HJ72" s="129"/>
      <c r="HK72" s="129"/>
      <c r="HL72" s="129"/>
    </row>
    <row r="73" spans="4:220" ht="17.25">
      <c r="D73" s="70"/>
      <c r="E73" s="70"/>
      <c r="F73" s="174">
        <v>565</v>
      </c>
      <c r="G73" s="151">
        <v>5</v>
      </c>
      <c r="H73" s="151">
        <v>4</v>
      </c>
      <c r="I73" s="151">
        <v>6</v>
      </c>
      <c r="J73" s="151">
        <v>6</v>
      </c>
      <c r="K73" s="151">
        <v>4</v>
      </c>
      <c r="L73" s="151">
        <v>5</v>
      </c>
      <c r="M73" s="151">
        <v>2</v>
      </c>
      <c r="N73" s="151">
        <v>4</v>
      </c>
      <c r="O73" s="151">
        <v>3</v>
      </c>
      <c r="P73" s="49"/>
      <c r="Q73" s="151"/>
      <c r="R73" s="151"/>
      <c r="S73" s="151"/>
      <c r="T73" s="151"/>
      <c r="U73" s="151"/>
      <c r="V73" s="151"/>
      <c r="W73" s="151"/>
      <c r="X73" s="151"/>
      <c r="Y73" s="151"/>
      <c r="Z73" s="151"/>
      <c r="AA73" s="151"/>
      <c r="AB73" s="151"/>
      <c r="AC73" s="151"/>
      <c r="AD73" s="151"/>
      <c r="AE73" s="151"/>
      <c r="AF73" s="151"/>
      <c r="AG73" s="151"/>
      <c r="AH73" s="151"/>
      <c r="AI73" s="151"/>
      <c r="AJ73" s="151"/>
      <c r="AK73" s="151"/>
      <c r="AL73" s="151"/>
      <c r="AM73" s="151"/>
      <c r="AN73" s="52"/>
      <c r="AO73" s="70"/>
      <c r="AP73" s="70"/>
      <c r="AQ73" s="70"/>
      <c r="AR73" s="70"/>
      <c r="AS73" s="70"/>
      <c r="AT73" s="70"/>
      <c r="AU73" s="70"/>
      <c r="AV73" s="70"/>
      <c r="AW73" s="70"/>
      <c r="AX73" s="70"/>
      <c r="AY73" s="70"/>
      <c r="AZ73" s="70"/>
      <c r="BA73" s="70"/>
      <c r="BB73" s="70"/>
      <c r="BC73" s="70"/>
      <c r="BD73" s="70"/>
      <c r="BE73" s="70"/>
      <c r="BF73" s="70"/>
      <c r="BG73" s="70"/>
      <c r="BH73" s="174">
        <v>565</v>
      </c>
      <c r="BI73" s="121">
        <v>5</v>
      </c>
      <c r="BJ73" s="121">
        <v>4</v>
      </c>
      <c r="BK73" s="121">
        <v>5</v>
      </c>
      <c r="BL73" s="121">
        <v>6</v>
      </c>
      <c r="BM73" s="121">
        <v>4</v>
      </c>
      <c r="BN73" s="120">
        <v>5</v>
      </c>
      <c r="BO73" s="120">
        <v>2</v>
      </c>
      <c r="BP73" s="120">
        <v>4</v>
      </c>
      <c r="BQ73" s="120">
        <v>3</v>
      </c>
      <c r="BR73" s="121"/>
      <c r="BS73" s="120"/>
      <c r="BT73" s="120"/>
      <c r="BU73" s="120"/>
      <c r="BV73" s="120"/>
      <c r="BW73" s="120"/>
      <c r="BX73" s="120"/>
      <c r="BY73" s="120"/>
      <c r="BZ73" s="120"/>
      <c r="CA73" s="120"/>
      <c r="CB73" s="120"/>
      <c r="CC73" s="120"/>
      <c r="CD73" s="120"/>
      <c r="CE73" s="120"/>
      <c r="CF73" s="120"/>
      <c r="CG73" s="120"/>
      <c r="CH73" s="120"/>
      <c r="CI73" s="120"/>
      <c r="CJ73" s="120"/>
      <c r="CK73" s="151"/>
      <c r="CL73" s="151"/>
      <c r="CM73" s="151"/>
      <c r="CN73" s="151"/>
      <c r="CO73" s="151"/>
      <c r="CP73" s="52"/>
      <c r="CQ73" s="129"/>
      <c r="CR73" s="129"/>
      <c r="CS73" s="129"/>
      <c r="CT73" s="129"/>
      <c r="CU73" s="129"/>
      <c r="CV73" s="129"/>
      <c r="CW73" s="129"/>
      <c r="CX73" s="129"/>
      <c r="CY73" s="129"/>
      <c r="CZ73" s="129"/>
      <c r="DA73" s="129"/>
      <c r="DB73" s="129"/>
      <c r="DC73" s="129"/>
      <c r="DD73" s="129"/>
      <c r="DE73" s="129"/>
      <c r="DF73" s="129"/>
      <c r="DG73" s="129"/>
      <c r="DH73" s="129"/>
      <c r="DI73" s="70"/>
      <c r="DJ73" s="174">
        <v>565</v>
      </c>
      <c r="DK73" s="120">
        <v>0</v>
      </c>
      <c r="DL73" s="120">
        <v>0</v>
      </c>
      <c r="DM73" s="120">
        <v>1</v>
      </c>
      <c r="DN73" s="120">
        <v>0</v>
      </c>
      <c r="DO73" s="120">
        <v>0</v>
      </c>
      <c r="DP73" s="120">
        <v>0</v>
      </c>
      <c r="DQ73" s="120">
        <v>0</v>
      </c>
      <c r="DR73" s="120">
        <v>0</v>
      </c>
      <c r="DS73" s="120">
        <v>0</v>
      </c>
      <c r="DT73" s="121"/>
      <c r="DU73" s="120"/>
      <c r="DV73" s="120"/>
      <c r="DW73" s="120"/>
      <c r="DX73" s="120"/>
      <c r="DY73" s="120"/>
      <c r="DZ73" s="120"/>
      <c r="EA73" s="120"/>
      <c r="EB73" s="120"/>
      <c r="EC73" s="120"/>
      <c r="ED73" s="120"/>
      <c r="EE73" s="120"/>
      <c r="EF73" s="120"/>
      <c r="EG73" s="120"/>
      <c r="EH73" s="120"/>
      <c r="EI73" s="120"/>
      <c r="EJ73" s="120"/>
      <c r="EK73" s="120"/>
      <c r="EL73" s="120"/>
      <c r="EM73" s="151"/>
      <c r="EN73" s="151"/>
      <c r="EO73" s="151"/>
      <c r="EP73" s="151"/>
      <c r="EQ73" s="151"/>
      <c r="ER73" s="52"/>
      <c r="ES73" s="129"/>
      <c r="ET73" s="129"/>
      <c r="EU73" s="129"/>
      <c r="EV73" s="129"/>
      <c r="EW73" s="129"/>
      <c r="EX73" s="129"/>
      <c r="EY73" s="129"/>
      <c r="EZ73" s="129"/>
      <c r="FA73" s="129"/>
      <c r="FB73" s="129"/>
      <c r="FC73" s="129"/>
      <c r="FD73" s="129"/>
      <c r="FE73" s="129"/>
      <c r="FF73" s="129"/>
      <c r="FG73" s="129"/>
      <c r="FH73" s="129"/>
      <c r="FI73" s="129"/>
      <c r="FJ73" s="129"/>
      <c r="FL73" s="174">
        <v>565</v>
      </c>
      <c r="FM73" s="56"/>
      <c r="FN73" s="78">
        <v>3</v>
      </c>
      <c r="FO73" s="56">
        <v>1</v>
      </c>
      <c r="FP73" s="78">
        <v>0</v>
      </c>
      <c r="FQ73" s="56">
        <v>2</v>
      </c>
      <c r="FR73" s="56">
        <v>1</v>
      </c>
      <c r="FS73" s="56">
        <v>2</v>
      </c>
      <c r="FT73" s="56">
        <v>3</v>
      </c>
      <c r="FU73" s="56">
        <v>2</v>
      </c>
      <c r="FV73" s="78"/>
      <c r="FW73" s="56"/>
      <c r="FX73" s="56"/>
      <c r="FY73" s="56"/>
      <c r="FZ73" s="56"/>
      <c r="GA73" s="56"/>
      <c r="GB73" s="56"/>
      <c r="GC73" s="56"/>
      <c r="GD73" s="56"/>
      <c r="GE73" s="56"/>
      <c r="GF73" s="56"/>
      <c r="GG73" s="56"/>
      <c r="GH73" s="56"/>
      <c r="GI73" s="56"/>
      <c r="GJ73" s="56"/>
      <c r="GK73" s="56"/>
      <c r="GL73" s="56"/>
      <c r="GM73" s="120"/>
      <c r="GN73" s="120"/>
      <c r="GO73" s="151"/>
      <c r="GP73" s="151"/>
      <c r="GQ73" s="151"/>
      <c r="GR73" s="151"/>
      <c r="GS73" s="151"/>
      <c r="GT73" s="52"/>
      <c r="GU73" s="129"/>
      <c r="GV73" s="129"/>
      <c r="GW73" s="129"/>
      <c r="GX73" s="129"/>
      <c r="GY73" s="129"/>
      <c r="GZ73" s="129"/>
      <c r="HA73" s="129"/>
      <c r="HB73" s="129"/>
      <c r="HC73" s="129"/>
      <c r="HD73" s="129"/>
      <c r="HE73" s="129"/>
      <c r="HF73" s="129"/>
      <c r="HG73" s="129"/>
      <c r="HH73" s="129"/>
      <c r="HI73" s="129"/>
      <c r="HJ73" s="129"/>
      <c r="HK73" s="129"/>
      <c r="HL73" s="129"/>
    </row>
    <row r="74" spans="4:220" ht="17.25">
      <c r="D74" s="15"/>
      <c r="E74" s="70"/>
      <c r="F74" s="174">
        <v>566</v>
      </c>
      <c r="G74" s="151">
        <v>5</v>
      </c>
      <c r="H74" s="151">
        <v>6</v>
      </c>
      <c r="I74" s="151">
        <v>5</v>
      </c>
      <c r="J74" s="151">
        <v>5</v>
      </c>
      <c r="K74" s="151">
        <v>6</v>
      </c>
      <c r="L74" s="151">
        <v>5</v>
      </c>
      <c r="M74" s="151">
        <v>5</v>
      </c>
      <c r="N74" s="151">
        <v>5</v>
      </c>
      <c r="O74" s="151"/>
      <c r="P74" s="151"/>
      <c r="Q74" s="151"/>
      <c r="R74" s="151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N74" s="70"/>
      <c r="AO74" s="70"/>
      <c r="AP74" s="70"/>
      <c r="AQ74" s="70"/>
      <c r="AR74" s="70"/>
      <c r="AS74" s="70"/>
      <c r="AT74" s="70"/>
      <c r="AU74" s="70"/>
      <c r="AV74" s="70"/>
      <c r="AW74" s="70"/>
      <c r="AX74" s="70"/>
      <c r="AY74" s="70"/>
      <c r="AZ74" s="70"/>
      <c r="BA74" s="70"/>
      <c r="BB74" s="70"/>
      <c r="BC74" s="70"/>
      <c r="BD74" s="70"/>
      <c r="BE74" s="70"/>
      <c r="BF74" s="70"/>
      <c r="BG74" s="70"/>
      <c r="BH74" s="174">
        <v>566</v>
      </c>
      <c r="BI74" s="121">
        <v>5</v>
      </c>
      <c r="BJ74" s="121">
        <v>3</v>
      </c>
      <c r="BK74" s="121">
        <v>4</v>
      </c>
      <c r="BL74" s="121">
        <v>5</v>
      </c>
      <c r="BM74" s="120">
        <v>5</v>
      </c>
      <c r="BN74" s="120">
        <v>5</v>
      </c>
      <c r="BO74" s="120">
        <v>4</v>
      </c>
      <c r="BP74" s="120">
        <v>5</v>
      </c>
      <c r="BQ74" s="120"/>
      <c r="BR74" s="120"/>
      <c r="BS74" s="120"/>
      <c r="BT74" s="120"/>
      <c r="BU74" s="120"/>
      <c r="BV74" s="120"/>
      <c r="BW74" s="120"/>
      <c r="BX74" s="120"/>
      <c r="BY74" s="120"/>
      <c r="BZ74" s="120"/>
      <c r="CA74" s="120"/>
      <c r="CB74" s="120"/>
      <c r="CC74" s="120"/>
      <c r="CD74" s="120"/>
      <c r="CE74" s="120"/>
      <c r="CF74" s="120"/>
      <c r="CG74" s="120"/>
      <c r="CH74" s="120"/>
      <c r="CI74" s="120"/>
      <c r="CJ74" s="120"/>
      <c r="CK74" s="151"/>
      <c r="CL74" s="151"/>
      <c r="CM74" s="151"/>
      <c r="CN74" s="151"/>
      <c r="CO74" s="151"/>
      <c r="CP74" s="129"/>
      <c r="CQ74" s="129"/>
      <c r="CR74" s="129"/>
      <c r="CS74" s="129"/>
      <c r="CT74" s="129"/>
      <c r="CU74" s="129"/>
      <c r="CV74" s="129"/>
      <c r="CW74" s="129"/>
      <c r="CX74" s="129"/>
      <c r="CY74" s="129"/>
      <c r="CZ74" s="129"/>
      <c r="DA74" s="129"/>
      <c r="DB74" s="129"/>
      <c r="DC74" s="129"/>
      <c r="DD74" s="129"/>
      <c r="DE74" s="129"/>
      <c r="DF74" s="129"/>
      <c r="DG74" s="129"/>
      <c r="DH74" s="129"/>
      <c r="DI74" s="70"/>
      <c r="DJ74" s="174">
        <v>566</v>
      </c>
      <c r="DK74" s="120">
        <v>0</v>
      </c>
      <c r="DL74" s="120">
        <v>3</v>
      </c>
      <c r="DM74" s="120">
        <v>1</v>
      </c>
      <c r="DN74" s="120">
        <v>0</v>
      </c>
      <c r="DO74" s="120">
        <v>1</v>
      </c>
      <c r="DP74" s="120">
        <v>0</v>
      </c>
      <c r="DQ74" s="120">
        <v>1</v>
      </c>
      <c r="DR74" s="120">
        <v>0</v>
      </c>
      <c r="DS74" s="120"/>
      <c r="DT74" s="120"/>
      <c r="DU74" s="120"/>
      <c r="DV74" s="120"/>
      <c r="DW74" s="120"/>
      <c r="DX74" s="120"/>
      <c r="DY74" s="120"/>
      <c r="DZ74" s="120"/>
      <c r="EA74" s="120"/>
      <c r="EB74" s="120"/>
      <c r="EC74" s="120"/>
      <c r="ED74" s="120"/>
      <c r="EE74" s="120"/>
      <c r="EF74" s="120"/>
      <c r="EG74" s="120"/>
      <c r="EH74" s="120"/>
      <c r="EI74" s="120"/>
      <c r="EJ74" s="120"/>
      <c r="EK74" s="120"/>
      <c r="EL74" s="120"/>
      <c r="EM74" s="151"/>
      <c r="EN74" s="151"/>
      <c r="EO74" s="151"/>
      <c r="EP74" s="151"/>
      <c r="EQ74" s="151"/>
      <c r="ER74" s="129"/>
      <c r="ES74" s="129"/>
      <c r="ET74" s="129"/>
      <c r="EU74" s="129"/>
      <c r="EV74" s="129"/>
      <c r="EW74" s="129"/>
      <c r="EX74" s="129"/>
      <c r="EY74" s="129"/>
      <c r="EZ74" s="129"/>
      <c r="FA74" s="129"/>
      <c r="FB74" s="129"/>
      <c r="FC74" s="129"/>
      <c r="FD74" s="129"/>
      <c r="FE74" s="129"/>
      <c r="FF74" s="129"/>
      <c r="FG74" s="129"/>
      <c r="FH74" s="129"/>
      <c r="FI74" s="129"/>
      <c r="FJ74" s="129"/>
      <c r="FL74" s="174">
        <v>566</v>
      </c>
      <c r="FM74" s="56"/>
      <c r="FN74" s="78">
        <v>3</v>
      </c>
      <c r="FO74" s="56">
        <v>2</v>
      </c>
      <c r="FP74" s="78">
        <v>2</v>
      </c>
      <c r="FQ74" s="56">
        <v>2</v>
      </c>
      <c r="FR74" s="56">
        <v>2</v>
      </c>
      <c r="FS74" s="56">
        <v>0</v>
      </c>
      <c r="FT74" s="56">
        <v>4</v>
      </c>
      <c r="FU74" s="56"/>
      <c r="FV74" s="56"/>
      <c r="FW74" s="56"/>
      <c r="FX74" s="56"/>
      <c r="FY74" s="56"/>
      <c r="FZ74" s="56"/>
      <c r="GA74" s="56"/>
      <c r="GB74" s="56"/>
      <c r="GC74" s="56"/>
      <c r="GD74" s="56"/>
      <c r="GE74" s="56"/>
      <c r="GF74" s="56"/>
      <c r="GG74" s="56"/>
      <c r="GH74" s="56"/>
      <c r="GI74" s="56"/>
      <c r="GJ74" s="56"/>
      <c r="GK74" s="56"/>
      <c r="GL74" s="56"/>
      <c r="GM74" s="120"/>
      <c r="GN74" s="120"/>
      <c r="GO74" s="151"/>
      <c r="GP74" s="151"/>
      <c r="GQ74" s="151"/>
      <c r="GR74" s="151"/>
      <c r="GS74" s="151"/>
      <c r="GT74" s="129"/>
      <c r="GU74" s="129"/>
      <c r="GV74" s="129"/>
      <c r="GW74" s="129"/>
      <c r="GX74" s="129"/>
      <c r="GY74" s="129"/>
      <c r="GZ74" s="129"/>
      <c r="HA74" s="129"/>
      <c r="HB74" s="129"/>
      <c r="HC74" s="129"/>
      <c r="HD74" s="129"/>
      <c r="HE74" s="129"/>
      <c r="HF74" s="129"/>
      <c r="HG74" s="129"/>
      <c r="HH74" s="129"/>
      <c r="HI74" s="129"/>
      <c r="HJ74" s="129"/>
      <c r="HK74" s="129"/>
      <c r="HL74" s="129"/>
    </row>
    <row r="75" spans="4:220" ht="17.25">
      <c r="D75" s="70"/>
      <c r="E75" s="70"/>
      <c r="F75" s="174">
        <v>567</v>
      </c>
      <c r="G75" s="151">
        <v>3</v>
      </c>
      <c r="H75" s="151">
        <v>5</v>
      </c>
      <c r="I75" s="151">
        <v>6</v>
      </c>
      <c r="J75" s="151">
        <v>6</v>
      </c>
      <c r="K75" s="151">
        <v>5</v>
      </c>
      <c r="L75" s="151">
        <v>5</v>
      </c>
      <c r="M75" s="151">
        <v>5</v>
      </c>
      <c r="N75" s="151"/>
      <c r="O75" s="151"/>
      <c r="P75" s="151"/>
      <c r="Q75" s="151"/>
      <c r="R75" s="151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L75" s="151"/>
      <c r="AM75" s="151"/>
      <c r="AN75" s="70"/>
      <c r="AO75" s="70"/>
      <c r="AP75" s="70"/>
      <c r="AQ75" s="70"/>
      <c r="AR75" s="70"/>
      <c r="AS75" s="70"/>
      <c r="AT75" s="70"/>
      <c r="AU75" s="70"/>
      <c r="AV75" s="70"/>
      <c r="AW75" s="70"/>
      <c r="AX75" s="70"/>
      <c r="AY75" s="70"/>
      <c r="AZ75" s="70"/>
      <c r="BA75" s="70"/>
      <c r="BB75" s="70"/>
      <c r="BC75" s="70"/>
      <c r="BD75" s="70"/>
      <c r="BE75" s="70"/>
      <c r="BF75" s="70"/>
      <c r="BG75" s="70"/>
      <c r="BH75" s="174">
        <v>567</v>
      </c>
      <c r="BI75" s="121">
        <v>3</v>
      </c>
      <c r="BJ75" s="121">
        <v>5</v>
      </c>
      <c r="BK75" s="121">
        <v>6</v>
      </c>
      <c r="BL75" s="120">
        <v>5</v>
      </c>
      <c r="BM75" s="120">
        <v>5</v>
      </c>
      <c r="BN75" s="120">
        <v>5</v>
      </c>
      <c r="BO75" s="120">
        <v>5</v>
      </c>
      <c r="BP75" s="120"/>
      <c r="BQ75" s="120"/>
      <c r="BR75" s="120"/>
      <c r="BS75" s="120"/>
      <c r="BT75" s="120"/>
      <c r="BU75" s="120"/>
      <c r="BV75" s="120"/>
      <c r="BW75" s="120"/>
      <c r="BX75" s="120"/>
      <c r="BY75" s="120"/>
      <c r="BZ75" s="120"/>
      <c r="CA75" s="120"/>
      <c r="CB75" s="120"/>
      <c r="CC75" s="120"/>
      <c r="CD75" s="120"/>
      <c r="CE75" s="120"/>
      <c r="CF75" s="120"/>
      <c r="CG75" s="120"/>
      <c r="CH75" s="120"/>
      <c r="CI75" s="120"/>
      <c r="CJ75" s="120"/>
      <c r="CK75" s="151"/>
      <c r="CL75" s="151"/>
      <c r="CM75" s="151"/>
      <c r="CN75" s="151"/>
      <c r="CO75" s="151"/>
      <c r="CP75" s="129"/>
      <c r="CQ75" s="129"/>
      <c r="CR75" s="129"/>
      <c r="CS75" s="129"/>
      <c r="CT75" s="129"/>
      <c r="CU75" s="129"/>
      <c r="CV75" s="129"/>
      <c r="CW75" s="129"/>
      <c r="CX75" s="129"/>
      <c r="CY75" s="129"/>
      <c r="CZ75" s="129"/>
      <c r="DA75" s="129"/>
      <c r="DB75" s="129"/>
      <c r="DC75" s="129"/>
      <c r="DD75" s="129"/>
      <c r="DE75" s="129"/>
      <c r="DF75" s="129"/>
      <c r="DG75" s="129"/>
      <c r="DH75" s="129"/>
      <c r="DI75" s="70"/>
      <c r="DJ75" s="174">
        <v>567</v>
      </c>
      <c r="DK75" s="120">
        <v>0</v>
      </c>
      <c r="DL75" s="120">
        <v>0</v>
      </c>
      <c r="DM75" s="120">
        <v>0</v>
      </c>
      <c r="DN75" s="120">
        <v>1</v>
      </c>
      <c r="DO75" s="120">
        <v>0</v>
      </c>
      <c r="DP75" s="120">
        <v>0</v>
      </c>
      <c r="DQ75" s="120">
        <v>0</v>
      </c>
      <c r="DR75" s="120"/>
      <c r="DS75" s="120"/>
      <c r="DT75" s="120"/>
      <c r="DU75" s="120"/>
      <c r="DV75" s="120"/>
      <c r="DW75" s="120"/>
      <c r="DX75" s="120"/>
      <c r="DY75" s="120"/>
      <c r="DZ75" s="120"/>
      <c r="EA75" s="120"/>
      <c r="EB75" s="120"/>
      <c r="EC75" s="120"/>
      <c r="ED75" s="120"/>
      <c r="EE75" s="120"/>
      <c r="EF75" s="120"/>
      <c r="EG75" s="120"/>
      <c r="EH75" s="120"/>
      <c r="EI75" s="120"/>
      <c r="EJ75" s="120"/>
      <c r="EK75" s="120"/>
      <c r="EL75" s="120"/>
      <c r="EM75" s="151"/>
      <c r="EN75" s="151"/>
      <c r="EO75" s="151"/>
      <c r="EP75" s="151"/>
      <c r="EQ75" s="151"/>
      <c r="ER75" s="129"/>
      <c r="ES75" s="129"/>
      <c r="ET75" s="129"/>
      <c r="EU75" s="129"/>
      <c r="EV75" s="129"/>
      <c r="EW75" s="129"/>
      <c r="EX75" s="129"/>
      <c r="EY75" s="129"/>
      <c r="EZ75" s="129"/>
      <c r="FA75" s="129"/>
      <c r="FB75" s="129"/>
      <c r="FC75" s="129"/>
      <c r="FD75" s="129"/>
      <c r="FE75" s="129"/>
      <c r="FF75" s="129"/>
      <c r="FG75" s="129"/>
      <c r="FH75" s="129"/>
      <c r="FI75" s="129"/>
      <c r="FJ75" s="129"/>
      <c r="FL75" s="174">
        <v>567</v>
      </c>
      <c r="FM75" s="56"/>
      <c r="FN75" s="78">
        <v>1</v>
      </c>
      <c r="FO75" s="56">
        <v>2</v>
      </c>
      <c r="FP75" s="56">
        <v>1</v>
      </c>
      <c r="FQ75" s="56">
        <v>0</v>
      </c>
      <c r="FR75" s="56">
        <v>1</v>
      </c>
      <c r="FS75" s="56">
        <v>0</v>
      </c>
      <c r="FT75" s="56"/>
      <c r="FU75" s="56"/>
      <c r="FV75" s="56"/>
      <c r="FW75" s="56"/>
      <c r="FX75" s="56"/>
      <c r="FY75" s="56"/>
      <c r="FZ75" s="56"/>
      <c r="GA75" s="56"/>
      <c r="GB75" s="56"/>
      <c r="GC75" s="56"/>
      <c r="GD75" s="56"/>
      <c r="GE75" s="56"/>
      <c r="GF75" s="56"/>
      <c r="GG75" s="56"/>
      <c r="GH75" s="56"/>
      <c r="GI75" s="56"/>
      <c r="GJ75" s="56"/>
      <c r="GK75" s="56"/>
      <c r="GL75" s="56"/>
      <c r="GM75" s="120"/>
      <c r="GN75" s="120"/>
      <c r="GO75" s="151"/>
      <c r="GP75" s="151"/>
      <c r="GQ75" s="151"/>
      <c r="GR75" s="151"/>
      <c r="GS75" s="151"/>
      <c r="GT75" s="129"/>
      <c r="GU75" s="129"/>
      <c r="GV75" s="129"/>
      <c r="GW75" s="129"/>
      <c r="GX75" s="129"/>
      <c r="GY75" s="129"/>
      <c r="GZ75" s="129"/>
      <c r="HA75" s="129"/>
      <c r="HB75" s="129"/>
      <c r="HC75" s="129"/>
      <c r="HD75" s="129"/>
      <c r="HE75" s="129"/>
      <c r="HF75" s="129"/>
      <c r="HG75" s="129"/>
      <c r="HH75" s="129"/>
      <c r="HI75" s="129"/>
      <c r="HJ75" s="129"/>
      <c r="HK75" s="129"/>
      <c r="HL75" s="129"/>
    </row>
    <row r="76" spans="4:220" ht="17.25">
      <c r="D76" s="70"/>
      <c r="E76" s="70"/>
      <c r="F76" s="174">
        <v>568</v>
      </c>
      <c r="G76" s="151">
        <v>5</v>
      </c>
      <c r="H76" s="151">
        <v>4</v>
      </c>
      <c r="I76" s="151">
        <v>5</v>
      </c>
      <c r="J76" s="151">
        <v>6</v>
      </c>
      <c r="K76" s="151">
        <v>5</v>
      </c>
      <c r="L76" s="151">
        <v>4</v>
      </c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L76" s="151"/>
      <c r="AM76" s="151"/>
      <c r="AN76" s="70"/>
      <c r="AO76" s="70"/>
      <c r="AP76" s="70"/>
      <c r="AQ76" s="70"/>
      <c r="AR76" s="70"/>
      <c r="AS76" s="70"/>
      <c r="AT76" s="70"/>
      <c r="AU76" s="70"/>
      <c r="AV76" s="70"/>
      <c r="AW76" s="70"/>
      <c r="AX76" s="70"/>
      <c r="AY76" s="70"/>
      <c r="AZ76" s="70"/>
      <c r="BA76" s="70"/>
      <c r="BB76" s="70"/>
      <c r="BC76" s="70"/>
      <c r="BD76" s="70"/>
      <c r="BE76" s="70"/>
      <c r="BF76" s="70"/>
      <c r="BG76" s="70"/>
      <c r="BH76" s="174">
        <v>568</v>
      </c>
      <c r="BI76" s="121">
        <v>4</v>
      </c>
      <c r="BJ76" s="121">
        <v>3</v>
      </c>
      <c r="BK76" s="120">
        <v>4</v>
      </c>
      <c r="BL76" s="120">
        <v>6</v>
      </c>
      <c r="BM76" s="120">
        <v>4</v>
      </c>
      <c r="BN76" s="120">
        <v>3</v>
      </c>
      <c r="BO76" s="120"/>
      <c r="BP76" s="120"/>
      <c r="BQ76" s="120"/>
      <c r="BR76" s="120"/>
      <c r="BS76" s="120"/>
      <c r="BT76" s="120"/>
      <c r="BU76" s="120"/>
      <c r="BV76" s="120"/>
      <c r="BW76" s="120"/>
      <c r="BX76" s="120"/>
      <c r="BY76" s="120"/>
      <c r="BZ76" s="120"/>
      <c r="CA76" s="120"/>
      <c r="CB76" s="120"/>
      <c r="CC76" s="120"/>
      <c r="CD76" s="120"/>
      <c r="CE76" s="120"/>
      <c r="CF76" s="120"/>
      <c r="CG76" s="120"/>
      <c r="CH76" s="120"/>
      <c r="CI76" s="120"/>
      <c r="CJ76" s="120"/>
      <c r="CK76" s="151"/>
      <c r="CL76" s="151"/>
      <c r="CM76" s="151"/>
      <c r="CN76" s="151"/>
      <c r="CO76" s="151"/>
      <c r="CP76" s="129"/>
      <c r="CQ76" s="129"/>
      <c r="CR76" s="129"/>
      <c r="CS76" s="129"/>
      <c r="CT76" s="129"/>
      <c r="CU76" s="129"/>
      <c r="CV76" s="129"/>
      <c r="CW76" s="129"/>
      <c r="CX76" s="129"/>
      <c r="CY76" s="129"/>
      <c r="CZ76" s="129"/>
      <c r="DA76" s="129"/>
      <c r="DB76" s="129"/>
      <c r="DC76" s="129"/>
      <c r="DD76" s="129"/>
      <c r="DE76" s="129"/>
      <c r="DF76" s="129"/>
      <c r="DG76" s="129"/>
      <c r="DH76" s="129"/>
      <c r="DI76" s="70"/>
      <c r="DJ76" s="174">
        <v>568</v>
      </c>
      <c r="DK76" s="120">
        <v>1</v>
      </c>
      <c r="DL76" s="120">
        <v>1</v>
      </c>
      <c r="DM76" s="120">
        <v>1</v>
      </c>
      <c r="DN76" s="120">
        <v>0</v>
      </c>
      <c r="DO76" s="120">
        <v>1</v>
      </c>
      <c r="DP76" s="120">
        <v>1</v>
      </c>
      <c r="DQ76" s="120"/>
      <c r="DR76" s="120"/>
      <c r="DS76" s="120"/>
      <c r="DT76" s="120"/>
      <c r="DU76" s="120"/>
      <c r="DV76" s="120"/>
      <c r="DW76" s="120"/>
      <c r="DX76" s="120"/>
      <c r="DY76" s="120"/>
      <c r="DZ76" s="120"/>
      <c r="EA76" s="120"/>
      <c r="EB76" s="120"/>
      <c r="EC76" s="120"/>
      <c r="ED76" s="120"/>
      <c r="EE76" s="120"/>
      <c r="EF76" s="120"/>
      <c r="EG76" s="120"/>
      <c r="EH76" s="120"/>
      <c r="EI76" s="120"/>
      <c r="EJ76" s="120"/>
      <c r="EK76" s="120"/>
      <c r="EL76" s="120"/>
      <c r="EM76" s="151"/>
      <c r="EN76" s="151"/>
      <c r="EO76" s="151"/>
      <c r="EP76" s="151"/>
      <c r="EQ76" s="151"/>
      <c r="ER76" s="129"/>
      <c r="ES76" s="129"/>
      <c r="ET76" s="129"/>
      <c r="EU76" s="129"/>
      <c r="EV76" s="129"/>
      <c r="EW76" s="129"/>
      <c r="EX76" s="129"/>
      <c r="EY76" s="129"/>
      <c r="EZ76" s="129"/>
      <c r="FA76" s="129"/>
      <c r="FB76" s="129"/>
      <c r="FC76" s="129"/>
      <c r="FD76" s="129"/>
      <c r="FE76" s="129"/>
      <c r="FF76" s="129"/>
      <c r="FG76" s="129"/>
      <c r="FH76" s="129"/>
      <c r="FI76" s="129"/>
      <c r="FJ76" s="129"/>
      <c r="FL76" s="174">
        <v>568</v>
      </c>
      <c r="FM76" s="56"/>
      <c r="FN76" s="78">
        <v>2</v>
      </c>
      <c r="FO76" s="56">
        <v>2</v>
      </c>
      <c r="FP76" s="56">
        <v>3</v>
      </c>
      <c r="FQ76" s="56">
        <v>2</v>
      </c>
      <c r="FR76" s="56">
        <v>3</v>
      </c>
      <c r="FS76" s="56"/>
      <c r="FT76" s="56"/>
      <c r="FU76" s="56"/>
      <c r="FV76" s="56"/>
      <c r="FW76" s="56"/>
      <c r="FX76" s="56"/>
      <c r="FY76" s="56"/>
      <c r="FZ76" s="56"/>
      <c r="GA76" s="56"/>
      <c r="GB76" s="56"/>
      <c r="GC76" s="56"/>
      <c r="GD76" s="56"/>
      <c r="GE76" s="56"/>
      <c r="GF76" s="56"/>
      <c r="GG76" s="56"/>
      <c r="GH76" s="56"/>
      <c r="GI76" s="56"/>
      <c r="GJ76" s="56"/>
      <c r="GK76" s="56"/>
      <c r="GL76" s="56"/>
      <c r="GM76" s="120"/>
      <c r="GN76" s="120"/>
      <c r="GO76" s="151"/>
      <c r="GP76" s="151"/>
      <c r="GQ76" s="151"/>
      <c r="GR76" s="151"/>
      <c r="GS76" s="151"/>
      <c r="GT76" s="129"/>
      <c r="GU76" s="129"/>
      <c r="GV76" s="129"/>
      <c r="GW76" s="129"/>
      <c r="GX76" s="129"/>
      <c r="GY76" s="129"/>
      <c r="GZ76" s="129"/>
      <c r="HA76" s="129"/>
      <c r="HB76" s="129"/>
      <c r="HC76" s="129"/>
      <c r="HD76" s="129"/>
      <c r="HE76" s="129"/>
      <c r="HF76" s="129"/>
      <c r="HG76" s="129"/>
      <c r="HH76" s="129"/>
      <c r="HI76" s="129"/>
      <c r="HJ76" s="129"/>
      <c r="HK76" s="129"/>
      <c r="HL76" s="129"/>
    </row>
    <row r="77" spans="4:220" ht="17.25">
      <c r="D77" s="70"/>
      <c r="E77" s="70"/>
      <c r="F77" s="174">
        <v>569</v>
      </c>
      <c r="G77" s="151">
        <v>5</v>
      </c>
      <c r="H77" s="151">
        <v>5</v>
      </c>
      <c r="I77" s="151">
        <v>5</v>
      </c>
      <c r="J77" s="151">
        <v>5</v>
      </c>
      <c r="K77" s="151">
        <v>4</v>
      </c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L77" s="151"/>
      <c r="AM77" s="151"/>
      <c r="AN77" s="70"/>
      <c r="AO77" s="70"/>
      <c r="AP77" s="70"/>
      <c r="AQ77" s="70"/>
      <c r="AR77" s="70"/>
      <c r="AS77" s="70"/>
      <c r="AT77" s="70"/>
      <c r="AU77" s="70"/>
      <c r="AV77" s="70"/>
      <c r="AW77" s="70"/>
      <c r="AX77" s="70"/>
      <c r="AY77" s="70"/>
      <c r="AZ77" s="70"/>
      <c r="BA77" s="70"/>
      <c r="BB77" s="70"/>
      <c r="BC77" s="70"/>
      <c r="BD77" s="70"/>
      <c r="BE77" s="70"/>
      <c r="BF77" s="70"/>
      <c r="BG77" s="70"/>
      <c r="BH77" s="174">
        <v>569</v>
      </c>
      <c r="BI77" s="121">
        <v>3</v>
      </c>
      <c r="BJ77" s="120">
        <v>5</v>
      </c>
      <c r="BK77" s="120">
        <v>5</v>
      </c>
      <c r="BL77" s="120">
        <v>5</v>
      </c>
      <c r="BM77" s="120">
        <v>3</v>
      </c>
      <c r="BN77" s="120"/>
      <c r="BO77" s="120"/>
      <c r="BP77" s="120"/>
      <c r="BQ77" s="120"/>
      <c r="BR77" s="120"/>
      <c r="BS77" s="120"/>
      <c r="BT77" s="120"/>
      <c r="BU77" s="120"/>
      <c r="BV77" s="120"/>
      <c r="BW77" s="120"/>
      <c r="BX77" s="120"/>
      <c r="BY77" s="120"/>
      <c r="BZ77" s="120"/>
      <c r="CA77" s="120"/>
      <c r="CB77" s="120"/>
      <c r="CC77" s="120"/>
      <c r="CD77" s="120"/>
      <c r="CE77" s="120"/>
      <c r="CF77" s="120"/>
      <c r="CG77" s="120"/>
      <c r="CH77" s="120"/>
      <c r="CI77" s="120"/>
      <c r="CJ77" s="120"/>
      <c r="CK77" s="151"/>
      <c r="CL77" s="151"/>
      <c r="CM77" s="151"/>
      <c r="CN77" s="151"/>
      <c r="CO77" s="151"/>
      <c r="CP77" s="129"/>
      <c r="CQ77" s="129"/>
      <c r="CR77" s="129"/>
      <c r="CS77" s="129"/>
      <c r="CT77" s="129"/>
      <c r="CU77" s="129"/>
      <c r="CV77" s="129"/>
      <c r="CW77" s="129"/>
      <c r="CX77" s="129"/>
      <c r="CY77" s="129"/>
      <c r="CZ77" s="129"/>
      <c r="DA77" s="129"/>
      <c r="DB77" s="129"/>
      <c r="DC77" s="129"/>
      <c r="DD77" s="129"/>
      <c r="DE77" s="129"/>
      <c r="DF77" s="129"/>
      <c r="DG77" s="129"/>
      <c r="DH77" s="129"/>
      <c r="DI77" s="70"/>
      <c r="DJ77" s="174">
        <v>569</v>
      </c>
      <c r="DK77" s="120">
        <v>2</v>
      </c>
      <c r="DL77" s="120">
        <v>0</v>
      </c>
      <c r="DM77" s="120">
        <v>0</v>
      </c>
      <c r="DN77" s="120">
        <v>0</v>
      </c>
      <c r="DO77" s="120">
        <v>1</v>
      </c>
      <c r="DP77" s="120"/>
      <c r="DQ77" s="120"/>
      <c r="DR77" s="120"/>
      <c r="DS77" s="120"/>
      <c r="DT77" s="120"/>
      <c r="DU77" s="120"/>
      <c r="DV77" s="120"/>
      <c r="DW77" s="120"/>
      <c r="DX77" s="120"/>
      <c r="DY77" s="120"/>
      <c r="DZ77" s="120"/>
      <c r="EA77" s="120"/>
      <c r="EB77" s="120"/>
      <c r="EC77" s="120"/>
      <c r="ED77" s="120"/>
      <c r="EE77" s="120"/>
      <c r="EF77" s="120"/>
      <c r="EG77" s="120"/>
      <c r="EH77" s="120"/>
      <c r="EI77" s="120"/>
      <c r="EJ77" s="120"/>
      <c r="EK77" s="120"/>
      <c r="EL77" s="120"/>
      <c r="EM77" s="151"/>
      <c r="EN77" s="151"/>
      <c r="EO77" s="151"/>
      <c r="EP77" s="151"/>
      <c r="EQ77" s="151"/>
      <c r="ER77" s="129"/>
      <c r="ES77" s="129"/>
      <c r="ET77" s="129"/>
      <c r="EU77" s="129"/>
      <c r="EV77" s="129"/>
      <c r="EW77" s="129"/>
      <c r="EX77" s="129"/>
      <c r="EY77" s="129"/>
      <c r="EZ77" s="129"/>
      <c r="FA77" s="129"/>
      <c r="FB77" s="129"/>
      <c r="FC77" s="129"/>
      <c r="FD77" s="129"/>
      <c r="FE77" s="129"/>
      <c r="FF77" s="129"/>
      <c r="FG77" s="129"/>
      <c r="FH77" s="129"/>
      <c r="FI77" s="129"/>
      <c r="FJ77" s="129"/>
      <c r="FL77" s="174">
        <v>569</v>
      </c>
      <c r="FM77" s="120"/>
      <c r="FN77" s="56">
        <v>1</v>
      </c>
      <c r="FO77" s="56">
        <v>1</v>
      </c>
      <c r="FP77" s="56">
        <v>2</v>
      </c>
      <c r="FQ77" s="56">
        <v>3</v>
      </c>
      <c r="FR77" s="56"/>
      <c r="FS77" s="56"/>
      <c r="FT77" s="56"/>
      <c r="FU77" s="183"/>
      <c r="FV77" s="183"/>
      <c r="FW77" s="56"/>
      <c r="FX77" s="78"/>
      <c r="FY77" s="78"/>
      <c r="FZ77" s="78"/>
      <c r="GA77" s="78"/>
      <c r="GB77" s="78"/>
      <c r="GC77" s="78"/>
      <c r="GD77" s="78"/>
      <c r="GE77" s="78"/>
      <c r="GF77" s="78"/>
      <c r="GG77" s="78"/>
      <c r="GH77" s="78"/>
      <c r="GI77" s="78"/>
      <c r="GJ77" s="78"/>
      <c r="GK77" s="78"/>
      <c r="GL77" s="78"/>
      <c r="GM77" s="120"/>
      <c r="GN77" s="120"/>
      <c r="GO77" s="151"/>
      <c r="GP77" s="151"/>
      <c r="GQ77" s="151"/>
      <c r="GR77" s="151"/>
      <c r="GS77" s="151"/>
      <c r="GT77" s="129"/>
      <c r="GU77" s="129"/>
      <c r="GV77" s="129"/>
      <c r="GW77" s="129"/>
      <c r="GX77" s="129"/>
      <c r="GY77" s="129"/>
      <c r="GZ77" s="129"/>
      <c r="HA77" s="129"/>
      <c r="HB77" s="129"/>
      <c r="HC77" s="129"/>
      <c r="HD77" s="129"/>
      <c r="HE77" s="129"/>
      <c r="HF77" s="129"/>
      <c r="HG77" s="129"/>
      <c r="HH77" s="129"/>
      <c r="HI77" s="129"/>
      <c r="HJ77" s="129"/>
      <c r="HK77" s="129"/>
      <c r="HL77" s="129"/>
    </row>
    <row r="78" spans="4:220" ht="17.25">
      <c r="D78" s="70"/>
      <c r="E78" s="70"/>
      <c r="F78" s="174">
        <v>570</v>
      </c>
      <c r="G78" s="121">
        <v>5</v>
      </c>
      <c r="H78" s="120">
        <v>5</v>
      </c>
      <c r="I78" s="120">
        <v>5</v>
      </c>
      <c r="J78" s="120">
        <v>4</v>
      </c>
      <c r="K78" s="120"/>
      <c r="L78" s="120"/>
      <c r="M78" s="120"/>
      <c r="N78" s="120"/>
      <c r="O78" s="182"/>
      <c r="P78" s="182"/>
      <c r="Q78" s="120"/>
      <c r="R78" s="121"/>
      <c r="S78" s="121"/>
      <c r="T78" s="121"/>
      <c r="U78" s="121"/>
      <c r="V78" s="121"/>
      <c r="W78" s="121"/>
      <c r="X78" s="121"/>
      <c r="Y78" s="121"/>
      <c r="Z78" s="121"/>
      <c r="AA78" s="121"/>
      <c r="AB78" s="121"/>
      <c r="AC78" s="121"/>
      <c r="AD78" s="121"/>
      <c r="AE78" s="121"/>
      <c r="AF78" s="121"/>
      <c r="AG78" s="11"/>
      <c r="AH78" s="11"/>
      <c r="AI78" s="11"/>
      <c r="AJ78" s="11"/>
      <c r="AK78" s="192"/>
      <c r="AL78" s="11"/>
      <c r="AM78" s="11"/>
      <c r="AN78" s="70"/>
      <c r="AO78" s="70"/>
      <c r="AP78" s="70"/>
      <c r="AQ78" s="70"/>
      <c r="AR78" s="70"/>
      <c r="AS78" s="70"/>
      <c r="AT78" s="70"/>
      <c r="AU78" s="70"/>
      <c r="AV78" s="70"/>
      <c r="AW78" s="70"/>
      <c r="AX78" s="70"/>
      <c r="AY78" s="70"/>
      <c r="AZ78" s="70"/>
      <c r="BA78" s="70"/>
      <c r="BB78" s="70"/>
      <c r="BC78" s="70"/>
      <c r="BD78" s="70"/>
      <c r="BE78" s="70"/>
      <c r="BF78" s="70"/>
      <c r="BG78" s="70"/>
      <c r="BH78" s="174">
        <v>570</v>
      </c>
      <c r="BI78" s="125">
        <v>5</v>
      </c>
      <c r="BJ78" s="56">
        <v>4</v>
      </c>
      <c r="BK78" s="56">
        <v>5</v>
      </c>
      <c r="BL78" s="56">
        <v>3</v>
      </c>
      <c r="BM78" s="56"/>
      <c r="BN78" s="56"/>
      <c r="BO78" s="56"/>
      <c r="BP78" s="56"/>
      <c r="BQ78" s="56"/>
      <c r="BR78" s="56"/>
      <c r="BS78" s="56"/>
      <c r="BT78" s="56"/>
      <c r="BU78" s="56"/>
      <c r="BV78" s="56"/>
      <c r="BW78" s="56"/>
      <c r="BX78" s="56"/>
      <c r="BY78" s="56"/>
      <c r="BZ78" s="56"/>
      <c r="CA78" s="56"/>
      <c r="CB78" s="56"/>
      <c r="CC78" s="56"/>
      <c r="CD78" s="56"/>
      <c r="CE78" s="56"/>
      <c r="CF78" s="56"/>
      <c r="CG78" s="56"/>
      <c r="CH78" s="56"/>
      <c r="CI78" s="56"/>
      <c r="CJ78" s="56"/>
      <c r="CK78" s="56"/>
      <c r="CL78" s="56"/>
      <c r="CM78" s="56"/>
      <c r="CN78" s="56"/>
      <c r="CO78" s="56"/>
      <c r="CP78" s="129"/>
      <c r="CQ78" s="129"/>
      <c r="CR78" s="129"/>
      <c r="CS78" s="129"/>
      <c r="CT78" s="129"/>
      <c r="CU78" s="129"/>
      <c r="CV78" s="129"/>
      <c r="CW78" s="129"/>
      <c r="CX78" s="129"/>
      <c r="CY78" s="129"/>
      <c r="CZ78" s="129"/>
      <c r="DA78" s="129"/>
      <c r="DB78" s="129"/>
      <c r="DC78" s="129"/>
      <c r="DD78" s="129"/>
      <c r="DE78" s="129"/>
      <c r="DF78" s="129"/>
      <c r="DG78" s="129"/>
      <c r="DH78" s="129"/>
      <c r="DI78" s="70"/>
      <c r="DJ78" s="174">
        <v>570</v>
      </c>
      <c r="DK78" s="144">
        <v>0</v>
      </c>
      <c r="DL78" s="143">
        <v>1</v>
      </c>
      <c r="DM78" s="143">
        <v>0</v>
      </c>
      <c r="DN78" s="143">
        <v>1</v>
      </c>
      <c r="DO78" s="143"/>
      <c r="DP78" s="143"/>
      <c r="DQ78" s="143"/>
      <c r="DR78" s="143"/>
      <c r="DS78" s="143"/>
      <c r="DT78" s="143"/>
      <c r="DU78" s="143"/>
      <c r="DV78" s="143"/>
      <c r="DW78" s="143"/>
      <c r="DX78" s="143"/>
      <c r="DY78" s="143"/>
      <c r="DZ78" s="143"/>
      <c r="EA78" s="143"/>
      <c r="EB78" s="143"/>
      <c r="EC78" s="143"/>
      <c r="ED78" s="143"/>
      <c r="EE78" s="143"/>
      <c r="EF78" s="143"/>
      <c r="EG78" s="143"/>
      <c r="EH78" s="143"/>
      <c r="EI78" s="143"/>
      <c r="EJ78" s="143"/>
      <c r="EK78" s="129"/>
      <c r="EL78" s="129"/>
      <c r="EM78" s="129"/>
      <c r="EN78" s="129"/>
      <c r="EO78" s="152"/>
      <c r="EP78" s="129"/>
      <c r="EQ78" s="129"/>
      <c r="ER78" s="129"/>
      <c r="ES78" s="129"/>
      <c r="ET78" s="129"/>
      <c r="EU78" s="129"/>
      <c r="EV78" s="129"/>
      <c r="EW78" s="129"/>
      <c r="EX78" s="129"/>
      <c r="EY78" s="129"/>
      <c r="EZ78" s="129"/>
      <c r="FA78" s="129"/>
      <c r="FB78" s="129"/>
      <c r="FC78" s="129"/>
      <c r="FD78" s="129"/>
      <c r="FE78" s="129"/>
      <c r="FF78" s="129"/>
      <c r="FG78" s="129"/>
      <c r="FH78" s="129"/>
      <c r="FI78" s="129"/>
      <c r="FJ78" s="129"/>
      <c r="FL78" s="193">
        <v>570</v>
      </c>
      <c r="FM78" s="129"/>
      <c r="FN78" s="42">
        <v>3</v>
      </c>
      <c r="FO78" s="42">
        <v>1</v>
      </c>
      <c r="FP78" s="42">
        <v>3</v>
      </c>
      <c r="FQ78" s="42"/>
      <c r="FR78" s="42"/>
      <c r="FS78" s="42"/>
      <c r="FT78" s="42"/>
      <c r="FU78" s="192"/>
      <c r="FV78" s="192"/>
      <c r="FW78" s="192"/>
      <c r="FX78" s="192"/>
      <c r="FY78" s="192"/>
      <c r="FZ78" s="192"/>
      <c r="GA78" s="192"/>
      <c r="GB78" s="192"/>
      <c r="GC78" s="192"/>
      <c r="GD78" s="192"/>
      <c r="GE78" s="192"/>
      <c r="GF78" s="192"/>
      <c r="GG78" s="192"/>
      <c r="GH78" s="192"/>
      <c r="GI78" s="192"/>
      <c r="GJ78" s="192"/>
      <c r="GK78" s="192"/>
      <c r="GL78" s="192"/>
      <c r="GM78" s="11"/>
      <c r="GN78" s="11"/>
      <c r="GO78" s="11"/>
      <c r="GP78" s="11"/>
      <c r="GQ78" s="192"/>
      <c r="GR78" s="11"/>
      <c r="GS78" s="11"/>
      <c r="GT78" s="129"/>
      <c r="GU78" s="129"/>
      <c r="GV78" s="129"/>
      <c r="GW78" s="129"/>
      <c r="GX78" s="129"/>
      <c r="GY78" s="129"/>
      <c r="GZ78" s="129"/>
      <c r="HA78" s="129"/>
      <c r="HB78" s="129"/>
      <c r="HC78" s="129"/>
      <c r="HD78" s="129"/>
      <c r="HE78" s="129"/>
      <c r="HF78" s="129"/>
      <c r="HG78" s="129"/>
      <c r="HH78" s="129"/>
      <c r="HI78" s="129"/>
      <c r="HJ78" s="129"/>
      <c r="HK78" s="129"/>
      <c r="HL78" s="129"/>
    </row>
    <row r="79" spans="4:220" ht="17.25">
      <c r="D79" s="70"/>
      <c r="E79" s="70"/>
      <c r="F79" s="189">
        <v>571</v>
      </c>
      <c r="G79" s="42">
        <v>5</v>
      </c>
      <c r="H79" s="42">
        <v>5</v>
      </c>
      <c r="I79" s="42">
        <v>5</v>
      </c>
      <c r="J79" s="42"/>
      <c r="K79" s="42"/>
      <c r="L79" s="42"/>
      <c r="M79" s="42"/>
      <c r="N79" s="192"/>
      <c r="O79" s="192"/>
      <c r="P79" s="192"/>
      <c r="Q79" s="192"/>
      <c r="R79" s="192"/>
      <c r="S79" s="192"/>
      <c r="T79" s="192"/>
      <c r="U79" s="192"/>
      <c r="V79" s="192"/>
      <c r="W79" s="192"/>
      <c r="X79" s="192"/>
      <c r="Y79" s="192"/>
      <c r="Z79" s="192"/>
      <c r="AA79" s="192"/>
      <c r="AB79" s="192"/>
      <c r="AC79" s="192"/>
      <c r="AD79" s="192"/>
      <c r="AE79" s="192"/>
      <c r="AF79" s="192"/>
      <c r="AG79" s="11"/>
      <c r="AH79" s="11"/>
      <c r="AI79" s="11"/>
      <c r="AJ79" s="11"/>
      <c r="AK79" s="11"/>
      <c r="AL79" s="11"/>
      <c r="AM79" s="11"/>
      <c r="AN79" s="70"/>
      <c r="AO79" s="70"/>
      <c r="AP79" s="70"/>
      <c r="AQ79" s="70"/>
      <c r="AR79" s="70"/>
      <c r="AS79" s="70"/>
      <c r="AT79" s="70"/>
      <c r="AU79" s="70"/>
      <c r="AV79" s="70"/>
      <c r="AW79" s="70"/>
      <c r="AX79" s="70"/>
      <c r="AY79" s="70"/>
      <c r="AZ79" s="70"/>
      <c r="BA79" s="70"/>
      <c r="BB79" s="70"/>
      <c r="BC79" s="70"/>
      <c r="BD79" s="70"/>
      <c r="BE79" s="70"/>
      <c r="BF79" s="70"/>
      <c r="BG79" s="70"/>
      <c r="BH79" s="174">
        <v>571</v>
      </c>
      <c r="BI79" s="198">
        <v>5</v>
      </c>
      <c r="BJ79" s="198">
        <v>4</v>
      </c>
      <c r="BK79" s="198">
        <v>5</v>
      </c>
      <c r="BL79" s="198"/>
      <c r="BM79" s="198"/>
      <c r="BN79" s="198"/>
      <c r="BO79" s="198"/>
      <c r="BP79" s="84"/>
      <c r="BQ79" s="84"/>
      <c r="BR79" s="84"/>
      <c r="BS79" s="84"/>
      <c r="BT79" s="84"/>
      <c r="BU79" s="84"/>
      <c r="BV79" s="84"/>
      <c r="BW79" s="84"/>
      <c r="BX79" s="84"/>
      <c r="BY79" s="84"/>
      <c r="BZ79" s="84"/>
      <c r="CA79" s="84"/>
      <c r="CB79" s="84"/>
      <c r="CC79" s="84"/>
      <c r="CD79" s="84"/>
      <c r="CE79" s="84"/>
      <c r="CF79" s="84"/>
      <c r="CG79" s="84"/>
      <c r="CH79" s="84"/>
      <c r="CI79" s="199"/>
      <c r="CJ79" s="199"/>
      <c r="CK79" s="199"/>
      <c r="CL79" s="199"/>
      <c r="CM79" s="199"/>
      <c r="CN79" s="199"/>
      <c r="CO79" s="199"/>
      <c r="CP79" s="129"/>
      <c r="CQ79" s="129"/>
      <c r="CR79" s="129"/>
      <c r="CS79" s="129"/>
      <c r="CT79" s="129"/>
      <c r="CU79" s="129"/>
      <c r="CV79" s="129"/>
      <c r="CW79" s="129"/>
      <c r="CX79" s="129"/>
      <c r="CY79" s="129"/>
      <c r="CZ79" s="129"/>
      <c r="DA79" s="129"/>
      <c r="DB79" s="129"/>
      <c r="DC79" s="129"/>
      <c r="DD79" s="129"/>
      <c r="DE79" s="129"/>
      <c r="DF79" s="129"/>
      <c r="DG79" s="129"/>
      <c r="DH79" s="129"/>
      <c r="DI79" s="70"/>
      <c r="DJ79" s="174">
        <v>571</v>
      </c>
      <c r="DK79" s="42">
        <v>0</v>
      </c>
      <c r="DL79" s="42">
        <v>1</v>
      </c>
      <c r="DM79" s="42">
        <v>0</v>
      </c>
      <c r="DN79" s="42"/>
      <c r="DO79" s="42"/>
      <c r="DP79" s="42"/>
      <c r="DQ79" s="42"/>
      <c r="DR79" s="192"/>
      <c r="DS79" s="192"/>
      <c r="DT79" s="192"/>
      <c r="DU79" s="192"/>
      <c r="DV79" s="192"/>
      <c r="DW79" s="192"/>
      <c r="DX79" s="192"/>
      <c r="DY79" s="192"/>
      <c r="DZ79" s="192"/>
      <c r="EA79" s="192"/>
      <c r="EB79" s="192"/>
      <c r="EC79" s="192"/>
      <c r="ED79" s="192"/>
      <c r="EE79" s="192"/>
      <c r="EF79" s="192"/>
      <c r="EG79" s="192"/>
      <c r="EH79" s="192"/>
      <c r="EI79" s="192"/>
      <c r="EJ79" s="192"/>
      <c r="EK79" s="11"/>
      <c r="EL79" s="11"/>
      <c r="EM79" s="11"/>
      <c r="EN79" s="11"/>
      <c r="EO79" s="11"/>
      <c r="EP79" s="11"/>
      <c r="EQ79" s="11"/>
      <c r="ER79" s="129"/>
      <c r="ES79" s="129"/>
      <c r="ET79" s="129"/>
      <c r="EU79" s="129"/>
      <c r="EV79" s="129"/>
      <c r="EW79" s="129"/>
      <c r="EX79" s="129"/>
      <c r="EY79" s="129"/>
      <c r="EZ79" s="129"/>
      <c r="FA79" s="129"/>
      <c r="FB79" s="129"/>
      <c r="FC79" s="129"/>
      <c r="FD79" s="129"/>
      <c r="FE79" s="129"/>
      <c r="FF79" s="129"/>
      <c r="FG79" s="129"/>
      <c r="FH79" s="129"/>
      <c r="FI79" s="129"/>
      <c r="FJ79" s="129"/>
      <c r="FL79" s="193">
        <v>571</v>
      </c>
      <c r="FM79" s="129"/>
      <c r="FN79" s="56">
        <v>3</v>
      </c>
      <c r="FO79" s="56">
        <v>1</v>
      </c>
      <c r="FP79" s="56"/>
      <c r="FQ79" s="56"/>
      <c r="FR79" s="56"/>
      <c r="FS79" s="78"/>
      <c r="FT79" s="56"/>
      <c r="FU79" s="56"/>
      <c r="FV79" s="78"/>
      <c r="FW79" s="56"/>
      <c r="FX79" s="56"/>
      <c r="FY79" s="78"/>
      <c r="FZ79" s="56"/>
      <c r="GA79" s="56"/>
      <c r="GB79" s="56"/>
      <c r="GC79" s="56"/>
      <c r="GD79" s="56"/>
      <c r="GE79" s="56"/>
      <c r="GF79" s="56"/>
      <c r="GG79" s="56"/>
      <c r="GH79" s="56"/>
      <c r="GI79" s="56"/>
      <c r="GJ79" s="56"/>
      <c r="GK79" s="56"/>
      <c r="GL79" s="56"/>
      <c r="GM79" s="78"/>
      <c r="GN79" s="56"/>
      <c r="GO79" s="78"/>
      <c r="GP79" s="56"/>
      <c r="GQ79" s="11"/>
      <c r="GR79" s="11"/>
      <c r="GS79" s="11"/>
      <c r="GT79" s="129"/>
      <c r="GU79" s="129"/>
      <c r="GV79" s="129"/>
      <c r="GW79" s="129"/>
      <c r="GX79" s="129"/>
      <c r="GY79" s="129"/>
      <c r="GZ79" s="129"/>
      <c r="HA79" s="129"/>
      <c r="HB79" s="129"/>
      <c r="HC79" s="129"/>
      <c r="HD79" s="129"/>
      <c r="HE79" s="129"/>
      <c r="HF79" s="129"/>
      <c r="HG79" s="129"/>
      <c r="HH79" s="129"/>
      <c r="HI79" s="129"/>
      <c r="HJ79" s="129"/>
      <c r="HK79" s="129"/>
      <c r="HL79" s="129"/>
    </row>
    <row r="80" spans="4:220" ht="17.25">
      <c r="D80" s="70"/>
      <c r="E80" s="70"/>
      <c r="F80" s="193">
        <v>572</v>
      </c>
      <c r="G80" s="125">
        <v>4</v>
      </c>
      <c r="H80" s="125">
        <v>4</v>
      </c>
      <c r="I80" s="125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78"/>
      <c r="AK80" s="11"/>
      <c r="AL80" s="11"/>
      <c r="AM80" s="11"/>
      <c r="AN80" s="70"/>
      <c r="AO80" s="70"/>
      <c r="AP80" s="70"/>
      <c r="AQ80" s="70"/>
      <c r="AR80" s="70"/>
      <c r="AS80" s="70"/>
      <c r="AT80" s="70"/>
      <c r="AU80" s="70"/>
      <c r="AV80" s="70"/>
      <c r="AW80" s="70"/>
      <c r="AX80" s="70"/>
      <c r="AY80" s="70"/>
      <c r="AZ80" s="70"/>
      <c r="BA80" s="70"/>
      <c r="BB80" s="70"/>
      <c r="BC80" s="70"/>
      <c r="BD80" s="70"/>
      <c r="BE80" s="70"/>
      <c r="BF80" s="70"/>
      <c r="BG80" s="70"/>
      <c r="BH80" s="193">
        <v>572</v>
      </c>
      <c r="BI80" s="84">
        <v>3</v>
      </c>
      <c r="BJ80" s="84">
        <v>3</v>
      </c>
      <c r="BK80" s="84"/>
      <c r="BL80" s="84"/>
      <c r="BM80" s="84"/>
      <c r="BN80" s="34"/>
      <c r="BO80" s="34"/>
      <c r="BP80" s="84"/>
      <c r="BQ80" s="84"/>
      <c r="BR80" s="34"/>
      <c r="BS80" s="84"/>
      <c r="BT80" s="34"/>
      <c r="BU80" s="84"/>
      <c r="BV80" s="84"/>
      <c r="BW80" s="84"/>
      <c r="BX80" s="84"/>
      <c r="BY80" s="84"/>
      <c r="BZ80" s="84"/>
      <c r="CA80" s="84"/>
      <c r="CB80" s="84"/>
      <c r="CC80" s="84"/>
      <c r="CD80" s="84"/>
      <c r="CE80" s="84"/>
      <c r="CF80" s="84"/>
      <c r="CG80" s="84"/>
      <c r="CH80" s="34"/>
      <c r="CI80" s="84"/>
      <c r="CJ80" s="34"/>
      <c r="CK80" s="84"/>
      <c r="CL80" s="34"/>
      <c r="CM80" s="199"/>
      <c r="CN80" s="199"/>
      <c r="CO80" s="199"/>
      <c r="CP80" s="129"/>
      <c r="CQ80" s="129"/>
      <c r="CR80" s="129"/>
      <c r="CS80" s="129"/>
      <c r="CT80" s="129"/>
      <c r="CU80" s="129"/>
      <c r="CV80" s="129"/>
      <c r="CW80" s="129"/>
      <c r="CX80" s="129"/>
      <c r="CY80" s="129"/>
      <c r="CZ80" s="129"/>
      <c r="DA80" s="129"/>
      <c r="DB80" s="129"/>
      <c r="DC80" s="129"/>
      <c r="DD80" s="129"/>
      <c r="DE80" s="129"/>
      <c r="DF80" s="129"/>
      <c r="DG80" s="129"/>
      <c r="DH80" s="129"/>
      <c r="DI80" s="70"/>
      <c r="DJ80" s="174">
        <v>572</v>
      </c>
      <c r="DK80" s="56">
        <v>1</v>
      </c>
      <c r="DL80" s="56">
        <v>1</v>
      </c>
      <c r="DM80" s="56"/>
      <c r="DN80" s="56"/>
      <c r="DO80" s="56"/>
      <c r="DP80" s="78"/>
      <c r="DQ80" s="78"/>
      <c r="DR80" s="78"/>
      <c r="DS80" s="78"/>
      <c r="DT80" s="56"/>
      <c r="DU80" s="78"/>
      <c r="DV80" s="56"/>
      <c r="DW80" s="56"/>
      <c r="DX80" s="56"/>
      <c r="DY80" s="56"/>
      <c r="DZ80" s="56"/>
      <c r="EA80" s="56"/>
      <c r="EB80" s="56"/>
      <c r="EC80" s="56"/>
      <c r="ED80" s="56"/>
      <c r="EE80" s="56"/>
      <c r="EF80" s="56"/>
      <c r="EG80" s="56"/>
      <c r="EH80" s="56"/>
      <c r="EI80" s="56"/>
      <c r="EJ80" s="78"/>
      <c r="EK80" s="56"/>
      <c r="EL80" s="78"/>
      <c r="EM80" s="78"/>
      <c r="EN80" s="78"/>
      <c r="EO80" s="11"/>
      <c r="EP80" s="11"/>
      <c r="EQ80" s="11"/>
      <c r="ER80" s="129"/>
      <c r="ES80" s="129"/>
      <c r="ET80" s="129"/>
      <c r="EU80" s="129"/>
      <c r="EV80" s="129"/>
      <c r="EW80" s="129"/>
      <c r="EX80" s="129"/>
      <c r="EY80" s="129"/>
      <c r="EZ80" s="129"/>
      <c r="FA80" s="129"/>
      <c r="FB80" s="129"/>
      <c r="FC80" s="129"/>
      <c r="FD80" s="129"/>
      <c r="FE80" s="129"/>
      <c r="FF80" s="129"/>
      <c r="FG80" s="129"/>
      <c r="FH80" s="129"/>
      <c r="FI80" s="129"/>
      <c r="FJ80" s="129"/>
      <c r="FL80" s="203">
        <v>572</v>
      </c>
      <c r="FM80" s="129"/>
      <c r="FN80" s="84">
        <v>1</v>
      </c>
      <c r="FO80" s="204"/>
      <c r="FP80" s="204"/>
      <c r="FQ80" s="204"/>
      <c r="FR80" s="204"/>
      <c r="FS80" s="204"/>
      <c r="FT80" s="204"/>
      <c r="FU80" s="204"/>
      <c r="FV80" s="204"/>
      <c r="FW80" s="204"/>
      <c r="FX80" s="204"/>
      <c r="FY80" s="204"/>
      <c r="FZ80" s="204"/>
      <c r="GA80" s="204"/>
      <c r="GB80" s="204"/>
      <c r="GC80" s="204"/>
      <c r="GD80" s="204"/>
      <c r="GE80" s="204"/>
      <c r="GF80" s="204"/>
      <c r="GG80" s="204"/>
      <c r="GH80" s="204"/>
      <c r="GI80" s="204"/>
      <c r="GJ80" s="204"/>
      <c r="GK80" s="204"/>
      <c r="GL80" s="204"/>
      <c r="GM80" s="204"/>
      <c r="GN80" s="204"/>
      <c r="GO80" s="204"/>
      <c r="GP80" s="204"/>
      <c r="GQ80" s="204"/>
      <c r="GR80" s="129"/>
      <c r="GS80" s="129"/>
      <c r="GT80" s="129"/>
      <c r="GU80" s="129"/>
      <c r="GV80" s="129"/>
      <c r="GW80" s="129"/>
      <c r="GX80" s="129"/>
      <c r="GY80" s="129"/>
      <c r="GZ80" s="129"/>
      <c r="HA80" s="129"/>
      <c r="HB80" s="129"/>
      <c r="HC80" s="129"/>
      <c r="HD80" s="129"/>
      <c r="HE80" s="129"/>
      <c r="HF80" s="129"/>
      <c r="HG80" s="129"/>
      <c r="HH80" s="129"/>
      <c r="HI80" s="129"/>
      <c r="HJ80" s="129"/>
      <c r="HK80" s="129"/>
      <c r="HL80" s="129"/>
    </row>
    <row r="81" spans="4:220">
      <c r="D81" s="70"/>
      <c r="E81" s="70"/>
      <c r="F81" s="203">
        <v>573</v>
      </c>
      <c r="G81" s="198">
        <v>6</v>
      </c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04"/>
      <c r="AG81" s="22"/>
      <c r="AH81" s="22"/>
      <c r="AI81" s="22"/>
      <c r="AJ81" s="22"/>
      <c r="AK81" s="204"/>
      <c r="AL81" s="70"/>
      <c r="AM81" s="70"/>
      <c r="AN81" s="70"/>
      <c r="AO81" s="70"/>
      <c r="AP81" s="70"/>
      <c r="AQ81" s="70"/>
      <c r="AR81" s="70"/>
      <c r="AS81" s="70"/>
      <c r="AT81" s="70"/>
      <c r="AU81" s="70"/>
      <c r="AV81" s="70"/>
      <c r="AW81" s="70"/>
      <c r="AX81" s="70"/>
      <c r="AY81" s="70"/>
      <c r="AZ81" s="70"/>
      <c r="BA81" s="70"/>
      <c r="BB81" s="70"/>
      <c r="BC81" s="70"/>
      <c r="BD81" s="70"/>
      <c r="BE81" s="70"/>
      <c r="BF81" s="70"/>
      <c r="BG81" s="70"/>
      <c r="BH81" s="203">
        <v>573</v>
      </c>
      <c r="BI81" s="198">
        <v>6</v>
      </c>
      <c r="BJ81" s="205"/>
      <c r="BK81" s="205"/>
      <c r="BL81" s="205"/>
      <c r="BM81" s="205"/>
      <c r="BN81" s="205"/>
      <c r="BO81" s="205"/>
      <c r="BP81" s="205"/>
      <c r="BQ81" s="205"/>
      <c r="BR81" s="205"/>
      <c r="BS81" s="205"/>
      <c r="BT81" s="205"/>
      <c r="BU81" s="205"/>
      <c r="BV81" s="205"/>
      <c r="BW81" s="205"/>
      <c r="BX81" s="205"/>
      <c r="BY81" s="205"/>
      <c r="BZ81" s="205"/>
      <c r="CA81" s="205"/>
      <c r="CB81" s="205"/>
      <c r="CC81" s="204"/>
      <c r="CD81" s="204"/>
      <c r="CE81" s="204"/>
      <c r="CF81" s="204"/>
      <c r="CG81" s="204"/>
      <c r="CH81" s="204"/>
      <c r="CI81" s="204"/>
      <c r="CJ81" s="204"/>
      <c r="CK81" s="204"/>
      <c r="CL81" s="204"/>
      <c r="CM81" s="204"/>
      <c r="CN81" s="129"/>
      <c r="CO81" s="129"/>
      <c r="CP81" s="129"/>
      <c r="CQ81" s="129"/>
      <c r="CR81" s="129"/>
      <c r="CS81" s="129"/>
      <c r="CT81" s="129"/>
      <c r="CU81" s="129"/>
      <c r="CV81" s="129"/>
      <c r="CW81" s="129"/>
      <c r="CX81" s="129"/>
      <c r="CY81" s="129"/>
      <c r="CZ81" s="129"/>
      <c r="DA81" s="129"/>
      <c r="DB81" s="129"/>
      <c r="DC81" s="129"/>
      <c r="DD81" s="129"/>
      <c r="DE81" s="129"/>
      <c r="DF81" s="129"/>
      <c r="DG81" s="129"/>
      <c r="DH81" s="129"/>
      <c r="DI81" s="70"/>
      <c r="DJ81" s="174">
        <v>573</v>
      </c>
      <c r="DK81" s="198">
        <v>0</v>
      </c>
      <c r="DL81" s="204"/>
      <c r="DM81" s="205"/>
      <c r="DN81" s="205"/>
      <c r="DO81" s="205"/>
      <c r="DP81" s="205"/>
      <c r="DQ81" s="205"/>
      <c r="DR81" s="205"/>
      <c r="DS81" s="205"/>
      <c r="DT81" s="205"/>
      <c r="DU81" s="205"/>
      <c r="DV81" s="205"/>
      <c r="DW81" s="205"/>
      <c r="DX81" s="205"/>
      <c r="DY81" s="205"/>
      <c r="DZ81" s="205"/>
      <c r="EA81" s="205"/>
      <c r="EB81" s="205"/>
      <c r="EC81" s="205"/>
      <c r="ED81" s="205"/>
      <c r="EE81" s="205"/>
      <c r="EF81" s="205"/>
      <c r="EG81" s="205"/>
      <c r="EH81" s="205"/>
      <c r="EI81" s="204"/>
      <c r="EJ81" s="206"/>
      <c r="EK81" s="204"/>
      <c r="EL81" s="204"/>
      <c r="EM81" s="204"/>
      <c r="EN81" s="204"/>
      <c r="EO81" s="204"/>
      <c r="EP81" s="129"/>
      <c r="EQ81" s="129"/>
      <c r="ER81" s="129"/>
      <c r="ES81" s="129"/>
      <c r="ET81" s="129"/>
      <c r="EU81" s="129"/>
      <c r="EV81" s="129"/>
      <c r="EW81" s="129"/>
      <c r="EX81" s="129"/>
      <c r="EY81" s="129"/>
      <c r="EZ81" s="129"/>
      <c r="FA81" s="129"/>
      <c r="FB81" s="129"/>
      <c r="FC81" s="129"/>
      <c r="FD81" s="129"/>
      <c r="FE81" s="129"/>
      <c r="FF81" s="129"/>
      <c r="FG81" s="129"/>
      <c r="FH81" s="129"/>
      <c r="FI81" s="129"/>
      <c r="FJ81" s="129"/>
      <c r="FL81" s="203">
        <v>573</v>
      </c>
      <c r="FM81" s="129"/>
      <c r="FN81" s="129"/>
      <c r="FO81" s="129"/>
      <c r="FP81" s="129"/>
      <c r="FQ81" s="129"/>
      <c r="FR81" s="129"/>
      <c r="FS81" s="152"/>
      <c r="FT81" s="129"/>
      <c r="FU81" s="129"/>
      <c r="FV81" s="129"/>
      <c r="FW81" s="129"/>
      <c r="FX81" s="129"/>
      <c r="FY81" s="129"/>
      <c r="FZ81" s="129"/>
      <c r="GA81" s="129"/>
      <c r="GB81" s="129"/>
      <c r="GC81" s="129"/>
      <c r="GD81" s="129"/>
      <c r="GE81" s="129"/>
      <c r="GF81" s="129"/>
      <c r="GG81" s="129"/>
      <c r="GH81" s="129"/>
      <c r="GI81" s="129"/>
      <c r="GJ81" s="129"/>
      <c r="GK81" s="129"/>
      <c r="GL81" s="129"/>
      <c r="GM81" s="129"/>
      <c r="GN81" s="129"/>
      <c r="GO81" s="129"/>
      <c r="GP81" s="129"/>
      <c r="GQ81" s="129"/>
      <c r="GR81" s="129"/>
      <c r="GS81" s="129"/>
      <c r="GT81" s="129"/>
      <c r="GU81" s="129"/>
      <c r="GV81" s="129"/>
      <c r="GW81" s="129"/>
      <c r="GX81" s="129"/>
      <c r="GY81" s="129"/>
      <c r="GZ81" s="129"/>
      <c r="HA81" s="129"/>
      <c r="HB81" s="129"/>
      <c r="HC81" s="129"/>
      <c r="HD81" s="129"/>
      <c r="HE81" s="129"/>
      <c r="HF81" s="129"/>
      <c r="HG81" s="129"/>
      <c r="HH81" s="129"/>
      <c r="HI81" s="129"/>
      <c r="HJ81" s="129"/>
      <c r="HK81" s="129"/>
      <c r="HL81" s="129"/>
    </row>
    <row r="82" spans="4:220">
      <c r="D82" s="70"/>
      <c r="E82" s="70"/>
      <c r="F82" s="128">
        <v>574</v>
      </c>
      <c r="AL82" s="70"/>
      <c r="AM82" s="70"/>
      <c r="AN82" s="70"/>
      <c r="AO82" s="70"/>
      <c r="AP82" s="70"/>
      <c r="AQ82" s="70"/>
      <c r="AR82" s="70"/>
      <c r="AS82" s="70"/>
      <c r="AT82" s="70"/>
      <c r="AU82" s="70"/>
      <c r="AV82" s="70"/>
      <c r="AW82" s="70"/>
      <c r="AX82" s="70"/>
      <c r="AY82" s="70"/>
      <c r="AZ82" s="70"/>
      <c r="BA82" s="70"/>
      <c r="BB82" s="70"/>
      <c r="BC82" s="70"/>
      <c r="BD82" s="70"/>
      <c r="BE82" s="70"/>
      <c r="BF82" s="70"/>
      <c r="BG82" s="70"/>
      <c r="BH82" s="128">
        <v>574</v>
      </c>
      <c r="CN82" s="129"/>
      <c r="CO82" s="129"/>
      <c r="CP82" s="129"/>
      <c r="CQ82" s="129"/>
      <c r="CR82" s="129"/>
      <c r="CS82" s="129"/>
      <c r="CT82" s="129"/>
      <c r="CU82" s="129"/>
      <c r="CV82" s="129"/>
      <c r="CW82" s="129"/>
      <c r="CX82" s="129"/>
      <c r="CY82" s="129"/>
      <c r="CZ82" s="129"/>
      <c r="DA82" s="129"/>
      <c r="DB82" s="129"/>
      <c r="DC82" s="129"/>
      <c r="DD82" s="129"/>
      <c r="DE82" s="129"/>
      <c r="DF82" s="129"/>
      <c r="DG82" s="129"/>
      <c r="DH82" s="129"/>
      <c r="DI82" s="70"/>
      <c r="DJ82" s="174">
        <v>574</v>
      </c>
      <c r="DK82" s="204"/>
      <c r="EP82" s="129"/>
      <c r="EQ82" s="129"/>
      <c r="ER82" s="129"/>
      <c r="ES82" s="129"/>
      <c r="ET82" s="129"/>
      <c r="EU82" s="129"/>
      <c r="EV82" s="129"/>
      <c r="EW82" s="129"/>
      <c r="EX82" s="129"/>
      <c r="EY82" s="129"/>
      <c r="EZ82" s="129"/>
      <c r="FA82" s="129"/>
      <c r="FB82" s="129"/>
      <c r="FC82" s="129"/>
      <c r="FD82" s="129"/>
      <c r="FE82" s="129"/>
      <c r="FF82" s="129"/>
      <c r="FG82" s="129"/>
      <c r="FH82" s="129"/>
      <c r="FI82" s="129"/>
      <c r="FJ82" s="129"/>
      <c r="FL82" s="203">
        <v>574</v>
      </c>
      <c r="FM82" s="129"/>
      <c r="FN82" s="129"/>
      <c r="FO82" s="129"/>
      <c r="FP82" s="129"/>
      <c r="FQ82" s="129"/>
      <c r="FR82" s="129"/>
      <c r="FS82" s="152"/>
      <c r="FT82" s="129"/>
      <c r="FU82" s="129"/>
      <c r="FV82" s="129"/>
      <c r="FW82" s="129"/>
      <c r="FX82" s="129"/>
      <c r="FY82" s="129"/>
      <c r="FZ82" s="129"/>
      <c r="GA82" s="129"/>
      <c r="GB82" s="129"/>
      <c r="GC82" s="129"/>
      <c r="GD82" s="129"/>
      <c r="GE82" s="129"/>
      <c r="GF82" s="129"/>
      <c r="GG82" s="129"/>
      <c r="GH82" s="129"/>
      <c r="GI82" s="129"/>
      <c r="GJ82" s="129"/>
      <c r="GK82" s="129"/>
      <c r="GL82" s="129"/>
      <c r="GM82" s="129"/>
      <c r="GN82" s="129"/>
      <c r="GO82" s="129"/>
      <c r="GP82" s="129"/>
      <c r="GQ82" s="129"/>
      <c r="GR82" s="129"/>
      <c r="GS82" s="129"/>
      <c r="GT82" s="129"/>
      <c r="GU82" s="129"/>
      <c r="GV82" s="129"/>
      <c r="GW82" s="129"/>
      <c r="GX82" s="129"/>
      <c r="GY82" s="129"/>
      <c r="GZ82" s="129"/>
      <c r="HA82" s="129"/>
      <c r="HB82" s="129"/>
      <c r="HC82" s="129"/>
      <c r="HD82" s="129"/>
      <c r="HE82" s="129"/>
      <c r="HF82" s="129"/>
      <c r="HG82" s="129"/>
      <c r="HH82" s="129"/>
      <c r="HI82" s="129"/>
      <c r="HJ82" s="129"/>
      <c r="HK82" s="129"/>
      <c r="HL82" s="129"/>
    </row>
    <row r="83" spans="4:220">
      <c r="D83" s="70"/>
      <c r="E83" s="70"/>
      <c r="F83" s="128">
        <v>575</v>
      </c>
      <c r="AL83" s="70"/>
      <c r="AM83" s="70"/>
      <c r="AN83" s="70"/>
      <c r="AO83" s="70"/>
      <c r="AP83" s="70"/>
      <c r="AQ83" s="70"/>
      <c r="AR83" s="70"/>
      <c r="AS83" s="70"/>
      <c r="AT83" s="70"/>
      <c r="AU83" s="70"/>
      <c r="AV83" s="70"/>
      <c r="AW83" s="70"/>
      <c r="AX83" s="70"/>
      <c r="AY83" s="70"/>
      <c r="AZ83" s="70"/>
      <c r="BA83" s="70"/>
      <c r="BB83" s="70"/>
      <c r="BC83" s="70"/>
      <c r="BD83" s="70"/>
      <c r="BE83" s="70"/>
      <c r="BF83" s="70"/>
      <c r="BG83" s="70"/>
      <c r="BH83" s="128">
        <v>575</v>
      </c>
      <c r="CN83" s="129"/>
      <c r="CO83" s="129"/>
      <c r="CP83" s="129"/>
      <c r="CQ83" s="129"/>
      <c r="CR83" s="129"/>
      <c r="CS83" s="129"/>
      <c r="CT83" s="129"/>
      <c r="CU83" s="129"/>
      <c r="CV83" s="129"/>
      <c r="CW83" s="129"/>
      <c r="CX83" s="129"/>
      <c r="CY83" s="129"/>
      <c r="CZ83" s="129"/>
      <c r="DA83" s="129"/>
      <c r="DB83" s="129"/>
      <c r="DC83" s="129"/>
      <c r="DD83" s="129"/>
      <c r="DE83" s="129"/>
      <c r="DF83" s="129"/>
      <c r="DG83" s="129"/>
      <c r="DH83" s="129"/>
      <c r="DI83" s="70"/>
      <c r="DJ83" s="70"/>
      <c r="DK83" s="70"/>
      <c r="DL83" s="70"/>
      <c r="DM83" s="70"/>
      <c r="DN83" s="70"/>
      <c r="DO83" s="70"/>
      <c r="DP83" s="70"/>
      <c r="DQ83" s="70"/>
      <c r="DR83" s="70"/>
      <c r="DS83" s="70"/>
      <c r="DT83" s="70"/>
      <c r="DU83" s="70"/>
      <c r="DV83" s="70"/>
      <c r="DW83" s="70"/>
      <c r="DX83" s="70"/>
      <c r="DY83" s="70"/>
      <c r="DZ83" s="70"/>
      <c r="EA83" s="70"/>
      <c r="EB83" s="70"/>
      <c r="EC83" s="70"/>
      <c r="ED83" s="70"/>
      <c r="EE83" s="70"/>
      <c r="EF83" s="70"/>
      <c r="EG83" s="70"/>
      <c r="EH83" s="70"/>
      <c r="EI83" s="70"/>
      <c r="EJ83" s="70"/>
      <c r="EK83" s="70"/>
      <c r="EL83" s="70"/>
      <c r="FL83" s="203">
        <v>575</v>
      </c>
    </row>
    <row r="84" spans="4:220" ht="17.25">
      <c r="D84" s="70"/>
      <c r="E84" s="70"/>
      <c r="F84" s="128">
        <v>576</v>
      </c>
      <c r="AL84" s="70"/>
      <c r="AM84" s="70"/>
      <c r="AN84" s="70"/>
      <c r="AO84" s="70"/>
      <c r="AP84" s="70"/>
      <c r="AQ84" s="70"/>
      <c r="AR84" s="70"/>
      <c r="AS84" s="70"/>
      <c r="AT84" s="70"/>
      <c r="AU84" s="70"/>
      <c r="AV84" s="70"/>
      <c r="AW84" s="70"/>
      <c r="AX84" s="70"/>
      <c r="AY84" s="70"/>
      <c r="AZ84" s="70"/>
      <c r="BA84" s="70"/>
      <c r="BB84" s="70"/>
      <c r="BC84" s="70"/>
      <c r="BD84" s="70"/>
      <c r="BE84" s="70"/>
      <c r="BF84" s="70"/>
      <c r="BG84" s="70"/>
      <c r="BH84" s="128">
        <v>576</v>
      </c>
      <c r="BI84" s="36"/>
      <c r="BJ84" s="36"/>
      <c r="BK84" s="36"/>
      <c r="BL84" s="36"/>
      <c r="BM84" s="36"/>
      <c r="BN84" s="36"/>
      <c r="BO84" s="36"/>
      <c r="BP84" s="36"/>
      <c r="BQ84" s="36"/>
      <c r="BR84" s="36"/>
      <c r="BS84" s="36"/>
      <c r="BT84" s="36"/>
      <c r="BU84" s="36"/>
      <c r="BV84" s="36"/>
      <c r="BW84" s="36"/>
      <c r="BX84" s="36"/>
      <c r="BY84" s="36"/>
      <c r="BZ84" s="36"/>
      <c r="CA84" s="36"/>
      <c r="CB84" s="36"/>
      <c r="CC84" s="36"/>
      <c r="CD84" s="36"/>
      <c r="CE84" s="36"/>
      <c r="CF84" s="36"/>
      <c r="CG84" s="36"/>
      <c r="CH84" s="36"/>
      <c r="CI84" s="36"/>
      <c r="CJ84" s="36"/>
      <c r="CK84" s="36"/>
      <c r="CL84" s="36"/>
      <c r="CM84" s="129"/>
      <c r="CN84" s="129"/>
      <c r="CO84" s="129"/>
      <c r="CP84" s="129"/>
      <c r="CQ84" s="129"/>
      <c r="CR84" s="129"/>
      <c r="CS84" s="129"/>
      <c r="CT84" s="129"/>
      <c r="CU84" s="129"/>
      <c r="CV84" s="129"/>
      <c r="CW84" s="129"/>
      <c r="CX84" s="129"/>
      <c r="CY84" s="129"/>
      <c r="CZ84" s="129"/>
      <c r="DA84" s="129"/>
      <c r="DB84" s="129"/>
      <c r="DC84" s="129"/>
      <c r="DD84" s="129"/>
      <c r="DE84" s="129"/>
      <c r="DF84" s="129"/>
      <c r="DG84" s="129"/>
      <c r="DH84" s="129"/>
      <c r="DI84" s="70"/>
      <c r="DJ84" s="70"/>
      <c r="DK84" s="70"/>
      <c r="DL84" s="70"/>
      <c r="DM84" s="70"/>
      <c r="DN84" s="70"/>
      <c r="DO84" s="70"/>
      <c r="DP84" s="70"/>
      <c r="DQ84" s="70"/>
      <c r="DR84" s="70"/>
      <c r="DS84" s="70"/>
      <c r="DT84" s="70"/>
      <c r="DU84" s="70"/>
      <c r="DV84" s="70"/>
      <c r="DW84" s="70"/>
      <c r="DX84" s="70"/>
      <c r="DY84" s="70"/>
      <c r="DZ84" s="70"/>
      <c r="EA84" s="70"/>
      <c r="EB84" s="70"/>
      <c r="EC84" s="70"/>
      <c r="ED84" s="70"/>
      <c r="EE84" s="70"/>
      <c r="EF84" s="70"/>
      <c r="EG84" s="70"/>
      <c r="EH84" s="70"/>
      <c r="EI84" s="70"/>
      <c r="EJ84" s="70"/>
      <c r="EK84" s="70"/>
      <c r="EL84" s="70"/>
    </row>
    <row r="85" spans="4:220" ht="17.25">
      <c r="D85" s="70"/>
      <c r="E85" s="70"/>
      <c r="F85" s="128">
        <v>577</v>
      </c>
      <c r="G85" s="70"/>
      <c r="H85" s="70"/>
      <c r="I85" s="70"/>
      <c r="J85" s="70"/>
      <c r="K85" s="70"/>
      <c r="L85" s="70"/>
      <c r="M85" s="138"/>
      <c r="N85" s="70"/>
      <c r="O85" s="70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0"/>
      <c r="AS85" s="70"/>
      <c r="AT85" s="70"/>
      <c r="AU85" s="70"/>
      <c r="AV85" s="70"/>
      <c r="AW85" s="70"/>
      <c r="AX85" s="70"/>
      <c r="AY85" s="70"/>
      <c r="AZ85" s="70"/>
      <c r="BA85" s="70"/>
      <c r="BB85" s="70"/>
      <c r="BC85" s="70"/>
      <c r="BD85" s="70"/>
      <c r="BE85" s="70"/>
      <c r="BF85" s="70"/>
      <c r="BG85" s="70"/>
      <c r="BH85" s="128">
        <v>577</v>
      </c>
      <c r="BI85" s="36"/>
      <c r="BJ85" s="36"/>
      <c r="BK85" s="36"/>
      <c r="BL85" s="36"/>
      <c r="BM85" s="36"/>
      <c r="BN85" s="36"/>
      <c r="BO85" s="36"/>
      <c r="BP85" s="36"/>
      <c r="BQ85" s="36"/>
      <c r="BR85" s="36"/>
      <c r="BS85" s="36"/>
      <c r="BT85" s="36"/>
      <c r="BU85" s="36"/>
      <c r="BV85" s="36"/>
      <c r="BW85" s="36"/>
      <c r="BX85" s="36"/>
      <c r="BY85" s="36"/>
      <c r="BZ85" s="36"/>
      <c r="CA85" s="36"/>
      <c r="CB85" s="36"/>
      <c r="CC85" s="36"/>
      <c r="CD85" s="36"/>
      <c r="CE85" s="36"/>
      <c r="CF85" s="36"/>
      <c r="CG85" s="36"/>
      <c r="CH85" s="36"/>
      <c r="CI85" s="36"/>
      <c r="CJ85" s="36"/>
      <c r="CK85" s="36"/>
      <c r="CL85" s="36"/>
      <c r="CM85" s="129"/>
      <c r="CN85" s="129"/>
      <c r="CO85" s="129"/>
      <c r="CP85" s="129"/>
      <c r="CQ85" s="129"/>
      <c r="CR85" s="129"/>
      <c r="CS85" s="129"/>
      <c r="CT85" s="129"/>
      <c r="CU85" s="129"/>
      <c r="CV85" s="129"/>
      <c r="CW85" s="129"/>
      <c r="CX85" s="129"/>
      <c r="CY85" s="129"/>
      <c r="CZ85" s="129"/>
      <c r="DA85" s="129"/>
      <c r="DB85" s="129"/>
      <c r="DC85" s="129"/>
      <c r="DD85" s="129"/>
      <c r="DE85" s="129"/>
      <c r="DF85" s="129"/>
      <c r="DG85" s="129"/>
      <c r="DH85" s="129"/>
      <c r="DI85" s="70"/>
      <c r="DJ85" s="70"/>
      <c r="DK85" s="70"/>
      <c r="DL85" s="70"/>
      <c r="DM85" s="70"/>
      <c r="DN85" s="70"/>
      <c r="DO85" s="70"/>
      <c r="DP85" s="70"/>
      <c r="DQ85" s="70"/>
      <c r="DR85" s="70"/>
      <c r="DS85" s="70"/>
      <c r="DT85" s="70"/>
      <c r="DU85" s="70"/>
      <c r="DV85" s="70"/>
      <c r="DW85" s="70"/>
      <c r="DX85" s="70"/>
      <c r="DY85" s="70"/>
      <c r="DZ85" s="70"/>
      <c r="EA85" s="70"/>
      <c r="EB85" s="70"/>
      <c r="EC85" s="70"/>
      <c r="ED85" s="70"/>
      <c r="EE85" s="70"/>
      <c r="EF85" s="70"/>
      <c r="EG85" s="70"/>
      <c r="EH85" s="70"/>
      <c r="EI85" s="70"/>
      <c r="EJ85" s="70"/>
      <c r="EK85" s="70"/>
      <c r="EL85" s="70"/>
    </row>
    <row r="86" spans="4:220" ht="17.25">
      <c r="D86" s="70"/>
      <c r="E86" s="70"/>
      <c r="F86" s="128">
        <v>578</v>
      </c>
      <c r="G86" s="70"/>
      <c r="H86" s="70"/>
      <c r="I86" s="70"/>
      <c r="J86" s="70"/>
      <c r="K86" s="70"/>
      <c r="L86" s="70"/>
      <c r="M86" s="138"/>
      <c r="N86" s="70"/>
      <c r="O86" s="70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0"/>
      <c r="AS86" s="70"/>
      <c r="AT86" s="70"/>
      <c r="AU86" s="70"/>
      <c r="AV86" s="70"/>
      <c r="AW86" s="70"/>
      <c r="AX86" s="70"/>
      <c r="AY86" s="70"/>
      <c r="AZ86" s="70"/>
      <c r="BA86" s="70"/>
      <c r="BB86" s="70"/>
      <c r="BC86" s="70"/>
      <c r="BD86" s="70"/>
      <c r="BE86" s="70"/>
      <c r="BF86" s="70"/>
      <c r="BG86" s="70"/>
      <c r="BH86" s="128">
        <v>578</v>
      </c>
      <c r="BI86" s="36"/>
      <c r="BJ86" s="36"/>
      <c r="BK86" s="36"/>
      <c r="BL86" s="36"/>
      <c r="BM86" s="36"/>
      <c r="BN86" s="36"/>
      <c r="BO86" s="36"/>
      <c r="BP86" s="36"/>
      <c r="BQ86" s="36"/>
      <c r="BR86" s="36"/>
      <c r="BS86" s="36"/>
      <c r="BT86" s="36"/>
      <c r="BU86" s="36"/>
      <c r="BV86" s="36"/>
      <c r="BW86" s="36"/>
      <c r="BX86" s="36"/>
      <c r="BY86" s="36"/>
      <c r="BZ86" s="36"/>
      <c r="CA86" s="36"/>
      <c r="CB86" s="36"/>
      <c r="CC86" s="36"/>
      <c r="CD86" s="36"/>
      <c r="CE86" s="36"/>
      <c r="CF86" s="36"/>
      <c r="CG86" s="36"/>
      <c r="CH86" s="36"/>
      <c r="CI86" s="36"/>
      <c r="CJ86" s="36"/>
      <c r="CK86" s="36"/>
      <c r="CL86" s="36"/>
      <c r="CM86" s="129"/>
      <c r="CN86" s="129"/>
      <c r="CO86" s="129"/>
      <c r="CP86" s="129"/>
      <c r="CQ86" s="129"/>
      <c r="CR86" s="129"/>
      <c r="CS86" s="129"/>
      <c r="CT86" s="129"/>
      <c r="CU86" s="129"/>
      <c r="CV86" s="129"/>
      <c r="CW86" s="129"/>
      <c r="CX86" s="129"/>
      <c r="CY86" s="129"/>
      <c r="CZ86" s="129"/>
      <c r="DA86" s="129"/>
      <c r="DB86" s="129"/>
      <c r="DC86" s="129"/>
      <c r="DD86" s="129"/>
      <c r="DE86" s="129"/>
      <c r="DF86" s="129"/>
      <c r="DG86" s="129"/>
      <c r="DH86" s="129"/>
      <c r="DI86" s="70"/>
      <c r="DJ86" s="70"/>
      <c r="DK86" s="70"/>
      <c r="DL86" s="70"/>
      <c r="DM86" s="70"/>
      <c r="DN86" s="70"/>
      <c r="DO86" s="70"/>
      <c r="DP86" s="70"/>
      <c r="DQ86" s="70"/>
      <c r="DR86" s="70"/>
      <c r="DS86" s="70"/>
      <c r="DT86" s="70"/>
      <c r="DU86" s="70"/>
      <c r="DV86" s="70"/>
      <c r="DW86" s="70"/>
      <c r="DX86" s="70"/>
      <c r="DY86" s="70"/>
      <c r="DZ86" s="70"/>
      <c r="EA86" s="70"/>
      <c r="EB86" s="70"/>
      <c r="EC86" s="70"/>
      <c r="ED86" s="70"/>
      <c r="EE86" s="70"/>
      <c r="EF86" s="70"/>
      <c r="EG86" s="70"/>
      <c r="EH86" s="70"/>
      <c r="EI86" s="70"/>
      <c r="EJ86" s="70"/>
      <c r="EK86" s="70"/>
      <c r="EL86" s="70"/>
    </row>
    <row r="87" spans="4:220" ht="17.25">
      <c r="D87" s="70"/>
      <c r="E87" s="70"/>
      <c r="F87" s="128">
        <v>579</v>
      </c>
      <c r="G87" s="70"/>
      <c r="H87" s="70"/>
      <c r="I87" s="70"/>
      <c r="J87" s="70"/>
      <c r="K87" s="70"/>
      <c r="L87" s="70"/>
      <c r="M87" s="138"/>
      <c r="N87" s="70"/>
      <c r="O87" s="70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0"/>
      <c r="AS87" s="70"/>
      <c r="AT87" s="70"/>
      <c r="AU87" s="70"/>
      <c r="AV87" s="70"/>
      <c r="AW87" s="70"/>
      <c r="AX87" s="70"/>
      <c r="AY87" s="70"/>
      <c r="AZ87" s="70"/>
      <c r="BA87" s="70"/>
      <c r="BB87" s="70"/>
      <c r="BC87" s="70"/>
      <c r="BD87" s="70"/>
      <c r="BE87" s="70"/>
      <c r="BF87" s="70"/>
      <c r="BG87" s="70"/>
      <c r="BH87" s="128">
        <v>579</v>
      </c>
      <c r="BI87" s="36"/>
      <c r="BJ87" s="36"/>
      <c r="BK87" s="36"/>
      <c r="BL87" s="36"/>
      <c r="BM87" s="36"/>
      <c r="BN87" s="36"/>
      <c r="BO87" s="36"/>
      <c r="BP87" s="36"/>
      <c r="BQ87" s="36"/>
      <c r="BR87" s="36"/>
      <c r="BS87" s="36"/>
      <c r="BT87" s="36"/>
      <c r="BU87" s="36"/>
      <c r="BV87" s="36"/>
      <c r="BW87" s="36"/>
      <c r="BX87" s="36"/>
      <c r="BY87" s="36"/>
      <c r="BZ87" s="36"/>
      <c r="CA87" s="36"/>
      <c r="CB87" s="36"/>
      <c r="CC87" s="36"/>
      <c r="CD87" s="36"/>
      <c r="CE87" s="36"/>
      <c r="CF87" s="36"/>
      <c r="CG87" s="36"/>
      <c r="CH87" s="36"/>
      <c r="CI87" s="36"/>
      <c r="CJ87" s="36"/>
      <c r="CK87" s="36"/>
      <c r="CL87" s="36"/>
      <c r="CM87" s="129"/>
      <c r="CN87" s="129"/>
      <c r="CO87" s="129"/>
      <c r="CP87" s="129"/>
      <c r="CQ87" s="129"/>
      <c r="CR87" s="129"/>
      <c r="CS87" s="129"/>
      <c r="CT87" s="129"/>
      <c r="CU87" s="129"/>
      <c r="CV87" s="129"/>
      <c r="CW87" s="129"/>
      <c r="CX87" s="129"/>
      <c r="CY87" s="129"/>
      <c r="CZ87" s="129"/>
      <c r="DA87" s="129"/>
      <c r="DB87" s="129"/>
      <c r="DC87" s="129"/>
      <c r="DD87" s="129"/>
      <c r="DE87" s="129"/>
      <c r="DF87" s="129"/>
      <c r="DG87" s="129"/>
      <c r="DH87" s="129"/>
      <c r="DI87" s="70"/>
      <c r="DJ87" s="70"/>
      <c r="DK87" s="70"/>
      <c r="DL87" s="70"/>
      <c r="DM87" s="70"/>
      <c r="DN87" s="70"/>
      <c r="DO87" s="70"/>
      <c r="DP87" s="70"/>
      <c r="DQ87" s="70"/>
      <c r="DR87" s="70"/>
      <c r="DS87" s="70"/>
      <c r="DT87" s="70"/>
      <c r="DU87" s="70"/>
      <c r="DV87" s="70"/>
      <c r="DW87" s="70"/>
      <c r="DX87" s="70"/>
      <c r="DY87" s="70"/>
      <c r="DZ87" s="70"/>
      <c r="EA87" s="70"/>
      <c r="EB87" s="70"/>
      <c r="EC87" s="70"/>
      <c r="ED87" s="70"/>
      <c r="EE87" s="70"/>
      <c r="EF87" s="70"/>
      <c r="EG87" s="70"/>
      <c r="EH87" s="70"/>
      <c r="EI87" s="70"/>
      <c r="EJ87" s="70"/>
      <c r="EK87" s="70"/>
      <c r="EL87" s="70"/>
    </row>
    <row r="88" spans="4:220" ht="17.25">
      <c r="D88" s="70"/>
      <c r="E88" s="70"/>
      <c r="F88" s="128">
        <v>580</v>
      </c>
      <c r="G88" s="70"/>
      <c r="H88" s="70"/>
      <c r="I88" s="70"/>
      <c r="J88" s="70"/>
      <c r="K88" s="70"/>
      <c r="L88" s="70"/>
      <c r="M88" s="138"/>
      <c r="N88" s="70"/>
      <c r="O88" s="70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AO88" s="70"/>
      <c r="AP88" s="70"/>
      <c r="AQ88" s="70"/>
      <c r="AR88" s="70"/>
      <c r="AS88" s="70"/>
      <c r="AT88" s="70"/>
      <c r="AU88" s="70"/>
      <c r="AV88" s="70"/>
      <c r="AW88" s="70"/>
      <c r="AX88" s="70"/>
      <c r="AY88" s="70"/>
      <c r="AZ88" s="70"/>
      <c r="BA88" s="70"/>
      <c r="BB88" s="70"/>
      <c r="BC88" s="70"/>
      <c r="BD88" s="70"/>
      <c r="BE88" s="70"/>
      <c r="BF88" s="70"/>
      <c r="BG88" s="70"/>
      <c r="BH88" s="128">
        <v>580</v>
      </c>
      <c r="BI88" s="36"/>
      <c r="BJ88" s="36"/>
      <c r="BK88" s="36"/>
      <c r="BL88" s="36"/>
      <c r="BM88" s="36"/>
      <c r="BN88" s="36"/>
      <c r="BO88" s="36"/>
      <c r="BP88" s="36"/>
      <c r="BQ88" s="36"/>
      <c r="BR88" s="36"/>
      <c r="BS88" s="36"/>
      <c r="BT88" s="36"/>
      <c r="BU88" s="36"/>
      <c r="BV88" s="36"/>
      <c r="BW88" s="36"/>
      <c r="BX88" s="36"/>
      <c r="BY88" s="36"/>
      <c r="BZ88" s="36"/>
      <c r="CA88" s="36"/>
      <c r="CB88" s="36"/>
      <c r="CC88" s="36"/>
      <c r="CD88" s="36"/>
      <c r="CE88" s="36"/>
      <c r="CF88" s="36"/>
      <c r="CG88" s="36"/>
      <c r="CH88" s="36"/>
      <c r="CI88" s="36"/>
      <c r="CJ88" s="36"/>
      <c r="CK88" s="36"/>
      <c r="CL88" s="36"/>
      <c r="CM88" s="129"/>
      <c r="CN88" s="129"/>
      <c r="CO88" s="129"/>
      <c r="CP88" s="129"/>
      <c r="CQ88" s="129"/>
      <c r="CR88" s="129"/>
      <c r="CS88" s="129"/>
      <c r="CT88" s="129"/>
      <c r="CU88" s="129"/>
      <c r="CV88" s="129"/>
      <c r="CW88" s="129"/>
      <c r="CX88" s="129"/>
      <c r="CY88" s="129"/>
      <c r="CZ88" s="129"/>
      <c r="DA88" s="129"/>
      <c r="DB88" s="129"/>
      <c r="DC88" s="129"/>
      <c r="DD88" s="129"/>
      <c r="DE88" s="129"/>
      <c r="DF88" s="129"/>
      <c r="DG88" s="129"/>
      <c r="DH88" s="129"/>
      <c r="DI88" s="70"/>
      <c r="DJ88" s="70"/>
      <c r="DK88" s="70"/>
      <c r="DL88" s="70"/>
      <c r="DM88" s="70"/>
      <c r="DN88" s="70"/>
      <c r="DO88" s="70"/>
      <c r="DP88" s="70"/>
      <c r="DQ88" s="70"/>
      <c r="DR88" s="70"/>
      <c r="DS88" s="70"/>
      <c r="DT88" s="70"/>
      <c r="DU88" s="70"/>
      <c r="DV88" s="70"/>
      <c r="DW88" s="70"/>
      <c r="DX88" s="70"/>
      <c r="DY88" s="70"/>
      <c r="DZ88" s="70"/>
      <c r="EA88" s="70"/>
      <c r="EB88" s="70"/>
      <c r="EC88" s="70"/>
      <c r="ED88" s="70"/>
      <c r="EE88" s="70"/>
      <c r="EF88" s="70"/>
      <c r="EG88" s="70"/>
      <c r="EH88" s="70"/>
      <c r="EI88" s="70"/>
      <c r="EJ88" s="70"/>
      <c r="EK88" s="70"/>
      <c r="EL88" s="70"/>
    </row>
    <row r="89" spans="4:220" ht="17.25">
      <c r="D89" s="70"/>
      <c r="E89" s="70"/>
      <c r="F89" s="128">
        <v>581</v>
      </c>
      <c r="G89" s="70"/>
      <c r="H89" s="70"/>
      <c r="I89" s="70"/>
      <c r="J89" s="70"/>
      <c r="K89" s="70"/>
      <c r="L89" s="70"/>
      <c r="M89" s="138"/>
      <c r="N89" s="70"/>
      <c r="O89" s="70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/>
      <c r="AO89" s="70"/>
      <c r="AP89" s="70"/>
      <c r="AQ89" s="70"/>
      <c r="AR89" s="70"/>
      <c r="AS89" s="70"/>
      <c r="AT89" s="70"/>
      <c r="AU89" s="70"/>
      <c r="AV89" s="70"/>
      <c r="AW89" s="70"/>
      <c r="AX89" s="70"/>
      <c r="AY89" s="70"/>
      <c r="AZ89" s="70"/>
      <c r="BA89" s="70"/>
      <c r="BB89" s="70"/>
      <c r="BC89" s="70"/>
      <c r="BD89" s="70"/>
      <c r="BE89" s="70"/>
      <c r="BF89" s="70"/>
      <c r="BG89" s="70"/>
      <c r="BH89" s="128">
        <v>581</v>
      </c>
      <c r="BI89" s="36"/>
      <c r="BJ89" s="36"/>
      <c r="BK89" s="36"/>
      <c r="BL89" s="36"/>
      <c r="BM89" s="36"/>
      <c r="BN89" s="36"/>
      <c r="BO89" s="36"/>
      <c r="BP89" s="36"/>
      <c r="BQ89" s="36"/>
      <c r="BR89" s="36"/>
      <c r="BS89" s="36"/>
      <c r="BT89" s="36"/>
      <c r="BU89" s="36"/>
      <c r="BV89" s="36"/>
      <c r="BW89" s="36"/>
      <c r="BX89" s="36"/>
      <c r="BY89" s="36"/>
      <c r="BZ89" s="36"/>
      <c r="CA89" s="36"/>
      <c r="CB89" s="36"/>
      <c r="CC89" s="36"/>
      <c r="CD89" s="36"/>
      <c r="CE89" s="36"/>
      <c r="CF89" s="36"/>
      <c r="CG89" s="36"/>
      <c r="CH89" s="36"/>
      <c r="CI89" s="52"/>
      <c r="CJ89" s="36"/>
      <c r="CK89" s="36"/>
      <c r="CL89" s="36"/>
      <c r="CM89" s="129"/>
      <c r="CN89" s="129"/>
      <c r="CO89" s="129"/>
      <c r="CP89" s="129"/>
      <c r="CQ89" s="129"/>
      <c r="CR89" s="129"/>
      <c r="CS89" s="129"/>
      <c r="CT89" s="129"/>
      <c r="CU89" s="129"/>
      <c r="CV89" s="129"/>
      <c r="CW89" s="129"/>
      <c r="CX89" s="129"/>
      <c r="CY89" s="129"/>
      <c r="CZ89" s="129"/>
      <c r="DA89" s="129"/>
      <c r="DB89" s="129"/>
      <c r="DC89" s="129"/>
      <c r="DD89" s="129"/>
      <c r="DE89" s="129"/>
      <c r="DF89" s="129"/>
      <c r="DG89" s="129"/>
      <c r="DH89" s="129"/>
      <c r="DI89" s="70"/>
      <c r="DJ89" s="70"/>
      <c r="DK89" s="70"/>
      <c r="DL89" s="70"/>
      <c r="DM89" s="70"/>
      <c r="DN89" s="70"/>
      <c r="DO89" s="70"/>
      <c r="DP89" s="70"/>
      <c r="DQ89" s="70"/>
      <c r="DR89" s="70"/>
      <c r="DS89" s="70"/>
      <c r="DT89" s="70"/>
      <c r="DU89" s="70"/>
      <c r="DV89" s="70"/>
      <c r="DW89" s="70"/>
      <c r="DX89" s="70"/>
      <c r="DY89" s="70"/>
      <c r="DZ89" s="70"/>
      <c r="EA89" s="70"/>
      <c r="EB89" s="70"/>
      <c r="EC89" s="70"/>
      <c r="ED89" s="70"/>
      <c r="EE89" s="70"/>
      <c r="EF89" s="70"/>
      <c r="EG89" s="70"/>
      <c r="EH89" s="70"/>
      <c r="EI89" s="70"/>
      <c r="EJ89" s="70"/>
      <c r="EK89" s="70"/>
      <c r="EL89" s="70"/>
    </row>
    <row r="90" spans="4:220" ht="17.25">
      <c r="D90" s="70"/>
      <c r="E90" s="70"/>
      <c r="F90" s="128">
        <v>582</v>
      </c>
      <c r="G90" s="70"/>
      <c r="H90" s="70"/>
      <c r="I90" s="70"/>
      <c r="J90" s="70"/>
      <c r="K90" s="70"/>
      <c r="L90" s="70"/>
      <c r="M90" s="138"/>
      <c r="N90" s="70"/>
      <c r="O90" s="70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0"/>
      <c r="AS90" s="70"/>
      <c r="AT90" s="70"/>
      <c r="AU90" s="70"/>
      <c r="AV90" s="70"/>
      <c r="AW90" s="70"/>
      <c r="AX90" s="70"/>
      <c r="AY90" s="70"/>
      <c r="AZ90" s="70"/>
      <c r="BA90" s="70"/>
      <c r="BB90" s="70"/>
      <c r="BC90" s="70"/>
      <c r="BD90" s="70"/>
      <c r="BE90" s="70"/>
      <c r="BF90" s="70"/>
      <c r="BG90" s="70"/>
      <c r="BH90" s="128">
        <v>582</v>
      </c>
      <c r="BI90" s="36"/>
      <c r="BJ90" s="36"/>
      <c r="BK90" s="36"/>
      <c r="BL90" s="36"/>
      <c r="BM90" s="36"/>
      <c r="BN90" s="36"/>
      <c r="BO90" s="36"/>
      <c r="BP90" s="36"/>
      <c r="BQ90" s="36"/>
      <c r="BR90" s="36"/>
      <c r="BS90" s="36"/>
      <c r="BT90" s="36"/>
      <c r="BU90" s="36"/>
      <c r="BV90" s="36"/>
      <c r="BW90" s="36"/>
      <c r="BX90" s="36"/>
      <c r="BY90" s="36"/>
      <c r="BZ90" s="36"/>
      <c r="CA90" s="36"/>
      <c r="CB90" s="36"/>
      <c r="CC90" s="36"/>
      <c r="CD90" s="36"/>
      <c r="CE90" s="36"/>
      <c r="CF90" s="36"/>
      <c r="CG90" s="36"/>
      <c r="CH90" s="36"/>
      <c r="CI90" s="36"/>
      <c r="CJ90" s="36"/>
      <c r="CK90" s="36"/>
      <c r="CL90" s="36"/>
      <c r="CM90" s="129"/>
      <c r="CN90" s="129"/>
      <c r="CO90" s="129"/>
      <c r="CP90" s="129"/>
      <c r="CQ90" s="129"/>
      <c r="CR90" s="129"/>
      <c r="CS90" s="129"/>
      <c r="CT90" s="129"/>
      <c r="CU90" s="129"/>
      <c r="CV90" s="129"/>
      <c r="CW90" s="129"/>
      <c r="CX90" s="129"/>
      <c r="CY90" s="129"/>
      <c r="CZ90" s="129"/>
      <c r="DA90" s="129"/>
      <c r="DB90" s="129"/>
      <c r="DC90" s="129"/>
      <c r="DD90" s="129"/>
      <c r="DE90" s="129"/>
      <c r="DF90" s="129"/>
      <c r="DG90" s="129"/>
      <c r="DH90" s="129"/>
      <c r="DI90" s="70"/>
      <c r="DJ90" s="70"/>
      <c r="DK90" s="70"/>
      <c r="DL90" s="70"/>
      <c r="DM90" s="70"/>
      <c r="DN90" s="70"/>
      <c r="DO90" s="70"/>
      <c r="DP90" s="70"/>
      <c r="DQ90" s="70"/>
      <c r="DR90" s="70"/>
      <c r="DS90" s="70"/>
      <c r="DT90" s="70"/>
      <c r="DU90" s="70"/>
      <c r="DV90" s="70"/>
      <c r="DW90" s="70"/>
      <c r="DX90" s="70"/>
      <c r="DY90" s="70"/>
      <c r="DZ90" s="70"/>
      <c r="EA90" s="70"/>
      <c r="EB90" s="70"/>
      <c r="EC90" s="70"/>
      <c r="ED90" s="70"/>
      <c r="EE90" s="70"/>
      <c r="EF90" s="70"/>
      <c r="EG90" s="70"/>
      <c r="EH90" s="70"/>
      <c r="EI90" s="70"/>
      <c r="EJ90" s="70"/>
      <c r="EK90" s="70"/>
      <c r="EL90" s="70"/>
    </row>
    <row r="91" spans="4:220" ht="17.25">
      <c r="D91" s="70"/>
      <c r="E91" s="70"/>
      <c r="F91" s="128">
        <v>583</v>
      </c>
      <c r="G91" s="70"/>
      <c r="H91" s="70"/>
      <c r="I91" s="70"/>
      <c r="J91" s="70"/>
      <c r="K91" s="70"/>
      <c r="L91" s="70"/>
      <c r="M91" s="138"/>
      <c r="N91" s="70"/>
      <c r="O91" s="70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0"/>
      <c r="AS91" s="70"/>
      <c r="AT91" s="70"/>
      <c r="AU91" s="70"/>
      <c r="AV91" s="70"/>
      <c r="AW91" s="70"/>
      <c r="AX91" s="70"/>
      <c r="AY91" s="70"/>
      <c r="AZ91" s="70"/>
      <c r="BA91" s="70"/>
      <c r="BB91" s="70"/>
      <c r="BC91" s="70"/>
      <c r="BD91" s="70"/>
      <c r="BE91" s="70"/>
      <c r="BF91" s="70"/>
      <c r="BG91" s="70"/>
      <c r="BH91" s="128">
        <v>583</v>
      </c>
      <c r="BI91" s="36"/>
      <c r="BJ91" s="36"/>
      <c r="BK91" s="36"/>
      <c r="BL91" s="36"/>
      <c r="BM91" s="36"/>
      <c r="BN91" s="36"/>
      <c r="BO91" s="36"/>
      <c r="BP91" s="36"/>
      <c r="BQ91" s="36"/>
      <c r="BR91" s="36"/>
      <c r="BS91" s="36"/>
      <c r="BT91" s="36"/>
      <c r="BU91" s="36"/>
      <c r="BV91" s="36"/>
      <c r="BW91" s="36"/>
      <c r="BX91" s="36"/>
      <c r="BY91" s="36"/>
      <c r="BZ91" s="36"/>
      <c r="CA91" s="36"/>
      <c r="CB91" s="36"/>
      <c r="CC91" s="36"/>
      <c r="CD91" s="36"/>
      <c r="CE91" s="36"/>
      <c r="CF91" s="36"/>
      <c r="CG91" s="36"/>
      <c r="CH91" s="36"/>
      <c r="CI91" s="36"/>
      <c r="CJ91" s="36"/>
      <c r="CK91" s="36"/>
      <c r="CL91" s="36"/>
      <c r="CM91" s="129"/>
      <c r="CN91" s="129"/>
      <c r="CO91" s="129"/>
      <c r="CP91" s="129"/>
      <c r="CQ91" s="129"/>
      <c r="CR91" s="129"/>
      <c r="CS91" s="129"/>
      <c r="CT91" s="129"/>
      <c r="CU91" s="129"/>
      <c r="CV91" s="129"/>
      <c r="CW91" s="129"/>
      <c r="CX91" s="129"/>
      <c r="CY91" s="129"/>
      <c r="CZ91" s="129"/>
      <c r="DA91" s="129"/>
      <c r="DB91" s="129"/>
      <c r="DC91" s="129"/>
      <c r="DD91" s="129"/>
      <c r="DE91" s="129"/>
      <c r="DF91" s="129"/>
      <c r="DG91" s="129"/>
      <c r="DH91" s="129"/>
      <c r="DI91" s="70"/>
      <c r="DJ91" s="70"/>
      <c r="DK91" s="70"/>
      <c r="DL91" s="70"/>
      <c r="DM91" s="70"/>
      <c r="DN91" s="70"/>
      <c r="DO91" s="70"/>
      <c r="DP91" s="70"/>
      <c r="DQ91" s="70"/>
      <c r="DR91" s="70"/>
      <c r="DS91" s="70"/>
      <c r="DT91" s="70"/>
      <c r="DU91" s="70"/>
      <c r="DV91" s="70"/>
      <c r="DW91" s="70"/>
      <c r="DX91" s="70"/>
      <c r="DY91" s="70"/>
      <c r="DZ91" s="70"/>
      <c r="EA91" s="70"/>
      <c r="EB91" s="70"/>
      <c r="EC91" s="70"/>
      <c r="ED91" s="70"/>
      <c r="EE91" s="70"/>
      <c r="EF91" s="70"/>
      <c r="EG91" s="70"/>
      <c r="EH91" s="70"/>
      <c r="EI91" s="70"/>
      <c r="EJ91" s="70"/>
      <c r="EK91" s="70"/>
      <c r="EL91" s="70"/>
    </row>
    <row r="92" spans="4:220" ht="17.25">
      <c r="D92" s="70"/>
      <c r="E92" s="70"/>
      <c r="F92" s="128">
        <v>584</v>
      </c>
      <c r="G92" s="70"/>
      <c r="H92" s="70"/>
      <c r="I92" s="70"/>
      <c r="J92" s="70"/>
      <c r="K92" s="70"/>
      <c r="L92" s="70"/>
      <c r="M92" s="138"/>
      <c r="N92" s="70"/>
      <c r="O92" s="70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70"/>
      <c r="AV92" s="70"/>
      <c r="AW92" s="70"/>
      <c r="AX92" s="70"/>
      <c r="AY92" s="70"/>
      <c r="AZ92" s="70"/>
      <c r="BA92" s="70"/>
      <c r="BB92" s="70"/>
      <c r="BC92" s="70"/>
      <c r="BD92" s="70"/>
      <c r="BE92" s="70"/>
      <c r="BF92" s="70"/>
      <c r="BG92" s="70"/>
      <c r="BH92" s="128">
        <v>584</v>
      </c>
      <c r="BI92" s="36"/>
      <c r="BJ92" s="36"/>
      <c r="BK92" s="36"/>
      <c r="BL92" s="36"/>
      <c r="BM92" s="36"/>
      <c r="BN92" s="36"/>
      <c r="BO92" s="36"/>
      <c r="BP92" s="36"/>
      <c r="BQ92" s="36"/>
      <c r="BR92" s="36"/>
      <c r="BS92" s="36"/>
      <c r="BT92" s="36"/>
      <c r="BU92" s="36"/>
      <c r="BV92" s="36"/>
      <c r="BW92" s="36"/>
      <c r="BX92" s="36"/>
      <c r="BY92" s="36"/>
      <c r="BZ92" s="36"/>
      <c r="CA92" s="36"/>
      <c r="CB92" s="36"/>
      <c r="CC92" s="36"/>
      <c r="CD92" s="36"/>
      <c r="CE92" s="36"/>
      <c r="CF92" s="36"/>
      <c r="CG92" s="36"/>
      <c r="CH92" s="36"/>
      <c r="CI92" s="36"/>
      <c r="CJ92" s="36"/>
      <c r="CK92" s="36"/>
      <c r="CL92" s="36"/>
      <c r="CM92" s="129"/>
      <c r="CN92" s="129"/>
      <c r="CO92" s="129"/>
      <c r="CP92" s="129"/>
      <c r="CQ92" s="129"/>
      <c r="CR92" s="129"/>
      <c r="CS92" s="129"/>
      <c r="CT92" s="129"/>
      <c r="CU92" s="129"/>
      <c r="CV92" s="129"/>
      <c r="CW92" s="129"/>
      <c r="CX92" s="129"/>
      <c r="CY92" s="129"/>
      <c r="CZ92" s="129"/>
      <c r="DA92" s="129"/>
      <c r="DB92" s="129"/>
      <c r="DC92" s="129"/>
      <c r="DD92" s="129"/>
      <c r="DE92" s="129"/>
      <c r="DF92" s="129"/>
      <c r="DG92" s="129"/>
      <c r="DH92" s="129"/>
      <c r="DI92" s="70"/>
      <c r="DJ92" s="70"/>
      <c r="DK92" s="70"/>
      <c r="DL92" s="70"/>
      <c r="DM92" s="70"/>
      <c r="DN92" s="70"/>
      <c r="DO92" s="70"/>
      <c r="DP92" s="70"/>
      <c r="DQ92" s="70"/>
      <c r="DR92" s="70"/>
      <c r="DS92" s="70"/>
      <c r="DT92" s="70"/>
      <c r="DU92" s="70"/>
      <c r="DV92" s="70"/>
      <c r="DW92" s="70"/>
      <c r="DX92" s="70"/>
      <c r="DY92" s="70"/>
      <c r="DZ92" s="70"/>
      <c r="EA92" s="70"/>
      <c r="EB92" s="70"/>
      <c r="EC92" s="70"/>
      <c r="ED92" s="70"/>
      <c r="EE92" s="70"/>
      <c r="EF92" s="70"/>
      <c r="EG92" s="70"/>
      <c r="EH92" s="70"/>
      <c r="EI92" s="70"/>
      <c r="EJ92" s="70"/>
      <c r="EK92" s="70"/>
      <c r="EL92" s="70"/>
    </row>
    <row r="93" spans="4:220" ht="17.25">
      <c r="D93" s="70"/>
      <c r="E93" s="70"/>
      <c r="F93" s="128">
        <v>585</v>
      </c>
      <c r="G93" s="70"/>
      <c r="H93" s="70"/>
      <c r="I93" s="70"/>
      <c r="J93" s="70"/>
      <c r="K93" s="70"/>
      <c r="L93" s="70"/>
      <c r="M93" s="138"/>
      <c r="N93" s="70"/>
      <c r="O93" s="70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  <c r="AZ93" s="70"/>
      <c r="BA93" s="70"/>
      <c r="BB93" s="70"/>
      <c r="BC93" s="70"/>
      <c r="BD93" s="70"/>
      <c r="BE93" s="70"/>
      <c r="BF93" s="70"/>
      <c r="BG93" s="70"/>
      <c r="BH93" s="128">
        <v>585</v>
      </c>
      <c r="BI93" s="36"/>
      <c r="BJ93" s="36"/>
      <c r="BK93" s="36"/>
      <c r="BL93" s="36"/>
      <c r="BM93" s="36"/>
      <c r="BN93" s="36"/>
      <c r="BO93" s="36"/>
      <c r="BP93" s="36"/>
      <c r="BQ93" s="36"/>
      <c r="BR93" s="36"/>
      <c r="BS93" s="36"/>
      <c r="BT93" s="36"/>
      <c r="BU93" s="36"/>
      <c r="BV93" s="36"/>
      <c r="BW93" s="36"/>
      <c r="BX93" s="36"/>
      <c r="BY93" s="36"/>
      <c r="BZ93" s="36"/>
      <c r="CA93" s="36"/>
      <c r="CB93" s="36"/>
      <c r="CC93" s="36"/>
      <c r="CD93" s="36"/>
      <c r="CE93" s="36"/>
      <c r="CF93" s="36"/>
      <c r="CG93" s="36"/>
      <c r="CH93" s="36"/>
      <c r="CI93" s="36"/>
      <c r="CJ93" s="36"/>
      <c r="CK93" s="36"/>
      <c r="CL93" s="36"/>
      <c r="CM93" s="129"/>
      <c r="CN93" s="129"/>
      <c r="CO93" s="129"/>
      <c r="CP93" s="129"/>
      <c r="CQ93" s="129"/>
      <c r="CR93" s="129"/>
      <c r="CS93" s="129"/>
      <c r="CT93" s="129"/>
      <c r="CU93" s="129"/>
      <c r="CV93" s="129"/>
      <c r="CW93" s="129"/>
      <c r="CX93" s="129"/>
      <c r="CY93" s="129"/>
      <c r="CZ93" s="129"/>
      <c r="DA93" s="129"/>
      <c r="DB93" s="129"/>
      <c r="DC93" s="129"/>
      <c r="DD93" s="129"/>
      <c r="DE93" s="129"/>
      <c r="DF93" s="129"/>
      <c r="DG93" s="129"/>
      <c r="DH93" s="129"/>
      <c r="DI93" s="70"/>
      <c r="DJ93" s="70"/>
      <c r="DK93" s="70"/>
      <c r="DL93" s="70"/>
      <c r="DM93" s="70"/>
      <c r="DN93" s="70"/>
      <c r="DO93" s="70"/>
      <c r="DP93" s="70"/>
      <c r="DQ93" s="70"/>
      <c r="DR93" s="70"/>
      <c r="DS93" s="70"/>
      <c r="DT93" s="70"/>
      <c r="DU93" s="70"/>
      <c r="DV93" s="70"/>
      <c r="DW93" s="70"/>
      <c r="DX93" s="70"/>
      <c r="DY93" s="70"/>
      <c r="DZ93" s="70"/>
      <c r="EA93" s="70"/>
      <c r="EB93" s="70"/>
      <c r="EC93" s="70"/>
      <c r="ED93" s="70"/>
      <c r="EE93" s="70"/>
      <c r="EF93" s="70"/>
      <c r="EG93" s="70"/>
      <c r="EH93" s="70"/>
      <c r="EI93" s="70"/>
      <c r="EJ93" s="70"/>
      <c r="EK93" s="70"/>
      <c r="EL93" s="70"/>
    </row>
    <row r="94" spans="4:220" ht="17.25">
      <c r="D94" s="70"/>
      <c r="E94" s="70"/>
      <c r="F94" s="128">
        <v>586</v>
      </c>
      <c r="G94" s="70"/>
      <c r="H94" s="70"/>
      <c r="I94" s="70"/>
      <c r="J94" s="70"/>
      <c r="K94" s="70"/>
      <c r="L94" s="70"/>
      <c r="M94" s="138"/>
      <c r="N94" s="70"/>
      <c r="O94" s="70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70"/>
      <c r="AV94" s="70"/>
      <c r="AW94" s="70"/>
      <c r="AX94" s="70"/>
      <c r="AY94" s="70"/>
      <c r="AZ94" s="70"/>
      <c r="BA94" s="70"/>
      <c r="BB94" s="70"/>
      <c r="BC94" s="70"/>
      <c r="BD94" s="70"/>
      <c r="BE94" s="70"/>
      <c r="BF94" s="70"/>
      <c r="BG94" s="70"/>
      <c r="BH94" s="128">
        <v>586</v>
      </c>
      <c r="BI94" s="36"/>
      <c r="BJ94" s="36"/>
      <c r="BK94" s="36"/>
      <c r="BL94" s="36"/>
      <c r="BM94" s="36"/>
      <c r="BN94" s="36"/>
      <c r="BO94" s="36"/>
      <c r="BP94" s="36"/>
      <c r="BQ94" s="36"/>
      <c r="BR94" s="36"/>
      <c r="BS94" s="36"/>
      <c r="BT94" s="36"/>
      <c r="BU94" s="36"/>
      <c r="BV94" s="36"/>
      <c r="BW94" s="36"/>
      <c r="BX94" s="36"/>
      <c r="BY94" s="36"/>
      <c r="BZ94" s="36"/>
      <c r="CA94" s="36"/>
      <c r="CB94" s="36"/>
      <c r="CC94" s="36"/>
      <c r="CD94" s="36"/>
      <c r="CE94" s="36"/>
      <c r="CF94" s="36"/>
      <c r="CG94" s="36"/>
      <c r="CH94" s="36"/>
      <c r="CI94" s="36"/>
      <c r="CJ94" s="36"/>
      <c r="CK94" s="36"/>
      <c r="CL94" s="36"/>
      <c r="CM94" s="129"/>
      <c r="CN94" s="129"/>
      <c r="CO94" s="129"/>
      <c r="CP94" s="129"/>
      <c r="CQ94" s="129"/>
      <c r="CR94" s="129"/>
      <c r="CS94" s="129"/>
      <c r="CT94" s="129"/>
      <c r="CU94" s="129"/>
      <c r="CV94" s="129"/>
      <c r="CW94" s="129"/>
      <c r="CX94" s="129"/>
      <c r="CY94" s="129"/>
      <c r="CZ94" s="129"/>
      <c r="DA94" s="129"/>
      <c r="DB94" s="129"/>
      <c r="DC94" s="129"/>
      <c r="DD94" s="129"/>
      <c r="DE94" s="129"/>
      <c r="DF94" s="129"/>
      <c r="DG94" s="129"/>
      <c r="DH94" s="129"/>
      <c r="DI94" s="70"/>
      <c r="DJ94" s="70"/>
      <c r="DK94" s="70"/>
      <c r="DL94" s="70"/>
      <c r="DM94" s="70"/>
      <c r="DN94" s="70"/>
      <c r="DO94" s="70"/>
      <c r="DP94" s="70"/>
      <c r="DQ94" s="70"/>
      <c r="DR94" s="70"/>
      <c r="DS94" s="70"/>
      <c r="DT94" s="70"/>
      <c r="DU94" s="70"/>
      <c r="DV94" s="70"/>
      <c r="DW94" s="70"/>
      <c r="DX94" s="70"/>
      <c r="DY94" s="70"/>
      <c r="DZ94" s="70"/>
      <c r="EA94" s="70"/>
      <c r="EB94" s="70"/>
      <c r="EC94" s="70"/>
      <c r="ED94" s="70"/>
      <c r="EE94" s="70"/>
      <c r="EF94" s="70"/>
      <c r="EG94" s="70"/>
      <c r="EH94" s="70"/>
      <c r="EI94" s="70"/>
      <c r="EJ94" s="70"/>
      <c r="EK94" s="70"/>
      <c r="EL94" s="70"/>
    </row>
    <row r="95" spans="4:220" ht="17.25">
      <c r="D95" s="70"/>
      <c r="E95" s="70"/>
      <c r="F95" s="128">
        <v>587</v>
      </c>
      <c r="G95" s="70"/>
      <c r="H95" s="70"/>
      <c r="I95" s="70"/>
      <c r="J95" s="70"/>
      <c r="K95" s="70"/>
      <c r="L95" s="70"/>
      <c r="M95" s="138"/>
      <c r="N95" s="70"/>
      <c r="O95" s="70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70"/>
      <c r="BB95" s="70"/>
      <c r="BC95" s="70"/>
      <c r="BD95" s="70"/>
      <c r="BE95" s="70"/>
      <c r="BF95" s="70"/>
      <c r="BG95" s="70"/>
      <c r="BH95" s="128">
        <v>587</v>
      </c>
      <c r="BI95" s="36"/>
      <c r="BJ95" s="36"/>
      <c r="BK95" s="36"/>
      <c r="BL95" s="36"/>
      <c r="BM95" s="36"/>
      <c r="BN95" s="36"/>
      <c r="BO95" s="36"/>
      <c r="BP95" s="36"/>
      <c r="BQ95" s="36"/>
      <c r="BR95" s="36"/>
      <c r="BS95" s="36"/>
      <c r="BT95" s="36"/>
      <c r="BU95" s="36"/>
      <c r="BV95" s="36"/>
      <c r="BW95" s="36"/>
      <c r="BX95" s="36"/>
      <c r="BY95" s="36"/>
      <c r="BZ95" s="36"/>
      <c r="CA95" s="36"/>
      <c r="CB95" s="36"/>
      <c r="CC95" s="52"/>
      <c r="CD95" s="36"/>
      <c r="CE95" s="36"/>
      <c r="CF95" s="36"/>
      <c r="CG95" s="36"/>
      <c r="CH95" s="36"/>
      <c r="CI95" s="36"/>
      <c r="CJ95" s="36"/>
      <c r="CK95" s="36"/>
      <c r="CL95" s="36"/>
      <c r="CM95" s="129"/>
      <c r="CN95" s="129"/>
      <c r="CO95" s="129"/>
      <c r="CP95" s="129"/>
      <c r="CQ95" s="129"/>
      <c r="CR95" s="129"/>
      <c r="CS95" s="129"/>
      <c r="CT95" s="129"/>
      <c r="CU95" s="129"/>
      <c r="CV95" s="129"/>
      <c r="CW95" s="129"/>
      <c r="CX95" s="129"/>
      <c r="CY95" s="129"/>
      <c r="CZ95" s="129"/>
      <c r="DA95" s="129"/>
      <c r="DB95" s="129"/>
      <c r="DC95" s="129"/>
      <c r="DD95" s="129"/>
      <c r="DE95" s="129"/>
      <c r="DF95" s="129"/>
      <c r="DG95" s="129"/>
      <c r="DH95" s="129"/>
      <c r="DI95" s="70"/>
      <c r="DJ95" s="70"/>
      <c r="DK95" s="70"/>
      <c r="DL95" s="70"/>
      <c r="DM95" s="70"/>
      <c r="DN95" s="70"/>
      <c r="DO95" s="70"/>
      <c r="DP95" s="70"/>
      <c r="DQ95" s="70"/>
      <c r="DR95" s="70"/>
      <c r="DS95" s="70"/>
      <c r="DT95" s="70"/>
      <c r="DU95" s="70"/>
      <c r="DV95" s="70"/>
      <c r="DW95" s="70"/>
      <c r="DX95" s="70"/>
      <c r="DY95" s="70"/>
      <c r="DZ95" s="70"/>
      <c r="EA95" s="70"/>
      <c r="EB95" s="70"/>
      <c r="EC95" s="70"/>
      <c r="ED95" s="70"/>
      <c r="EE95" s="70"/>
      <c r="EF95" s="70"/>
      <c r="EG95" s="70"/>
      <c r="EH95" s="70"/>
      <c r="EI95" s="70"/>
      <c r="EJ95" s="70"/>
      <c r="EK95" s="70"/>
      <c r="EL95" s="70"/>
    </row>
    <row r="96" spans="4:220" ht="17.25">
      <c r="D96" s="70"/>
      <c r="E96" s="70"/>
      <c r="F96" s="128">
        <v>588</v>
      </c>
      <c r="G96" s="70"/>
      <c r="H96" s="70"/>
      <c r="I96" s="70"/>
      <c r="J96" s="70"/>
      <c r="K96" s="70"/>
      <c r="L96" s="70"/>
      <c r="M96" s="138"/>
      <c r="N96" s="70"/>
      <c r="O96" s="70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  <c r="BA96" s="70"/>
      <c r="BB96" s="70"/>
      <c r="BC96" s="70"/>
      <c r="BD96" s="70"/>
      <c r="BE96" s="70"/>
      <c r="BF96" s="70"/>
      <c r="BG96" s="70"/>
      <c r="BH96" s="128">
        <v>588</v>
      </c>
      <c r="BI96" s="36"/>
      <c r="BJ96" s="36"/>
      <c r="BK96" s="36"/>
      <c r="BL96" s="36"/>
      <c r="BM96" s="36"/>
      <c r="BN96" s="36"/>
      <c r="BO96" s="36"/>
      <c r="BP96" s="36"/>
      <c r="BQ96" s="36"/>
      <c r="BR96" s="36"/>
      <c r="BS96" s="36"/>
      <c r="BT96" s="36"/>
      <c r="BU96" s="36"/>
      <c r="BV96" s="36"/>
      <c r="BW96" s="36"/>
      <c r="BX96" s="36"/>
      <c r="BY96" s="36"/>
      <c r="BZ96" s="36"/>
      <c r="CA96" s="36"/>
      <c r="CB96" s="36"/>
      <c r="CC96" s="36"/>
      <c r="CD96" s="36"/>
      <c r="CE96" s="36"/>
      <c r="CF96" s="36"/>
      <c r="CG96" s="36"/>
      <c r="CH96" s="36"/>
      <c r="CI96" s="36"/>
      <c r="CJ96" s="36"/>
      <c r="CK96" s="36"/>
      <c r="CL96" s="36"/>
      <c r="CM96" s="129"/>
      <c r="CN96" s="129"/>
      <c r="CO96" s="129"/>
      <c r="CP96" s="129"/>
      <c r="CQ96" s="129"/>
      <c r="CR96" s="129"/>
      <c r="CS96" s="129"/>
      <c r="CT96" s="129"/>
      <c r="CU96" s="129"/>
      <c r="CV96" s="129"/>
      <c r="CW96" s="129"/>
      <c r="CX96" s="129"/>
      <c r="CY96" s="129"/>
      <c r="CZ96" s="129"/>
      <c r="DA96" s="129"/>
      <c r="DB96" s="129"/>
      <c r="DC96" s="129"/>
      <c r="DD96" s="129"/>
      <c r="DE96" s="129"/>
      <c r="DF96" s="129"/>
      <c r="DG96" s="129"/>
      <c r="DH96" s="129"/>
      <c r="DI96" s="70"/>
      <c r="DJ96" s="70"/>
      <c r="DK96" s="70"/>
      <c r="DL96" s="70"/>
      <c r="DM96" s="70"/>
      <c r="DN96" s="70"/>
      <c r="DO96" s="70"/>
      <c r="DP96" s="70"/>
      <c r="DQ96" s="70"/>
      <c r="DR96" s="70"/>
      <c r="DS96" s="70"/>
      <c r="DT96" s="70"/>
      <c r="DU96" s="70"/>
      <c r="DV96" s="70"/>
      <c r="DW96" s="70"/>
      <c r="DX96" s="70"/>
      <c r="DY96" s="70"/>
      <c r="DZ96" s="70"/>
      <c r="EA96" s="70"/>
      <c r="EB96" s="70"/>
      <c r="EC96" s="70"/>
      <c r="ED96" s="70"/>
      <c r="EE96" s="70"/>
      <c r="EF96" s="70"/>
      <c r="EG96" s="70"/>
      <c r="EH96" s="70"/>
      <c r="EI96" s="70"/>
      <c r="EJ96" s="70"/>
      <c r="EK96" s="70"/>
      <c r="EL96" s="70"/>
    </row>
    <row r="97" spans="4:142" ht="17.25">
      <c r="D97" s="70"/>
      <c r="E97" s="70"/>
      <c r="F97" s="128">
        <v>589</v>
      </c>
      <c r="G97" s="70"/>
      <c r="H97" s="70"/>
      <c r="I97" s="70"/>
      <c r="J97" s="70"/>
      <c r="K97" s="70"/>
      <c r="L97" s="70"/>
      <c r="M97" s="138"/>
      <c r="N97" s="70"/>
      <c r="O97" s="70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  <c r="BC97" s="70"/>
      <c r="BD97" s="70"/>
      <c r="BE97" s="70"/>
      <c r="BF97" s="70"/>
      <c r="BG97" s="70"/>
      <c r="BH97" s="128">
        <v>589</v>
      </c>
      <c r="BI97" s="52"/>
      <c r="BJ97" s="52"/>
      <c r="BK97" s="52"/>
      <c r="BL97" s="52"/>
      <c r="BM97" s="52"/>
      <c r="BN97" s="52"/>
      <c r="BO97" s="52"/>
      <c r="BP97" s="52"/>
      <c r="BQ97" s="52"/>
      <c r="BR97" s="52"/>
      <c r="BS97" s="52"/>
      <c r="BT97" s="52"/>
      <c r="BU97" s="52"/>
      <c r="BV97" s="52"/>
      <c r="BW97" s="52"/>
      <c r="BX97" s="36"/>
      <c r="BY97" s="36"/>
      <c r="BZ97" s="52"/>
      <c r="CA97" s="52"/>
      <c r="CB97" s="52"/>
      <c r="CC97" s="52"/>
      <c r="CD97" s="36"/>
      <c r="CE97" s="52"/>
      <c r="CF97" s="52"/>
      <c r="CG97" s="52"/>
      <c r="CH97" s="52"/>
      <c r="CI97" s="52"/>
      <c r="CJ97" s="52"/>
      <c r="CK97" s="52"/>
      <c r="CL97" s="52"/>
      <c r="CM97" s="129"/>
      <c r="CN97" s="129"/>
      <c r="CO97" s="129"/>
      <c r="CP97" s="129"/>
      <c r="CQ97" s="129"/>
      <c r="CR97" s="129"/>
      <c r="CS97" s="129"/>
      <c r="CT97" s="129"/>
      <c r="CU97" s="129"/>
      <c r="CV97" s="129"/>
      <c r="CW97" s="129"/>
      <c r="CX97" s="129"/>
      <c r="CY97" s="129"/>
      <c r="CZ97" s="129"/>
      <c r="DA97" s="129"/>
      <c r="DB97" s="129"/>
      <c r="DC97" s="129"/>
      <c r="DD97" s="129"/>
      <c r="DE97" s="129"/>
      <c r="DF97" s="129"/>
      <c r="DG97" s="129"/>
      <c r="DH97" s="129"/>
      <c r="DI97" s="70"/>
      <c r="DJ97" s="70"/>
      <c r="DK97" s="70"/>
      <c r="DL97" s="70"/>
      <c r="DM97" s="70"/>
      <c r="DN97" s="70"/>
      <c r="DO97" s="70"/>
      <c r="DP97" s="70"/>
      <c r="DQ97" s="70"/>
      <c r="DR97" s="70"/>
      <c r="DS97" s="70"/>
      <c r="DT97" s="70"/>
      <c r="DU97" s="70"/>
      <c r="DV97" s="70"/>
      <c r="DW97" s="70"/>
      <c r="DX97" s="70"/>
      <c r="DY97" s="70"/>
      <c r="DZ97" s="70"/>
      <c r="EA97" s="70"/>
      <c r="EB97" s="70"/>
      <c r="EC97" s="70"/>
      <c r="ED97" s="70"/>
      <c r="EE97" s="70"/>
      <c r="EF97" s="70"/>
      <c r="EG97" s="70"/>
      <c r="EH97" s="70"/>
      <c r="EI97" s="70"/>
      <c r="EJ97" s="70"/>
      <c r="EK97" s="70"/>
      <c r="EL97" s="70"/>
    </row>
    <row r="98" spans="4:142" ht="17.25">
      <c r="D98" s="70"/>
      <c r="E98" s="70"/>
      <c r="F98" s="70"/>
      <c r="G98" s="70"/>
      <c r="H98" s="70"/>
      <c r="I98" s="70"/>
      <c r="J98" s="70"/>
      <c r="K98" s="70"/>
      <c r="L98" s="70"/>
      <c r="M98" s="138"/>
      <c r="N98" s="70"/>
      <c r="O98" s="70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  <c r="BC98" s="70"/>
      <c r="BD98" s="70"/>
      <c r="BE98" s="70"/>
      <c r="BF98" s="70"/>
      <c r="BG98" s="70"/>
      <c r="BH98" s="70"/>
      <c r="BI98" s="52"/>
      <c r="BJ98" s="52"/>
      <c r="BK98" s="52"/>
      <c r="BL98" s="52"/>
      <c r="BM98" s="52"/>
      <c r="BN98" s="52"/>
      <c r="BO98" s="52"/>
      <c r="BP98" s="52"/>
      <c r="BQ98" s="52"/>
      <c r="BR98" s="52"/>
      <c r="BS98" s="52"/>
      <c r="BT98" s="52"/>
      <c r="BU98" s="52"/>
      <c r="BV98" s="52"/>
      <c r="BW98" s="52"/>
      <c r="BX98" s="36"/>
      <c r="BY98" s="36"/>
      <c r="BZ98" s="52"/>
      <c r="CA98" s="52"/>
      <c r="CB98" s="52"/>
      <c r="CC98" s="52"/>
      <c r="CD98" s="36"/>
      <c r="CE98" s="52"/>
      <c r="CF98" s="52"/>
      <c r="CG98" s="52"/>
      <c r="CH98" s="52"/>
      <c r="CI98" s="52"/>
      <c r="CJ98" s="52"/>
      <c r="CK98" s="52"/>
      <c r="CL98" s="52"/>
      <c r="CM98" s="70"/>
      <c r="CN98" s="70"/>
      <c r="CO98" s="70"/>
      <c r="CP98" s="70"/>
      <c r="CQ98" s="70"/>
      <c r="CR98" s="70"/>
      <c r="CS98" s="70"/>
      <c r="CT98" s="70"/>
      <c r="CU98" s="70"/>
      <c r="CV98" s="70"/>
      <c r="CW98" s="70"/>
      <c r="CX98" s="70"/>
      <c r="CY98" s="70"/>
      <c r="CZ98" s="70"/>
      <c r="DA98" s="70"/>
      <c r="DB98" s="70"/>
      <c r="DC98" s="70"/>
      <c r="DD98" s="70"/>
      <c r="DE98" s="70"/>
      <c r="DF98" s="70"/>
      <c r="DG98" s="70"/>
      <c r="DH98" s="70"/>
      <c r="DI98" s="70"/>
      <c r="DJ98" s="70"/>
      <c r="DK98" s="70"/>
      <c r="DL98" s="70"/>
      <c r="DM98" s="70"/>
      <c r="DN98" s="70"/>
      <c r="DO98" s="70"/>
      <c r="DP98" s="70"/>
      <c r="DQ98" s="70"/>
      <c r="DR98" s="70"/>
      <c r="DS98" s="70"/>
      <c r="DT98" s="70"/>
      <c r="DU98" s="70"/>
      <c r="DV98" s="70"/>
      <c r="DW98" s="70"/>
      <c r="DX98" s="70"/>
      <c r="DY98" s="70"/>
      <c r="DZ98" s="70"/>
      <c r="EA98" s="70"/>
      <c r="EB98" s="70"/>
      <c r="EC98" s="70"/>
      <c r="ED98" s="70"/>
      <c r="EE98" s="70"/>
      <c r="EF98" s="70"/>
      <c r="EG98" s="70"/>
      <c r="EH98" s="70"/>
      <c r="EI98" s="70"/>
      <c r="EJ98" s="70"/>
      <c r="EK98" s="70"/>
      <c r="EL98" s="70"/>
    </row>
    <row r="99" spans="4:142" ht="17.25">
      <c r="D99" s="70"/>
      <c r="E99" s="70"/>
      <c r="F99" s="70"/>
      <c r="G99" s="70"/>
      <c r="H99" s="70"/>
      <c r="I99" s="70"/>
      <c r="J99" s="70"/>
      <c r="K99" s="70"/>
      <c r="L99" s="70"/>
      <c r="M99" s="138"/>
      <c r="N99" s="70"/>
      <c r="O99" s="70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  <c r="AO99" s="70"/>
      <c r="AP99" s="70"/>
      <c r="AQ99" s="70"/>
      <c r="AR99" s="70"/>
      <c r="AS99" s="70"/>
      <c r="AT99" s="70"/>
      <c r="AU99" s="70"/>
      <c r="AV99" s="70"/>
      <c r="AW99" s="70"/>
      <c r="AX99" s="70"/>
      <c r="AY99" s="70"/>
      <c r="AZ99" s="70"/>
      <c r="BA99" s="70"/>
      <c r="BB99" s="70"/>
      <c r="BC99" s="70"/>
      <c r="BD99" s="70"/>
      <c r="BE99" s="70"/>
      <c r="BF99" s="70"/>
      <c r="BG99" s="70"/>
      <c r="BH99" s="70"/>
      <c r="BI99" s="52"/>
      <c r="BJ99" s="52"/>
      <c r="BK99" s="52"/>
      <c r="BL99" s="52"/>
      <c r="BM99" s="52"/>
      <c r="BN99" s="52"/>
      <c r="BO99" s="52"/>
      <c r="BP99" s="52"/>
      <c r="BQ99" s="52"/>
      <c r="BR99" s="52"/>
      <c r="BS99" s="52"/>
      <c r="BT99" s="52"/>
      <c r="BU99" s="52"/>
      <c r="BV99" s="52"/>
      <c r="BW99" s="52"/>
      <c r="BX99" s="52"/>
      <c r="BY99" s="52"/>
      <c r="BZ99" s="36"/>
      <c r="CA99" s="36"/>
      <c r="CB99" s="52"/>
      <c r="CC99" s="52"/>
      <c r="CD99" s="52"/>
      <c r="CE99" s="52"/>
      <c r="CF99" s="36"/>
      <c r="CG99" s="52"/>
      <c r="CH99" s="52"/>
      <c r="CI99" s="52"/>
      <c r="CJ99" s="52"/>
      <c r="CK99" s="52"/>
      <c r="CL99" s="52"/>
      <c r="CM99" s="70"/>
      <c r="CN99" s="70"/>
      <c r="CO99" s="70"/>
      <c r="CP99" s="70"/>
      <c r="CQ99" s="70"/>
      <c r="CR99" s="70"/>
      <c r="CS99" s="70"/>
      <c r="CT99" s="70"/>
      <c r="CU99" s="70"/>
      <c r="CV99" s="70"/>
      <c r="CW99" s="70"/>
      <c r="CX99" s="70"/>
      <c r="CY99" s="70"/>
      <c r="CZ99" s="70"/>
      <c r="DA99" s="70"/>
      <c r="DB99" s="70"/>
      <c r="DC99" s="70"/>
      <c r="DD99" s="70"/>
      <c r="DE99" s="70"/>
      <c r="DF99" s="70"/>
      <c r="DG99" s="70"/>
      <c r="DH99" s="70"/>
      <c r="DI99" s="70"/>
      <c r="DJ99" s="70"/>
      <c r="DK99" s="70"/>
      <c r="DL99" s="70"/>
      <c r="DM99" s="70"/>
      <c r="DN99" s="70"/>
      <c r="DO99" s="70"/>
      <c r="DP99" s="70"/>
      <c r="DQ99" s="70"/>
      <c r="DR99" s="70"/>
      <c r="DS99" s="70"/>
      <c r="DT99" s="70"/>
      <c r="DU99" s="70"/>
      <c r="DV99" s="70"/>
      <c r="DW99" s="70"/>
      <c r="DX99" s="70"/>
      <c r="DY99" s="70"/>
      <c r="DZ99" s="70"/>
      <c r="EA99" s="70"/>
      <c r="EB99" s="70"/>
      <c r="EC99" s="70"/>
      <c r="ED99" s="70"/>
      <c r="EE99" s="70"/>
      <c r="EF99" s="70"/>
      <c r="EG99" s="70"/>
      <c r="EH99" s="70"/>
      <c r="EI99" s="70"/>
      <c r="EJ99" s="70"/>
      <c r="EK99" s="70"/>
      <c r="EL99" s="70"/>
    </row>
    <row r="100" spans="4:142" ht="17.25">
      <c r="D100" s="70"/>
      <c r="E100" s="70"/>
      <c r="F100" s="70"/>
      <c r="G100" s="70"/>
      <c r="H100" s="70"/>
      <c r="I100" s="70"/>
      <c r="J100" s="70"/>
      <c r="K100" s="70"/>
      <c r="L100" s="70"/>
      <c r="M100" s="138"/>
      <c r="N100" s="70"/>
      <c r="O100" s="70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0"/>
      <c r="AS100" s="70"/>
      <c r="AT100" s="70"/>
      <c r="AU100" s="70"/>
      <c r="AV100" s="70"/>
      <c r="AW100" s="70"/>
      <c r="AX100" s="70"/>
      <c r="AY100" s="70"/>
      <c r="AZ100" s="70"/>
      <c r="BA100" s="70"/>
      <c r="BB100" s="70"/>
      <c r="BC100" s="70"/>
      <c r="BD100" s="70"/>
      <c r="BE100" s="70"/>
      <c r="BF100" s="70"/>
      <c r="BG100" s="70"/>
      <c r="BH100" s="70"/>
      <c r="BI100" s="196"/>
      <c r="BJ100" s="196"/>
      <c r="BK100" s="196"/>
      <c r="BL100" s="196"/>
      <c r="BM100" s="196"/>
      <c r="BN100" s="196"/>
      <c r="BO100" s="196"/>
      <c r="BP100" s="196"/>
      <c r="BQ100" s="196"/>
      <c r="BR100" s="196"/>
      <c r="BS100" s="196"/>
      <c r="BT100" s="196"/>
      <c r="BU100" s="196"/>
      <c r="BV100" s="196"/>
      <c r="BW100" s="52"/>
      <c r="BX100" s="52"/>
      <c r="BY100" s="52"/>
      <c r="BZ100" s="52"/>
      <c r="CA100" s="196"/>
      <c r="CB100" s="196"/>
      <c r="CC100" s="196"/>
      <c r="CD100" s="196"/>
      <c r="CE100" s="196"/>
      <c r="CF100" s="196"/>
      <c r="CG100" s="196"/>
      <c r="CH100" s="196"/>
      <c r="CI100" s="196"/>
      <c r="CJ100" s="196"/>
      <c r="CK100" s="196"/>
      <c r="CL100" s="196"/>
      <c r="CM100" s="70"/>
      <c r="CN100" s="70"/>
      <c r="CO100" s="70"/>
      <c r="CP100" s="70"/>
      <c r="CQ100" s="70"/>
      <c r="CR100" s="70"/>
      <c r="CS100" s="70"/>
      <c r="CT100" s="70"/>
      <c r="CU100" s="70"/>
      <c r="CV100" s="70"/>
      <c r="CW100" s="70"/>
      <c r="CX100" s="70"/>
      <c r="CY100" s="70"/>
      <c r="CZ100" s="70"/>
      <c r="DA100" s="70"/>
      <c r="DB100" s="70"/>
      <c r="DC100" s="70"/>
      <c r="DD100" s="70"/>
      <c r="DE100" s="70"/>
      <c r="DF100" s="70"/>
      <c r="DG100" s="70"/>
      <c r="DH100" s="70"/>
      <c r="DI100" s="70"/>
      <c r="DJ100" s="70"/>
      <c r="DK100" s="70"/>
      <c r="DL100" s="70"/>
      <c r="DM100" s="70"/>
      <c r="DN100" s="70"/>
      <c r="DO100" s="70"/>
      <c r="DP100" s="70"/>
      <c r="DQ100" s="70"/>
      <c r="DR100" s="70"/>
      <c r="DS100" s="70"/>
      <c r="DT100" s="70"/>
      <c r="DU100" s="70"/>
      <c r="DV100" s="70"/>
      <c r="DW100" s="70"/>
      <c r="DX100" s="70"/>
      <c r="DY100" s="70"/>
      <c r="DZ100" s="70"/>
      <c r="EA100" s="70"/>
      <c r="EB100" s="70"/>
      <c r="EC100" s="70"/>
      <c r="ED100" s="70"/>
      <c r="EE100" s="70"/>
      <c r="EF100" s="70"/>
      <c r="EG100" s="70"/>
      <c r="EH100" s="70"/>
      <c r="EI100" s="70"/>
      <c r="EJ100" s="70"/>
      <c r="EK100" s="70"/>
      <c r="EL100" s="70"/>
    </row>
    <row r="101" spans="4:142" ht="17.25">
      <c r="D101" s="70"/>
      <c r="E101" s="70"/>
      <c r="F101" s="70"/>
      <c r="G101" s="70"/>
      <c r="H101" s="70"/>
      <c r="I101" s="70"/>
      <c r="J101" s="70"/>
      <c r="K101" s="70"/>
      <c r="L101" s="70"/>
      <c r="M101" s="138"/>
      <c r="N101" s="70"/>
      <c r="O101" s="70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70"/>
      <c r="AV101" s="70"/>
      <c r="AW101" s="70"/>
      <c r="AX101" s="70"/>
      <c r="AY101" s="70"/>
      <c r="AZ101" s="70"/>
      <c r="BA101" s="70"/>
      <c r="BB101" s="70"/>
      <c r="BC101" s="70"/>
      <c r="BD101" s="70"/>
      <c r="BE101" s="70"/>
      <c r="BF101" s="70"/>
      <c r="BG101" s="70"/>
      <c r="BH101" s="70"/>
      <c r="BI101" s="52"/>
      <c r="BJ101" s="52"/>
      <c r="BK101" s="52"/>
      <c r="BL101" s="52"/>
      <c r="BM101" s="52"/>
      <c r="BN101" s="52"/>
      <c r="BO101" s="52"/>
      <c r="BP101" s="52"/>
      <c r="BQ101" s="52"/>
      <c r="BR101" s="52"/>
      <c r="BS101" s="52"/>
      <c r="BT101" s="52"/>
      <c r="BU101" s="52"/>
      <c r="BV101" s="52"/>
      <c r="BW101" s="52"/>
      <c r="BX101" s="52"/>
      <c r="BY101" s="52"/>
      <c r="BZ101" s="52"/>
      <c r="CA101" s="52"/>
      <c r="CB101" s="52"/>
      <c r="CC101" s="52"/>
      <c r="CD101" s="52"/>
      <c r="CE101" s="52"/>
      <c r="CF101" s="52"/>
      <c r="CG101" s="52"/>
      <c r="CH101" s="52"/>
      <c r="CI101" s="52"/>
      <c r="CJ101" s="52"/>
      <c r="CK101" s="52"/>
      <c r="CL101" s="52"/>
      <c r="CM101" s="70"/>
      <c r="CN101" s="70"/>
      <c r="CO101" s="70"/>
      <c r="CP101" s="70"/>
      <c r="CQ101" s="70"/>
      <c r="CR101" s="70"/>
      <c r="CS101" s="70"/>
      <c r="CT101" s="70"/>
      <c r="CU101" s="70"/>
      <c r="CV101" s="70"/>
      <c r="CW101" s="70"/>
      <c r="CX101" s="70"/>
      <c r="CY101" s="70"/>
      <c r="CZ101" s="70"/>
      <c r="DA101" s="70"/>
      <c r="DB101" s="70"/>
      <c r="DC101" s="70"/>
      <c r="DD101" s="70"/>
      <c r="DE101" s="70"/>
      <c r="DF101" s="70"/>
      <c r="DG101" s="70"/>
      <c r="DH101" s="70"/>
      <c r="DI101" s="70"/>
      <c r="DJ101" s="70"/>
      <c r="DK101" s="70"/>
      <c r="DL101" s="70"/>
      <c r="DM101" s="70"/>
      <c r="DN101" s="70"/>
      <c r="DO101" s="70"/>
      <c r="DP101" s="70"/>
      <c r="DQ101" s="70"/>
      <c r="DR101" s="70"/>
      <c r="DS101" s="70"/>
      <c r="DT101" s="70"/>
      <c r="DU101" s="70"/>
      <c r="DV101" s="70"/>
      <c r="DW101" s="70"/>
      <c r="DX101" s="70"/>
      <c r="DY101" s="70"/>
      <c r="DZ101" s="70"/>
      <c r="EA101" s="70"/>
      <c r="EB101" s="70"/>
      <c r="EC101" s="70"/>
      <c r="ED101" s="70"/>
      <c r="EE101" s="70"/>
      <c r="EF101" s="70"/>
      <c r="EG101" s="70"/>
      <c r="EH101" s="70"/>
      <c r="EI101" s="70"/>
      <c r="EJ101" s="70"/>
      <c r="EK101" s="70"/>
      <c r="EL101" s="70"/>
    </row>
    <row r="102" spans="4:142" ht="17.25">
      <c r="D102" s="70"/>
      <c r="E102" s="70"/>
      <c r="F102" s="181">
        <v>0</v>
      </c>
      <c r="G102" s="181">
        <v>1</v>
      </c>
      <c r="H102" s="181">
        <v>2</v>
      </c>
      <c r="I102" s="181">
        <v>3</v>
      </c>
      <c r="J102" s="181">
        <v>4</v>
      </c>
      <c r="K102" s="181">
        <v>5</v>
      </c>
      <c r="L102" s="181">
        <v>6</v>
      </c>
      <c r="M102" s="181">
        <v>7</v>
      </c>
      <c r="N102" s="181">
        <v>8</v>
      </c>
      <c r="O102" s="181">
        <v>9</v>
      </c>
      <c r="P102" s="181">
        <v>10</v>
      </c>
      <c r="Q102" s="181">
        <v>11</v>
      </c>
      <c r="R102" s="181">
        <v>12</v>
      </c>
      <c r="S102" s="181">
        <v>13</v>
      </c>
      <c r="T102" s="181">
        <v>14</v>
      </c>
      <c r="U102" s="181">
        <v>15</v>
      </c>
      <c r="V102" s="181">
        <v>16</v>
      </c>
      <c r="W102" s="181">
        <v>17</v>
      </c>
      <c r="X102" s="181">
        <v>18</v>
      </c>
      <c r="Y102" s="181">
        <v>19</v>
      </c>
      <c r="Z102" s="181">
        <v>20</v>
      </c>
      <c r="AA102" s="181">
        <v>21</v>
      </c>
      <c r="AB102" s="181">
        <v>22</v>
      </c>
      <c r="AC102" s="181">
        <v>23</v>
      </c>
      <c r="AD102" s="181">
        <v>24</v>
      </c>
      <c r="AE102" s="181">
        <v>25</v>
      </c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70"/>
      <c r="AV102" s="70"/>
      <c r="AW102" s="70"/>
      <c r="AX102" s="70"/>
      <c r="AY102" s="70"/>
      <c r="AZ102" s="70"/>
      <c r="BA102" s="70"/>
      <c r="BB102" s="70"/>
      <c r="BC102" s="70"/>
      <c r="BD102" s="70"/>
      <c r="BE102" s="70"/>
      <c r="BF102" s="70"/>
      <c r="BG102" s="70"/>
      <c r="BH102" s="70"/>
      <c r="BI102" s="52"/>
      <c r="BJ102" s="52"/>
      <c r="BK102" s="52"/>
      <c r="BL102" s="52"/>
      <c r="BM102" s="52"/>
      <c r="BN102" s="52"/>
      <c r="BO102" s="52"/>
      <c r="BP102" s="52"/>
      <c r="BQ102" s="52"/>
      <c r="BR102" s="52"/>
      <c r="BS102" s="52"/>
      <c r="BT102" s="52"/>
      <c r="BU102" s="52"/>
      <c r="BV102" s="52"/>
      <c r="BW102" s="52"/>
      <c r="BX102" s="52"/>
      <c r="BY102" s="52"/>
      <c r="BZ102" s="52"/>
      <c r="CA102" s="52"/>
      <c r="CB102" s="52"/>
      <c r="CC102" s="52"/>
      <c r="CD102" s="52"/>
      <c r="CE102" s="52"/>
      <c r="CF102" s="52"/>
      <c r="CG102" s="52"/>
      <c r="CH102" s="52"/>
      <c r="CI102" s="52"/>
      <c r="CJ102" s="52"/>
      <c r="CK102" s="52"/>
      <c r="CL102" s="52"/>
      <c r="CM102" s="70"/>
      <c r="CN102" s="70"/>
      <c r="CO102" s="70"/>
      <c r="CP102" s="70"/>
      <c r="CQ102" s="70"/>
      <c r="CR102" s="70"/>
      <c r="CS102" s="70"/>
      <c r="CT102" s="70"/>
      <c r="CU102" s="70"/>
      <c r="CV102" s="70"/>
      <c r="CW102" s="70"/>
      <c r="CX102" s="70"/>
      <c r="CY102" s="70"/>
      <c r="CZ102" s="70"/>
      <c r="DA102" s="70"/>
      <c r="DB102" s="70"/>
      <c r="DC102" s="70"/>
      <c r="DD102" s="70"/>
      <c r="DE102" s="70"/>
      <c r="DF102" s="70"/>
      <c r="DG102" s="70"/>
      <c r="DH102" s="70"/>
      <c r="DI102" s="70"/>
      <c r="DJ102" s="70"/>
      <c r="DK102" s="70"/>
      <c r="DL102" s="70"/>
      <c r="DM102" s="70"/>
      <c r="DN102" s="70"/>
      <c r="DO102" s="70"/>
      <c r="DP102" s="70"/>
      <c r="DQ102" s="70"/>
      <c r="DR102" s="70"/>
      <c r="DS102" s="70"/>
      <c r="DT102" s="70"/>
      <c r="DU102" s="70"/>
      <c r="DV102" s="70"/>
      <c r="DW102" s="70"/>
      <c r="DX102" s="70"/>
      <c r="DY102" s="70"/>
      <c r="DZ102" s="70"/>
      <c r="EA102" s="70"/>
      <c r="EB102" s="70"/>
      <c r="EC102" s="70"/>
      <c r="ED102" s="70"/>
      <c r="EE102" s="70"/>
      <c r="EF102" s="70"/>
      <c r="EG102" s="70"/>
      <c r="EH102" s="70"/>
      <c r="EI102" s="70"/>
      <c r="EJ102" s="70"/>
      <c r="EK102" s="70"/>
      <c r="EL102" s="70"/>
    </row>
    <row r="103" spans="4:142" ht="17.25">
      <c r="D103" s="70"/>
      <c r="E103" s="70"/>
      <c r="AF103" s="70"/>
      <c r="AG103" s="70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0"/>
      <c r="AS103" s="70"/>
      <c r="AT103" s="70"/>
      <c r="AU103" s="70"/>
      <c r="AV103" s="70"/>
      <c r="AW103" s="70"/>
      <c r="AX103" s="70"/>
      <c r="AY103" s="70"/>
      <c r="AZ103" s="70"/>
      <c r="BA103" s="70"/>
      <c r="BB103" s="70"/>
      <c r="BC103" s="70"/>
      <c r="BD103" s="70"/>
      <c r="BE103" s="70"/>
      <c r="BF103" s="70"/>
      <c r="BG103" s="70"/>
      <c r="BH103" s="70"/>
      <c r="BI103" s="36"/>
      <c r="BJ103" s="52"/>
      <c r="BK103" s="52"/>
      <c r="BL103" s="52"/>
      <c r="BM103" s="52"/>
      <c r="BN103" s="52"/>
      <c r="BO103" s="52"/>
      <c r="BP103" s="52"/>
      <c r="BQ103" s="52"/>
      <c r="BR103" s="52"/>
      <c r="BS103" s="52"/>
      <c r="BT103" s="52"/>
      <c r="BU103" s="52"/>
      <c r="BV103" s="52"/>
      <c r="BW103" s="52"/>
      <c r="BX103" s="52"/>
      <c r="BY103" s="52"/>
      <c r="BZ103" s="52"/>
      <c r="CA103" s="52"/>
      <c r="CB103" s="52"/>
      <c r="CC103" s="52"/>
      <c r="CD103" s="52"/>
      <c r="CE103" s="52"/>
      <c r="CF103" s="52"/>
      <c r="CG103" s="52"/>
      <c r="CH103" s="52"/>
      <c r="CI103" s="52"/>
      <c r="CJ103" s="52"/>
      <c r="CK103" s="52"/>
      <c r="CL103" s="52"/>
      <c r="CM103" s="70"/>
      <c r="CN103" s="70"/>
      <c r="CO103" s="70"/>
      <c r="CP103" s="70"/>
      <c r="CQ103" s="70"/>
      <c r="CR103" s="70"/>
      <c r="CS103" s="70"/>
      <c r="CT103" s="70"/>
      <c r="CU103" s="70"/>
      <c r="CV103" s="70"/>
      <c r="CW103" s="70"/>
      <c r="CX103" s="70"/>
      <c r="CY103" s="70"/>
      <c r="CZ103" s="70"/>
      <c r="DA103" s="70"/>
      <c r="DB103" s="70"/>
      <c r="DC103" s="70"/>
      <c r="DD103" s="70"/>
      <c r="DE103" s="70"/>
      <c r="DF103" s="70"/>
      <c r="DG103" s="70"/>
      <c r="DH103" s="70"/>
      <c r="DI103" s="70"/>
      <c r="DJ103" s="70"/>
      <c r="DK103" s="70"/>
      <c r="DL103" s="70"/>
      <c r="DM103" s="70"/>
      <c r="DN103" s="70"/>
      <c r="DO103" s="70"/>
      <c r="DP103" s="70"/>
      <c r="DQ103" s="70"/>
      <c r="DR103" s="70"/>
      <c r="DS103" s="70"/>
      <c r="DT103" s="70"/>
      <c r="DU103" s="70"/>
      <c r="DV103" s="70"/>
      <c r="DW103" s="70"/>
      <c r="DX103" s="70"/>
      <c r="DY103" s="70"/>
      <c r="DZ103" s="70"/>
      <c r="EA103" s="70"/>
      <c r="EB103" s="70"/>
      <c r="EC103" s="70"/>
      <c r="ED103" s="70"/>
      <c r="EE103" s="70"/>
      <c r="EF103" s="70"/>
      <c r="EG103" s="70"/>
      <c r="EH103" s="70"/>
      <c r="EI103" s="70"/>
      <c r="EJ103" s="70"/>
      <c r="EK103" s="70"/>
      <c r="EL103" s="70"/>
    </row>
    <row r="104" spans="4:142" ht="17.25">
      <c r="D104" s="70"/>
      <c r="E104" s="70"/>
      <c r="F104" s="60"/>
      <c r="AF104" s="70"/>
      <c r="AG104" s="70"/>
      <c r="AH104" s="70"/>
      <c r="AI104" s="70"/>
      <c r="AJ104" s="70"/>
      <c r="AK104" s="70"/>
      <c r="AL104" s="70"/>
      <c r="AM104" s="70"/>
      <c r="AN104" s="70"/>
      <c r="AO104" s="70"/>
      <c r="AP104" s="70"/>
      <c r="AQ104" s="70"/>
      <c r="AR104" s="70"/>
      <c r="AS104" s="70"/>
      <c r="AT104" s="70"/>
      <c r="AU104" s="70"/>
      <c r="AV104" s="70"/>
      <c r="AW104" s="70"/>
      <c r="AX104" s="70"/>
      <c r="AY104" s="70"/>
      <c r="AZ104" s="70"/>
      <c r="BA104" s="70"/>
      <c r="BB104" s="70"/>
      <c r="BC104" s="70"/>
      <c r="BD104" s="70"/>
      <c r="BE104" s="70"/>
      <c r="BF104" s="70"/>
      <c r="BG104" s="70"/>
      <c r="BH104" s="70"/>
      <c r="BI104" s="36"/>
      <c r="BJ104" s="52"/>
      <c r="BK104" s="52"/>
      <c r="BL104" s="52"/>
      <c r="BM104" s="52"/>
      <c r="BN104" s="52"/>
      <c r="BO104" s="52"/>
      <c r="BP104" s="52"/>
      <c r="BQ104" s="52"/>
      <c r="BR104" s="52"/>
      <c r="BS104" s="52"/>
      <c r="BT104" s="52"/>
      <c r="BU104" s="52"/>
      <c r="BV104" s="52"/>
      <c r="BW104" s="52"/>
      <c r="BX104" s="52"/>
      <c r="BY104" s="52"/>
      <c r="BZ104" s="52"/>
      <c r="CA104" s="52"/>
      <c r="CB104" s="52"/>
      <c r="CC104" s="52"/>
      <c r="CD104" s="52"/>
      <c r="CE104" s="52"/>
      <c r="CF104" s="52"/>
      <c r="CG104" s="52"/>
      <c r="CH104" s="52"/>
      <c r="CI104" s="52"/>
      <c r="CJ104" s="52"/>
      <c r="CK104" s="52"/>
      <c r="CL104" s="52"/>
      <c r="CM104" s="70"/>
      <c r="CN104" s="70"/>
      <c r="CO104" s="70"/>
      <c r="CP104" s="70"/>
      <c r="CQ104" s="70"/>
      <c r="CR104" s="70"/>
      <c r="CS104" s="70"/>
      <c r="CT104" s="70"/>
      <c r="CU104" s="70"/>
      <c r="CV104" s="70"/>
      <c r="CW104" s="70"/>
      <c r="CX104" s="70"/>
      <c r="CY104" s="70"/>
      <c r="CZ104" s="70"/>
      <c r="DA104" s="70"/>
      <c r="DB104" s="70"/>
      <c r="DC104" s="70"/>
      <c r="DD104" s="70"/>
      <c r="DE104" s="70"/>
      <c r="DF104" s="70"/>
      <c r="DG104" s="70"/>
      <c r="DH104" s="70"/>
      <c r="DI104" s="70"/>
      <c r="DJ104" s="70"/>
      <c r="DK104" s="70"/>
      <c r="DL104" s="70"/>
      <c r="DM104" s="70"/>
      <c r="DN104" s="70"/>
      <c r="DO104" s="70"/>
      <c r="DP104" s="70"/>
      <c r="DQ104" s="70"/>
      <c r="DR104" s="70"/>
      <c r="DS104" s="70"/>
      <c r="DT104" s="70"/>
      <c r="DU104" s="70"/>
      <c r="DV104" s="70"/>
      <c r="DW104" s="70"/>
      <c r="DX104" s="70"/>
      <c r="DY104" s="70"/>
      <c r="DZ104" s="70"/>
      <c r="EA104" s="70"/>
      <c r="EB104" s="70"/>
      <c r="EC104" s="70"/>
      <c r="ED104" s="70"/>
      <c r="EE104" s="70"/>
      <c r="EF104" s="70"/>
      <c r="EG104" s="70"/>
      <c r="EH104" s="70"/>
      <c r="EI104" s="70"/>
      <c r="EJ104" s="70"/>
      <c r="EK104" s="70"/>
      <c r="EL104" s="70"/>
    </row>
    <row r="105" spans="4:142" ht="17.25">
      <c r="D105" s="70"/>
      <c r="E105" s="70"/>
      <c r="AF105" s="70"/>
      <c r="AG105" s="70"/>
      <c r="AH105" s="70"/>
      <c r="AI105" s="70"/>
      <c r="AJ105" s="70"/>
      <c r="AK105" s="70"/>
      <c r="AL105" s="70"/>
      <c r="AM105" s="70"/>
      <c r="AN105" s="70"/>
      <c r="AO105" s="70"/>
      <c r="AP105" s="70"/>
      <c r="AQ105" s="70"/>
      <c r="AR105" s="70"/>
      <c r="AS105" s="70"/>
      <c r="AT105" s="70"/>
      <c r="AU105" s="70"/>
      <c r="AV105" s="70"/>
      <c r="AW105" s="70"/>
      <c r="AX105" s="70"/>
      <c r="AY105" s="70"/>
      <c r="AZ105" s="70"/>
      <c r="BA105" s="70"/>
      <c r="BB105" s="70"/>
      <c r="BC105" s="70"/>
      <c r="BD105" s="70"/>
      <c r="BE105" s="70"/>
      <c r="BF105" s="70"/>
      <c r="BG105" s="70"/>
      <c r="BH105" s="70"/>
      <c r="BI105" s="52"/>
      <c r="BJ105" s="52"/>
      <c r="BK105" s="52"/>
      <c r="BL105" s="52"/>
      <c r="BM105" s="52"/>
      <c r="BN105" s="52"/>
      <c r="BO105" s="52"/>
      <c r="BP105" s="52"/>
      <c r="BQ105" s="52"/>
      <c r="BR105" s="52"/>
      <c r="BS105" s="52"/>
      <c r="BT105" s="52"/>
      <c r="BU105" s="52"/>
      <c r="BV105" s="52"/>
      <c r="BW105" s="52"/>
      <c r="BX105" s="52"/>
      <c r="BY105" s="52"/>
      <c r="BZ105" s="52"/>
      <c r="CA105" s="52"/>
      <c r="CB105" s="197"/>
      <c r="CC105" s="52"/>
      <c r="CD105" s="52"/>
      <c r="CE105" s="52"/>
      <c r="CF105" s="52"/>
      <c r="CG105" s="52"/>
      <c r="CH105" s="52"/>
      <c r="CI105" s="52"/>
      <c r="CJ105" s="52"/>
      <c r="CK105" s="52"/>
      <c r="CL105" s="52"/>
      <c r="CM105" s="70"/>
      <c r="CN105" s="70"/>
      <c r="CO105" s="70"/>
      <c r="CP105" s="70"/>
      <c r="CQ105" s="70"/>
      <c r="CR105" s="70"/>
      <c r="CS105" s="70"/>
      <c r="CT105" s="70"/>
      <c r="CU105" s="70"/>
      <c r="CV105" s="70"/>
      <c r="CW105" s="70"/>
      <c r="CX105" s="70"/>
      <c r="CY105" s="70"/>
      <c r="CZ105" s="70"/>
      <c r="DA105" s="70"/>
      <c r="DB105" s="70"/>
      <c r="DC105" s="70"/>
      <c r="DD105" s="70"/>
      <c r="DE105" s="70"/>
      <c r="DF105" s="70"/>
      <c r="DG105" s="70"/>
      <c r="DH105" s="70"/>
      <c r="DI105" s="70"/>
      <c r="DJ105" s="70"/>
      <c r="DK105" s="70"/>
      <c r="DL105" s="70"/>
      <c r="DM105" s="70"/>
      <c r="DN105" s="70"/>
      <c r="DO105" s="70"/>
      <c r="DP105" s="70"/>
      <c r="DQ105" s="70"/>
      <c r="DR105" s="70"/>
      <c r="DS105" s="70"/>
      <c r="DT105" s="70"/>
      <c r="DU105" s="70"/>
      <c r="DV105" s="70"/>
      <c r="DW105" s="70"/>
      <c r="DX105" s="70"/>
      <c r="DY105" s="70"/>
      <c r="DZ105" s="70"/>
      <c r="EA105" s="70"/>
      <c r="EB105" s="70"/>
      <c r="EC105" s="70"/>
      <c r="ED105" s="70"/>
      <c r="EE105" s="70"/>
      <c r="EF105" s="70"/>
      <c r="EG105" s="70"/>
      <c r="EH105" s="70"/>
      <c r="EI105" s="70"/>
      <c r="EJ105" s="70"/>
      <c r="EK105" s="70"/>
      <c r="EL105" s="70"/>
    </row>
    <row r="106" spans="4:142" ht="17.25">
      <c r="D106" s="70"/>
      <c r="E106" s="70"/>
      <c r="AF106" s="70"/>
      <c r="AG106" s="70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  <c r="AR106" s="70"/>
      <c r="AS106" s="70"/>
      <c r="AT106" s="70"/>
      <c r="AU106" s="70"/>
      <c r="AV106" s="70"/>
      <c r="AW106" s="70"/>
      <c r="AX106" s="70"/>
      <c r="AY106" s="70"/>
      <c r="AZ106" s="70"/>
      <c r="BA106" s="70"/>
      <c r="BB106" s="70"/>
      <c r="BC106" s="70"/>
      <c r="BD106" s="70"/>
      <c r="BE106" s="70"/>
      <c r="BF106" s="70"/>
      <c r="BG106" s="70"/>
      <c r="BH106" s="70"/>
      <c r="BI106" s="36"/>
      <c r="BJ106" s="52"/>
      <c r="BK106" s="52"/>
      <c r="BL106" s="52"/>
      <c r="BM106" s="52"/>
      <c r="BN106" s="52"/>
      <c r="BO106" s="52"/>
      <c r="BP106" s="52"/>
      <c r="BQ106" s="52"/>
      <c r="BR106" s="52"/>
      <c r="BS106" s="52"/>
      <c r="BT106" s="52"/>
      <c r="BU106" s="52"/>
      <c r="BV106" s="52"/>
      <c r="BW106" s="52"/>
      <c r="BX106" s="52"/>
      <c r="BY106" s="52"/>
      <c r="BZ106" s="52"/>
      <c r="CA106" s="52"/>
      <c r="CB106" s="197"/>
      <c r="CC106" s="52"/>
      <c r="CD106" s="52"/>
      <c r="CE106" s="52"/>
      <c r="CF106" s="52"/>
      <c r="CG106" s="52"/>
      <c r="CH106" s="52"/>
      <c r="CI106" s="52"/>
      <c r="CJ106" s="52"/>
      <c r="CK106" s="52"/>
      <c r="CL106" s="52"/>
      <c r="CM106" s="70"/>
      <c r="CN106" s="70"/>
      <c r="CO106" s="70"/>
      <c r="CP106" s="70"/>
      <c r="CQ106" s="70"/>
      <c r="CR106" s="70"/>
      <c r="CS106" s="70"/>
      <c r="CT106" s="70"/>
      <c r="CU106" s="70"/>
      <c r="CV106" s="70"/>
      <c r="CW106" s="70"/>
      <c r="CX106" s="70"/>
      <c r="CY106" s="70"/>
      <c r="CZ106" s="70"/>
      <c r="DA106" s="70"/>
      <c r="DB106" s="70"/>
      <c r="DC106" s="70"/>
      <c r="DD106" s="70"/>
      <c r="DE106" s="70"/>
      <c r="DF106" s="70"/>
      <c r="DG106" s="70"/>
      <c r="DH106" s="70"/>
      <c r="DI106" s="70"/>
      <c r="DJ106" s="70"/>
      <c r="DK106" s="70"/>
      <c r="DL106" s="70"/>
      <c r="DM106" s="70"/>
      <c r="DN106" s="70"/>
      <c r="DO106" s="70"/>
      <c r="DP106" s="70"/>
      <c r="DQ106" s="70"/>
      <c r="DR106" s="70"/>
      <c r="DS106" s="70"/>
      <c r="DT106" s="70"/>
      <c r="DU106" s="70"/>
      <c r="DV106" s="70"/>
      <c r="DW106" s="70"/>
      <c r="DX106" s="70"/>
      <c r="DY106" s="70"/>
      <c r="DZ106" s="70"/>
      <c r="EA106" s="70"/>
      <c r="EB106" s="70"/>
      <c r="EC106" s="70"/>
      <c r="ED106" s="70"/>
      <c r="EE106" s="70"/>
      <c r="EF106" s="70"/>
      <c r="EG106" s="70"/>
      <c r="EH106" s="70"/>
      <c r="EI106" s="70"/>
      <c r="EJ106" s="70"/>
      <c r="EK106" s="70"/>
      <c r="EL106" s="70"/>
    </row>
    <row r="107" spans="4:142" ht="17.25">
      <c r="D107" s="70"/>
      <c r="E107" s="70"/>
      <c r="F107" s="70"/>
      <c r="G107" s="70"/>
      <c r="H107" s="70"/>
      <c r="I107" s="70"/>
      <c r="J107" s="70"/>
      <c r="K107" s="70"/>
      <c r="L107" s="70"/>
      <c r="M107" s="138"/>
      <c r="N107" s="70"/>
      <c r="O107" s="70"/>
      <c r="P107" s="70"/>
      <c r="Q107" s="70"/>
      <c r="R107" s="70"/>
      <c r="S107" s="70"/>
      <c r="T107" s="70"/>
      <c r="U107" s="70"/>
      <c r="V107" s="70"/>
      <c r="W107" s="70"/>
      <c r="X107" s="70"/>
      <c r="Y107" s="70"/>
      <c r="Z107" s="70"/>
      <c r="AA107" s="70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  <c r="AM107" s="70"/>
      <c r="AN107" s="70"/>
      <c r="AO107" s="70"/>
      <c r="AP107" s="70"/>
      <c r="AQ107" s="70"/>
      <c r="AR107" s="70"/>
      <c r="AS107" s="70"/>
      <c r="AT107" s="70"/>
      <c r="AU107" s="70"/>
      <c r="AV107" s="70"/>
      <c r="AW107" s="70"/>
      <c r="AX107" s="70"/>
      <c r="AY107" s="70"/>
      <c r="AZ107" s="70"/>
      <c r="BA107" s="70"/>
      <c r="BB107" s="70"/>
      <c r="BC107" s="70"/>
      <c r="BD107" s="70"/>
      <c r="BE107" s="70"/>
      <c r="BF107" s="70"/>
      <c r="BG107" s="70"/>
      <c r="BH107" s="70"/>
      <c r="BI107" s="36"/>
      <c r="BJ107" s="52"/>
      <c r="BK107" s="52"/>
      <c r="BL107" s="52"/>
      <c r="BM107" s="52"/>
      <c r="BN107" s="52"/>
      <c r="BO107" s="52"/>
      <c r="BP107" s="52"/>
      <c r="BQ107" s="52"/>
      <c r="BR107" s="52"/>
      <c r="BS107" s="52"/>
      <c r="BT107" s="52"/>
      <c r="BU107" s="52"/>
      <c r="BV107" s="52"/>
      <c r="BW107" s="52"/>
      <c r="BX107" s="52"/>
      <c r="BY107" s="52"/>
      <c r="BZ107" s="52"/>
      <c r="CA107" s="52"/>
      <c r="CB107" s="197"/>
      <c r="CC107" s="52"/>
      <c r="CD107" s="52"/>
      <c r="CE107" s="52"/>
      <c r="CF107" s="52"/>
      <c r="CG107" s="52"/>
      <c r="CH107" s="52"/>
      <c r="CI107" s="52"/>
      <c r="CJ107" s="52"/>
      <c r="CK107" s="52"/>
      <c r="CL107" s="52"/>
      <c r="CM107" s="70"/>
      <c r="CN107" s="70"/>
      <c r="CO107" s="70"/>
      <c r="CP107" s="70"/>
      <c r="CQ107" s="70"/>
      <c r="CR107" s="70"/>
      <c r="CS107" s="70"/>
      <c r="CT107" s="70"/>
      <c r="CU107" s="70"/>
      <c r="CV107" s="70"/>
      <c r="CW107" s="70"/>
      <c r="CX107" s="70"/>
      <c r="CY107" s="70"/>
      <c r="CZ107" s="70"/>
      <c r="DA107" s="70"/>
      <c r="DB107" s="70"/>
      <c r="DC107" s="70"/>
      <c r="DD107" s="70"/>
      <c r="DE107" s="70"/>
      <c r="DF107" s="70"/>
      <c r="DG107" s="70"/>
      <c r="DH107" s="70"/>
      <c r="DI107" s="70"/>
      <c r="DJ107" s="70"/>
      <c r="DK107" s="70"/>
      <c r="DL107" s="70"/>
      <c r="DM107" s="70"/>
      <c r="DN107" s="70"/>
      <c r="DO107" s="70"/>
      <c r="DP107" s="70"/>
      <c r="DQ107" s="70"/>
      <c r="DR107" s="70"/>
      <c r="DS107" s="70"/>
      <c r="DT107" s="70"/>
      <c r="DU107" s="70"/>
      <c r="DV107" s="70"/>
      <c r="DW107" s="70"/>
      <c r="DX107" s="70"/>
      <c r="DY107" s="70"/>
      <c r="DZ107" s="70"/>
      <c r="EA107" s="70"/>
      <c r="EB107" s="70"/>
      <c r="EC107" s="70"/>
      <c r="ED107" s="70"/>
      <c r="EE107" s="70"/>
      <c r="EF107" s="70"/>
      <c r="EG107" s="70"/>
      <c r="EH107" s="70"/>
      <c r="EI107" s="70"/>
      <c r="EJ107" s="70"/>
      <c r="EK107" s="70"/>
      <c r="EL107" s="70"/>
    </row>
    <row r="108" spans="4:142" ht="17.25">
      <c r="D108" s="70"/>
      <c r="E108" s="70"/>
      <c r="F108" s="70"/>
      <c r="G108" s="70"/>
      <c r="H108" s="70"/>
      <c r="I108" s="70"/>
      <c r="J108" s="70"/>
      <c r="K108" s="70"/>
      <c r="L108" s="70"/>
      <c r="M108" s="138"/>
      <c r="N108" s="70"/>
      <c r="O108" s="70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S108" s="70"/>
      <c r="AT108" s="70"/>
      <c r="AU108" s="70"/>
      <c r="AV108" s="70"/>
      <c r="AW108" s="70"/>
      <c r="AX108" s="70"/>
      <c r="AY108" s="70"/>
      <c r="AZ108" s="70"/>
      <c r="BA108" s="70"/>
      <c r="BB108" s="70"/>
      <c r="BC108" s="70"/>
      <c r="BD108" s="70"/>
      <c r="BE108" s="70"/>
      <c r="BF108" s="70"/>
      <c r="BG108" s="70"/>
      <c r="BH108" s="70"/>
      <c r="BI108" s="36"/>
      <c r="BJ108" s="52"/>
      <c r="BK108" s="52"/>
      <c r="BL108" s="52"/>
      <c r="BM108" s="52"/>
      <c r="BN108" s="52"/>
      <c r="BO108" s="52"/>
      <c r="BP108" s="52"/>
      <c r="BQ108" s="52"/>
      <c r="BR108" s="52"/>
      <c r="BS108" s="52"/>
      <c r="BT108" s="52"/>
      <c r="BU108" s="52"/>
      <c r="BV108" s="52"/>
      <c r="BW108" s="52"/>
      <c r="BX108" s="52"/>
      <c r="BY108" s="52"/>
      <c r="BZ108" s="52"/>
      <c r="CA108" s="52"/>
      <c r="CB108" s="197"/>
      <c r="CC108" s="52"/>
      <c r="CD108" s="52"/>
      <c r="CE108" s="52"/>
      <c r="CF108" s="52"/>
      <c r="CG108" s="52"/>
      <c r="CH108" s="52"/>
      <c r="CI108" s="52"/>
      <c r="CJ108" s="52"/>
      <c r="CK108" s="52"/>
      <c r="CL108" s="52"/>
      <c r="CM108" s="70"/>
      <c r="CN108" s="70"/>
      <c r="CO108" s="70"/>
      <c r="CP108" s="70"/>
      <c r="CQ108" s="70"/>
      <c r="CR108" s="70"/>
      <c r="CS108" s="70"/>
      <c r="CT108" s="70"/>
      <c r="CU108" s="70"/>
      <c r="CV108" s="70"/>
      <c r="CW108" s="70"/>
      <c r="CX108" s="70"/>
      <c r="CY108" s="70"/>
      <c r="CZ108" s="70"/>
      <c r="DA108" s="70"/>
      <c r="DB108" s="70"/>
      <c r="DC108" s="70"/>
      <c r="DD108" s="70"/>
      <c r="DE108" s="70"/>
      <c r="DF108" s="70"/>
      <c r="DG108" s="70"/>
      <c r="DH108" s="70"/>
      <c r="DI108" s="70"/>
      <c r="DJ108" s="70"/>
      <c r="DK108" s="70"/>
      <c r="DL108" s="70"/>
      <c r="DM108" s="70"/>
      <c r="DN108" s="70"/>
      <c r="DO108" s="70"/>
      <c r="DP108" s="70"/>
      <c r="DQ108" s="70"/>
      <c r="DR108" s="70"/>
      <c r="DS108" s="70"/>
      <c r="DT108" s="70"/>
      <c r="DU108" s="70"/>
      <c r="DV108" s="70"/>
      <c r="DW108" s="70"/>
      <c r="DX108" s="70"/>
      <c r="DY108" s="70"/>
      <c r="DZ108" s="70"/>
      <c r="EA108" s="70"/>
      <c r="EB108" s="70"/>
      <c r="EC108" s="70"/>
      <c r="ED108" s="70"/>
      <c r="EE108" s="70"/>
      <c r="EF108" s="70"/>
      <c r="EG108" s="70"/>
      <c r="EH108" s="70"/>
      <c r="EI108" s="70"/>
      <c r="EJ108" s="70"/>
      <c r="EK108" s="70"/>
      <c r="EL108" s="70"/>
    </row>
    <row r="109" spans="4:142" ht="17.25">
      <c r="D109" s="70"/>
      <c r="E109" s="70"/>
      <c r="F109" s="70"/>
      <c r="G109" s="70"/>
      <c r="H109" s="70"/>
      <c r="I109" s="70"/>
      <c r="J109" s="70"/>
      <c r="K109" s="70"/>
      <c r="L109" s="70"/>
      <c r="M109" s="138"/>
      <c r="N109" s="70"/>
      <c r="O109" s="70"/>
      <c r="P109" s="70"/>
      <c r="Q109" s="70"/>
      <c r="R109" s="70"/>
      <c r="S109" s="70"/>
      <c r="T109" s="70"/>
      <c r="U109" s="70"/>
      <c r="V109" s="70"/>
      <c r="W109" s="70"/>
      <c r="X109" s="70"/>
      <c r="Y109" s="70"/>
      <c r="Z109" s="70"/>
      <c r="AA109" s="70"/>
      <c r="AB109" s="70"/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  <c r="AM109" s="70"/>
      <c r="AN109" s="70"/>
      <c r="AO109" s="70"/>
      <c r="AP109" s="70"/>
      <c r="AQ109" s="70"/>
      <c r="AR109" s="70"/>
      <c r="AS109" s="70"/>
      <c r="AT109" s="70"/>
      <c r="AU109" s="70"/>
      <c r="AV109" s="70"/>
      <c r="AW109" s="70"/>
      <c r="AX109" s="70"/>
      <c r="AY109" s="70"/>
      <c r="AZ109" s="70"/>
      <c r="BA109" s="70"/>
      <c r="BB109" s="70"/>
      <c r="BC109" s="70"/>
      <c r="BD109" s="70"/>
      <c r="BE109" s="70"/>
      <c r="BF109" s="70"/>
      <c r="BG109" s="70"/>
      <c r="BH109" s="70"/>
      <c r="BI109" s="36"/>
      <c r="BJ109" s="52"/>
      <c r="BK109" s="52"/>
      <c r="BL109" s="52"/>
      <c r="BM109" s="52"/>
      <c r="BN109" s="52"/>
      <c r="BO109" s="52"/>
      <c r="BP109" s="52"/>
      <c r="BQ109" s="52"/>
      <c r="BR109" s="52"/>
      <c r="BS109" s="52"/>
      <c r="BT109" s="52"/>
      <c r="BU109" s="52"/>
      <c r="BV109" s="52"/>
      <c r="BW109" s="52"/>
      <c r="BX109" s="52"/>
      <c r="BY109" s="52"/>
      <c r="BZ109" s="52"/>
      <c r="CA109" s="52"/>
      <c r="CB109" s="197"/>
      <c r="CC109" s="52"/>
      <c r="CD109" s="52"/>
      <c r="CE109" s="52"/>
      <c r="CF109" s="52"/>
      <c r="CG109" s="52"/>
      <c r="CH109" s="52"/>
      <c r="CI109" s="52"/>
      <c r="CJ109" s="52"/>
      <c r="CK109" s="52"/>
      <c r="CL109" s="52"/>
      <c r="CM109" s="70"/>
      <c r="CN109" s="70"/>
      <c r="CO109" s="70"/>
      <c r="CP109" s="70"/>
      <c r="CQ109" s="70"/>
      <c r="CR109" s="70"/>
      <c r="CS109" s="70"/>
      <c r="CT109" s="70"/>
      <c r="CU109" s="70"/>
      <c r="CV109" s="70"/>
      <c r="CW109" s="70"/>
      <c r="CX109" s="70"/>
      <c r="CY109" s="70"/>
      <c r="CZ109" s="70"/>
      <c r="DA109" s="70"/>
      <c r="DB109" s="70"/>
      <c r="DC109" s="70"/>
      <c r="DD109" s="70"/>
      <c r="DE109" s="70"/>
      <c r="DF109" s="70"/>
      <c r="DG109" s="70"/>
      <c r="DH109" s="70"/>
      <c r="DI109" s="70"/>
      <c r="DJ109" s="70"/>
      <c r="DK109" s="70"/>
      <c r="DL109" s="70"/>
      <c r="DM109" s="70"/>
      <c r="DN109" s="70"/>
      <c r="DO109" s="70"/>
      <c r="DP109" s="70"/>
      <c r="DQ109" s="70"/>
      <c r="DR109" s="70"/>
      <c r="DS109" s="70"/>
      <c r="DT109" s="70"/>
      <c r="DU109" s="70"/>
      <c r="DV109" s="70"/>
      <c r="DW109" s="70"/>
      <c r="DX109" s="70"/>
      <c r="DY109" s="70"/>
      <c r="DZ109" s="70"/>
      <c r="EA109" s="70"/>
      <c r="EB109" s="70"/>
      <c r="EC109" s="70"/>
      <c r="ED109" s="70"/>
      <c r="EE109" s="70"/>
      <c r="EF109" s="70"/>
      <c r="EG109" s="70"/>
      <c r="EH109" s="70"/>
      <c r="EI109" s="70"/>
      <c r="EJ109" s="70"/>
      <c r="EK109" s="70"/>
      <c r="EL109" s="70"/>
    </row>
    <row r="110" spans="4:142" ht="17.25">
      <c r="D110" s="70"/>
      <c r="E110" s="70"/>
      <c r="F110" s="70"/>
      <c r="G110" s="70"/>
      <c r="H110" s="70"/>
      <c r="I110" s="70"/>
      <c r="J110" s="70"/>
      <c r="K110" s="70"/>
      <c r="L110" s="70"/>
      <c r="M110" s="138"/>
      <c r="N110" s="70"/>
      <c r="O110" s="70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  <c r="BA110" s="70"/>
      <c r="BB110" s="70"/>
      <c r="BC110" s="70"/>
      <c r="BD110" s="70"/>
      <c r="BE110" s="70"/>
      <c r="BF110" s="70"/>
      <c r="BG110" s="70"/>
      <c r="BH110" s="70"/>
      <c r="BI110" s="52"/>
      <c r="BJ110" s="52"/>
      <c r="BK110" s="52"/>
      <c r="BL110" s="52"/>
      <c r="BM110" s="52"/>
      <c r="BN110" s="52"/>
      <c r="BO110" s="52"/>
      <c r="BP110" s="52"/>
      <c r="BQ110" s="52"/>
      <c r="BR110" s="52"/>
      <c r="BS110" s="52"/>
      <c r="BT110" s="52"/>
      <c r="BU110" s="52"/>
      <c r="BV110" s="52"/>
      <c r="BW110" s="52"/>
      <c r="BX110" s="52"/>
      <c r="BY110" s="52"/>
      <c r="BZ110" s="52"/>
      <c r="CA110" s="52"/>
      <c r="CB110" s="197"/>
      <c r="CC110" s="52"/>
      <c r="CD110" s="52"/>
      <c r="CE110" s="52"/>
      <c r="CF110" s="52"/>
      <c r="CG110" s="52"/>
      <c r="CH110" s="52"/>
      <c r="CI110" s="52"/>
      <c r="CJ110" s="52"/>
      <c r="CK110" s="52"/>
      <c r="CL110" s="52"/>
      <c r="CM110" s="70"/>
      <c r="CN110" s="70"/>
      <c r="CO110" s="70"/>
      <c r="CP110" s="70"/>
      <c r="CQ110" s="70"/>
      <c r="CR110" s="70"/>
      <c r="CS110" s="70"/>
      <c r="CT110" s="70"/>
      <c r="CU110" s="70"/>
      <c r="CV110" s="70"/>
      <c r="CW110" s="70"/>
      <c r="CX110" s="70"/>
      <c r="CY110" s="70"/>
      <c r="CZ110" s="70"/>
      <c r="DA110" s="70"/>
      <c r="DB110" s="70"/>
      <c r="DC110" s="70"/>
      <c r="DD110" s="70"/>
      <c r="DE110" s="70"/>
      <c r="DF110" s="70"/>
      <c r="DG110" s="70"/>
      <c r="DH110" s="70"/>
      <c r="DI110" s="70"/>
      <c r="DJ110" s="70"/>
      <c r="DK110" s="70"/>
      <c r="DL110" s="70"/>
      <c r="DM110" s="70"/>
      <c r="DN110" s="70"/>
      <c r="DO110" s="70"/>
      <c r="DP110" s="70"/>
      <c r="DQ110" s="70"/>
      <c r="DR110" s="70"/>
      <c r="DS110" s="70"/>
      <c r="DT110" s="70"/>
      <c r="DU110" s="70"/>
      <c r="DV110" s="70"/>
      <c r="DW110" s="70"/>
      <c r="DX110" s="70"/>
      <c r="DY110" s="70"/>
      <c r="DZ110" s="70"/>
      <c r="EA110" s="70"/>
      <c r="EB110" s="70"/>
      <c r="EC110" s="70"/>
      <c r="ED110" s="70"/>
      <c r="EE110" s="70"/>
      <c r="EF110" s="70"/>
      <c r="EG110" s="70"/>
      <c r="EH110" s="70"/>
      <c r="EI110" s="70"/>
      <c r="EJ110" s="70"/>
      <c r="EK110" s="70"/>
      <c r="EL110" s="70"/>
    </row>
    <row r="111" spans="4:142" ht="17.25">
      <c r="D111" s="70"/>
      <c r="E111" s="70"/>
      <c r="F111" s="70"/>
      <c r="G111" s="70"/>
      <c r="H111" s="70"/>
      <c r="I111" s="70"/>
      <c r="J111" s="70"/>
      <c r="K111" s="70"/>
      <c r="L111" s="70"/>
      <c r="M111" s="138"/>
      <c r="N111" s="70"/>
      <c r="O111" s="70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70"/>
      <c r="AV111" s="70"/>
      <c r="AW111" s="70"/>
      <c r="AX111" s="70"/>
      <c r="AY111" s="70"/>
      <c r="AZ111" s="70"/>
      <c r="BA111" s="70"/>
      <c r="BB111" s="70"/>
      <c r="BC111" s="70"/>
      <c r="BD111" s="70"/>
      <c r="BE111" s="70"/>
      <c r="BF111" s="70"/>
      <c r="BG111" s="70"/>
      <c r="BH111" s="70"/>
      <c r="BI111" s="52"/>
      <c r="BJ111" s="52"/>
      <c r="BK111" s="52"/>
      <c r="BL111" s="52"/>
      <c r="BM111" s="52"/>
      <c r="BN111" s="52"/>
      <c r="BO111" s="52"/>
      <c r="BP111" s="52"/>
      <c r="BQ111" s="52"/>
      <c r="BR111" s="52"/>
      <c r="BS111" s="52"/>
      <c r="BT111" s="52"/>
      <c r="BU111" s="52"/>
      <c r="BV111" s="52"/>
      <c r="BW111" s="52"/>
      <c r="BX111" s="52"/>
      <c r="BY111" s="52"/>
      <c r="BZ111" s="52"/>
      <c r="CA111" s="52"/>
      <c r="CB111" s="197"/>
      <c r="CC111" s="52"/>
      <c r="CD111" s="52"/>
      <c r="CE111" s="52"/>
      <c r="CF111" s="52"/>
      <c r="CG111" s="52"/>
      <c r="CH111" s="52"/>
      <c r="CI111" s="52"/>
      <c r="CJ111" s="52"/>
      <c r="CK111" s="52"/>
      <c r="CL111" s="52"/>
      <c r="CM111" s="70"/>
      <c r="CN111" s="70"/>
      <c r="CO111" s="70"/>
      <c r="CP111" s="70"/>
      <c r="CQ111" s="70"/>
      <c r="CR111" s="70"/>
      <c r="CS111" s="70"/>
      <c r="CT111" s="70"/>
      <c r="CU111" s="70"/>
      <c r="CV111" s="70"/>
      <c r="CW111" s="70"/>
      <c r="CX111" s="70"/>
      <c r="CY111" s="70"/>
      <c r="CZ111" s="70"/>
      <c r="DA111" s="70"/>
      <c r="DB111" s="70"/>
      <c r="DC111" s="70"/>
      <c r="DD111" s="70"/>
      <c r="DE111" s="70"/>
      <c r="DF111" s="70"/>
      <c r="DG111" s="70"/>
      <c r="DH111" s="70"/>
      <c r="DI111" s="70"/>
      <c r="DJ111" s="70"/>
      <c r="DK111" s="70"/>
      <c r="DL111" s="70"/>
      <c r="DM111" s="70"/>
      <c r="DN111" s="70"/>
      <c r="DO111" s="70"/>
      <c r="DP111" s="70"/>
      <c r="DQ111" s="70"/>
      <c r="DR111" s="70"/>
      <c r="DS111" s="70"/>
      <c r="DT111" s="70"/>
      <c r="DU111" s="70"/>
      <c r="DV111" s="70"/>
      <c r="DW111" s="70"/>
      <c r="DX111" s="70"/>
      <c r="DY111" s="70"/>
      <c r="DZ111" s="70"/>
      <c r="EA111" s="70"/>
      <c r="EB111" s="70"/>
      <c r="EC111" s="70"/>
      <c r="ED111" s="70"/>
      <c r="EE111" s="70"/>
      <c r="EF111" s="70"/>
      <c r="EG111" s="70"/>
      <c r="EH111" s="70"/>
      <c r="EI111" s="70"/>
      <c r="EJ111" s="70"/>
      <c r="EK111" s="70"/>
      <c r="EL111" s="70"/>
    </row>
    <row r="112" spans="4:142" ht="17.25">
      <c r="D112" s="70"/>
      <c r="E112" s="70"/>
      <c r="F112" s="70"/>
      <c r="G112" s="70"/>
      <c r="H112" s="70"/>
      <c r="I112" s="70"/>
      <c r="J112" s="70"/>
      <c r="K112" s="70"/>
      <c r="L112" s="70"/>
      <c r="M112" s="138"/>
      <c r="N112" s="70"/>
      <c r="O112" s="70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0"/>
      <c r="AE112" s="70"/>
      <c r="AF112" s="70"/>
      <c r="AG112" s="70"/>
      <c r="AH112" s="70"/>
      <c r="AI112" s="70"/>
      <c r="AJ112" s="70"/>
      <c r="AK112" s="70"/>
      <c r="AL112" s="70"/>
      <c r="AM112" s="70"/>
      <c r="AN112" s="70"/>
      <c r="AO112" s="70"/>
      <c r="AP112" s="70"/>
      <c r="AQ112" s="70"/>
      <c r="AR112" s="70"/>
      <c r="AS112" s="70"/>
      <c r="AT112" s="70"/>
      <c r="AU112" s="70"/>
      <c r="AV112" s="70"/>
      <c r="AW112" s="70"/>
      <c r="AX112" s="70"/>
      <c r="AY112" s="70"/>
      <c r="AZ112" s="70"/>
      <c r="BA112" s="70"/>
      <c r="BB112" s="70"/>
      <c r="BC112" s="70"/>
      <c r="BD112" s="70"/>
      <c r="BE112" s="70"/>
      <c r="BF112" s="70"/>
      <c r="BG112" s="70"/>
      <c r="BH112" s="70"/>
      <c r="BI112" s="51"/>
      <c r="BJ112" s="52"/>
      <c r="BK112" s="52"/>
      <c r="BL112" s="52"/>
      <c r="BM112" s="52"/>
      <c r="BN112" s="52"/>
      <c r="BO112" s="52"/>
      <c r="BP112" s="52"/>
      <c r="BQ112" s="52"/>
      <c r="BR112" s="52"/>
      <c r="BS112" s="52"/>
      <c r="BT112" s="52"/>
      <c r="BU112" s="52"/>
      <c r="BV112" s="52"/>
      <c r="BW112" s="52"/>
      <c r="BX112" s="52"/>
      <c r="BY112" s="52"/>
      <c r="BZ112" s="52"/>
      <c r="CA112" s="52"/>
      <c r="CB112" s="197"/>
      <c r="CC112" s="52"/>
      <c r="CD112" s="52"/>
      <c r="CE112" s="52"/>
      <c r="CF112" s="52"/>
      <c r="CG112" s="52"/>
      <c r="CH112" s="52"/>
      <c r="CI112" s="52"/>
      <c r="CJ112" s="52"/>
      <c r="CK112" s="52"/>
      <c r="CL112" s="52"/>
      <c r="CM112" s="70"/>
      <c r="CN112" s="70"/>
      <c r="CO112" s="70"/>
      <c r="CP112" s="70"/>
      <c r="CQ112" s="70"/>
      <c r="CR112" s="70"/>
      <c r="CS112" s="70"/>
      <c r="CT112" s="70"/>
      <c r="CU112" s="70"/>
      <c r="CV112" s="70"/>
      <c r="CW112" s="70"/>
      <c r="CX112" s="70"/>
      <c r="CY112" s="70"/>
      <c r="CZ112" s="70"/>
      <c r="DA112" s="70"/>
      <c r="DB112" s="70"/>
      <c r="DC112" s="70"/>
      <c r="DD112" s="70"/>
      <c r="DE112" s="70"/>
      <c r="DF112" s="70"/>
      <c r="DG112" s="70"/>
      <c r="DH112" s="70"/>
      <c r="DI112" s="70"/>
      <c r="DJ112" s="70"/>
      <c r="DK112" s="70"/>
      <c r="DL112" s="70"/>
      <c r="DM112" s="70"/>
      <c r="DN112" s="70"/>
      <c r="DO112" s="70"/>
      <c r="DP112" s="70"/>
      <c r="DQ112" s="70"/>
      <c r="DR112" s="70"/>
      <c r="DS112" s="70"/>
      <c r="DT112" s="70"/>
      <c r="DU112" s="70"/>
      <c r="DV112" s="70"/>
      <c r="DW112" s="70"/>
      <c r="DX112" s="70"/>
      <c r="DY112" s="70"/>
      <c r="DZ112" s="70"/>
      <c r="EA112" s="70"/>
      <c r="EB112" s="70"/>
      <c r="EC112" s="70"/>
      <c r="ED112" s="70"/>
      <c r="EE112" s="70"/>
      <c r="EF112" s="70"/>
      <c r="EG112" s="70"/>
      <c r="EH112" s="70"/>
      <c r="EI112" s="70"/>
      <c r="EJ112" s="70"/>
      <c r="EK112" s="70"/>
      <c r="EL112" s="70"/>
    </row>
    <row r="113" spans="4:142" ht="17.25">
      <c r="D113" s="70"/>
      <c r="E113" s="70"/>
      <c r="F113" s="70"/>
      <c r="G113" s="70"/>
      <c r="H113" s="70"/>
      <c r="I113" s="70"/>
      <c r="J113" s="70"/>
      <c r="K113" s="70"/>
      <c r="L113" s="70"/>
      <c r="M113" s="138"/>
      <c r="N113" s="70"/>
      <c r="O113" s="70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0"/>
      <c r="AE113" s="70"/>
      <c r="AF113" s="70"/>
      <c r="AG113" s="70"/>
      <c r="AH113" s="70"/>
      <c r="AI113" s="70"/>
      <c r="AJ113" s="70"/>
      <c r="AK113" s="70"/>
      <c r="AL113" s="70"/>
      <c r="AM113" s="70"/>
      <c r="AN113" s="70"/>
      <c r="AO113" s="70"/>
      <c r="AP113" s="70"/>
      <c r="AQ113" s="70"/>
      <c r="AR113" s="70"/>
      <c r="AS113" s="70"/>
      <c r="AT113" s="70"/>
      <c r="AU113" s="70"/>
      <c r="AV113" s="70"/>
      <c r="AW113" s="70"/>
      <c r="AX113" s="70"/>
      <c r="AY113" s="70"/>
      <c r="AZ113" s="70"/>
      <c r="BA113" s="70"/>
      <c r="BB113" s="70"/>
      <c r="BC113" s="70"/>
      <c r="BD113" s="70"/>
      <c r="BE113" s="70"/>
      <c r="BF113" s="70"/>
      <c r="BG113" s="70"/>
      <c r="BH113" s="70"/>
      <c r="BI113" s="52"/>
      <c r="BJ113" s="52"/>
      <c r="BK113" s="52"/>
      <c r="BL113" s="52"/>
      <c r="BM113" s="52"/>
      <c r="BN113" s="52"/>
      <c r="BO113" s="52"/>
      <c r="BP113" s="52"/>
      <c r="BQ113" s="52"/>
      <c r="BR113" s="52"/>
      <c r="BS113" s="52"/>
      <c r="BT113" s="52"/>
      <c r="BU113" s="52"/>
      <c r="BV113" s="52"/>
      <c r="BW113" s="52"/>
      <c r="BX113" s="52"/>
      <c r="BY113" s="52"/>
      <c r="BZ113" s="52"/>
      <c r="CA113" s="52"/>
      <c r="CB113" s="52"/>
      <c r="CC113" s="52"/>
      <c r="CD113" s="139"/>
      <c r="CE113" s="52"/>
      <c r="CF113" s="52"/>
      <c r="CG113" s="52"/>
      <c r="CH113" s="52"/>
      <c r="CI113" s="52"/>
      <c r="CJ113" s="52"/>
      <c r="CK113" s="52"/>
      <c r="CL113" s="52"/>
      <c r="CM113" s="70"/>
      <c r="CN113" s="70"/>
      <c r="CO113" s="70"/>
      <c r="CP113" s="70"/>
      <c r="CQ113" s="70"/>
      <c r="CR113" s="70"/>
      <c r="CS113" s="70"/>
      <c r="CT113" s="70"/>
      <c r="CU113" s="70"/>
      <c r="CV113" s="70"/>
      <c r="CW113" s="70"/>
      <c r="CX113" s="70"/>
      <c r="CY113" s="70"/>
      <c r="CZ113" s="70"/>
      <c r="DA113" s="70"/>
      <c r="DB113" s="70"/>
      <c r="DC113" s="70"/>
      <c r="DD113" s="70"/>
      <c r="DE113" s="70"/>
      <c r="DF113" s="70"/>
      <c r="DG113" s="70"/>
      <c r="DH113" s="70"/>
      <c r="DI113" s="70"/>
      <c r="DJ113" s="70"/>
      <c r="DK113" s="70"/>
      <c r="DL113" s="70"/>
      <c r="DM113" s="70"/>
      <c r="DN113" s="70"/>
      <c r="DO113" s="70"/>
      <c r="DP113" s="70"/>
      <c r="DQ113" s="70"/>
      <c r="DR113" s="70"/>
      <c r="DS113" s="70"/>
      <c r="DT113" s="70"/>
      <c r="DU113" s="70"/>
      <c r="DV113" s="70"/>
      <c r="DW113" s="70"/>
      <c r="DX113" s="70"/>
      <c r="DY113" s="70"/>
      <c r="DZ113" s="70"/>
      <c r="EA113" s="70"/>
      <c r="EB113" s="70"/>
      <c r="EC113" s="70"/>
      <c r="ED113" s="70"/>
      <c r="EE113" s="70"/>
      <c r="EF113" s="70"/>
      <c r="EG113" s="70"/>
      <c r="EH113" s="70"/>
      <c r="EI113" s="70"/>
      <c r="EJ113" s="70"/>
      <c r="EK113" s="70"/>
      <c r="EL113" s="70"/>
    </row>
    <row r="114" spans="4:142" ht="17.25">
      <c r="D114" s="70"/>
      <c r="E114" s="70"/>
      <c r="F114" s="70"/>
      <c r="G114" s="70"/>
      <c r="H114" s="70"/>
      <c r="I114" s="70"/>
      <c r="J114" s="70"/>
      <c r="K114" s="70"/>
      <c r="L114" s="70"/>
      <c r="M114" s="138"/>
      <c r="N114" s="70"/>
      <c r="O114" s="70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0"/>
      <c r="AE114" s="70"/>
      <c r="AF114" s="70"/>
      <c r="AG114" s="70"/>
      <c r="AH114" s="70"/>
      <c r="AI114" s="70"/>
      <c r="AJ114" s="70"/>
      <c r="AK114" s="70"/>
      <c r="AL114" s="70"/>
      <c r="AM114" s="70"/>
      <c r="AN114" s="70"/>
      <c r="AO114" s="70"/>
      <c r="AP114" s="70"/>
      <c r="AQ114" s="70"/>
      <c r="AR114" s="70"/>
      <c r="AS114" s="70"/>
      <c r="AT114" s="70"/>
      <c r="AU114" s="70"/>
      <c r="AV114" s="70"/>
      <c r="AW114" s="70"/>
      <c r="AX114" s="70"/>
      <c r="AY114" s="70"/>
      <c r="AZ114" s="70"/>
      <c r="BA114" s="70"/>
      <c r="BB114" s="70"/>
      <c r="BC114" s="70"/>
      <c r="BD114" s="70"/>
      <c r="BE114" s="70"/>
      <c r="BF114" s="70"/>
      <c r="BG114" s="70"/>
      <c r="BH114" s="70"/>
      <c r="BI114" s="52"/>
      <c r="BJ114" s="52"/>
      <c r="BK114" s="52"/>
      <c r="BL114" s="52"/>
      <c r="BM114" s="52"/>
      <c r="BN114" s="52"/>
      <c r="BO114" s="52"/>
      <c r="BP114" s="52"/>
      <c r="BQ114" s="52"/>
      <c r="BR114" s="52"/>
      <c r="BS114" s="52"/>
      <c r="BT114" s="52"/>
      <c r="BU114" s="52"/>
      <c r="BV114" s="52"/>
      <c r="BW114" s="52"/>
      <c r="BX114" s="52"/>
      <c r="BY114" s="52"/>
      <c r="BZ114" s="52"/>
      <c r="CA114" s="52"/>
      <c r="CB114" s="52"/>
      <c r="CC114" s="52"/>
      <c r="CD114" s="52"/>
      <c r="CE114" s="52"/>
      <c r="CF114" s="52"/>
      <c r="CG114" s="52"/>
      <c r="CH114" s="52"/>
      <c r="CI114" s="52"/>
      <c r="CJ114" s="52"/>
      <c r="CK114" s="52"/>
      <c r="CL114" s="52"/>
      <c r="CM114" s="70"/>
      <c r="CN114" s="70"/>
      <c r="CO114" s="70"/>
      <c r="CP114" s="70"/>
      <c r="CQ114" s="70"/>
      <c r="CR114" s="70"/>
      <c r="CS114" s="70"/>
      <c r="CT114" s="70"/>
      <c r="CU114" s="70"/>
      <c r="CV114" s="70"/>
      <c r="CW114" s="70"/>
      <c r="CX114" s="70"/>
      <c r="CY114" s="70"/>
      <c r="CZ114" s="70"/>
      <c r="DA114" s="70"/>
      <c r="DB114" s="70"/>
      <c r="DC114" s="70"/>
      <c r="DD114" s="70"/>
      <c r="DE114" s="70"/>
      <c r="DF114" s="70"/>
      <c r="DG114" s="70"/>
      <c r="DH114" s="70"/>
      <c r="DI114" s="70"/>
      <c r="DJ114" s="70"/>
      <c r="DK114" s="70"/>
      <c r="DL114" s="70"/>
      <c r="DM114" s="70"/>
      <c r="DN114" s="70"/>
      <c r="DO114" s="70"/>
      <c r="DP114" s="70"/>
      <c r="DQ114" s="70"/>
      <c r="DR114" s="70"/>
      <c r="DS114" s="70"/>
      <c r="DT114" s="70"/>
      <c r="DU114" s="70"/>
      <c r="DV114" s="70"/>
      <c r="DW114" s="70"/>
      <c r="DX114" s="70"/>
      <c r="DY114" s="70"/>
      <c r="DZ114" s="70"/>
      <c r="EA114" s="70"/>
      <c r="EB114" s="70"/>
      <c r="EC114" s="70"/>
      <c r="ED114" s="70"/>
      <c r="EE114" s="70"/>
      <c r="EF114" s="70"/>
      <c r="EG114" s="70"/>
      <c r="EH114" s="70"/>
      <c r="EI114" s="70"/>
      <c r="EJ114" s="70"/>
      <c r="EK114" s="70"/>
      <c r="EL114" s="70"/>
    </row>
    <row r="115" spans="4:142" ht="17.25">
      <c r="D115" s="70"/>
      <c r="E115" s="70"/>
      <c r="F115" s="70"/>
      <c r="G115" s="70"/>
      <c r="H115" s="70"/>
      <c r="I115" s="70"/>
      <c r="J115" s="70"/>
      <c r="K115" s="70"/>
      <c r="L115" s="70"/>
      <c r="M115" s="138"/>
      <c r="N115" s="70"/>
      <c r="O115" s="70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70"/>
      <c r="AV115" s="70"/>
      <c r="AW115" s="70"/>
      <c r="AX115" s="70"/>
      <c r="AY115" s="70"/>
      <c r="AZ115" s="70"/>
      <c r="BA115" s="70"/>
      <c r="BB115" s="70"/>
      <c r="BC115" s="70"/>
      <c r="BD115" s="70"/>
      <c r="BE115" s="70"/>
      <c r="BF115" s="70"/>
      <c r="BG115" s="70"/>
      <c r="BH115" s="70"/>
      <c r="BI115" s="51"/>
      <c r="BJ115" s="52"/>
      <c r="BK115" s="52"/>
      <c r="BL115" s="52"/>
      <c r="BM115" s="52"/>
      <c r="BN115" s="52"/>
      <c r="BO115" s="52"/>
      <c r="BP115" s="52"/>
      <c r="BQ115" s="52"/>
      <c r="BR115" s="52"/>
      <c r="BS115" s="52"/>
      <c r="BT115" s="52"/>
      <c r="BU115" s="52"/>
      <c r="BV115" s="52"/>
      <c r="BW115" s="52"/>
      <c r="BX115" s="52"/>
      <c r="BY115" s="52"/>
      <c r="BZ115" s="52"/>
      <c r="CA115" s="52"/>
      <c r="CB115" s="52"/>
      <c r="CC115" s="52"/>
      <c r="CD115" s="52"/>
      <c r="CE115" s="52"/>
      <c r="CF115" s="139"/>
      <c r="CG115" s="52"/>
      <c r="CH115" s="52"/>
      <c r="CI115" s="52"/>
      <c r="CJ115" s="52"/>
      <c r="CK115" s="52"/>
      <c r="CL115" s="52"/>
      <c r="CM115" s="70"/>
      <c r="CN115" s="70"/>
      <c r="CO115" s="70"/>
      <c r="CP115" s="70"/>
      <c r="CQ115" s="70"/>
      <c r="CR115" s="70"/>
      <c r="CS115" s="70"/>
      <c r="CT115" s="70"/>
      <c r="CU115" s="70"/>
      <c r="CV115" s="70"/>
      <c r="CW115" s="70"/>
      <c r="CX115" s="70"/>
      <c r="CY115" s="70"/>
      <c r="CZ115" s="70"/>
      <c r="DA115" s="70"/>
      <c r="DB115" s="70"/>
      <c r="DC115" s="70"/>
      <c r="DD115" s="70"/>
      <c r="DE115" s="70"/>
      <c r="DF115" s="70"/>
      <c r="DG115" s="70"/>
      <c r="DH115" s="70"/>
      <c r="DI115" s="70"/>
      <c r="DJ115" s="70"/>
      <c r="DK115" s="70"/>
      <c r="DL115" s="70"/>
      <c r="DM115" s="70"/>
      <c r="DN115" s="70"/>
      <c r="DO115" s="70"/>
      <c r="DP115" s="70"/>
      <c r="DQ115" s="70"/>
      <c r="DR115" s="70"/>
      <c r="DS115" s="70"/>
      <c r="DT115" s="70"/>
      <c r="DU115" s="70"/>
      <c r="DV115" s="70"/>
      <c r="DW115" s="70"/>
      <c r="DX115" s="70"/>
      <c r="DY115" s="70"/>
      <c r="DZ115" s="70"/>
      <c r="EA115" s="70"/>
      <c r="EB115" s="70"/>
      <c r="EC115" s="70"/>
      <c r="ED115" s="70"/>
      <c r="EE115" s="70"/>
      <c r="EF115" s="70"/>
      <c r="EG115" s="70"/>
      <c r="EH115" s="70"/>
      <c r="EI115" s="70"/>
      <c r="EJ115" s="70"/>
      <c r="EK115" s="70"/>
      <c r="EL115" s="70"/>
    </row>
    <row r="116" spans="4:142" ht="17.25">
      <c r="D116" s="70"/>
      <c r="E116" s="70"/>
      <c r="F116" s="70"/>
      <c r="G116" s="70"/>
      <c r="H116" s="70"/>
      <c r="I116" s="70"/>
      <c r="J116" s="70"/>
      <c r="K116" s="70"/>
      <c r="L116" s="70"/>
      <c r="M116" s="138"/>
      <c r="N116" s="70"/>
      <c r="O116" s="70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  <c r="AM116" s="70"/>
      <c r="AN116" s="70"/>
      <c r="AO116" s="70"/>
      <c r="AP116" s="70"/>
      <c r="AQ116" s="70"/>
      <c r="AR116" s="70"/>
      <c r="AS116" s="70"/>
      <c r="AT116" s="70"/>
      <c r="AU116" s="70"/>
      <c r="AV116" s="70"/>
      <c r="AW116" s="70"/>
      <c r="AX116" s="70"/>
      <c r="AY116" s="70"/>
      <c r="AZ116" s="70"/>
      <c r="BA116" s="70"/>
      <c r="BB116" s="70"/>
      <c r="BC116" s="70"/>
      <c r="BD116" s="70"/>
      <c r="BE116" s="70"/>
      <c r="BF116" s="70"/>
      <c r="BG116" s="70"/>
      <c r="BH116" s="70"/>
      <c r="BI116" s="51"/>
      <c r="BJ116" s="51"/>
      <c r="BK116" s="52"/>
      <c r="BL116" s="52"/>
      <c r="BM116" s="52"/>
      <c r="BN116" s="52"/>
      <c r="BO116" s="52"/>
      <c r="BP116" s="52"/>
      <c r="BQ116" s="52"/>
      <c r="BR116" s="52"/>
      <c r="BS116" s="52"/>
      <c r="BT116" s="52"/>
      <c r="BU116" s="52"/>
      <c r="BV116" s="52"/>
      <c r="BW116" s="52"/>
      <c r="BX116" s="52"/>
      <c r="BY116" s="52"/>
      <c r="BZ116" s="52"/>
      <c r="CA116" s="52"/>
      <c r="CB116" s="52"/>
      <c r="CC116" s="52"/>
      <c r="CD116" s="52"/>
      <c r="CE116" s="52"/>
      <c r="CF116" s="52"/>
      <c r="CG116" s="139"/>
      <c r="CH116" s="52"/>
      <c r="CI116" s="52"/>
      <c r="CJ116" s="52"/>
      <c r="CK116" s="52"/>
      <c r="CL116" s="52"/>
      <c r="CM116" s="70"/>
      <c r="CN116" s="70"/>
      <c r="CO116" s="70"/>
      <c r="CP116" s="70"/>
      <c r="CQ116" s="70"/>
      <c r="CR116" s="70"/>
      <c r="CS116" s="70"/>
      <c r="CT116" s="70"/>
      <c r="CU116" s="70"/>
      <c r="CV116" s="70"/>
      <c r="CW116" s="70"/>
      <c r="CX116" s="70"/>
      <c r="CY116" s="70"/>
      <c r="CZ116" s="70"/>
      <c r="DA116" s="70"/>
      <c r="DB116" s="70"/>
      <c r="DC116" s="70"/>
      <c r="DD116" s="70"/>
      <c r="DE116" s="70"/>
      <c r="DF116" s="70"/>
      <c r="DG116" s="70"/>
      <c r="DH116" s="70"/>
      <c r="DI116" s="70"/>
      <c r="DJ116" s="70"/>
      <c r="DK116" s="70"/>
      <c r="DL116" s="70"/>
      <c r="DM116" s="70"/>
      <c r="DN116" s="70"/>
      <c r="DO116" s="70"/>
      <c r="DP116" s="70"/>
      <c r="DQ116" s="70"/>
      <c r="DR116" s="70"/>
      <c r="DS116" s="70"/>
      <c r="DT116" s="70"/>
      <c r="DU116" s="70"/>
      <c r="DV116" s="70"/>
      <c r="DW116" s="70"/>
      <c r="DX116" s="70"/>
      <c r="DY116" s="70"/>
      <c r="DZ116" s="70"/>
      <c r="EA116" s="70"/>
      <c r="EB116" s="70"/>
      <c r="EC116" s="70"/>
      <c r="ED116" s="70"/>
      <c r="EE116" s="70"/>
      <c r="EF116" s="70"/>
      <c r="EG116" s="70"/>
      <c r="EH116" s="70"/>
      <c r="EI116" s="70"/>
      <c r="EJ116" s="70"/>
      <c r="EK116" s="70"/>
      <c r="EL116" s="70"/>
    </row>
    <row r="117" spans="4:142" ht="17.25">
      <c r="D117" s="70"/>
      <c r="E117" s="70"/>
      <c r="F117" s="70"/>
      <c r="G117" s="70"/>
      <c r="H117" s="70"/>
      <c r="I117" s="70"/>
      <c r="J117" s="70"/>
      <c r="K117" s="70"/>
      <c r="L117" s="70"/>
      <c r="M117" s="138"/>
      <c r="N117" s="70"/>
      <c r="O117" s="70"/>
      <c r="P117" s="70"/>
      <c r="Q117" s="70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0"/>
      <c r="AI117" s="70"/>
      <c r="AJ117" s="70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70"/>
      <c r="AV117" s="70"/>
      <c r="AW117" s="70"/>
      <c r="AX117" s="70"/>
      <c r="AY117" s="70"/>
      <c r="AZ117" s="70"/>
      <c r="BA117" s="70"/>
      <c r="BB117" s="70"/>
      <c r="BC117" s="70"/>
      <c r="BD117" s="70"/>
      <c r="BE117" s="70"/>
      <c r="BF117" s="70"/>
      <c r="BG117" s="70"/>
      <c r="BH117" s="70"/>
      <c r="BI117" s="51"/>
      <c r="BJ117" s="51"/>
      <c r="BK117" s="51"/>
      <c r="BL117" s="52"/>
      <c r="BM117" s="52"/>
      <c r="BN117" s="52"/>
      <c r="BO117" s="52"/>
      <c r="BP117" s="52"/>
      <c r="BQ117" s="52"/>
      <c r="BR117" s="52"/>
      <c r="BS117" s="52"/>
      <c r="BT117" s="52"/>
      <c r="BU117" s="52"/>
      <c r="BV117" s="52"/>
      <c r="BW117" s="52"/>
      <c r="BX117" s="52"/>
      <c r="BY117" s="52"/>
      <c r="BZ117" s="52"/>
      <c r="CA117" s="52"/>
      <c r="CB117" s="52"/>
      <c r="CC117" s="52"/>
      <c r="CD117" s="52"/>
      <c r="CE117" s="52"/>
      <c r="CF117" s="52"/>
      <c r="CG117" s="52"/>
      <c r="CH117" s="139"/>
      <c r="CI117" s="52"/>
      <c r="CJ117" s="52"/>
      <c r="CK117" s="52"/>
      <c r="CL117" s="52"/>
      <c r="CM117" s="70"/>
      <c r="CN117" s="70"/>
      <c r="CO117" s="70"/>
      <c r="CP117" s="70"/>
      <c r="CQ117" s="70"/>
      <c r="CR117" s="70"/>
      <c r="CS117" s="70"/>
      <c r="CT117" s="70"/>
      <c r="CU117" s="70"/>
      <c r="CV117" s="70"/>
      <c r="CW117" s="70"/>
      <c r="CX117" s="70"/>
      <c r="CY117" s="70"/>
      <c r="CZ117" s="70"/>
      <c r="DA117" s="70"/>
      <c r="DB117" s="70"/>
      <c r="DC117" s="70"/>
      <c r="DD117" s="70"/>
      <c r="DE117" s="70"/>
      <c r="DF117" s="70"/>
      <c r="DG117" s="70"/>
      <c r="DH117" s="70"/>
      <c r="DI117" s="70"/>
      <c r="DJ117" s="70"/>
      <c r="DK117" s="70"/>
      <c r="DL117" s="70"/>
      <c r="DM117" s="70"/>
      <c r="DN117" s="70"/>
      <c r="DO117" s="70"/>
      <c r="DP117" s="70"/>
      <c r="DQ117" s="70"/>
      <c r="DR117" s="70"/>
      <c r="DS117" s="70"/>
      <c r="DT117" s="70"/>
      <c r="DU117" s="70"/>
      <c r="DV117" s="70"/>
      <c r="DW117" s="70"/>
      <c r="DX117" s="70"/>
      <c r="DY117" s="70"/>
      <c r="DZ117" s="70"/>
      <c r="EA117" s="70"/>
      <c r="EB117" s="70"/>
      <c r="EC117" s="70"/>
      <c r="ED117" s="70"/>
      <c r="EE117" s="70"/>
      <c r="EF117" s="70"/>
      <c r="EG117" s="70"/>
      <c r="EH117" s="70"/>
      <c r="EI117" s="70"/>
      <c r="EJ117" s="70"/>
      <c r="EK117" s="70"/>
      <c r="EL117" s="70"/>
    </row>
    <row r="118" spans="4:142" ht="17.25">
      <c r="D118" s="70"/>
      <c r="E118" s="70"/>
      <c r="F118" s="70"/>
      <c r="G118" s="70"/>
      <c r="H118" s="70"/>
      <c r="I118" s="70"/>
      <c r="J118" s="70"/>
      <c r="K118" s="70"/>
      <c r="L118" s="70"/>
      <c r="M118" s="138"/>
      <c r="N118" s="70"/>
      <c r="O118" s="70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  <c r="AE118" s="70"/>
      <c r="AF118" s="70"/>
      <c r="AG118" s="70"/>
      <c r="AH118" s="70"/>
      <c r="AI118" s="70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70"/>
      <c r="AV118" s="70"/>
      <c r="AW118" s="70"/>
      <c r="AX118" s="70"/>
      <c r="AY118" s="70"/>
      <c r="AZ118" s="70"/>
      <c r="BA118" s="70"/>
      <c r="BB118" s="70"/>
      <c r="BC118" s="70"/>
      <c r="BD118" s="70"/>
      <c r="BE118" s="70"/>
      <c r="BF118" s="70"/>
      <c r="BG118" s="70"/>
      <c r="BH118" s="70"/>
      <c r="BI118" s="52"/>
      <c r="BJ118" s="51"/>
      <c r="BK118" s="51"/>
      <c r="BL118" s="51"/>
      <c r="BM118" s="52"/>
      <c r="BN118" s="52"/>
      <c r="BO118" s="52"/>
      <c r="BP118" s="52"/>
      <c r="BQ118" s="52"/>
      <c r="BR118" s="52"/>
      <c r="BS118" s="52"/>
      <c r="BT118" s="52"/>
      <c r="BU118" s="52"/>
      <c r="BV118" s="52"/>
      <c r="BW118" s="52"/>
      <c r="BX118" s="52"/>
      <c r="BY118" s="52"/>
      <c r="BZ118" s="52"/>
      <c r="CA118" s="52"/>
      <c r="CB118" s="52"/>
      <c r="CC118" s="52"/>
      <c r="CD118" s="52"/>
      <c r="CE118" s="52"/>
      <c r="CF118" s="52"/>
      <c r="CG118" s="52"/>
      <c r="CH118" s="52"/>
      <c r="CI118" s="139"/>
      <c r="CJ118" s="52"/>
      <c r="CK118" s="52"/>
      <c r="CL118" s="52"/>
      <c r="CM118" s="70"/>
      <c r="CN118" s="70"/>
      <c r="CO118" s="70"/>
      <c r="CP118" s="70"/>
      <c r="CQ118" s="70"/>
      <c r="CR118" s="70"/>
      <c r="CS118" s="70"/>
      <c r="CT118" s="70"/>
      <c r="CU118" s="70"/>
      <c r="CV118" s="70"/>
      <c r="CW118" s="70"/>
      <c r="CX118" s="70"/>
      <c r="CY118" s="70"/>
      <c r="CZ118" s="70"/>
      <c r="DA118" s="70"/>
      <c r="DB118" s="70"/>
      <c r="DC118" s="70"/>
      <c r="DD118" s="70"/>
      <c r="DE118" s="70"/>
      <c r="DF118" s="70"/>
      <c r="DG118" s="70"/>
      <c r="DH118" s="70"/>
      <c r="DI118" s="70"/>
      <c r="DJ118" s="70"/>
      <c r="DK118" s="70"/>
      <c r="DL118" s="70"/>
      <c r="DM118" s="70"/>
      <c r="DN118" s="70"/>
      <c r="DO118" s="70"/>
      <c r="DP118" s="70"/>
      <c r="DQ118" s="70"/>
      <c r="DR118" s="70"/>
      <c r="DS118" s="70"/>
      <c r="DT118" s="70"/>
      <c r="DU118" s="70"/>
      <c r="DV118" s="70"/>
      <c r="DW118" s="70"/>
      <c r="DX118" s="70"/>
      <c r="DY118" s="70"/>
      <c r="DZ118" s="70"/>
      <c r="EA118" s="70"/>
      <c r="EB118" s="70"/>
      <c r="EC118" s="70"/>
      <c r="ED118" s="70"/>
      <c r="EE118" s="70"/>
      <c r="EF118" s="70"/>
      <c r="EG118" s="70"/>
      <c r="EH118" s="70"/>
      <c r="EI118" s="70"/>
      <c r="EJ118" s="70"/>
      <c r="EK118" s="70"/>
      <c r="EL118" s="70"/>
    </row>
    <row r="119" spans="4:142" ht="17.25">
      <c r="D119" s="70"/>
      <c r="E119" s="70"/>
      <c r="F119" s="70"/>
      <c r="G119" s="70"/>
      <c r="H119" s="70"/>
      <c r="I119" s="70"/>
      <c r="J119" s="70"/>
      <c r="K119" s="70"/>
      <c r="L119" s="70"/>
      <c r="M119" s="138"/>
      <c r="N119" s="70"/>
      <c r="O119" s="70"/>
      <c r="P119" s="70"/>
      <c r="Q119" s="70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70"/>
      <c r="AV119" s="70"/>
      <c r="AW119" s="70"/>
      <c r="AX119" s="70"/>
      <c r="AY119" s="70"/>
      <c r="AZ119" s="70"/>
      <c r="BA119" s="70"/>
      <c r="BB119" s="70"/>
      <c r="BC119" s="70"/>
      <c r="BD119" s="70"/>
      <c r="BE119" s="70"/>
      <c r="BF119" s="70"/>
      <c r="BG119" s="70"/>
      <c r="BH119" s="70"/>
      <c r="BI119" s="52"/>
      <c r="BJ119" s="52"/>
      <c r="BK119" s="51"/>
      <c r="BL119" s="51"/>
      <c r="BM119" s="51"/>
      <c r="BN119" s="52"/>
      <c r="BO119" s="52"/>
      <c r="BP119" s="52"/>
      <c r="BQ119" s="52"/>
      <c r="BR119" s="52"/>
      <c r="BS119" s="52"/>
      <c r="BT119" s="52"/>
      <c r="BU119" s="52"/>
      <c r="BV119" s="52"/>
      <c r="BW119" s="52"/>
      <c r="BX119" s="52"/>
      <c r="BY119" s="52"/>
      <c r="BZ119" s="52"/>
      <c r="CA119" s="52"/>
      <c r="CB119" s="52"/>
      <c r="CC119" s="52"/>
      <c r="CD119" s="52"/>
      <c r="CE119" s="52"/>
      <c r="CF119" s="52"/>
      <c r="CG119" s="52"/>
      <c r="CH119" s="52"/>
      <c r="CI119" s="52"/>
      <c r="CJ119" s="139"/>
      <c r="CK119" s="52"/>
      <c r="CL119" s="52"/>
      <c r="CM119" s="70"/>
      <c r="CN119" s="70"/>
      <c r="CO119" s="70"/>
      <c r="CP119" s="70"/>
      <c r="CQ119" s="70"/>
      <c r="CR119" s="70"/>
      <c r="CS119" s="70"/>
      <c r="CT119" s="70"/>
      <c r="CU119" s="70"/>
      <c r="CV119" s="70"/>
      <c r="CW119" s="70"/>
      <c r="CX119" s="70"/>
      <c r="CY119" s="70"/>
      <c r="CZ119" s="70"/>
      <c r="DA119" s="70"/>
      <c r="DB119" s="70"/>
      <c r="DC119" s="70"/>
      <c r="DD119" s="70"/>
      <c r="DE119" s="70"/>
      <c r="DF119" s="70"/>
      <c r="DG119" s="70"/>
      <c r="DH119" s="70"/>
      <c r="DI119" s="70"/>
      <c r="DJ119" s="70"/>
      <c r="DK119" s="70"/>
      <c r="DL119" s="70"/>
      <c r="DM119" s="70"/>
      <c r="DN119" s="70"/>
      <c r="DO119" s="70"/>
      <c r="DP119" s="70"/>
      <c r="DQ119" s="70"/>
      <c r="DR119" s="70"/>
      <c r="DS119" s="70"/>
      <c r="DT119" s="70"/>
      <c r="DU119" s="70"/>
      <c r="DV119" s="70"/>
      <c r="DW119" s="70"/>
      <c r="DX119" s="70"/>
      <c r="DY119" s="70"/>
      <c r="DZ119" s="70"/>
      <c r="EA119" s="70"/>
      <c r="EB119" s="70"/>
      <c r="EC119" s="70"/>
      <c r="ED119" s="70"/>
      <c r="EE119" s="70"/>
      <c r="EF119" s="70"/>
      <c r="EG119" s="70"/>
      <c r="EH119" s="70"/>
      <c r="EI119" s="70"/>
      <c r="EJ119" s="70"/>
      <c r="EK119" s="70"/>
      <c r="EL119" s="70"/>
    </row>
    <row r="120" spans="4:142" ht="17.25">
      <c r="D120" s="70"/>
      <c r="E120" s="70"/>
      <c r="F120" s="70"/>
      <c r="G120" s="70"/>
      <c r="H120" s="70"/>
      <c r="I120" s="70"/>
      <c r="J120" s="70"/>
      <c r="K120" s="70"/>
      <c r="L120" s="70"/>
      <c r="M120" s="138"/>
      <c r="N120" s="70"/>
      <c r="O120" s="70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  <c r="AE120" s="70"/>
      <c r="AF120" s="70"/>
      <c r="AG120" s="70"/>
      <c r="AH120" s="70"/>
      <c r="AI120" s="70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70"/>
      <c r="AV120" s="70"/>
      <c r="AW120" s="70"/>
      <c r="AX120" s="70"/>
      <c r="AY120" s="70"/>
      <c r="AZ120" s="70"/>
      <c r="BA120" s="70"/>
      <c r="BB120" s="70"/>
      <c r="BC120" s="70"/>
      <c r="BD120" s="70"/>
      <c r="BE120" s="70"/>
      <c r="BF120" s="70"/>
      <c r="BG120" s="70"/>
      <c r="BH120" s="70"/>
      <c r="BI120" s="52"/>
      <c r="BJ120" s="52"/>
      <c r="BK120" s="52"/>
      <c r="BL120" s="51"/>
      <c r="BM120" s="51"/>
      <c r="BN120" s="51"/>
      <c r="BO120" s="52"/>
      <c r="BP120" s="52"/>
      <c r="BQ120" s="52"/>
      <c r="BR120" s="52"/>
      <c r="BS120" s="52"/>
      <c r="BT120" s="52"/>
      <c r="BU120" s="52"/>
      <c r="BV120" s="52"/>
      <c r="BW120" s="52"/>
      <c r="BX120" s="52"/>
      <c r="BY120" s="52"/>
      <c r="BZ120" s="52"/>
      <c r="CA120" s="52"/>
      <c r="CB120" s="52"/>
      <c r="CC120" s="52"/>
      <c r="CD120" s="52"/>
      <c r="CE120" s="52"/>
      <c r="CF120" s="52"/>
      <c r="CG120" s="52"/>
      <c r="CH120" s="52"/>
      <c r="CI120" s="52"/>
      <c r="CJ120" s="52"/>
      <c r="CK120" s="139"/>
      <c r="CL120" s="52"/>
      <c r="CM120" s="70"/>
      <c r="CN120" s="70"/>
      <c r="CO120" s="70"/>
      <c r="CP120" s="70"/>
      <c r="CQ120" s="70"/>
      <c r="CR120" s="70"/>
      <c r="CS120" s="70"/>
      <c r="CT120" s="70"/>
      <c r="CU120" s="70"/>
      <c r="CV120" s="70"/>
      <c r="CW120" s="70"/>
      <c r="CX120" s="70"/>
      <c r="CY120" s="70"/>
      <c r="CZ120" s="70"/>
      <c r="DA120" s="70"/>
      <c r="DB120" s="70"/>
      <c r="DC120" s="70"/>
      <c r="DD120" s="70"/>
      <c r="DE120" s="70"/>
      <c r="DF120" s="70"/>
      <c r="DG120" s="70"/>
      <c r="DH120" s="70"/>
      <c r="DI120" s="70"/>
      <c r="DJ120" s="70"/>
      <c r="DK120" s="70"/>
      <c r="DL120" s="70"/>
      <c r="DM120" s="70"/>
      <c r="DN120" s="70"/>
      <c r="DO120" s="70"/>
      <c r="DP120" s="70"/>
      <c r="DQ120" s="70"/>
      <c r="DR120" s="70"/>
      <c r="DS120" s="70"/>
      <c r="DT120" s="70"/>
      <c r="DU120" s="70"/>
      <c r="DV120" s="70"/>
      <c r="DW120" s="70"/>
      <c r="DX120" s="70"/>
      <c r="DY120" s="70"/>
      <c r="DZ120" s="70"/>
      <c r="EA120" s="70"/>
      <c r="EB120" s="70"/>
      <c r="EC120" s="70"/>
      <c r="ED120" s="70"/>
      <c r="EE120" s="70"/>
      <c r="EF120" s="70"/>
      <c r="EG120" s="70"/>
      <c r="EH120" s="70"/>
      <c r="EI120" s="70"/>
      <c r="EJ120" s="70"/>
      <c r="EK120" s="70"/>
      <c r="EL120" s="70"/>
    </row>
    <row r="121" spans="4:142" ht="17.25">
      <c r="D121" s="70"/>
      <c r="E121" s="70"/>
      <c r="F121" s="70"/>
      <c r="G121" s="70"/>
      <c r="H121" s="70"/>
      <c r="I121" s="70"/>
      <c r="J121" s="70"/>
      <c r="K121" s="70"/>
      <c r="L121" s="70"/>
      <c r="M121" s="138"/>
      <c r="N121" s="70"/>
      <c r="O121" s="70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70"/>
      <c r="BC121" s="70"/>
      <c r="BD121" s="70"/>
      <c r="BE121" s="70"/>
      <c r="BF121" s="70"/>
      <c r="BG121" s="70"/>
      <c r="BH121" s="70"/>
      <c r="BI121" s="52"/>
      <c r="BJ121" s="51"/>
      <c r="BK121" s="52"/>
      <c r="BL121" s="52"/>
      <c r="BM121" s="51"/>
      <c r="BN121" s="51"/>
      <c r="BO121" s="51"/>
      <c r="BP121" s="52"/>
      <c r="BQ121" s="52"/>
      <c r="BR121" s="52"/>
      <c r="BS121" s="52"/>
      <c r="BT121" s="52"/>
      <c r="BU121" s="52"/>
      <c r="BV121" s="52"/>
      <c r="BW121" s="52"/>
      <c r="BX121" s="52"/>
      <c r="BY121" s="52"/>
      <c r="BZ121" s="52"/>
      <c r="CA121" s="52"/>
      <c r="CB121" s="52"/>
      <c r="CC121" s="52"/>
      <c r="CD121" s="52"/>
      <c r="CE121" s="52"/>
      <c r="CF121" s="52"/>
      <c r="CG121" s="52"/>
      <c r="CH121" s="52"/>
      <c r="CI121" s="52"/>
      <c r="CJ121" s="52"/>
      <c r="CK121" s="52"/>
      <c r="CL121" s="139"/>
      <c r="CM121" s="70"/>
      <c r="CN121" s="70"/>
      <c r="CO121" s="70"/>
      <c r="CP121" s="70"/>
      <c r="CQ121" s="70"/>
      <c r="CR121" s="70"/>
      <c r="CS121" s="70"/>
      <c r="CT121" s="70"/>
      <c r="CU121" s="70"/>
      <c r="CV121" s="70"/>
      <c r="CW121" s="70"/>
      <c r="CX121" s="70"/>
      <c r="CY121" s="70"/>
      <c r="CZ121" s="70"/>
      <c r="DA121" s="70"/>
      <c r="DB121" s="70"/>
      <c r="DC121" s="70"/>
      <c r="DD121" s="70"/>
      <c r="DE121" s="70"/>
      <c r="DF121" s="70"/>
      <c r="DG121" s="70"/>
      <c r="DH121" s="70"/>
      <c r="DI121" s="70"/>
      <c r="DJ121" s="70"/>
      <c r="DK121" s="70"/>
      <c r="DL121" s="70"/>
      <c r="DM121" s="70"/>
      <c r="DN121" s="70"/>
      <c r="DO121" s="70"/>
      <c r="DP121" s="70"/>
      <c r="DQ121" s="70"/>
      <c r="DR121" s="70"/>
      <c r="DS121" s="70"/>
      <c r="DT121" s="70"/>
      <c r="DU121" s="70"/>
      <c r="DV121" s="70"/>
      <c r="DW121" s="70"/>
      <c r="DX121" s="70"/>
      <c r="DY121" s="70"/>
      <c r="DZ121" s="70"/>
      <c r="EA121" s="70"/>
      <c r="EB121" s="70"/>
      <c r="EC121" s="70"/>
      <c r="ED121" s="70"/>
      <c r="EE121" s="70"/>
      <c r="EF121" s="70"/>
      <c r="EG121" s="70"/>
      <c r="EH121" s="70"/>
      <c r="EI121" s="70"/>
      <c r="EJ121" s="70"/>
      <c r="EK121" s="70"/>
      <c r="EL121" s="70"/>
    </row>
    <row r="122" spans="4:142" ht="17.25">
      <c r="D122" s="70"/>
      <c r="E122" s="70"/>
      <c r="F122" s="70"/>
      <c r="G122" s="70"/>
      <c r="H122" s="70"/>
      <c r="I122" s="70"/>
      <c r="J122" s="70"/>
      <c r="K122" s="70"/>
      <c r="L122" s="70"/>
      <c r="M122" s="138"/>
      <c r="N122" s="70"/>
      <c r="O122" s="70"/>
      <c r="P122" s="70"/>
      <c r="Q122" s="70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70"/>
      <c r="BB122" s="70"/>
      <c r="BC122" s="70"/>
      <c r="BD122" s="70"/>
      <c r="BE122" s="70"/>
      <c r="BF122" s="70"/>
      <c r="BG122" s="70"/>
      <c r="BH122" s="70"/>
      <c r="BI122" s="139"/>
      <c r="BJ122" s="51"/>
      <c r="BK122" s="52"/>
      <c r="BL122" s="52"/>
      <c r="BM122" s="52"/>
      <c r="BN122" s="51"/>
      <c r="BO122" s="51"/>
      <c r="BP122" s="52"/>
      <c r="BQ122" s="52"/>
      <c r="BR122" s="52"/>
      <c r="BS122" s="52"/>
      <c r="BT122" s="52"/>
      <c r="BU122" s="52"/>
      <c r="BV122" s="52"/>
      <c r="BW122" s="52"/>
      <c r="BX122" s="52"/>
      <c r="BY122" s="52"/>
      <c r="BZ122" s="52"/>
      <c r="CA122" s="52"/>
      <c r="CB122" s="52"/>
      <c r="CC122" s="52"/>
      <c r="CD122" s="52"/>
      <c r="CE122" s="52"/>
      <c r="CF122" s="52"/>
      <c r="CG122" s="52"/>
      <c r="CH122" s="52"/>
      <c r="CI122" s="52"/>
      <c r="CJ122" s="52"/>
      <c r="CK122" s="52"/>
      <c r="CL122" s="52"/>
      <c r="CM122" s="70"/>
      <c r="CN122" s="70"/>
      <c r="CO122" s="70"/>
      <c r="CP122" s="70"/>
      <c r="CQ122" s="70"/>
      <c r="CR122" s="70"/>
      <c r="CS122" s="70"/>
      <c r="CT122" s="70"/>
      <c r="CU122" s="70"/>
      <c r="CV122" s="70"/>
      <c r="CW122" s="70"/>
      <c r="CX122" s="70"/>
      <c r="CY122" s="70"/>
      <c r="CZ122" s="70"/>
      <c r="DA122" s="70"/>
      <c r="DB122" s="70"/>
      <c r="DC122" s="70"/>
      <c r="DD122" s="70"/>
      <c r="DE122" s="70"/>
      <c r="DF122" s="70"/>
      <c r="DG122" s="70"/>
      <c r="DH122" s="70"/>
      <c r="DI122" s="70"/>
      <c r="DJ122" s="70"/>
      <c r="DK122" s="70"/>
      <c r="DL122" s="70"/>
      <c r="DM122" s="70"/>
      <c r="DN122" s="70"/>
      <c r="DO122" s="70"/>
      <c r="DP122" s="70"/>
      <c r="DQ122" s="70"/>
      <c r="DR122" s="70"/>
      <c r="DS122" s="70"/>
      <c r="DT122" s="70"/>
      <c r="DU122" s="70"/>
      <c r="DV122" s="70"/>
      <c r="DW122" s="70"/>
      <c r="DX122" s="70"/>
      <c r="DY122" s="70"/>
      <c r="DZ122" s="70"/>
      <c r="EA122" s="70"/>
      <c r="EB122" s="70"/>
      <c r="EC122" s="70"/>
      <c r="ED122" s="70"/>
      <c r="EE122" s="70"/>
      <c r="EF122" s="70"/>
      <c r="EG122" s="70"/>
      <c r="EH122" s="70"/>
      <c r="EI122" s="70"/>
      <c r="EJ122" s="70"/>
      <c r="EK122" s="70"/>
      <c r="EL122" s="70"/>
    </row>
    <row r="123" spans="4:142" ht="17.25">
      <c r="D123" s="70"/>
      <c r="E123" s="70"/>
      <c r="F123" s="70"/>
      <c r="G123" s="70"/>
      <c r="H123" s="70"/>
      <c r="I123" s="70"/>
      <c r="J123" s="70"/>
      <c r="K123" s="70"/>
      <c r="L123" s="70"/>
      <c r="M123" s="138"/>
      <c r="N123" s="70"/>
      <c r="O123" s="70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70"/>
      <c r="BB123" s="70"/>
      <c r="BC123" s="70"/>
      <c r="BD123" s="70"/>
      <c r="BE123" s="70"/>
      <c r="BF123" s="70"/>
      <c r="BG123" s="70"/>
      <c r="BH123" s="70"/>
      <c r="BI123" s="52"/>
      <c r="BJ123" s="139"/>
      <c r="BK123" s="52"/>
      <c r="BL123" s="52"/>
      <c r="BM123" s="52"/>
      <c r="BN123" s="52"/>
      <c r="BO123" s="51"/>
      <c r="BP123" s="52"/>
      <c r="BQ123" s="52"/>
      <c r="BR123" s="52"/>
      <c r="BS123" s="52"/>
      <c r="BT123" s="52"/>
      <c r="BU123" s="52"/>
      <c r="BV123" s="52"/>
      <c r="BW123" s="52"/>
      <c r="BX123" s="52"/>
      <c r="BY123" s="52"/>
      <c r="BZ123" s="52"/>
      <c r="CA123" s="52"/>
      <c r="CB123" s="52"/>
      <c r="CC123" s="52"/>
      <c r="CD123" s="52"/>
      <c r="CE123" s="52"/>
      <c r="CF123" s="52"/>
      <c r="CG123" s="52"/>
      <c r="CH123" s="52"/>
      <c r="CI123" s="52"/>
      <c r="CJ123" s="52"/>
      <c r="CK123" s="52"/>
      <c r="CL123" s="52"/>
      <c r="CM123" s="70"/>
      <c r="CN123" s="70"/>
      <c r="CO123" s="70"/>
      <c r="CP123" s="70"/>
      <c r="CQ123" s="70"/>
      <c r="CR123" s="70"/>
      <c r="CS123" s="70"/>
      <c r="CT123" s="70"/>
      <c r="CU123" s="70"/>
      <c r="CV123" s="70"/>
      <c r="CW123" s="70"/>
      <c r="CX123" s="70"/>
      <c r="CY123" s="70"/>
      <c r="CZ123" s="70"/>
      <c r="DA123" s="70"/>
      <c r="DB123" s="70"/>
      <c r="DC123" s="70"/>
      <c r="DD123" s="70"/>
      <c r="DE123" s="70"/>
      <c r="DF123" s="70"/>
      <c r="DG123" s="70"/>
      <c r="DH123" s="70"/>
      <c r="DI123" s="70"/>
      <c r="DJ123" s="70"/>
      <c r="DK123" s="70"/>
      <c r="DL123" s="70"/>
      <c r="DM123" s="70"/>
      <c r="DN123" s="70"/>
      <c r="DO123" s="70"/>
      <c r="DP123" s="70"/>
      <c r="DQ123" s="70"/>
      <c r="DR123" s="70"/>
      <c r="DS123" s="70"/>
      <c r="DT123" s="70"/>
      <c r="DU123" s="70"/>
      <c r="DV123" s="70"/>
      <c r="DW123" s="70"/>
      <c r="DX123" s="70"/>
      <c r="DY123" s="70"/>
      <c r="DZ123" s="70"/>
      <c r="EA123" s="70"/>
      <c r="EB123" s="70"/>
      <c r="EC123" s="70"/>
      <c r="ED123" s="70"/>
      <c r="EE123" s="70"/>
      <c r="EF123" s="70"/>
      <c r="EG123" s="70"/>
      <c r="EH123" s="70"/>
      <c r="EI123" s="70"/>
      <c r="EJ123" s="70"/>
      <c r="EK123" s="70"/>
      <c r="EL123" s="70"/>
    </row>
    <row r="124" spans="4:142" ht="17.25">
      <c r="D124" s="70"/>
      <c r="E124" s="70"/>
      <c r="F124" s="70"/>
      <c r="G124" s="70"/>
      <c r="H124" s="70"/>
      <c r="I124" s="70"/>
      <c r="J124" s="70"/>
      <c r="K124" s="70"/>
      <c r="L124" s="70"/>
      <c r="M124" s="138"/>
      <c r="N124" s="70"/>
      <c r="O124" s="70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  <c r="BH124" s="70"/>
      <c r="BI124" s="52"/>
      <c r="BJ124" s="52"/>
      <c r="BK124" s="139"/>
      <c r="BL124" s="52"/>
      <c r="BM124" s="52"/>
      <c r="BN124" s="52"/>
      <c r="BO124" s="52"/>
      <c r="BP124" s="52"/>
      <c r="BQ124" s="52"/>
      <c r="BR124" s="52"/>
      <c r="BS124" s="52"/>
      <c r="BT124" s="52"/>
      <c r="BU124" s="52"/>
      <c r="BV124" s="52"/>
      <c r="BW124" s="52"/>
      <c r="BX124" s="52"/>
      <c r="BY124" s="52"/>
      <c r="BZ124" s="52"/>
      <c r="CA124" s="52"/>
      <c r="CB124" s="52"/>
      <c r="CC124" s="52"/>
      <c r="CD124" s="52"/>
      <c r="CE124" s="52"/>
      <c r="CF124" s="52"/>
      <c r="CG124" s="51"/>
      <c r="CH124" s="52"/>
      <c r="CI124" s="52"/>
      <c r="CJ124" s="52"/>
      <c r="CK124" s="52"/>
      <c r="CL124" s="52"/>
      <c r="CM124" s="70"/>
      <c r="CN124" s="70"/>
      <c r="CO124" s="70"/>
      <c r="CP124" s="70"/>
      <c r="CQ124" s="70"/>
      <c r="CR124" s="70"/>
      <c r="CS124" s="70"/>
      <c r="CT124" s="70"/>
      <c r="CU124" s="70"/>
      <c r="CV124" s="70"/>
      <c r="CW124" s="70"/>
      <c r="CX124" s="70"/>
      <c r="CY124" s="70"/>
      <c r="CZ124" s="70"/>
      <c r="DA124" s="70"/>
      <c r="DB124" s="70"/>
      <c r="DC124" s="70"/>
      <c r="DD124" s="70"/>
      <c r="DE124" s="70"/>
      <c r="DF124" s="70"/>
      <c r="DG124" s="70"/>
      <c r="DH124" s="70"/>
      <c r="DI124" s="70"/>
      <c r="DJ124" s="70"/>
      <c r="DK124" s="70"/>
      <c r="DL124" s="70"/>
      <c r="DM124" s="70"/>
      <c r="DN124" s="70"/>
      <c r="DO124" s="70"/>
      <c r="DP124" s="70"/>
      <c r="DQ124" s="70"/>
      <c r="DR124" s="70"/>
      <c r="DS124" s="70"/>
      <c r="DT124" s="70"/>
      <c r="DU124" s="70"/>
      <c r="DV124" s="70"/>
      <c r="DW124" s="70"/>
      <c r="DX124" s="70"/>
      <c r="DY124" s="70"/>
      <c r="DZ124" s="70"/>
      <c r="EA124" s="70"/>
      <c r="EB124" s="70"/>
      <c r="EC124" s="70"/>
      <c r="ED124" s="70"/>
      <c r="EE124" s="70"/>
      <c r="EF124" s="70"/>
      <c r="EG124" s="70"/>
      <c r="EH124" s="70"/>
      <c r="EI124" s="70"/>
      <c r="EJ124" s="70"/>
      <c r="EK124" s="70"/>
      <c r="EL124" s="70"/>
    </row>
    <row r="125" spans="4:142" ht="17.25">
      <c r="D125" s="70"/>
      <c r="E125" s="70"/>
      <c r="F125" s="70"/>
      <c r="G125" s="70"/>
      <c r="H125" s="70"/>
      <c r="I125" s="70"/>
      <c r="J125" s="70"/>
      <c r="K125" s="70"/>
      <c r="L125" s="70"/>
      <c r="M125" s="138"/>
      <c r="N125" s="70"/>
      <c r="O125" s="70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70"/>
      <c r="BC125" s="70"/>
      <c r="BD125" s="70"/>
      <c r="BE125" s="70"/>
      <c r="BF125" s="70"/>
      <c r="BG125" s="70"/>
      <c r="BH125" s="70"/>
      <c r="BI125" s="52"/>
      <c r="BJ125" s="52"/>
      <c r="BK125" s="52"/>
      <c r="BL125" s="52"/>
      <c r="BM125" s="52"/>
      <c r="BN125" s="51"/>
      <c r="BO125" s="52"/>
      <c r="BP125" s="52"/>
      <c r="BQ125" s="52"/>
      <c r="BR125" s="52"/>
      <c r="BS125" s="52"/>
      <c r="BT125" s="52"/>
      <c r="BU125" s="52"/>
      <c r="BV125" s="52"/>
      <c r="BW125" s="52"/>
      <c r="BX125" s="52"/>
      <c r="BY125" s="52"/>
      <c r="BZ125" s="52"/>
      <c r="CA125" s="52"/>
      <c r="CB125" s="52"/>
      <c r="CC125" s="52"/>
      <c r="CD125" s="52"/>
      <c r="CE125" s="52"/>
      <c r="CF125" s="52"/>
      <c r="CG125" s="52"/>
      <c r="CH125" s="52"/>
      <c r="CI125" s="52"/>
      <c r="CJ125" s="52"/>
      <c r="CK125" s="52"/>
      <c r="CL125" s="52"/>
      <c r="CM125" s="70"/>
      <c r="CN125" s="70"/>
      <c r="CO125" s="70"/>
      <c r="CP125" s="70"/>
      <c r="CQ125" s="70"/>
      <c r="CR125" s="70"/>
      <c r="CS125" s="70"/>
      <c r="CT125" s="70"/>
      <c r="CU125" s="70"/>
      <c r="CV125" s="70"/>
      <c r="CW125" s="70"/>
      <c r="CX125" s="70"/>
      <c r="CY125" s="70"/>
      <c r="CZ125" s="70"/>
      <c r="DA125" s="70"/>
      <c r="DB125" s="70"/>
      <c r="DC125" s="70"/>
      <c r="DD125" s="70"/>
      <c r="DE125" s="70"/>
      <c r="DF125" s="70"/>
      <c r="DG125" s="70"/>
      <c r="DH125" s="70"/>
      <c r="DI125" s="70"/>
      <c r="DJ125" s="70"/>
      <c r="DK125" s="70"/>
      <c r="DL125" s="70"/>
      <c r="DM125" s="70"/>
      <c r="DN125" s="70"/>
      <c r="DO125" s="70"/>
      <c r="DP125" s="70"/>
      <c r="DQ125" s="70"/>
      <c r="DR125" s="70"/>
      <c r="DS125" s="70"/>
      <c r="DT125" s="70"/>
      <c r="DU125" s="70"/>
      <c r="DV125" s="70"/>
      <c r="DW125" s="70"/>
      <c r="DX125" s="70"/>
      <c r="DY125" s="70"/>
      <c r="DZ125" s="70"/>
      <c r="EA125" s="70"/>
      <c r="EB125" s="70"/>
      <c r="EC125" s="70"/>
      <c r="ED125" s="70"/>
      <c r="EE125" s="70"/>
      <c r="EF125" s="70"/>
      <c r="EG125" s="70"/>
      <c r="EH125" s="70"/>
      <c r="EI125" s="70"/>
      <c r="EJ125" s="70"/>
      <c r="EK125" s="70"/>
      <c r="EL125" s="70"/>
    </row>
    <row r="126" spans="4:142" ht="17.25">
      <c r="D126" s="70"/>
      <c r="E126" s="70"/>
      <c r="F126" s="70"/>
      <c r="G126" s="70"/>
      <c r="H126" s="70"/>
      <c r="I126" s="70"/>
      <c r="J126" s="70"/>
      <c r="K126" s="70"/>
      <c r="L126" s="70"/>
      <c r="M126" s="138"/>
      <c r="N126" s="70"/>
      <c r="O126" s="70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70"/>
      <c r="BB126" s="70"/>
      <c r="BC126" s="70"/>
      <c r="BD126" s="70"/>
      <c r="BE126" s="70"/>
      <c r="BF126" s="70"/>
      <c r="BG126" s="70"/>
      <c r="BH126" s="70"/>
      <c r="BI126" s="52"/>
      <c r="BJ126" s="52"/>
      <c r="BK126" s="52"/>
      <c r="BL126" s="52"/>
      <c r="BM126" s="52"/>
      <c r="BN126" s="51"/>
      <c r="BO126" s="51"/>
      <c r="BP126" s="52"/>
      <c r="BQ126" s="52"/>
      <c r="BR126" s="52"/>
      <c r="BS126" s="52"/>
      <c r="BT126" s="52"/>
      <c r="BU126" s="52"/>
      <c r="BV126" s="52"/>
      <c r="BW126" s="52"/>
      <c r="BX126" s="52"/>
      <c r="BY126" s="52"/>
      <c r="BZ126" s="52"/>
      <c r="CA126" s="52"/>
      <c r="CB126" s="52"/>
      <c r="CC126" s="51"/>
      <c r="CD126" s="52"/>
      <c r="CE126" s="52"/>
      <c r="CF126" s="52"/>
      <c r="CG126" s="52"/>
      <c r="CH126" s="52"/>
      <c r="CI126" s="51"/>
      <c r="CJ126" s="52"/>
      <c r="CK126" s="52"/>
      <c r="CL126" s="52"/>
      <c r="CM126" s="70"/>
      <c r="CN126" s="70"/>
      <c r="CO126" s="70"/>
      <c r="CP126" s="70"/>
      <c r="CQ126" s="70"/>
      <c r="CR126" s="70"/>
      <c r="CS126" s="70"/>
      <c r="CT126" s="70"/>
      <c r="CU126" s="70"/>
      <c r="CV126" s="70"/>
      <c r="CW126" s="70"/>
      <c r="CX126" s="70"/>
      <c r="CY126" s="70"/>
      <c r="CZ126" s="70"/>
      <c r="DA126" s="70"/>
      <c r="DB126" s="70"/>
      <c r="DC126" s="70"/>
      <c r="DD126" s="70"/>
      <c r="DE126" s="70"/>
      <c r="DF126" s="70"/>
      <c r="DG126" s="70"/>
      <c r="DH126" s="70"/>
      <c r="DI126" s="70"/>
      <c r="DJ126" s="70"/>
      <c r="DK126" s="70"/>
      <c r="DL126" s="70"/>
      <c r="DM126" s="70"/>
      <c r="DN126" s="70"/>
      <c r="DO126" s="70"/>
      <c r="DP126" s="70"/>
      <c r="DQ126" s="70"/>
      <c r="DR126" s="70"/>
      <c r="DS126" s="70"/>
      <c r="DT126" s="70"/>
      <c r="DU126" s="70"/>
      <c r="DV126" s="70"/>
      <c r="DW126" s="70"/>
      <c r="DX126" s="70"/>
      <c r="DY126" s="70"/>
      <c r="DZ126" s="70"/>
      <c r="EA126" s="70"/>
      <c r="EB126" s="70"/>
      <c r="EC126" s="70"/>
      <c r="ED126" s="70"/>
      <c r="EE126" s="70"/>
      <c r="EF126" s="70"/>
      <c r="EG126" s="70"/>
      <c r="EH126" s="70"/>
      <c r="EI126" s="70"/>
      <c r="EJ126" s="70"/>
      <c r="EK126" s="70"/>
      <c r="EL126" s="70"/>
    </row>
    <row r="127" spans="4:142" ht="17.25">
      <c r="D127" s="70"/>
      <c r="E127" s="70"/>
      <c r="F127" s="70"/>
      <c r="G127" s="70"/>
      <c r="H127" s="70"/>
      <c r="I127" s="70"/>
      <c r="J127" s="70"/>
      <c r="K127" s="70"/>
      <c r="L127" s="70"/>
      <c r="M127" s="138"/>
      <c r="N127" s="70"/>
      <c r="O127" s="70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70"/>
      <c r="BC127" s="70"/>
      <c r="BD127" s="70"/>
      <c r="BE127" s="70"/>
      <c r="BF127" s="70"/>
      <c r="BG127" s="70"/>
      <c r="BH127" s="70"/>
      <c r="BI127" s="51"/>
      <c r="BJ127" s="52"/>
      <c r="BK127" s="52"/>
      <c r="BL127" s="52"/>
      <c r="BM127" s="52"/>
      <c r="BN127" s="139"/>
      <c r="BO127" s="51"/>
      <c r="BP127" s="52"/>
      <c r="BQ127" s="52"/>
      <c r="BR127" s="52"/>
      <c r="BS127" s="52"/>
      <c r="BT127" s="52"/>
      <c r="BU127" s="52"/>
      <c r="BV127" s="52"/>
      <c r="BW127" s="52"/>
      <c r="BX127" s="52"/>
      <c r="BY127" s="52"/>
      <c r="BZ127" s="52"/>
      <c r="CA127" s="52"/>
      <c r="CB127" s="52"/>
      <c r="CC127" s="52"/>
      <c r="CD127" s="51"/>
      <c r="CE127" s="52"/>
      <c r="CF127" s="52"/>
      <c r="CG127" s="52"/>
      <c r="CH127" s="52"/>
      <c r="CI127" s="52"/>
      <c r="CJ127" s="51"/>
      <c r="CK127" s="52"/>
      <c r="CL127" s="52"/>
      <c r="CM127" s="70"/>
      <c r="CN127" s="70"/>
      <c r="CO127" s="70"/>
      <c r="CP127" s="70"/>
      <c r="CQ127" s="70"/>
      <c r="CR127" s="70"/>
      <c r="CS127" s="70"/>
      <c r="CT127" s="70"/>
      <c r="CU127" s="70"/>
      <c r="CV127" s="70"/>
      <c r="CW127" s="70"/>
      <c r="CX127" s="70"/>
      <c r="CY127" s="70"/>
      <c r="CZ127" s="70"/>
      <c r="DA127" s="70"/>
      <c r="DB127" s="70"/>
      <c r="DC127" s="70"/>
      <c r="DD127" s="70"/>
      <c r="DE127" s="70"/>
      <c r="DF127" s="70"/>
      <c r="DG127" s="70"/>
      <c r="DH127" s="70"/>
      <c r="DI127" s="70"/>
      <c r="DJ127" s="70"/>
      <c r="DK127" s="70"/>
      <c r="DL127" s="70"/>
      <c r="DM127" s="70"/>
      <c r="DN127" s="70"/>
      <c r="DO127" s="70"/>
      <c r="DP127" s="70"/>
      <c r="DQ127" s="70"/>
      <c r="DR127" s="70"/>
      <c r="DS127" s="70"/>
      <c r="DT127" s="70"/>
      <c r="DU127" s="70"/>
      <c r="DV127" s="70"/>
      <c r="DW127" s="70"/>
      <c r="DX127" s="70"/>
      <c r="DY127" s="70"/>
      <c r="DZ127" s="70"/>
      <c r="EA127" s="70"/>
      <c r="EB127" s="70"/>
      <c r="EC127" s="70"/>
      <c r="ED127" s="70"/>
      <c r="EE127" s="70"/>
      <c r="EF127" s="70"/>
      <c r="EG127" s="70"/>
      <c r="EH127" s="70"/>
      <c r="EI127" s="70"/>
      <c r="EJ127" s="70"/>
      <c r="EK127" s="70"/>
      <c r="EL127" s="70"/>
    </row>
    <row r="128" spans="4:142" ht="17.25">
      <c r="D128" s="70"/>
      <c r="E128" s="70"/>
      <c r="F128" s="70"/>
      <c r="G128" s="70"/>
      <c r="H128" s="70"/>
      <c r="I128" s="70"/>
      <c r="J128" s="70"/>
      <c r="K128" s="70"/>
      <c r="L128" s="70"/>
      <c r="M128" s="138"/>
      <c r="N128" s="70"/>
      <c r="O128" s="70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52"/>
      <c r="BJ128" s="51"/>
      <c r="BK128" s="52"/>
      <c r="BL128" s="52"/>
      <c r="BM128" s="52"/>
      <c r="BN128" s="52"/>
      <c r="BO128" s="139"/>
      <c r="BP128" s="52"/>
      <c r="BQ128" s="52"/>
      <c r="BR128" s="52"/>
      <c r="BS128" s="52"/>
      <c r="BT128" s="52"/>
      <c r="BU128" s="52"/>
      <c r="BV128" s="52"/>
      <c r="BW128" s="52"/>
      <c r="BX128" s="52"/>
      <c r="BY128" s="52"/>
      <c r="BZ128" s="52"/>
      <c r="CA128" s="52"/>
      <c r="CB128" s="52"/>
      <c r="CC128" s="52"/>
      <c r="CD128" s="52"/>
      <c r="CE128" s="51"/>
      <c r="CF128" s="52"/>
      <c r="CG128" s="52"/>
      <c r="CH128" s="52"/>
      <c r="CI128" s="52"/>
      <c r="CJ128" s="52"/>
      <c r="CK128" s="52"/>
      <c r="CL128" s="52"/>
      <c r="CM128" s="70"/>
      <c r="CN128" s="70"/>
      <c r="CO128" s="70"/>
      <c r="CP128" s="70"/>
      <c r="CQ128" s="70"/>
      <c r="CR128" s="70"/>
      <c r="CS128" s="70"/>
      <c r="CT128" s="70"/>
      <c r="CU128" s="70"/>
      <c r="CV128" s="70"/>
      <c r="CW128" s="70"/>
      <c r="CX128" s="70"/>
      <c r="CY128" s="70"/>
      <c r="CZ128" s="70"/>
      <c r="DA128" s="70"/>
      <c r="DB128" s="70"/>
      <c r="DC128" s="70"/>
      <c r="DD128" s="70"/>
      <c r="DE128" s="70"/>
      <c r="DF128" s="70"/>
      <c r="DG128" s="70"/>
      <c r="DH128" s="70"/>
      <c r="DI128" s="70"/>
      <c r="DJ128" s="70"/>
      <c r="DK128" s="70"/>
      <c r="DL128" s="70"/>
      <c r="DM128" s="70"/>
      <c r="DN128" s="70"/>
      <c r="DO128" s="70"/>
      <c r="DP128" s="70"/>
      <c r="DQ128" s="70"/>
      <c r="DR128" s="70"/>
      <c r="DS128" s="70"/>
      <c r="DT128" s="70"/>
      <c r="DU128" s="70"/>
      <c r="DV128" s="70"/>
      <c r="DW128" s="70"/>
      <c r="DX128" s="70"/>
      <c r="DY128" s="70"/>
      <c r="DZ128" s="70"/>
      <c r="EA128" s="70"/>
      <c r="EB128" s="70"/>
      <c r="EC128" s="70"/>
      <c r="ED128" s="70"/>
      <c r="EE128" s="70"/>
      <c r="EF128" s="70"/>
      <c r="EG128" s="70"/>
      <c r="EH128" s="70"/>
      <c r="EI128" s="70"/>
      <c r="EJ128" s="70"/>
      <c r="EK128" s="70"/>
      <c r="EL128" s="70"/>
    </row>
    <row r="129" spans="4:142" ht="17.25">
      <c r="D129" s="70"/>
      <c r="E129" s="70"/>
      <c r="F129" s="70"/>
      <c r="G129" s="70"/>
      <c r="H129" s="70"/>
      <c r="I129" s="70"/>
      <c r="J129" s="70"/>
      <c r="K129" s="70"/>
      <c r="L129" s="70"/>
      <c r="M129" s="138"/>
      <c r="N129" s="70"/>
      <c r="O129" s="70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52"/>
      <c r="BJ129" s="51"/>
      <c r="BK129" s="52"/>
      <c r="BL129" s="51"/>
      <c r="BM129" s="52"/>
      <c r="BN129" s="52"/>
      <c r="BO129" s="52"/>
      <c r="BP129" s="51"/>
      <c r="BQ129" s="52"/>
      <c r="BR129" s="52"/>
      <c r="BS129" s="52"/>
      <c r="BT129" s="52"/>
      <c r="BU129" s="52"/>
      <c r="BV129" s="52"/>
      <c r="BW129" s="52"/>
      <c r="BX129" s="52"/>
      <c r="BY129" s="52"/>
      <c r="BZ129" s="52"/>
      <c r="CA129" s="52"/>
      <c r="CB129" s="52"/>
      <c r="CC129" s="52"/>
      <c r="CD129" s="51"/>
      <c r="CE129" s="52"/>
      <c r="CF129" s="52"/>
      <c r="CG129" s="51"/>
      <c r="CH129" s="52"/>
      <c r="CI129" s="52"/>
      <c r="CJ129" s="52"/>
      <c r="CK129" s="52"/>
      <c r="CL129" s="52"/>
      <c r="CM129" s="70"/>
      <c r="CN129" s="70"/>
      <c r="CO129" s="70"/>
      <c r="CP129" s="70"/>
      <c r="CQ129" s="70"/>
      <c r="CR129" s="70"/>
      <c r="CS129" s="70"/>
      <c r="CT129" s="70"/>
      <c r="CU129" s="70"/>
      <c r="CV129" s="70"/>
      <c r="CW129" s="70"/>
      <c r="CX129" s="70"/>
      <c r="CY129" s="70"/>
      <c r="CZ129" s="70"/>
      <c r="DA129" s="70"/>
      <c r="DB129" s="70"/>
      <c r="DC129" s="70"/>
      <c r="DD129" s="70"/>
      <c r="DE129" s="70"/>
      <c r="DF129" s="70"/>
      <c r="DG129" s="70"/>
      <c r="DH129" s="70"/>
      <c r="DI129" s="70"/>
      <c r="DJ129" s="70"/>
      <c r="DK129" s="70"/>
      <c r="DL129" s="70"/>
      <c r="DM129" s="70"/>
      <c r="DN129" s="70"/>
      <c r="DO129" s="70"/>
      <c r="DP129" s="70"/>
      <c r="DQ129" s="70"/>
      <c r="DR129" s="70"/>
      <c r="DS129" s="70"/>
      <c r="DT129" s="70"/>
      <c r="DU129" s="70"/>
      <c r="DV129" s="70"/>
      <c r="DW129" s="70"/>
      <c r="DX129" s="70"/>
      <c r="DY129" s="70"/>
      <c r="DZ129" s="70"/>
      <c r="EA129" s="70"/>
      <c r="EB129" s="70"/>
      <c r="EC129" s="70"/>
      <c r="ED129" s="70"/>
      <c r="EE129" s="70"/>
      <c r="EF129" s="70"/>
      <c r="EG129" s="70"/>
      <c r="EH129" s="70"/>
      <c r="EI129" s="70"/>
      <c r="EJ129" s="70"/>
      <c r="EK129" s="70"/>
      <c r="EL129" s="70"/>
    </row>
    <row r="130" spans="4:142" ht="17.25">
      <c r="D130" s="70"/>
      <c r="E130" s="70"/>
      <c r="F130" s="70"/>
      <c r="G130" s="70"/>
      <c r="H130" s="70"/>
      <c r="I130" s="70"/>
      <c r="J130" s="70"/>
      <c r="K130" s="70"/>
      <c r="L130" s="70"/>
      <c r="M130" s="138"/>
      <c r="N130" s="70"/>
      <c r="O130" s="70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70"/>
      <c r="BC130" s="70"/>
      <c r="BD130" s="70"/>
      <c r="BE130" s="70"/>
      <c r="BF130" s="70"/>
      <c r="BG130" s="70"/>
      <c r="BH130" s="70"/>
      <c r="BI130" s="52"/>
      <c r="BJ130" s="52"/>
      <c r="BK130" s="52"/>
      <c r="BL130" s="52"/>
      <c r="BM130" s="52"/>
      <c r="BN130" s="51"/>
      <c r="BO130" s="52"/>
      <c r="BP130" s="52"/>
      <c r="BQ130" s="51"/>
      <c r="BR130" s="52"/>
      <c r="BS130" s="52"/>
      <c r="BT130" s="51"/>
      <c r="BU130" s="52"/>
      <c r="BV130" s="52"/>
      <c r="BW130" s="52"/>
      <c r="BX130" s="52"/>
      <c r="BY130" s="52"/>
      <c r="BZ130" s="52"/>
      <c r="CA130" s="52"/>
      <c r="CB130" s="52"/>
      <c r="CC130" s="52"/>
      <c r="CD130" s="52"/>
      <c r="CE130" s="52"/>
      <c r="CF130" s="52"/>
      <c r="CG130" s="52"/>
      <c r="CH130" s="51"/>
      <c r="CI130" s="51"/>
      <c r="CJ130" s="51"/>
      <c r="CK130" s="52"/>
      <c r="CL130" s="51"/>
      <c r="CM130" s="70"/>
      <c r="CN130" s="70"/>
      <c r="CO130" s="70"/>
      <c r="CP130" s="70"/>
      <c r="CQ130" s="70"/>
      <c r="CR130" s="70"/>
      <c r="CS130" s="70"/>
      <c r="CT130" s="70"/>
      <c r="CU130" s="70"/>
      <c r="CV130" s="70"/>
      <c r="CW130" s="70"/>
      <c r="CX130" s="70"/>
      <c r="CY130" s="70"/>
      <c r="CZ130" s="70"/>
      <c r="DA130" s="70"/>
      <c r="DB130" s="70"/>
      <c r="DC130" s="70"/>
      <c r="DD130" s="70"/>
      <c r="DE130" s="70"/>
      <c r="DF130" s="70"/>
      <c r="DG130" s="70"/>
      <c r="DH130" s="70"/>
      <c r="DI130" s="70"/>
      <c r="DJ130" s="70"/>
      <c r="DK130" s="70"/>
      <c r="DL130" s="70"/>
      <c r="DM130" s="70"/>
      <c r="DN130" s="70"/>
      <c r="DO130" s="70"/>
      <c r="DP130" s="70"/>
      <c r="DQ130" s="70"/>
      <c r="DR130" s="70"/>
      <c r="DS130" s="70"/>
      <c r="DT130" s="70"/>
      <c r="DU130" s="70"/>
      <c r="DV130" s="70"/>
      <c r="DW130" s="70"/>
      <c r="DX130" s="70"/>
      <c r="DY130" s="70"/>
      <c r="DZ130" s="70"/>
      <c r="EA130" s="70"/>
      <c r="EB130" s="70"/>
      <c r="EC130" s="70"/>
      <c r="ED130" s="70"/>
      <c r="EE130" s="70"/>
      <c r="EF130" s="70"/>
      <c r="EG130" s="70"/>
      <c r="EH130" s="70"/>
      <c r="EI130" s="70"/>
      <c r="EJ130" s="70"/>
      <c r="EK130" s="70"/>
      <c r="EL130" s="70"/>
    </row>
    <row r="131" spans="4:142">
      <c r="D131" s="70"/>
      <c r="E131" s="70"/>
      <c r="F131" s="70"/>
      <c r="G131" s="70"/>
      <c r="H131" s="70"/>
      <c r="I131" s="70"/>
      <c r="J131" s="70"/>
      <c r="K131" s="70"/>
      <c r="L131" s="70"/>
      <c r="M131" s="138"/>
      <c r="N131" s="70"/>
      <c r="O131" s="70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70"/>
      <c r="BB131" s="70"/>
      <c r="BC131" s="70"/>
      <c r="BD131" s="70"/>
      <c r="BE131" s="70"/>
      <c r="BF131" s="70"/>
      <c r="BG131" s="70"/>
      <c r="BH131" s="70"/>
      <c r="CM131" s="70"/>
      <c r="CN131" s="70"/>
      <c r="CO131" s="70"/>
      <c r="CP131" s="70"/>
      <c r="CQ131" s="70"/>
      <c r="CR131" s="70"/>
      <c r="CS131" s="70"/>
      <c r="CT131" s="70"/>
      <c r="CU131" s="70"/>
      <c r="CV131" s="70"/>
      <c r="CW131" s="70"/>
      <c r="CX131" s="70"/>
      <c r="CY131" s="70"/>
      <c r="CZ131" s="70"/>
      <c r="DA131" s="70"/>
      <c r="DB131" s="70"/>
      <c r="DC131" s="70"/>
      <c r="DD131" s="70"/>
      <c r="DE131" s="70"/>
      <c r="DF131" s="70"/>
      <c r="DG131" s="70"/>
      <c r="DH131" s="70"/>
      <c r="DI131" s="70"/>
      <c r="DJ131" s="70"/>
      <c r="DK131" s="70"/>
      <c r="DL131" s="70"/>
      <c r="DM131" s="70"/>
      <c r="DN131" s="70"/>
      <c r="DO131" s="70"/>
      <c r="DP131" s="70"/>
      <c r="DQ131" s="70"/>
      <c r="DR131" s="70"/>
      <c r="DS131" s="70"/>
      <c r="DT131" s="70"/>
      <c r="DU131" s="70"/>
      <c r="DV131" s="70"/>
      <c r="DW131" s="70"/>
      <c r="DX131" s="70"/>
      <c r="DY131" s="70"/>
      <c r="DZ131" s="70"/>
      <c r="EA131" s="70"/>
      <c r="EB131" s="70"/>
      <c r="EC131" s="70"/>
      <c r="ED131" s="70"/>
      <c r="EE131" s="70"/>
      <c r="EF131" s="70"/>
      <c r="EG131" s="70"/>
      <c r="EH131" s="70"/>
      <c r="EI131" s="70"/>
      <c r="EJ131" s="70"/>
      <c r="EK131" s="70"/>
      <c r="EL131" s="70"/>
    </row>
    <row r="132" spans="4:142">
      <c r="D132" s="70"/>
      <c r="E132" s="70"/>
      <c r="F132" s="70"/>
      <c r="G132" s="70"/>
      <c r="H132" s="70"/>
      <c r="I132" s="70"/>
      <c r="J132" s="70"/>
      <c r="K132" s="70"/>
      <c r="L132" s="70"/>
      <c r="M132" s="138"/>
      <c r="N132" s="70"/>
      <c r="O132" s="70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70"/>
      <c r="BB132" s="70"/>
      <c r="BC132" s="70"/>
      <c r="BD132" s="70"/>
      <c r="BE132" s="70"/>
      <c r="BF132" s="70"/>
      <c r="BG132" s="70"/>
      <c r="BH132" s="70"/>
      <c r="CM132" s="70"/>
      <c r="CN132" s="70"/>
      <c r="CO132" s="70"/>
      <c r="CP132" s="70"/>
      <c r="CQ132" s="70"/>
      <c r="CR132" s="70"/>
      <c r="CS132" s="70"/>
      <c r="CT132" s="70"/>
      <c r="CU132" s="70"/>
      <c r="CV132" s="70"/>
      <c r="CW132" s="70"/>
      <c r="CX132" s="70"/>
      <c r="CY132" s="70"/>
      <c r="CZ132" s="70"/>
      <c r="DA132" s="70"/>
      <c r="DB132" s="70"/>
      <c r="DC132" s="70"/>
      <c r="DD132" s="70"/>
      <c r="DE132" s="70"/>
      <c r="DF132" s="70"/>
      <c r="DG132" s="70"/>
      <c r="DH132" s="70"/>
      <c r="DI132" s="70"/>
      <c r="DJ132" s="70"/>
      <c r="DK132" s="70"/>
      <c r="DL132" s="70"/>
      <c r="DM132" s="70"/>
      <c r="DN132" s="70"/>
      <c r="DO132" s="70"/>
      <c r="DP132" s="70"/>
      <c r="DQ132" s="70"/>
      <c r="DR132" s="70"/>
      <c r="DS132" s="70"/>
      <c r="DT132" s="70"/>
      <c r="DU132" s="70"/>
      <c r="DV132" s="70"/>
      <c r="DW132" s="70"/>
      <c r="DX132" s="70"/>
      <c r="DY132" s="70"/>
      <c r="DZ132" s="70"/>
      <c r="EA132" s="70"/>
      <c r="EB132" s="70"/>
      <c r="EC132" s="70"/>
      <c r="ED132" s="70"/>
      <c r="EE132" s="70"/>
      <c r="EF132" s="70"/>
      <c r="EG132" s="70"/>
      <c r="EH132" s="70"/>
      <c r="EI132" s="70"/>
      <c r="EJ132" s="70"/>
      <c r="EK132" s="70"/>
      <c r="EL132" s="70"/>
    </row>
    <row r="133" spans="4:142">
      <c r="D133" s="70"/>
      <c r="E133" s="70"/>
      <c r="F133" s="70"/>
      <c r="G133" s="70"/>
      <c r="H133" s="70"/>
      <c r="I133" s="70"/>
      <c r="J133" s="70"/>
      <c r="K133" s="70"/>
      <c r="L133" s="70"/>
      <c r="M133" s="138"/>
      <c r="N133" s="70"/>
      <c r="O133" s="70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70"/>
      <c r="BB133" s="70"/>
      <c r="BC133" s="70"/>
      <c r="BD133" s="70"/>
      <c r="BE133" s="70"/>
      <c r="BF133" s="70"/>
      <c r="BG133" s="70"/>
      <c r="BH133" s="70"/>
      <c r="CM133" s="70"/>
      <c r="CN133" s="70"/>
      <c r="CO133" s="70"/>
      <c r="CP133" s="70"/>
      <c r="CQ133" s="70"/>
      <c r="CR133" s="70"/>
      <c r="CS133" s="70"/>
      <c r="CT133" s="70"/>
      <c r="CU133" s="70"/>
      <c r="CV133" s="70"/>
      <c r="CW133" s="70"/>
      <c r="CX133" s="70"/>
      <c r="CY133" s="70"/>
      <c r="CZ133" s="70"/>
      <c r="DA133" s="70"/>
      <c r="DB133" s="70"/>
      <c r="DC133" s="70"/>
      <c r="DD133" s="70"/>
      <c r="DE133" s="70"/>
      <c r="DF133" s="70"/>
      <c r="DG133" s="70"/>
      <c r="DH133" s="70"/>
      <c r="DI133" s="70"/>
      <c r="DJ133" s="70"/>
      <c r="DK133" s="70"/>
      <c r="DL133" s="70"/>
      <c r="DM133" s="70"/>
      <c r="DN133" s="70"/>
      <c r="DO133" s="70"/>
      <c r="DP133" s="70"/>
      <c r="DQ133" s="70"/>
      <c r="DR133" s="70"/>
      <c r="DS133" s="70"/>
      <c r="DT133" s="70"/>
      <c r="DU133" s="70"/>
      <c r="DV133" s="70"/>
      <c r="DW133" s="70"/>
      <c r="DX133" s="70"/>
      <c r="DY133" s="70"/>
      <c r="DZ133" s="70"/>
      <c r="EA133" s="70"/>
      <c r="EB133" s="70"/>
      <c r="EC133" s="70"/>
      <c r="ED133" s="70"/>
      <c r="EE133" s="70"/>
      <c r="EF133" s="70"/>
      <c r="EG133" s="70"/>
      <c r="EH133" s="70"/>
      <c r="EI133" s="70"/>
      <c r="EJ133" s="70"/>
      <c r="EK133" s="70"/>
      <c r="EL133" s="70"/>
    </row>
    <row r="134" spans="4:142">
      <c r="D134" s="70"/>
      <c r="E134" s="70"/>
      <c r="F134" s="70"/>
      <c r="G134" s="70"/>
      <c r="H134" s="70"/>
      <c r="I134" s="70"/>
      <c r="J134" s="70"/>
      <c r="K134" s="70"/>
      <c r="L134" s="70"/>
      <c r="M134" s="138"/>
      <c r="N134" s="70"/>
      <c r="O134" s="70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  <c r="AA134" s="70"/>
      <c r="AB134" s="70"/>
      <c r="AC134" s="70"/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70"/>
      <c r="BB134" s="70"/>
      <c r="BC134" s="70"/>
      <c r="BD134" s="70"/>
      <c r="BE134" s="70"/>
      <c r="BF134" s="70"/>
      <c r="BG134" s="70"/>
      <c r="BH134" s="70"/>
      <c r="BI134" s="70"/>
      <c r="BJ134" s="70"/>
      <c r="BK134" s="70"/>
      <c r="BL134" s="70"/>
      <c r="BM134" s="70"/>
      <c r="BN134" s="70"/>
      <c r="BO134" s="70"/>
      <c r="BP134" s="70"/>
      <c r="BQ134" s="70"/>
      <c r="BR134" s="70"/>
      <c r="BS134" s="70"/>
      <c r="BT134" s="70"/>
      <c r="BU134" s="70"/>
      <c r="BV134" s="70"/>
      <c r="BW134" s="70"/>
      <c r="BX134" s="70"/>
      <c r="BY134" s="70"/>
      <c r="BZ134" s="70"/>
      <c r="CA134" s="70"/>
      <c r="CB134" s="70"/>
      <c r="CC134" s="70"/>
      <c r="CD134" s="70"/>
      <c r="CE134" s="70"/>
      <c r="CF134" s="70"/>
      <c r="CG134" s="70"/>
      <c r="CH134" s="70"/>
      <c r="CI134" s="70"/>
      <c r="CJ134" s="70"/>
      <c r="CK134" s="70"/>
      <c r="CL134" s="70"/>
      <c r="CM134" s="70"/>
      <c r="CN134" s="70"/>
      <c r="CO134" s="70"/>
      <c r="CP134" s="70"/>
      <c r="CQ134" s="70"/>
      <c r="CR134" s="70"/>
      <c r="CS134" s="70"/>
      <c r="CT134" s="70"/>
      <c r="CU134" s="70"/>
      <c r="CV134" s="70"/>
      <c r="CW134" s="70"/>
      <c r="CX134" s="70"/>
      <c r="CY134" s="70"/>
      <c r="CZ134" s="70"/>
      <c r="DA134" s="70"/>
      <c r="DB134" s="70"/>
      <c r="DC134" s="70"/>
      <c r="DD134" s="70"/>
      <c r="DE134" s="70"/>
      <c r="DF134" s="70"/>
      <c r="DG134" s="70"/>
      <c r="DH134" s="70"/>
      <c r="DI134" s="70"/>
      <c r="DJ134" s="70"/>
      <c r="DK134" s="70"/>
      <c r="DL134" s="70"/>
      <c r="DM134" s="70"/>
      <c r="DN134" s="70"/>
      <c r="DO134" s="70"/>
      <c r="DP134" s="70"/>
      <c r="DQ134" s="70"/>
      <c r="DR134" s="70"/>
      <c r="DS134" s="70"/>
      <c r="DT134" s="70"/>
      <c r="DU134" s="70"/>
      <c r="DV134" s="70"/>
      <c r="DW134" s="70"/>
      <c r="DX134" s="70"/>
      <c r="DY134" s="70"/>
      <c r="DZ134" s="70"/>
      <c r="EA134" s="70"/>
      <c r="EB134" s="70"/>
      <c r="EC134" s="70"/>
      <c r="ED134" s="70"/>
      <c r="EE134" s="70"/>
      <c r="EF134" s="70"/>
      <c r="EG134" s="70"/>
      <c r="EH134" s="70"/>
      <c r="EI134" s="70"/>
      <c r="EJ134" s="70"/>
      <c r="EK134" s="70"/>
      <c r="EL134" s="70"/>
    </row>
    <row r="135" spans="4:142">
      <c r="D135" s="70"/>
      <c r="E135" s="70"/>
      <c r="F135" s="70"/>
      <c r="G135" s="70"/>
      <c r="H135" s="70"/>
      <c r="I135" s="70"/>
      <c r="J135" s="70"/>
      <c r="K135" s="70"/>
      <c r="L135" s="70"/>
      <c r="M135" s="138"/>
      <c r="N135" s="70"/>
      <c r="O135" s="70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70"/>
      <c r="BB135" s="70"/>
      <c r="BC135" s="70"/>
      <c r="BD135" s="70"/>
      <c r="BE135" s="70"/>
      <c r="BF135" s="70"/>
      <c r="BG135" s="70"/>
      <c r="BH135" s="70"/>
      <c r="BI135" s="70"/>
      <c r="BJ135" s="70"/>
      <c r="BK135" s="70"/>
      <c r="BL135" s="70"/>
      <c r="BM135" s="70"/>
      <c r="BN135" s="70"/>
      <c r="BO135" s="70"/>
      <c r="BP135" s="70"/>
      <c r="BQ135" s="70"/>
      <c r="BR135" s="70"/>
      <c r="BS135" s="70"/>
      <c r="BT135" s="70"/>
      <c r="BU135" s="70"/>
      <c r="BV135" s="70"/>
      <c r="BW135" s="70"/>
      <c r="BX135" s="70"/>
      <c r="BY135" s="70"/>
      <c r="BZ135" s="70"/>
      <c r="CA135" s="70"/>
      <c r="CB135" s="70"/>
      <c r="CC135" s="70"/>
      <c r="CD135" s="70"/>
      <c r="CE135" s="70"/>
      <c r="CF135" s="70"/>
      <c r="CG135" s="70"/>
      <c r="CH135" s="70"/>
      <c r="CI135" s="70"/>
      <c r="CJ135" s="70"/>
      <c r="CK135" s="70"/>
      <c r="CL135" s="70"/>
      <c r="CM135" s="70"/>
      <c r="CN135" s="70"/>
      <c r="CO135" s="70"/>
      <c r="CP135" s="70"/>
      <c r="CQ135" s="70"/>
      <c r="CR135" s="70"/>
      <c r="CS135" s="70"/>
      <c r="CT135" s="70"/>
      <c r="CU135" s="70"/>
      <c r="CV135" s="70"/>
      <c r="CW135" s="70"/>
      <c r="CX135" s="70"/>
      <c r="CY135" s="70"/>
      <c r="CZ135" s="70"/>
      <c r="DA135" s="70"/>
      <c r="DB135" s="70"/>
      <c r="DC135" s="70"/>
      <c r="DD135" s="70"/>
      <c r="DE135" s="70"/>
      <c r="DF135" s="70"/>
      <c r="DG135" s="70"/>
      <c r="DH135" s="70"/>
      <c r="DI135" s="70"/>
      <c r="DJ135" s="70"/>
      <c r="DK135" s="70"/>
      <c r="DL135" s="70"/>
      <c r="DM135" s="70"/>
      <c r="DN135" s="70"/>
      <c r="DO135" s="70"/>
      <c r="DP135" s="70"/>
      <c r="DQ135" s="70"/>
      <c r="DR135" s="70"/>
      <c r="DS135" s="70"/>
      <c r="DT135" s="70"/>
      <c r="DU135" s="70"/>
      <c r="DV135" s="70"/>
      <c r="DW135" s="70"/>
      <c r="DX135" s="70"/>
      <c r="DY135" s="70"/>
      <c r="DZ135" s="70"/>
      <c r="EA135" s="70"/>
      <c r="EB135" s="70"/>
      <c r="EC135" s="70"/>
      <c r="ED135" s="70"/>
      <c r="EE135" s="70"/>
      <c r="EF135" s="70"/>
      <c r="EG135" s="70"/>
      <c r="EH135" s="70"/>
      <c r="EI135" s="70"/>
      <c r="EJ135" s="70"/>
      <c r="EK135" s="70"/>
      <c r="EL135" s="70"/>
    </row>
    <row r="136" spans="4:142">
      <c r="D136" s="70"/>
      <c r="E136" s="70"/>
      <c r="F136" s="70"/>
      <c r="G136" s="70"/>
      <c r="H136" s="70"/>
      <c r="I136" s="70"/>
      <c r="J136" s="70"/>
      <c r="K136" s="70"/>
      <c r="L136" s="70"/>
      <c r="M136" s="138"/>
      <c r="N136" s="70"/>
      <c r="O136" s="70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  <c r="AA136" s="70"/>
      <c r="AB136" s="70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70"/>
      <c r="BC136" s="70"/>
      <c r="BD136" s="70"/>
      <c r="BE136" s="70"/>
      <c r="BF136" s="70"/>
      <c r="BG136" s="70"/>
      <c r="BH136" s="70"/>
      <c r="BI136" s="70"/>
      <c r="BJ136" s="70"/>
      <c r="BK136" s="70"/>
      <c r="BL136" s="70"/>
      <c r="BM136" s="70"/>
      <c r="BN136" s="70"/>
      <c r="BO136" s="70"/>
      <c r="BP136" s="70"/>
      <c r="BQ136" s="70"/>
      <c r="BR136" s="70"/>
      <c r="BS136" s="70"/>
      <c r="BT136" s="70"/>
      <c r="BU136" s="70"/>
      <c r="BV136" s="70"/>
      <c r="BW136" s="70"/>
      <c r="BX136" s="70"/>
      <c r="BY136" s="70"/>
      <c r="BZ136" s="70"/>
      <c r="CA136" s="70"/>
      <c r="CB136" s="70"/>
      <c r="CC136" s="70"/>
      <c r="CD136" s="70"/>
      <c r="CE136" s="70"/>
      <c r="CF136" s="70"/>
      <c r="CG136" s="70"/>
      <c r="CH136" s="70"/>
      <c r="CI136" s="70"/>
      <c r="CJ136" s="70"/>
      <c r="CK136" s="70"/>
      <c r="CL136" s="70"/>
      <c r="CM136" s="70"/>
      <c r="CN136" s="70"/>
      <c r="CO136" s="70"/>
      <c r="CP136" s="70"/>
      <c r="CQ136" s="70"/>
      <c r="CR136" s="70"/>
      <c r="CS136" s="70"/>
      <c r="CT136" s="70"/>
      <c r="CU136" s="70"/>
      <c r="CV136" s="70"/>
      <c r="CW136" s="70"/>
      <c r="CX136" s="70"/>
      <c r="CY136" s="70"/>
      <c r="CZ136" s="70"/>
      <c r="DA136" s="70"/>
      <c r="DB136" s="70"/>
      <c r="DC136" s="70"/>
      <c r="DD136" s="70"/>
      <c r="DE136" s="70"/>
      <c r="DF136" s="70"/>
      <c r="DG136" s="70"/>
      <c r="DH136" s="70"/>
      <c r="DI136" s="70"/>
      <c r="DJ136" s="70"/>
      <c r="DK136" s="70"/>
      <c r="DL136" s="70"/>
      <c r="DM136" s="70"/>
      <c r="DN136" s="70"/>
      <c r="DO136" s="70"/>
      <c r="DP136" s="70"/>
      <c r="DQ136" s="70"/>
      <c r="DR136" s="70"/>
      <c r="DS136" s="70"/>
      <c r="DT136" s="70"/>
      <c r="DU136" s="70"/>
      <c r="DV136" s="70"/>
      <c r="DW136" s="70"/>
      <c r="DX136" s="70"/>
      <c r="DY136" s="70"/>
      <c r="DZ136" s="70"/>
      <c r="EA136" s="70"/>
      <c r="EB136" s="70"/>
      <c r="EC136" s="70"/>
      <c r="ED136" s="70"/>
      <c r="EE136" s="70"/>
      <c r="EF136" s="70"/>
      <c r="EG136" s="70"/>
      <c r="EH136" s="70"/>
      <c r="EI136" s="70"/>
      <c r="EJ136" s="70"/>
      <c r="EK136" s="70"/>
      <c r="EL136" s="70"/>
    </row>
    <row r="137" spans="4:142">
      <c r="D137" s="70"/>
      <c r="E137" s="70"/>
      <c r="F137" s="70"/>
      <c r="G137" s="70"/>
      <c r="H137" s="70"/>
      <c r="I137" s="70"/>
      <c r="J137" s="70"/>
      <c r="K137" s="70"/>
    </row>
  </sheetData>
  <mergeCells count="108">
    <mergeCell ref="HJ43:HL43"/>
    <mergeCell ref="GU52:GW52"/>
    <mergeCell ref="GX52:GZ52"/>
    <mergeCell ref="HA52:HC52"/>
    <mergeCell ref="HD52:HF52"/>
    <mergeCell ref="HG52:HI52"/>
    <mergeCell ref="HJ52:HL52"/>
    <mergeCell ref="GU43:GW43"/>
    <mergeCell ref="GX43:GZ43"/>
    <mergeCell ref="HA43:HC43"/>
    <mergeCell ref="HD43:HF43"/>
    <mergeCell ref="HG43:HI43"/>
    <mergeCell ref="HD25:HF25"/>
    <mergeCell ref="HG25:HI25"/>
    <mergeCell ref="HJ25:HL25"/>
    <mergeCell ref="GX34:GZ34"/>
    <mergeCell ref="HA34:HC34"/>
    <mergeCell ref="HD34:HF34"/>
    <mergeCell ref="HG34:HI34"/>
    <mergeCell ref="HJ34:HL34"/>
    <mergeCell ref="FL15:HL15"/>
    <mergeCell ref="GU16:GW16"/>
    <mergeCell ref="GX16:GZ16"/>
    <mergeCell ref="HA16:HC16"/>
    <mergeCell ref="HD16:HF16"/>
    <mergeCell ref="HG16:HI16"/>
    <mergeCell ref="HJ16:HL16"/>
    <mergeCell ref="FH43:FJ43"/>
    <mergeCell ref="ES52:EU52"/>
    <mergeCell ref="EV52:EX52"/>
    <mergeCell ref="EY52:FA52"/>
    <mergeCell ref="FB52:FD52"/>
    <mergeCell ref="FE52:FG52"/>
    <mergeCell ref="FH52:FJ52"/>
    <mergeCell ref="ES43:EU43"/>
    <mergeCell ref="EV43:EX43"/>
    <mergeCell ref="EY43:FA43"/>
    <mergeCell ref="FB43:FD43"/>
    <mergeCell ref="FE43:FG43"/>
    <mergeCell ref="FB25:FD25"/>
    <mergeCell ref="FE25:FG25"/>
    <mergeCell ref="FH25:FJ25"/>
    <mergeCell ref="EV34:EX34"/>
    <mergeCell ref="EY34:FA34"/>
    <mergeCell ref="FB34:FD34"/>
    <mergeCell ref="FE34:FG34"/>
    <mergeCell ref="FH34:FJ34"/>
    <mergeCell ref="DJ15:FJ15"/>
    <mergeCell ref="ES16:EU16"/>
    <mergeCell ref="EV16:EX16"/>
    <mergeCell ref="EY16:FA16"/>
    <mergeCell ref="FB16:FD16"/>
    <mergeCell ref="FE16:FG16"/>
    <mergeCell ref="FH16:FJ16"/>
    <mergeCell ref="CT34:CV34"/>
    <mergeCell ref="CW34:CY34"/>
    <mergeCell ref="CZ34:DB34"/>
    <mergeCell ref="DC34:DE34"/>
    <mergeCell ref="DF34:DH34"/>
    <mergeCell ref="F15:BF15"/>
    <mergeCell ref="DF43:DH43"/>
    <mergeCell ref="CQ52:CS52"/>
    <mergeCell ref="CT52:CV52"/>
    <mergeCell ref="CW52:CY52"/>
    <mergeCell ref="CZ52:DB52"/>
    <mergeCell ref="DC52:DE52"/>
    <mergeCell ref="DF52:DH52"/>
    <mergeCell ref="CQ43:CS43"/>
    <mergeCell ref="CT43:CV43"/>
    <mergeCell ref="CW43:CY43"/>
    <mergeCell ref="CZ43:DB43"/>
    <mergeCell ref="DC43:DE43"/>
    <mergeCell ref="BH15:DH15"/>
    <mergeCell ref="CQ16:CS16"/>
    <mergeCell ref="CT16:CV16"/>
    <mergeCell ref="CW16:CY16"/>
    <mergeCell ref="CZ16:DB16"/>
    <mergeCell ref="DC16:DE16"/>
    <mergeCell ref="AO52:AQ52"/>
    <mergeCell ref="AR52:AT52"/>
    <mergeCell ref="AU52:AW52"/>
    <mergeCell ref="AX52:AZ52"/>
    <mergeCell ref="BA52:BC52"/>
    <mergeCell ref="AX34:AZ34"/>
    <mergeCell ref="BA34:BC34"/>
    <mergeCell ref="BD34:BF34"/>
    <mergeCell ref="AO43:AQ43"/>
    <mergeCell ref="AR43:AT43"/>
    <mergeCell ref="AU43:AW43"/>
    <mergeCell ref="AX43:AZ43"/>
    <mergeCell ref="BA43:BC43"/>
    <mergeCell ref="BD43:BF43"/>
    <mergeCell ref="BD52:BF52"/>
    <mergeCell ref="AR34:AT34"/>
    <mergeCell ref="AU34:AW34"/>
    <mergeCell ref="BA16:BC16"/>
    <mergeCell ref="BD16:BF16"/>
    <mergeCell ref="AX25:AZ25"/>
    <mergeCell ref="AO16:AQ16"/>
    <mergeCell ref="AR16:AT16"/>
    <mergeCell ref="AU16:AW16"/>
    <mergeCell ref="DF16:DH16"/>
    <mergeCell ref="CZ25:DB25"/>
    <mergeCell ref="DC25:DE25"/>
    <mergeCell ref="DF25:DH25"/>
    <mergeCell ref="BA25:BC25"/>
    <mergeCell ref="BD25:BF25"/>
    <mergeCell ref="AX16:AZ16"/>
  </mergeCells>
  <phoneticPr fontId="2" type="noConversion"/>
  <conditionalFormatting sqref="AQ17:AQ23">
    <cfRule type="cellIs" dxfId="555" priority="1479" operator="greaterThan">
      <formula>0.1</formula>
    </cfRule>
    <cfRule type="cellIs" dxfId="554" priority="1480" operator="greaterThan">
      <formula>15</formula>
    </cfRule>
  </conditionalFormatting>
  <conditionalFormatting sqref="AT17:AT23">
    <cfRule type="cellIs" dxfId="553" priority="1477" operator="greaterThan">
      <formula>0.1</formula>
    </cfRule>
    <cfRule type="cellIs" dxfId="552" priority="1478" operator="greaterThan">
      <formula>15</formula>
    </cfRule>
  </conditionalFormatting>
  <conditionalFormatting sqref="AW17:AW23">
    <cfRule type="cellIs" dxfId="551" priority="1475" operator="greaterThan">
      <formula>0.1</formula>
    </cfRule>
    <cfRule type="cellIs" dxfId="550" priority="1476" operator="greaterThan">
      <formula>15</formula>
    </cfRule>
  </conditionalFormatting>
  <conditionalFormatting sqref="AZ17:AZ23">
    <cfRule type="cellIs" dxfId="549" priority="1473" operator="greaterThan">
      <formula>0.1</formula>
    </cfRule>
    <cfRule type="cellIs" dxfId="548" priority="1474" operator="greaterThan">
      <formula>15</formula>
    </cfRule>
  </conditionalFormatting>
  <conditionalFormatting sqref="BC17:BC23">
    <cfRule type="cellIs" dxfId="547" priority="1471" operator="greaterThan">
      <formula>0.1</formula>
    </cfRule>
    <cfRule type="cellIs" dxfId="546" priority="1472" operator="greaterThan">
      <formula>15</formula>
    </cfRule>
  </conditionalFormatting>
  <conditionalFormatting sqref="BF17:BF23">
    <cfRule type="cellIs" dxfId="545" priority="1469" operator="greaterThan">
      <formula>0.1</formula>
    </cfRule>
    <cfRule type="cellIs" dxfId="544" priority="1470" operator="greaterThan">
      <formula>15</formula>
    </cfRule>
  </conditionalFormatting>
  <conditionalFormatting sqref="AQ26:AQ32">
    <cfRule type="cellIs" dxfId="543" priority="1467" operator="greaterThan">
      <formula>0.1</formula>
    </cfRule>
    <cfRule type="cellIs" dxfId="542" priority="1468" operator="greaterThan">
      <formula>15</formula>
    </cfRule>
  </conditionalFormatting>
  <conditionalFormatting sqref="AT26:AT32">
    <cfRule type="cellIs" dxfId="541" priority="1465" operator="greaterThan">
      <formula>0.1</formula>
    </cfRule>
    <cfRule type="cellIs" dxfId="540" priority="1466" operator="greaterThan">
      <formula>15</formula>
    </cfRule>
  </conditionalFormatting>
  <conditionalFormatting sqref="AW26:AW32">
    <cfRule type="cellIs" dxfId="539" priority="1463" operator="greaterThan">
      <formula>0.1</formula>
    </cfRule>
    <cfRule type="cellIs" dxfId="538" priority="1464" operator="greaterThan">
      <formula>15</formula>
    </cfRule>
  </conditionalFormatting>
  <conditionalFormatting sqref="AZ26:AZ32">
    <cfRule type="cellIs" dxfId="537" priority="1461" operator="greaterThan">
      <formula>0.1</formula>
    </cfRule>
    <cfRule type="cellIs" dxfId="536" priority="1462" operator="greaterThan">
      <formula>15</formula>
    </cfRule>
  </conditionalFormatting>
  <conditionalFormatting sqref="BC26:BC32">
    <cfRule type="cellIs" dxfId="535" priority="1459" operator="greaterThan">
      <formula>0.1</formula>
    </cfRule>
    <cfRule type="cellIs" dxfId="534" priority="1460" operator="greaterThan">
      <formula>15</formula>
    </cfRule>
  </conditionalFormatting>
  <conditionalFormatting sqref="BF26:BF32">
    <cfRule type="cellIs" dxfId="533" priority="1457" operator="greaterThan">
      <formula>0.1</formula>
    </cfRule>
    <cfRule type="cellIs" dxfId="532" priority="1458" operator="greaterThan">
      <formula>15</formula>
    </cfRule>
  </conditionalFormatting>
  <conditionalFormatting sqref="AQ35:AQ41">
    <cfRule type="cellIs" dxfId="531" priority="1455" operator="greaterThan">
      <formula>0.1</formula>
    </cfRule>
    <cfRule type="cellIs" dxfId="530" priority="1456" operator="greaterThan">
      <formula>15</formula>
    </cfRule>
  </conditionalFormatting>
  <conditionalFormatting sqref="AT35:AT41">
    <cfRule type="cellIs" dxfId="529" priority="1453" operator="greaterThan">
      <formula>0.1</formula>
    </cfRule>
    <cfRule type="cellIs" dxfId="528" priority="1454" operator="greaterThan">
      <formula>15</formula>
    </cfRule>
  </conditionalFormatting>
  <conditionalFormatting sqref="AW35:AW41">
    <cfRule type="cellIs" dxfId="527" priority="1451" operator="greaterThan">
      <formula>0.1</formula>
    </cfRule>
    <cfRule type="cellIs" dxfId="526" priority="1452" operator="greaterThan">
      <formula>15</formula>
    </cfRule>
  </conditionalFormatting>
  <conditionalFormatting sqref="AZ35:AZ41">
    <cfRule type="cellIs" dxfId="525" priority="1449" operator="greaterThan">
      <formula>0.1</formula>
    </cfRule>
    <cfRule type="cellIs" dxfId="524" priority="1450" operator="greaterThan">
      <formula>15</formula>
    </cfRule>
  </conditionalFormatting>
  <conditionalFormatting sqref="BC35:BC41">
    <cfRule type="cellIs" dxfId="523" priority="1447" operator="greaterThan">
      <formula>0.1</formula>
    </cfRule>
    <cfRule type="cellIs" dxfId="522" priority="1448" operator="greaterThan">
      <formula>15</formula>
    </cfRule>
  </conditionalFormatting>
  <conditionalFormatting sqref="BF35:BF41">
    <cfRule type="cellIs" dxfId="521" priority="1445" operator="greaterThan">
      <formula>0.1</formula>
    </cfRule>
    <cfRule type="cellIs" dxfId="520" priority="1446" operator="greaterThan">
      <formula>15</formula>
    </cfRule>
  </conditionalFormatting>
  <conditionalFormatting sqref="AQ44:AQ50">
    <cfRule type="cellIs" dxfId="519" priority="1443" operator="greaterThan">
      <formula>0.1</formula>
    </cfRule>
    <cfRule type="cellIs" dxfId="518" priority="1444" operator="greaterThan">
      <formula>15</formula>
    </cfRule>
  </conditionalFormatting>
  <conditionalFormatting sqref="AT44:AT50">
    <cfRule type="cellIs" dxfId="517" priority="1441" operator="greaterThan">
      <formula>0.1</formula>
    </cfRule>
    <cfRule type="cellIs" dxfId="516" priority="1442" operator="greaterThan">
      <formula>15</formula>
    </cfRule>
  </conditionalFormatting>
  <conditionalFormatting sqref="AW44:AW50 AZ44:AZ50 BC44:BC50 BF44:BF50">
    <cfRule type="cellIs" dxfId="515" priority="1439" operator="greaterThan">
      <formula>0.1</formula>
    </cfRule>
    <cfRule type="cellIs" dxfId="514" priority="1440" operator="greaterThan">
      <formula>15</formula>
    </cfRule>
  </conditionalFormatting>
  <conditionalFormatting sqref="AQ53:AQ59">
    <cfRule type="cellIs" dxfId="513" priority="1437" operator="greaterThan">
      <formula>0.1</formula>
    </cfRule>
    <cfRule type="cellIs" dxfId="512" priority="1438" operator="greaterThan">
      <formula>15</formula>
    </cfRule>
  </conditionalFormatting>
  <conditionalFormatting sqref="AT53:AT59">
    <cfRule type="cellIs" dxfId="511" priority="1435" operator="greaterThan">
      <formula>0.1</formula>
    </cfRule>
    <cfRule type="cellIs" dxfId="510" priority="1436" operator="greaterThan">
      <formula>15</formula>
    </cfRule>
  </conditionalFormatting>
  <conditionalFormatting sqref="AW53:AW59 AZ53:AZ59 BC53:BC59 BF53:BF59">
    <cfRule type="cellIs" dxfId="509" priority="1433" operator="greaterThan">
      <formula>0.1</formula>
    </cfRule>
    <cfRule type="cellIs" dxfId="508" priority="1434" operator="greaterThan">
      <formula>15</formula>
    </cfRule>
  </conditionalFormatting>
  <conditionalFormatting sqref="CS17:CS23">
    <cfRule type="cellIs" dxfId="507" priority="1431" operator="greaterThan">
      <formula>0.1</formula>
    </cfRule>
    <cfRule type="cellIs" dxfId="506" priority="1432" operator="greaterThan">
      <formula>15</formula>
    </cfRule>
  </conditionalFormatting>
  <conditionalFormatting sqref="CV17:CV23">
    <cfRule type="cellIs" dxfId="505" priority="1429" operator="greaterThan">
      <formula>0.1</formula>
    </cfRule>
    <cfRule type="cellIs" dxfId="504" priority="1430" operator="greaterThan">
      <formula>15</formula>
    </cfRule>
  </conditionalFormatting>
  <conditionalFormatting sqref="CY17:CY23">
    <cfRule type="cellIs" dxfId="503" priority="1427" operator="greaterThan">
      <formula>0.1</formula>
    </cfRule>
    <cfRule type="cellIs" dxfId="502" priority="1428" operator="greaterThan">
      <formula>15</formula>
    </cfRule>
  </conditionalFormatting>
  <conditionalFormatting sqref="DB17:DB23">
    <cfRule type="cellIs" dxfId="501" priority="1425" operator="greaterThan">
      <formula>0.1</formula>
    </cfRule>
    <cfRule type="cellIs" dxfId="500" priority="1426" operator="greaterThan">
      <formula>15</formula>
    </cfRule>
  </conditionalFormatting>
  <conditionalFormatting sqref="DE17:DE23">
    <cfRule type="cellIs" dxfId="499" priority="1423" operator="greaterThan">
      <formula>0.1</formula>
    </cfRule>
    <cfRule type="cellIs" dxfId="498" priority="1424" operator="greaterThan">
      <formula>15</formula>
    </cfRule>
  </conditionalFormatting>
  <conditionalFormatting sqref="DH17:DH23">
    <cfRule type="cellIs" dxfId="497" priority="1421" operator="greaterThan">
      <formula>0.1</formula>
    </cfRule>
    <cfRule type="cellIs" dxfId="496" priority="1422" operator="greaterThan">
      <formula>15</formula>
    </cfRule>
  </conditionalFormatting>
  <conditionalFormatting sqref="CS26:CS32">
    <cfRule type="cellIs" dxfId="495" priority="1419" operator="greaterThan">
      <formula>0.1</formula>
    </cfRule>
    <cfRule type="cellIs" dxfId="494" priority="1420" operator="greaterThan">
      <formula>15</formula>
    </cfRule>
  </conditionalFormatting>
  <conditionalFormatting sqref="CV26:CV32">
    <cfRule type="cellIs" dxfId="493" priority="1417" operator="greaterThan">
      <formula>0.1</formula>
    </cfRule>
    <cfRule type="cellIs" dxfId="492" priority="1418" operator="greaterThan">
      <formula>15</formula>
    </cfRule>
  </conditionalFormatting>
  <conditionalFormatting sqref="CY26:CY32">
    <cfRule type="cellIs" dxfId="491" priority="1415" operator="greaterThan">
      <formula>0.1</formula>
    </cfRule>
    <cfRule type="cellIs" dxfId="490" priority="1416" operator="greaterThan">
      <formula>15</formula>
    </cfRule>
  </conditionalFormatting>
  <conditionalFormatting sqref="DB26:DB32">
    <cfRule type="cellIs" dxfId="489" priority="1413" operator="greaterThan">
      <formula>0.1</formula>
    </cfRule>
    <cfRule type="cellIs" dxfId="488" priority="1414" operator="greaterThan">
      <formula>15</formula>
    </cfRule>
  </conditionalFormatting>
  <conditionalFormatting sqref="DE26:DE32">
    <cfRule type="cellIs" dxfId="487" priority="1411" operator="greaterThan">
      <formula>0.1</formula>
    </cfRule>
    <cfRule type="cellIs" dxfId="486" priority="1412" operator="greaterThan">
      <formula>15</formula>
    </cfRule>
  </conditionalFormatting>
  <conditionalFormatting sqref="DH26:DH32">
    <cfRule type="cellIs" dxfId="485" priority="1409" operator="greaterThan">
      <formula>0.1</formula>
    </cfRule>
    <cfRule type="cellIs" dxfId="484" priority="1410" operator="greaterThan">
      <formula>15</formula>
    </cfRule>
  </conditionalFormatting>
  <conditionalFormatting sqref="CS35:CS41">
    <cfRule type="cellIs" dxfId="483" priority="1407" operator="greaterThan">
      <formula>0.1</formula>
    </cfRule>
    <cfRule type="cellIs" dxfId="482" priority="1408" operator="greaterThan">
      <formula>15</formula>
    </cfRule>
  </conditionalFormatting>
  <conditionalFormatting sqref="CV35:CV41">
    <cfRule type="cellIs" dxfId="481" priority="1405" operator="greaterThan">
      <formula>0.1</formula>
    </cfRule>
    <cfRule type="cellIs" dxfId="480" priority="1406" operator="greaterThan">
      <formula>15</formula>
    </cfRule>
  </conditionalFormatting>
  <conditionalFormatting sqref="CY35:CY41">
    <cfRule type="cellIs" dxfId="479" priority="1403" operator="greaterThan">
      <formula>0.1</formula>
    </cfRule>
    <cfRule type="cellIs" dxfId="478" priority="1404" operator="greaterThan">
      <formula>15</formula>
    </cfRule>
  </conditionalFormatting>
  <conditionalFormatting sqref="DB35:DB41">
    <cfRule type="cellIs" dxfId="477" priority="1401" operator="greaterThan">
      <formula>0.1</formula>
    </cfRule>
    <cfRule type="cellIs" dxfId="476" priority="1402" operator="greaterThan">
      <formula>15</formula>
    </cfRule>
  </conditionalFormatting>
  <conditionalFormatting sqref="DE35:DE41">
    <cfRule type="cellIs" dxfId="475" priority="1399" operator="greaterThan">
      <formula>0.1</formula>
    </cfRule>
    <cfRule type="cellIs" dxfId="474" priority="1400" operator="greaterThan">
      <formula>15</formula>
    </cfRule>
  </conditionalFormatting>
  <conditionalFormatting sqref="DH35:DH41">
    <cfRule type="cellIs" dxfId="473" priority="1397" operator="greaterThan">
      <formula>0.1</formula>
    </cfRule>
    <cfRule type="cellIs" dxfId="472" priority="1398" operator="greaterThan">
      <formula>15</formula>
    </cfRule>
  </conditionalFormatting>
  <conditionalFormatting sqref="CS44:CS50">
    <cfRule type="cellIs" dxfId="471" priority="1395" operator="greaterThan">
      <formula>0.1</formula>
    </cfRule>
    <cfRule type="cellIs" dxfId="470" priority="1396" operator="greaterThan">
      <formula>15</formula>
    </cfRule>
  </conditionalFormatting>
  <conditionalFormatting sqref="CV44:CV50">
    <cfRule type="cellIs" dxfId="469" priority="1393" operator="greaterThan">
      <formula>0.1</formula>
    </cfRule>
    <cfRule type="cellIs" dxfId="468" priority="1394" operator="greaterThan">
      <formula>15</formula>
    </cfRule>
  </conditionalFormatting>
  <conditionalFormatting sqref="CY44:CY50 DB44:DB50 DE44:DE50 DH44:DH50">
    <cfRule type="cellIs" dxfId="467" priority="1391" operator="greaterThan">
      <formula>0.1</formula>
    </cfRule>
    <cfRule type="cellIs" dxfId="466" priority="1392" operator="greaterThan">
      <formula>15</formula>
    </cfRule>
  </conditionalFormatting>
  <conditionalFormatting sqref="CS53:CS59">
    <cfRule type="cellIs" dxfId="465" priority="1389" operator="greaterThan">
      <formula>0.1</formula>
    </cfRule>
    <cfRule type="cellIs" dxfId="464" priority="1390" operator="greaterThan">
      <formula>15</formula>
    </cfRule>
  </conditionalFormatting>
  <conditionalFormatting sqref="CV53:CV59">
    <cfRule type="cellIs" dxfId="463" priority="1387" operator="greaterThan">
      <formula>0.1</formula>
    </cfRule>
    <cfRule type="cellIs" dxfId="462" priority="1388" operator="greaterThan">
      <formula>15</formula>
    </cfRule>
  </conditionalFormatting>
  <conditionalFormatting sqref="CY53:CY59 DB53:DB59 DE53:DE59 DH53:DH59">
    <cfRule type="cellIs" dxfId="461" priority="1385" operator="greaterThan">
      <formula>0.1</formula>
    </cfRule>
    <cfRule type="cellIs" dxfId="460" priority="1386" operator="greaterThan">
      <formula>15</formula>
    </cfRule>
  </conditionalFormatting>
  <conditionalFormatting sqref="EU17:EU23">
    <cfRule type="cellIs" dxfId="459" priority="1327" operator="greaterThan">
      <formula>0.1</formula>
    </cfRule>
    <cfRule type="cellIs" dxfId="458" priority="1328" operator="greaterThan">
      <formula>15</formula>
    </cfRule>
  </conditionalFormatting>
  <conditionalFormatting sqref="EX17:EX23">
    <cfRule type="cellIs" dxfId="457" priority="1325" operator="greaterThan">
      <formula>0.1</formula>
    </cfRule>
    <cfRule type="cellIs" dxfId="456" priority="1326" operator="greaterThan">
      <formula>15</formula>
    </cfRule>
  </conditionalFormatting>
  <conditionalFormatting sqref="FA17:FA23">
    <cfRule type="cellIs" dxfId="455" priority="1323" operator="greaterThan">
      <formula>0.1</formula>
    </cfRule>
    <cfRule type="cellIs" dxfId="454" priority="1324" operator="greaterThan">
      <formula>15</formula>
    </cfRule>
  </conditionalFormatting>
  <conditionalFormatting sqref="FD17:FD23">
    <cfRule type="cellIs" dxfId="453" priority="1321" operator="greaterThan">
      <formula>0.1</formula>
    </cfRule>
    <cfRule type="cellIs" dxfId="452" priority="1322" operator="greaterThan">
      <formula>15</formula>
    </cfRule>
  </conditionalFormatting>
  <conditionalFormatting sqref="FG17:FG23">
    <cfRule type="cellIs" dxfId="451" priority="1319" operator="greaterThan">
      <formula>0.1</formula>
    </cfRule>
    <cfRule type="cellIs" dxfId="450" priority="1320" operator="greaterThan">
      <formula>15</formula>
    </cfRule>
  </conditionalFormatting>
  <conditionalFormatting sqref="FJ17:FJ23">
    <cfRule type="cellIs" dxfId="449" priority="1317" operator="greaterThan">
      <formula>0.1</formula>
    </cfRule>
    <cfRule type="cellIs" dxfId="448" priority="1318" operator="greaterThan">
      <formula>15</formula>
    </cfRule>
  </conditionalFormatting>
  <conditionalFormatting sqref="EU26:EU32">
    <cfRule type="cellIs" dxfId="447" priority="1315" operator="greaterThan">
      <formula>0.1</formula>
    </cfRule>
    <cfRule type="cellIs" dxfId="446" priority="1316" operator="greaterThan">
      <formula>15</formula>
    </cfRule>
  </conditionalFormatting>
  <conditionalFormatting sqref="EX26:EX32">
    <cfRule type="cellIs" dxfId="445" priority="1313" operator="greaterThan">
      <formula>0.1</formula>
    </cfRule>
    <cfRule type="cellIs" dxfId="444" priority="1314" operator="greaterThan">
      <formula>15</formula>
    </cfRule>
  </conditionalFormatting>
  <conditionalFormatting sqref="FA26:FA32">
    <cfRule type="cellIs" dxfId="443" priority="1311" operator="greaterThan">
      <formula>0.1</formula>
    </cfRule>
    <cfRule type="cellIs" dxfId="442" priority="1312" operator="greaterThan">
      <formula>15</formula>
    </cfRule>
  </conditionalFormatting>
  <conditionalFormatting sqref="FD26:FD32">
    <cfRule type="cellIs" dxfId="441" priority="1309" operator="greaterThan">
      <formula>0.1</formula>
    </cfRule>
    <cfRule type="cellIs" dxfId="440" priority="1310" operator="greaterThan">
      <formula>15</formula>
    </cfRule>
  </conditionalFormatting>
  <conditionalFormatting sqref="FG26:FG32">
    <cfRule type="cellIs" dxfId="439" priority="1307" operator="greaterThan">
      <formula>0.1</formula>
    </cfRule>
    <cfRule type="cellIs" dxfId="438" priority="1308" operator="greaterThan">
      <formula>15</formula>
    </cfRule>
  </conditionalFormatting>
  <conditionalFormatting sqref="FJ26:FJ32">
    <cfRule type="cellIs" dxfId="437" priority="1305" operator="greaterThan">
      <formula>0.1</formula>
    </cfRule>
    <cfRule type="cellIs" dxfId="436" priority="1306" operator="greaterThan">
      <formula>15</formula>
    </cfRule>
  </conditionalFormatting>
  <conditionalFormatting sqref="EU35:EU41">
    <cfRule type="cellIs" dxfId="435" priority="1303" operator="greaterThan">
      <formula>0.1</formula>
    </cfRule>
    <cfRule type="cellIs" dxfId="434" priority="1304" operator="greaterThan">
      <formula>15</formula>
    </cfRule>
  </conditionalFormatting>
  <conditionalFormatting sqref="EX35:EX41">
    <cfRule type="cellIs" dxfId="433" priority="1301" operator="greaterThan">
      <formula>0.1</formula>
    </cfRule>
    <cfRule type="cellIs" dxfId="432" priority="1302" operator="greaterThan">
      <formula>15</formula>
    </cfRule>
  </conditionalFormatting>
  <conditionalFormatting sqref="FA35:FA41">
    <cfRule type="cellIs" dxfId="431" priority="1299" operator="greaterThan">
      <formula>0.1</formula>
    </cfRule>
    <cfRule type="cellIs" dxfId="430" priority="1300" operator="greaterThan">
      <formula>15</formula>
    </cfRule>
  </conditionalFormatting>
  <conditionalFormatting sqref="FD35:FD41">
    <cfRule type="cellIs" dxfId="429" priority="1297" operator="greaterThan">
      <formula>0.1</formula>
    </cfRule>
    <cfRule type="cellIs" dxfId="428" priority="1298" operator="greaterThan">
      <formula>15</formula>
    </cfRule>
  </conditionalFormatting>
  <conditionalFormatting sqref="FG35:FG41">
    <cfRule type="cellIs" dxfId="427" priority="1295" operator="greaterThan">
      <formula>0.1</formula>
    </cfRule>
    <cfRule type="cellIs" dxfId="426" priority="1296" operator="greaterThan">
      <formula>15</formula>
    </cfRule>
  </conditionalFormatting>
  <conditionalFormatting sqref="FJ35:FJ41">
    <cfRule type="cellIs" dxfId="425" priority="1293" operator="greaterThan">
      <formula>0.1</formula>
    </cfRule>
    <cfRule type="cellIs" dxfId="424" priority="1294" operator="greaterThan">
      <formula>15</formula>
    </cfRule>
  </conditionalFormatting>
  <conditionalFormatting sqref="EU44:EU50">
    <cfRule type="cellIs" dxfId="423" priority="1291" operator="greaterThan">
      <formula>0.1</formula>
    </cfRule>
    <cfRule type="cellIs" dxfId="422" priority="1292" operator="greaterThan">
      <formula>15</formula>
    </cfRule>
  </conditionalFormatting>
  <conditionalFormatting sqref="EX44:EX50">
    <cfRule type="cellIs" dxfId="421" priority="1289" operator="greaterThan">
      <formula>0.1</formula>
    </cfRule>
    <cfRule type="cellIs" dxfId="420" priority="1290" operator="greaterThan">
      <formula>15</formula>
    </cfRule>
  </conditionalFormatting>
  <conditionalFormatting sqref="FA44:FA50 FD44:FD50 FG44:FG50 FJ44:FJ50">
    <cfRule type="cellIs" dxfId="419" priority="1287" operator="greaterThan">
      <formula>0.1</formula>
    </cfRule>
    <cfRule type="cellIs" dxfId="418" priority="1288" operator="greaterThan">
      <formula>15</formula>
    </cfRule>
  </conditionalFormatting>
  <conditionalFormatting sqref="EU53:EU59">
    <cfRule type="cellIs" dxfId="417" priority="1285" operator="greaterThan">
      <formula>0.1</formula>
    </cfRule>
    <cfRule type="cellIs" dxfId="416" priority="1286" operator="greaterThan">
      <formula>15</formula>
    </cfRule>
  </conditionalFormatting>
  <conditionalFormatting sqref="EX53:EX59">
    <cfRule type="cellIs" dxfId="415" priority="1283" operator="greaterThan">
      <formula>0.1</formula>
    </cfRule>
    <cfRule type="cellIs" dxfId="414" priority="1284" operator="greaterThan">
      <formula>15</formula>
    </cfRule>
  </conditionalFormatting>
  <conditionalFormatting sqref="FA53:FA59 FD53:FD59 FG53:FG59 FJ53:FJ59">
    <cfRule type="cellIs" dxfId="413" priority="1281" operator="greaterThan">
      <formula>0.1</formula>
    </cfRule>
    <cfRule type="cellIs" dxfId="412" priority="1282" operator="greaterThan">
      <formula>15</formula>
    </cfRule>
  </conditionalFormatting>
  <conditionalFormatting sqref="GZ17:GZ23">
    <cfRule type="cellIs" dxfId="411" priority="31" operator="greaterThan">
      <formula>0.049</formula>
    </cfRule>
  </conditionalFormatting>
  <conditionalFormatting sqref="HC17:HC23">
    <cfRule type="cellIs" dxfId="410" priority="30" operator="greaterThan">
      <formula>0.049</formula>
    </cfRule>
  </conditionalFormatting>
  <conditionalFormatting sqref="HF17:HF23">
    <cfRule type="cellIs" dxfId="409" priority="29" operator="greaterThan">
      <formula>0.049</formula>
    </cfRule>
  </conditionalFormatting>
  <conditionalFormatting sqref="HI17:HI23">
    <cfRule type="cellIs" dxfId="408" priority="28" operator="greaterThan">
      <formula>0.049</formula>
    </cfRule>
  </conditionalFormatting>
  <conditionalFormatting sqref="HL17:HL23">
    <cfRule type="cellIs" dxfId="407" priority="27" operator="greaterThan">
      <formula>0.049</formula>
    </cfRule>
  </conditionalFormatting>
  <conditionalFormatting sqref="GW26:GW32">
    <cfRule type="cellIs" dxfId="406" priority="26" operator="greaterThan">
      <formula>0.049</formula>
    </cfRule>
  </conditionalFormatting>
  <conditionalFormatting sqref="GZ26:GZ32">
    <cfRule type="cellIs" dxfId="405" priority="25" operator="greaterThan">
      <formula>0.049</formula>
    </cfRule>
  </conditionalFormatting>
  <conditionalFormatting sqref="HC26:HC32">
    <cfRule type="cellIs" dxfId="404" priority="24" operator="greaterThan">
      <formula>0.049</formula>
    </cfRule>
  </conditionalFormatting>
  <conditionalFormatting sqref="HF26:HF32">
    <cfRule type="cellIs" dxfId="403" priority="23" operator="greaterThan">
      <formula>0.049</formula>
    </cfRule>
  </conditionalFormatting>
  <conditionalFormatting sqref="HI26:HI32">
    <cfRule type="cellIs" dxfId="402" priority="22" operator="greaterThan">
      <formula>0.049</formula>
    </cfRule>
  </conditionalFormatting>
  <conditionalFormatting sqref="HL26:HL32">
    <cfRule type="cellIs" dxfId="401" priority="21" operator="greaterThan">
      <formula>0.049</formula>
    </cfRule>
  </conditionalFormatting>
  <conditionalFormatting sqref="GW35:GW41">
    <cfRule type="cellIs" dxfId="400" priority="20" operator="greaterThan">
      <formula>0.049</formula>
    </cfRule>
  </conditionalFormatting>
  <conditionalFormatting sqref="GZ35:GZ41">
    <cfRule type="cellIs" dxfId="399" priority="19" operator="greaterThan">
      <formula>0.049</formula>
    </cfRule>
  </conditionalFormatting>
  <conditionalFormatting sqref="HC35:HC41">
    <cfRule type="cellIs" dxfId="398" priority="18" operator="greaterThan">
      <formula>0.049</formula>
    </cfRule>
  </conditionalFormatting>
  <conditionalFormatting sqref="HF35:HF41">
    <cfRule type="cellIs" dxfId="397" priority="17" operator="greaterThan">
      <formula>0.049</formula>
    </cfRule>
  </conditionalFormatting>
  <conditionalFormatting sqref="HI35:HI41">
    <cfRule type="cellIs" dxfId="396" priority="16" operator="greaterThan">
      <formula>0.049</formula>
    </cfRule>
  </conditionalFormatting>
  <conditionalFormatting sqref="HL35:HL41">
    <cfRule type="cellIs" dxfId="395" priority="15" operator="greaterThan">
      <formula>0.049</formula>
    </cfRule>
  </conditionalFormatting>
  <conditionalFormatting sqref="GW44:GW50">
    <cfRule type="cellIs" dxfId="394" priority="14" operator="greaterThan">
      <formula>0.049</formula>
    </cfRule>
  </conditionalFormatting>
  <conditionalFormatting sqref="GZ44:GZ50">
    <cfRule type="cellIs" dxfId="393" priority="13" operator="greaterThan">
      <formula>0.049</formula>
    </cfRule>
  </conditionalFormatting>
  <conditionalFormatting sqref="HC44:HC50">
    <cfRule type="cellIs" dxfId="392" priority="12" operator="greaterThan">
      <formula>0.049</formula>
    </cfRule>
  </conditionalFormatting>
  <conditionalFormatting sqref="HF44:HF50">
    <cfRule type="cellIs" dxfId="391" priority="11" operator="greaterThan">
      <formula>0.049</formula>
    </cfRule>
  </conditionalFormatting>
  <conditionalFormatting sqref="HI44:HI50">
    <cfRule type="cellIs" dxfId="390" priority="10" operator="greaterThan">
      <formula>0.049</formula>
    </cfRule>
  </conditionalFormatting>
  <conditionalFormatting sqref="HL44:HL50">
    <cfRule type="cellIs" dxfId="389" priority="9" operator="greaterThan">
      <formula>0.049</formula>
    </cfRule>
  </conditionalFormatting>
  <conditionalFormatting sqref="GW53:GW59">
    <cfRule type="cellIs" dxfId="388" priority="8" operator="greaterThan">
      <formula>0.049</formula>
    </cfRule>
  </conditionalFormatting>
  <conditionalFormatting sqref="GZ53:GZ59">
    <cfRule type="cellIs" dxfId="387" priority="7" operator="greaterThan">
      <formula>0.049</formula>
    </cfRule>
  </conditionalFormatting>
  <conditionalFormatting sqref="H81:AE81 AG81:AH81">
    <cfRule type="cellIs" dxfId="386" priority="1" operator="equal">
      <formula>43</formula>
    </cfRule>
    <cfRule type="cellIs" dxfId="385" priority="2" operator="equal">
      <formula>35</formula>
    </cfRule>
    <cfRule type="cellIs" dxfId="384" priority="3" operator="equal">
      <formula>34</formula>
    </cfRule>
    <cfRule type="cellIs" dxfId="383" priority="4" operator="equal">
      <formula>20</formula>
    </cfRule>
    <cfRule type="cellIs" dxfId="382" priority="5" operator="equal">
      <formula>4</formula>
    </cfRule>
    <cfRule type="cellIs" dxfId="381" priority="6" operator="equal">
      <formula>2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3:DB246"/>
  <sheetViews>
    <sheetView zoomScale="60" zoomScaleNormal="60" workbookViewId="0">
      <pane xSplit="3" ySplit="1" topLeftCell="D14" activePane="bottomRight" state="frozen"/>
      <selection pane="topRight" activeCell="D1" sqref="D1"/>
      <selection pane="bottomLeft" activeCell="A3" sqref="A3"/>
      <selection pane="bottomRight" activeCell="BF39" sqref="BF39"/>
    </sheetView>
  </sheetViews>
  <sheetFormatPr defaultColWidth="4.625" defaultRowHeight="17.25"/>
  <cols>
    <col min="1" max="3" width="4.625" style="282"/>
    <col min="4" max="4" width="9.875" style="282" bestFit="1" customWidth="1"/>
    <col min="5" max="5" width="8.625" style="282" bestFit="1" customWidth="1"/>
    <col min="6" max="6" width="5.625" style="282" bestFit="1" customWidth="1"/>
    <col min="7" max="7" width="7.875" style="282" customWidth="1"/>
    <col min="8" max="8" width="5.875" style="282" customWidth="1"/>
    <col min="9" max="9" width="6.75" style="282" customWidth="1"/>
    <col min="10" max="10" width="6.75" style="282" bestFit="1" customWidth="1"/>
    <col min="11" max="11" width="7" style="282" bestFit="1" customWidth="1"/>
    <col min="12" max="12" width="6.375" style="282" bestFit="1" customWidth="1"/>
    <col min="13" max="13" width="7" style="282" bestFit="1" customWidth="1"/>
    <col min="14" max="14" width="6.375" style="282" bestFit="1" customWidth="1"/>
    <col min="15" max="30" width="5.625" style="282" customWidth="1"/>
    <col min="31" max="31" width="9.5" style="282" bestFit="1" customWidth="1"/>
    <col min="32" max="36" width="5.625" style="282" customWidth="1"/>
    <col min="37" max="37" width="9.25" style="282" bestFit="1" customWidth="1"/>
    <col min="38" max="88" width="5.625" style="282" customWidth="1"/>
    <col min="89" max="89" width="5.625" style="286" customWidth="1"/>
    <col min="90" max="139" width="5.625" style="282" customWidth="1"/>
    <col min="140" max="16384" width="4.625" style="282"/>
  </cols>
  <sheetData>
    <row r="3" spans="4:96">
      <c r="D3" s="286"/>
      <c r="E3" s="286"/>
      <c r="F3" s="286"/>
      <c r="G3" s="286"/>
      <c r="H3" s="286"/>
      <c r="I3" s="286"/>
      <c r="J3" s="286"/>
      <c r="K3" s="286"/>
      <c r="L3" s="286"/>
      <c r="M3" s="283"/>
      <c r="N3" s="283"/>
      <c r="O3" s="283"/>
      <c r="P3" s="283"/>
      <c r="Q3" s="283"/>
      <c r="R3" s="283"/>
      <c r="S3" s="283"/>
      <c r="T3" s="283"/>
      <c r="U3" s="283"/>
      <c r="V3" s="283"/>
      <c r="W3" s="283"/>
      <c r="X3" s="283"/>
      <c r="Y3" s="283"/>
      <c r="Z3" s="283"/>
      <c r="AA3" s="283"/>
      <c r="AB3" s="283"/>
      <c r="AC3" s="283"/>
      <c r="AD3" s="283"/>
      <c r="AE3" s="283"/>
      <c r="AF3" s="283"/>
      <c r="AG3" s="283"/>
      <c r="AH3" s="283"/>
      <c r="AI3" s="283"/>
      <c r="AJ3" s="283"/>
      <c r="AK3" s="283"/>
      <c r="AL3" s="283"/>
      <c r="AM3" s="283"/>
      <c r="AN3" s="283"/>
      <c r="AO3" s="283">
        <v>1</v>
      </c>
      <c r="AP3" s="283">
        <v>2</v>
      </c>
      <c r="AQ3" s="283">
        <v>4</v>
      </c>
      <c r="AR3" s="283">
        <v>6</v>
      </c>
      <c r="AS3" s="283">
        <v>8</v>
      </c>
      <c r="AT3" s="283"/>
      <c r="AU3" s="283"/>
      <c r="AV3" s="283"/>
      <c r="AW3" s="283"/>
      <c r="AX3" s="283"/>
      <c r="AY3" s="283"/>
      <c r="AZ3" s="283"/>
      <c r="BA3" s="283"/>
      <c r="BB3" s="283"/>
      <c r="BC3" s="283"/>
      <c r="BD3" s="283"/>
      <c r="BE3" s="283"/>
      <c r="BF3" s="283"/>
      <c r="BG3" s="283"/>
      <c r="BH3" s="283"/>
      <c r="BI3" s="283"/>
      <c r="BJ3" s="283"/>
      <c r="BK3" s="283"/>
      <c r="BL3" s="283"/>
      <c r="BM3" s="283"/>
      <c r="BN3" s="283"/>
      <c r="BO3" s="283"/>
      <c r="BP3" s="283"/>
      <c r="BQ3" s="283"/>
      <c r="BR3" s="283"/>
      <c r="BS3" s="283"/>
      <c r="BT3" s="283"/>
      <c r="BU3" s="283"/>
      <c r="BV3" s="283"/>
      <c r="BW3" s="283"/>
      <c r="CI3" s="286"/>
      <c r="CK3" s="282"/>
    </row>
    <row r="4" spans="4:96">
      <c r="D4" s="286"/>
      <c r="E4" s="286"/>
      <c r="F4" s="286"/>
      <c r="G4" s="286"/>
      <c r="H4" s="286"/>
      <c r="I4" s="286"/>
      <c r="J4" s="286"/>
      <c r="K4" s="286"/>
      <c r="L4" s="286"/>
      <c r="M4" s="283"/>
      <c r="N4" s="283"/>
      <c r="O4" s="283"/>
      <c r="P4" s="283"/>
      <c r="Q4" s="283"/>
      <c r="R4" s="283"/>
      <c r="S4" s="283"/>
      <c r="T4" s="283"/>
      <c r="U4" s="283"/>
      <c r="V4" s="283"/>
      <c r="W4" s="283"/>
      <c r="X4" s="283"/>
      <c r="Y4" s="283"/>
      <c r="Z4" s="283"/>
      <c r="AA4" s="283"/>
      <c r="AB4" s="283"/>
      <c r="AC4" s="283"/>
      <c r="AD4" s="283"/>
      <c r="AE4" s="283"/>
      <c r="AF4" s="283"/>
      <c r="AG4" s="283"/>
      <c r="AH4" s="283"/>
      <c r="AI4" s="283"/>
      <c r="AJ4" s="283"/>
      <c r="AK4" s="283"/>
      <c r="AL4" s="283"/>
      <c r="AM4" s="283"/>
      <c r="AN4" s="283"/>
      <c r="AO4" s="283"/>
      <c r="AP4" s="283"/>
      <c r="AQ4" s="283"/>
      <c r="AR4" s="283"/>
      <c r="AS4" s="283"/>
      <c r="AT4" s="283"/>
      <c r="AU4" s="283"/>
      <c r="AV4" s="283"/>
      <c r="AW4" s="283"/>
      <c r="AX4" s="283"/>
      <c r="AY4" s="283"/>
      <c r="AZ4" s="283"/>
      <c r="BA4" s="283"/>
      <c r="BB4" s="283"/>
      <c r="BC4" s="283"/>
      <c r="BD4" s="283"/>
      <c r="BE4" s="283"/>
      <c r="BF4" s="283"/>
      <c r="BG4" s="283"/>
      <c r="BH4" s="283"/>
      <c r="BI4" s="283"/>
      <c r="BJ4" s="283"/>
      <c r="BK4" s="283"/>
      <c r="BL4" s="283"/>
      <c r="BM4" s="283"/>
      <c r="BN4" s="283"/>
      <c r="BO4" s="283"/>
      <c r="BP4" s="283"/>
      <c r="BQ4" s="283"/>
      <c r="BR4" s="283"/>
      <c r="BS4" s="283"/>
      <c r="BT4" s="283"/>
      <c r="BU4" s="283"/>
      <c r="BV4" s="283"/>
      <c r="BW4" s="283"/>
      <c r="CI4" s="286"/>
      <c r="CK4" s="282"/>
    </row>
    <row r="5" spans="4:96">
      <c r="D5" s="286"/>
      <c r="E5" s="286"/>
      <c r="F5" s="286"/>
      <c r="G5" s="286"/>
      <c r="H5" s="286"/>
      <c r="I5" s="286"/>
      <c r="J5" s="286"/>
      <c r="K5" s="286"/>
      <c r="L5" s="286"/>
      <c r="M5" s="283"/>
      <c r="N5" s="283"/>
      <c r="O5" s="283"/>
      <c r="P5" s="283"/>
      <c r="Q5" s="283"/>
      <c r="R5" s="283"/>
      <c r="S5" s="283"/>
      <c r="T5" s="283"/>
      <c r="U5" s="283"/>
      <c r="V5" s="283"/>
      <c r="W5" s="283"/>
      <c r="X5" s="283"/>
      <c r="Y5" s="283"/>
      <c r="Z5" s="283"/>
      <c r="AA5" s="283"/>
      <c r="AB5" s="283"/>
      <c r="AC5" s="283"/>
      <c r="AD5" s="283"/>
      <c r="AE5" s="283"/>
      <c r="AF5" s="283"/>
      <c r="AG5" s="283"/>
      <c r="AH5" s="283"/>
      <c r="AI5" s="283"/>
      <c r="AJ5" s="283"/>
      <c r="AK5" s="283"/>
      <c r="AL5" s="283"/>
      <c r="AM5" s="283"/>
      <c r="AN5" s="283"/>
      <c r="AO5" s="283"/>
      <c r="AP5" s="283"/>
      <c r="AQ5" s="283"/>
      <c r="AR5" s="283"/>
      <c r="AS5" s="283"/>
      <c r="AT5" s="283"/>
      <c r="AU5" s="283"/>
      <c r="AV5" s="283"/>
      <c r="AW5" s="283"/>
      <c r="AX5" s="283"/>
      <c r="AY5" s="283"/>
      <c r="AZ5" s="283"/>
      <c r="BA5" s="283"/>
      <c r="BB5" s="283"/>
      <c r="BC5" s="283"/>
      <c r="BD5" s="283"/>
      <c r="BE5" s="283"/>
      <c r="BF5" s="283"/>
      <c r="BG5" s="283"/>
      <c r="BH5" s="283"/>
      <c r="BI5" s="283"/>
      <c r="BJ5" s="283"/>
      <c r="BK5" s="283"/>
      <c r="BL5" s="283"/>
      <c r="BM5" s="283"/>
      <c r="BN5" s="283"/>
      <c r="BO5" s="283"/>
      <c r="BP5" s="283"/>
      <c r="BQ5" s="283"/>
      <c r="BR5" s="283"/>
      <c r="BS5" s="283"/>
      <c r="BT5" s="283"/>
      <c r="BU5" s="283"/>
      <c r="BV5" s="283"/>
      <c r="BW5" s="283"/>
      <c r="CI5" s="286"/>
      <c r="CK5" s="282"/>
    </row>
    <row r="6" spans="4:96">
      <c r="D6" s="286"/>
      <c r="E6" s="286"/>
      <c r="F6" s="286"/>
      <c r="G6" s="286"/>
      <c r="H6" s="286"/>
      <c r="I6" s="286"/>
      <c r="J6" s="286"/>
      <c r="K6" s="286"/>
      <c r="L6" s="286"/>
      <c r="M6" s="283"/>
      <c r="N6" s="283"/>
      <c r="O6" s="283"/>
      <c r="P6" s="283"/>
      <c r="Q6" s="283"/>
      <c r="R6" s="283"/>
      <c r="S6" s="283"/>
      <c r="T6" s="283"/>
      <c r="U6" s="283"/>
      <c r="V6" s="283"/>
      <c r="W6" s="283"/>
      <c r="X6" s="283"/>
      <c r="Y6" s="283"/>
      <c r="Z6" s="283"/>
      <c r="AA6" s="283"/>
      <c r="AB6" s="283"/>
      <c r="AC6" s="283"/>
      <c r="AD6" s="283"/>
      <c r="AE6" s="283"/>
      <c r="AF6" s="283"/>
      <c r="AG6" s="283"/>
      <c r="AH6" s="283"/>
      <c r="AI6" s="283"/>
      <c r="AJ6" s="283"/>
      <c r="AK6" s="283"/>
      <c r="AL6" s="283"/>
      <c r="AM6" s="283"/>
      <c r="AN6" s="283"/>
      <c r="AO6" s="283"/>
      <c r="AP6" s="283"/>
      <c r="AQ6" s="283"/>
      <c r="AR6" s="283"/>
      <c r="AS6" s="283"/>
      <c r="AT6" s="283"/>
      <c r="AU6" s="283"/>
      <c r="AV6" s="283"/>
      <c r="AW6" s="283"/>
      <c r="AX6" s="283"/>
      <c r="AY6" s="283"/>
      <c r="AZ6" s="283"/>
      <c r="BA6" s="283"/>
      <c r="BB6" s="283"/>
      <c r="BC6" s="283"/>
      <c r="BD6" s="283"/>
      <c r="BE6" s="283"/>
      <c r="BF6" s="283"/>
      <c r="BG6" s="283"/>
      <c r="BH6" s="283"/>
      <c r="BI6" s="283"/>
      <c r="BJ6" s="283"/>
      <c r="BK6" s="283"/>
      <c r="BL6" s="283"/>
      <c r="BM6" s="283"/>
      <c r="BN6" s="283"/>
      <c r="BO6" s="283"/>
      <c r="BP6" s="283"/>
      <c r="BQ6" s="283"/>
      <c r="BR6" s="283"/>
      <c r="BS6" s="283"/>
      <c r="BT6" s="283"/>
      <c r="BU6" s="283"/>
      <c r="BV6" s="283"/>
      <c r="BW6" s="283"/>
      <c r="CI6" s="286"/>
      <c r="CK6" s="282"/>
    </row>
    <row r="7" spans="4:96">
      <c r="D7" s="286"/>
      <c r="E7" s="286"/>
      <c r="F7" s="286"/>
      <c r="G7" s="286"/>
      <c r="H7" s="286"/>
      <c r="I7" s="286"/>
      <c r="J7" s="286"/>
      <c r="K7" s="286"/>
      <c r="L7" s="286"/>
      <c r="M7" s="286"/>
      <c r="N7" s="286"/>
      <c r="CI7" s="286"/>
      <c r="CK7" s="282"/>
    </row>
    <row r="8" spans="4:96">
      <c r="D8" s="286"/>
      <c r="E8" s="286"/>
      <c r="F8" s="286"/>
      <c r="G8" s="286"/>
      <c r="H8" s="286"/>
      <c r="I8" s="286"/>
      <c r="J8" s="286"/>
      <c r="K8" s="286"/>
      <c r="L8" s="286"/>
      <c r="M8" s="286"/>
      <c r="N8" s="286"/>
      <c r="CI8" s="286"/>
      <c r="CK8" s="282"/>
    </row>
    <row r="9" spans="4:96">
      <c r="D9" s="286"/>
      <c r="E9" s="286"/>
      <c r="F9" s="286"/>
      <c r="G9" s="287"/>
      <c r="H9" s="286"/>
      <c r="I9" s="286"/>
      <c r="J9" s="286"/>
      <c r="K9" s="286"/>
      <c r="L9" s="286"/>
      <c r="M9" s="286"/>
      <c r="N9" s="286"/>
      <c r="CI9" s="286"/>
      <c r="CK9" s="282"/>
    </row>
    <row r="10" spans="4:96">
      <c r="D10" s="286"/>
      <c r="E10" s="286"/>
      <c r="F10" s="286"/>
      <c r="G10" s="286"/>
      <c r="H10" s="286"/>
      <c r="I10" s="286"/>
      <c r="J10" s="286"/>
      <c r="K10" s="286"/>
      <c r="L10" s="286"/>
      <c r="M10" s="286"/>
      <c r="N10" s="286"/>
      <c r="P10" s="284"/>
      <c r="Q10" s="284"/>
      <c r="R10" s="284"/>
      <c r="CI10" s="286"/>
      <c r="CK10" s="282"/>
    </row>
    <row r="11" spans="4:96">
      <c r="D11" s="286"/>
      <c r="E11" s="286"/>
      <c r="F11" s="286"/>
      <c r="G11" s="286"/>
      <c r="H11" s="286"/>
      <c r="I11" s="286"/>
      <c r="J11" s="286"/>
      <c r="K11" s="286"/>
      <c r="L11" s="286"/>
      <c r="M11" s="286"/>
      <c r="N11" s="286"/>
      <c r="P11" s="284"/>
      <c r="Q11" s="284"/>
      <c r="R11" s="284"/>
      <c r="CI11" s="286"/>
      <c r="CK11" s="282"/>
    </row>
    <row r="12" spans="4:96">
      <c r="D12" s="286"/>
      <c r="E12" s="286"/>
      <c r="F12" s="286"/>
      <c r="G12" s="286"/>
      <c r="H12" s="286"/>
      <c r="I12" s="286"/>
      <c r="J12" s="286"/>
      <c r="K12" s="286"/>
      <c r="L12" s="286"/>
      <c r="M12" s="286"/>
      <c r="N12" s="286"/>
      <c r="P12" s="284"/>
      <c r="Q12" s="284"/>
      <c r="R12" s="284"/>
      <c r="CI12" s="286"/>
      <c r="CK12" s="282"/>
    </row>
    <row r="13" spans="4:96">
      <c r="D13" s="286"/>
      <c r="E13" s="286"/>
      <c r="F13" s="286"/>
      <c r="G13" s="286"/>
      <c r="H13" s="286"/>
      <c r="I13" s="286"/>
      <c r="J13" s="286"/>
      <c r="K13" s="286"/>
      <c r="L13" s="286"/>
      <c r="M13" s="286"/>
      <c r="N13" s="286"/>
      <c r="P13" s="284"/>
      <c r="Q13" s="284"/>
      <c r="R13" s="284"/>
      <c r="S13" s="283"/>
      <c r="T13" s="283"/>
      <c r="U13" s="283"/>
      <c r="V13" s="283"/>
      <c r="W13" s="283"/>
      <c r="X13" s="283"/>
      <c r="Y13" s="283"/>
      <c r="Z13" s="283"/>
      <c r="AA13" s="283"/>
      <c r="AB13" s="283"/>
      <c r="AC13" s="283"/>
      <c r="AD13" s="286"/>
      <c r="AE13" s="286"/>
      <c r="AF13" s="286"/>
      <c r="AG13" s="282" t="s">
        <v>158</v>
      </c>
      <c r="AH13" s="282" t="s">
        <v>126</v>
      </c>
      <c r="AI13" s="282" t="s">
        <v>126</v>
      </c>
      <c r="AJ13" s="282" t="s">
        <v>158</v>
      </c>
      <c r="AK13" s="282" t="s">
        <v>126</v>
      </c>
      <c r="AL13" s="282" t="s">
        <v>126</v>
      </c>
      <c r="AM13" s="282" t="s">
        <v>126</v>
      </c>
      <c r="AN13" s="282" t="s">
        <v>159</v>
      </c>
      <c r="AO13" s="282" t="s">
        <v>160</v>
      </c>
      <c r="BJ13" s="282" t="s">
        <v>133</v>
      </c>
      <c r="CI13" s="286"/>
      <c r="CK13" s="282"/>
      <c r="CR13" s="286"/>
    </row>
    <row r="14" spans="4:96">
      <c r="D14" s="286"/>
      <c r="E14" s="286"/>
      <c r="F14" s="286"/>
      <c r="G14" s="286"/>
      <c r="H14" s="286"/>
      <c r="I14" s="286"/>
      <c r="J14" s="286"/>
      <c r="K14" s="286"/>
      <c r="L14" s="286"/>
      <c r="M14" s="286"/>
      <c r="N14" s="286"/>
      <c r="P14" s="288"/>
      <c r="Q14" s="284"/>
      <c r="R14" s="283"/>
      <c r="S14" s="283"/>
      <c r="T14" s="283"/>
      <c r="U14" s="283"/>
      <c r="V14" s="283"/>
      <c r="W14" s="283"/>
      <c r="X14" s="283"/>
      <c r="Y14" s="283"/>
      <c r="Z14" s="283"/>
      <c r="AA14" s="283"/>
      <c r="AB14" s="283"/>
      <c r="AC14" s="283"/>
      <c r="AD14" s="286"/>
      <c r="AE14" s="286"/>
      <c r="AF14" s="286"/>
      <c r="AG14" s="121"/>
      <c r="AH14" s="120"/>
      <c r="AI14" s="120"/>
      <c r="AJ14" s="120"/>
      <c r="AK14" s="120"/>
      <c r="AL14" s="120"/>
      <c r="AM14" s="120"/>
      <c r="AN14" s="289"/>
      <c r="AO14" s="290"/>
      <c r="AP14" s="290"/>
      <c r="AQ14" s="290"/>
      <c r="AR14" s="290"/>
      <c r="AS14" s="290"/>
      <c r="AT14" s="290"/>
      <c r="AU14" s="290"/>
      <c r="AV14" s="290"/>
      <c r="AW14" s="290"/>
      <c r="AX14" s="290"/>
      <c r="AY14" s="290"/>
      <c r="AZ14" s="290"/>
      <c r="BA14" s="290"/>
      <c r="BB14" s="290"/>
      <c r="BF14" s="282">
        <v>723</v>
      </c>
      <c r="BJ14" s="282" t="s">
        <v>146</v>
      </c>
      <c r="BP14" s="290"/>
      <c r="CI14" s="286"/>
      <c r="CK14" s="282"/>
      <c r="CR14" s="286"/>
    </row>
    <row r="15" spans="4:96">
      <c r="D15" s="286"/>
      <c r="E15" s="286"/>
      <c r="F15" s="286"/>
      <c r="G15" s="286"/>
      <c r="H15" s="286"/>
      <c r="I15" s="286"/>
      <c r="J15" s="286"/>
      <c r="K15" s="286"/>
      <c r="L15" s="286"/>
      <c r="M15" s="286"/>
      <c r="N15" s="286"/>
      <c r="P15" s="284"/>
      <c r="Q15" s="284"/>
      <c r="R15" s="283"/>
      <c r="S15" s="283"/>
      <c r="T15" s="283"/>
      <c r="U15" s="283"/>
      <c r="V15" s="283"/>
      <c r="W15" s="283"/>
      <c r="X15" s="283"/>
      <c r="Y15" s="283"/>
      <c r="Z15" s="283"/>
      <c r="AA15" s="283"/>
      <c r="AB15" s="283"/>
      <c r="AC15" s="283"/>
      <c r="AD15" s="286"/>
      <c r="AE15" s="286"/>
      <c r="AF15" s="286"/>
      <c r="AG15" s="119" t="s">
        <v>116</v>
      </c>
      <c r="AH15" s="119" t="s">
        <v>103</v>
      </c>
      <c r="AI15" s="119" t="s">
        <v>104</v>
      </c>
      <c r="AJ15" s="119" t="s">
        <v>105</v>
      </c>
      <c r="AK15" s="119" t="s">
        <v>107</v>
      </c>
      <c r="AL15" s="119" t="s">
        <v>117</v>
      </c>
      <c r="AM15" s="119" t="s">
        <v>121</v>
      </c>
      <c r="AN15" s="119" t="s">
        <v>128</v>
      </c>
      <c r="AO15" s="119" t="s">
        <v>155</v>
      </c>
      <c r="AP15" s="119" t="s">
        <v>156</v>
      </c>
      <c r="AQ15" s="119" t="s">
        <v>392</v>
      </c>
      <c r="AR15" s="119" t="s">
        <v>393</v>
      </c>
      <c r="AS15" s="119" t="s">
        <v>175</v>
      </c>
      <c r="AT15" s="119" t="s">
        <v>176</v>
      </c>
      <c r="AU15" s="119" t="s">
        <v>177</v>
      </c>
      <c r="AV15" s="119" t="s">
        <v>182</v>
      </c>
      <c r="AW15" s="119" t="s">
        <v>210</v>
      </c>
      <c r="AX15" s="119" t="s">
        <v>211</v>
      </c>
      <c r="AY15" s="119" t="s">
        <v>212</v>
      </c>
      <c r="AZ15" s="119" t="s">
        <v>213</v>
      </c>
      <c r="BA15" s="119" t="s">
        <v>214</v>
      </c>
      <c r="BB15" s="291"/>
      <c r="BC15" s="634" t="s">
        <v>125</v>
      </c>
      <c r="BD15" s="635"/>
      <c r="BE15" s="284"/>
      <c r="BF15" s="284" t="s">
        <v>290</v>
      </c>
      <c r="BG15" s="282" t="s">
        <v>291</v>
      </c>
      <c r="BH15" s="283" t="s">
        <v>394</v>
      </c>
      <c r="BJ15" s="292" t="s">
        <v>145</v>
      </c>
      <c r="BK15" s="292"/>
      <c r="BL15" s="292"/>
      <c r="BM15" s="292"/>
      <c r="BN15" s="292"/>
      <c r="BP15" s="290"/>
      <c r="CI15" s="286"/>
      <c r="CK15" s="282"/>
      <c r="CR15" s="286"/>
    </row>
    <row r="16" spans="4:96">
      <c r="D16" s="286"/>
      <c r="E16" s="286"/>
      <c r="F16" s="286"/>
      <c r="G16" s="286"/>
      <c r="H16" s="286"/>
      <c r="I16" s="286"/>
      <c r="J16" s="286"/>
      <c r="K16" s="286"/>
      <c r="L16" s="286"/>
      <c r="M16" s="286"/>
      <c r="N16" s="286"/>
      <c r="Q16" s="284"/>
      <c r="R16" s="283"/>
      <c r="S16" s="283"/>
      <c r="T16" s="283"/>
      <c r="U16" s="283"/>
      <c r="AB16" s="283"/>
      <c r="AC16" s="283"/>
      <c r="AD16" s="286"/>
      <c r="AE16" s="286"/>
      <c r="AG16" s="570"/>
      <c r="AH16" s="570">
        <v>1</v>
      </c>
      <c r="AI16" s="570">
        <v>1</v>
      </c>
      <c r="AJ16" s="570">
        <v>1</v>
      </c>
      <c r="AK16" s="570"/>
      <c r="AL16" s="570">
        <v>1</v>
      </c>
      <c r="AM16" s="570">
        <v>1</v>
      </c>
      <c r="AN16" s="570">
        <v>1</v>
      </c>
      <c r="AO16" s="570">
        <v>1</v>
      </c>
      <c r="AP16" s="570">
        <v>1</v>
      </c>
      <c r="AQ16" s="570">
        <v>1</v>
      </c>
      <c r="AR16" s="570"/>
      <c r="AS16" s="570">
        <v>1</v>
      </c>
      <c r="AT16" s="570"/>
      <c r="AU16" s="570">
        <v>1</v>
      </c>
      <c r="AV16" s="570"/>
      <c r="AW16" s="570"/>
      <c r="AX16" s="570">
        <v>1</v>
      </c>
      <c r="AY16" s="570">
        <v>1</v>
      </c>
      <c r="AZ16" s="570">
        <v>1</v>
      </c>
      <c r="BA16" s="570">
        <v>1</v>
      </c>
      <c r="BC16" s="120">
        <v>1</v>
      </c>
      <c r="BD16" s="120">
        <f>COUNTIF(AG16:AL60,BC16)</f>
        <v>4</v>
      </c>
      <c r="BE16" s="120">
        <f>COUNTIF(AG16:BA60,BC16)</f>
        <v>15</v>
      </c>
      <c r="BF16" s="557">
        <v>1</v>
      </c>
      <c r="BG16" s="609">
        <v>1</v>
      </c>
      <c r="BH16" s="609">
        <v>1</v>
      </c>
      <c r="BJ16" s="293" t="s">
        <v>110</v>
      </c>
      <c r="BK16" s="293" t="s">
        <v>111</v>
      </c>
      <c r="BL16" s="293" t="s">
        <v>112</v>
      </c>
      <c r="BM16" s="293" t="s">
        <v>113</v>
      </c>
      <c r="BN16" s="293" t="s">
        <v>114</v>
      </c>
      <c r="BO16" s="293" t="s">
        <v>120</v>
      </c>
      <c r="BP16" s="293" t="s">
        <v>122</v>
      </c>
      <c r="BQ16" s="293" t="s">
        <v>129</v>
      </c>
      <c r="CI16" s="286"/>
      <c r="CK16" s="282"/>
    </row>
    <row r="17" spans="4:98">
      <c r="D17" s="286"/>
      <c r="E17" s="287"/>
      <c r="F17" s="287"/>
      <c r="G17" s="286"/>
      <c r="H17" s="286"/>
      <c r="I17" s="286"/>
      <c r="K17" s="286"/>
      <c r="L17" s="286"/>
      <c r="M17" s="286"/>
      <c r="N17" s="286"/>
      <c r="Q17" s="283"/>
      <c r="R17" s="283"/>
      <c r="S17" s="283"/>
      <c r="AG17" s="570"/>
      <c r="AH17" s="570">
        <v>2</v>
      </c>
      <c r="AI17" s="570">
        <v>2</v>
      </c>
      <c r="AJ17" s="570">
        <v>2</v>
      </c>
      <c r="AK17" s="570">
        <v>2</v>
      </c>
      <c r="AL17" s="570">
        <v>2</v>
      </c>
      <c r="AM17" s="570"/>
      <c r="AN17" s="570">
        <v>2</v>
      </c>
      <c r="AO17" s="570">
        <v>2</v>
      </c>
      <c r="AP17" s="570">
        <v>2</v>
      </c>
      <c r="AQ17" s="570">
        <v>2</v>
      </c>
      <c r="AR17" s="570">
        <v>2</v>
      </c>
      <c r="AS17" s="570">
        <v>2</v>
      </c>
      <c r="AT17" s="570">
        <v>2</v>
      </c>
      <c r="AU17" s="570">
        <v>2</v>
      </c>
      <c r="AV17" s="570">
        <v>2</v>
      </c>
      <c r="AW17" s="570"/>
      <c r="AX17" s="570">
        <v>2</v>
      </c>
      <c r="AY17" s="570"/>
      <c r="AZ17" s="570">
        <v>2</v>
      </c>
      <c r="BA17" s="570">
        <v>2</v>
      </c>
      <c r="BC17" s="120">
        <v>2</v>
      </c>
      <c r="BD17" s="120">
        <f>COUNTIF(AG16:AL60,BC17)</f>
        <v>5</v>
      </c>
      <c r="BE17" s="120">
        <f>COUNTIF(AG16:BA60,BC17)</f>
        <v>17</v>
      </c>
      <c r="BF17" s="557">
        <v>2</v>
      </c>
      <c r="BG17" s="609">
        <v>2</v>
      </c>
      <c r="BH17" s="609">
        <v>2</v>
      </c>
      <c r="BJ17" s="283"/>
      <c r="BK17" s="283"/>
      <c r="BL17" s="283"/>
      <c r="BM17" s="294"/>
      <c r="BN17" s="283"/>
      <c r="BO17" s="283"/>
      <c r="BP17" s="283"/>
      <c r="BQ17" s="283"/>
      <c r="BR17" s="283"/>
      <c r="BS17" s="286"/>
      <c r="CI17" s="286"/>
      <c r="CK17" s="282"/>
    </row>
    <row r="18" spans="4:98">
      <c r="D18" s="286"/>
      <c r="E18" s="286"/>
      <c r="F18" s="286"/>
      <c r="H18" s="286"/>
      <c r="I18" s="286"/>
      <c r="K18" s="286"/>
      <c r="L18" s="286"/>
      <c r="M18" s="286"/>
      <c r="N18" s="286"/>
      <c r="AG18" s="570"/>
      <c r="AH18" s="570"/>
      <c r="AI18" s="570">
        <v>3</v>
      </c>
      <c r="AJ18" s="570">
        <v>3</v>
      </c>
      <c r="AK18" s="570">
        <v>3</v>
      </c>
      <c r="AL18" s="570">
        <v>3</v>
      </c>
      <c r="AM18" s="570">
        <v>3</v>
      </c>
      <c r="AN18" s="570">
        <v>3</v>
      </c>
      <c r="AO18" s="570">
        <v>3</v>
      </c>
      <c r="AP18" s="570">
        <v>3</v>
      </c>
      <c r="AQ18" s="570">
        <v>3</v>
      </c>
      <c r="AR18" s="570"/>
      <c r="AS18" s="570">
        <v>3</v>
      </c>
      <c r="AT18" s="570">
        <v>3</v>
      </c>
      <c r="AU18" s="570"/>
      <c r="AV18" s="570">
        <v>3</v>
      </c>
      <c r="AW18" s="570">
        <v>3</v>
      </c>
      <c r="AX18" s="570">
        <v>3</v>
      </c>
      <c r="AY18" s="570">
        <v>3</v>
      </c>
      <c r="AZ18" s="570">
        <v>3</v>
      </c>
      <c r="BA18" s="570">
        <v>3</v>
      </c>
      <c r="BC18" s="120">
        <v>3</v>
      </c>
      <c r="BD18" s="120">
        <f>COUNTIF(AG16:AL60,BC18)</f>
        <v>4</v>
      </c>
      <c r="BE18" s="120">
        <f>COUNTIF(AG16:BA60,BC18)</f>
        <v>17</v>
      </c>
      <c r="BF18" s="557">
        <v>3</v>
      </c>
      <c r="BG18" s="609">
        <v>3</v>
      </c>
      <c r="BH18" s="609">
        <v>3</v>
      </c>
      <c r="BJ18" s="294"/>
      <c r="BK18" s="286"/>
      <c r="BL18" s="283"/>
      <c r="BM18" s="283"/>
      <c r="BN18" s="283"/>
      <c r="BO18" s="283"/>
      <c r="BP18" s="283"/>
      <c r="BQ18" s="294"/>
      <c r="BR18" s="283"/>
      <c r="BS18" s="286"/>
      <c r="CI18" s="286"/>
      <c r="CK18" s="282"/>
      <c r="CR18" s="286"/>
    </row>
    <row r="19" spans="4:98">
      <c r="D19" s="286"/>
      <c r="E19" s="286"/>
      <c r="F19" s="286"/>
      <c r="H19" s="286"/>
      <c r="I19" s="286"/>
      <c r="L19" s="286"/>
      <c r="M19" s="286"/>
      <c r="N19" s="286"/>
      <c r="Y19" s="282">
        <v>5</v>
      </c>
      <c r="Z19" s="282">
        <v>3</v>
      </c>
      <c r="AA19" s="282">
        <v>4</v>
      </c>
      <c r="AB19" s="282">
        <v>4</v>
      </c>
      <c r="AC19" s="282">
        <v>2</v>
      </c>
      <c r="AD19" s="282">
        <v>5</v>
      </c>
      <c r="AG19" s="570"/>
      <c r="AH19" s="570">
        <v>4</v>
      </c>
      <c r="AI19" s="570">
        <v>4</v>
      </c>
      <c r="AJ19" s="570">
        <v>4</v>
      </c>
      <c r="AK19" s="570">
        <v>4</v>
      </c>
      <c r="AL19" s="570">
        <v>4</v>
      </c>
      <c r="AM19" s="570">
        <v>4</v>
      </c>
      <c r="AN19" s="570">
        <v>4</v>
      </c>
      <c r="AO19" s="570">
        <v>4</v>
      </c>
      <c r="AP19" s="570">
        <v>4</v>
      </c>
      <c r="AQ19" s="570">
        <v>4</v>
      </c>
      <c r="AR19" s="570">
        <v>4</v>
      </c>
      <c r="AS19" s="570">
        <v>4</v>
      </c>
      <c r="AT19" s="570"/>
      <c r="AU19" s="570">
        <v>4</v>
      </c>
      <c r="AV19" s="570">
        <v>4</v>
      </c>
      <c r="AW19" s="570"/>
      <c r="AX19" s="570">
        <v>4</v>
      </c>
      <c r="AY19" s="570">
        <v>4</v>
      </c>
      <c r="AZ19" s="570">
        <v>4</v>
      </c>
      <c r="BA19" s="570">
        <v>4</v>
      </c>
      <c r="BC19" s="120">
        <v>4</v>
      </c>
      <c r="BD19" s="120">
        <f>COUNTIF(AG16:AL60,BC19)</f>
        <v>5</v>
      </c>
      <c r="BE19" s="120">
        <f>COUNTIF(AG16:BA60,BC19)</f>
        <v>18</v>
      </c>
      <c r="BF19" s="572">
        <v>4</v>
      </c>
      <c r="BG19" s="609">
        <v>4</v>
      </c>
      <c r="BH19" s="609">
        <v>4</v>
      </c>
      <c r="BJ19" s="283"/>
      <c r="BK19" s="295"/>
      <c r="BL19" s="294"/>
      <c r="BM19" s="290"/>
      <c r="BN19" s="290"/>
      <c r="BO19" s="295"/>
      <c r="BP19" s="290"/>
      <c r="BQ19" s="290"/>
      <c r="BR19" s="283"/>
      <c r="BS19" s="286"/>
      <c r="CI19" s="286"/>
      <c r="CK19" s="282"/>
      <c r="CR19" s="286"/>
    </row>
    <row r="20" spans="4:98">
      <c r="D20" s="286"/>
      <c r="E20" s="286"/>
      <c r="F20" s="286"/>
      <c r="H20" s="286"/>
      <c r="I20" s="287"/>
      <c r="L20" s="286"/>
      <c r="M20" s="286"/>
      <c r="N20" s="286"/>
      <c r="Y20" s="282">
        <v>14</v>
      </c>
      <c r="Z20" s="282">
        <v>16</v>
      </c>
      <c r="AA20" s="282">
        <v>13</v>
      </c>
      <c r="AB20" s="282">
        <v>13</v>
      </c>
      <c r="AC20" s="282">
        <v>13</v>
      </c>
      <c r="AD20" s="282">
        <v>17</v>
      </c>
      <c r="AG20" s="570"/>
      <c r="AH20" s="570">
        <v>5</v>
      </c>
      <c r="AI20" s="570">
        <v>5</v>
      </c>
      <c r="AJ20" s="570">
        <v>5</v>
      </c>
      <c r="AK20" s="570"/>
      <c r="AL20" s="570">
        <v>5</v>
      </c>
      <c r="AM20" s="570"/>
      <c r="AN20" s="570"/>
      <c r="AO20" s="570"/>
      <c r="AP20" s="570">
        <v>5</v>
      </c>
      <c r="AQ20" s="570">
        <v>5</v>
      </c>
      <c r="AR20" s="570">
        <v>5</v>
      </c>
      <c r="AS20" s="570">
        <v>5</v>
      </c>
      <c r="AT20" s="570">
        <v>5</v>
      </c>
      <c r="AU20" s="570">
        <v>5</v>
      </c>
      <c r="AV20" s="570">
        <v>5</v>
      </c>
      <c r="AW20" s="570"/>
      <c r="AX20" s="570"/>
      <c r="AY20" s="570">
        <v>5</v>
      </c>
      <c r="AZ20" s="570">
        <v>5</v>
      </c>
      <c r="BA20" s="570">
        <v>5</v>
      </c>
      <c r="BC20" s="120">
        <v>5</v>
      </c>
      <c r="BD20" s="120">
        <f>COUNTIF(AG16:AL60,BC20)</f>
        <v>4</v>
      </c>
      <c r="BE20" s="120">
        <f>COUNTIF(AG16:BA60,BC20)</f>
        <v>14</v>
      </c>
      <c r="BF20" s="609">
        <v>5</v>
      </c>
      <c r="BG20" s="609">
        <v>5</v>
      </c>
      <c r="BH20" s="609">
        <v>5</v>
      </c>
      <c r="BJ20" s="283"/>
      <c r="BK20" s="294"/>
      <c r="BL20" s="283"/>
      <c r="BM20" s="283"/>
      <c r="BN20" s="294"/>
      <c r="BO20" s="290"/>
      <c r="BP20" s="283"/>
      <c r="BQ20" s="290"/>
      <c r="BR20" s="283"/>
      <c r="BS20" s="286"/>
      <c r="BT20" s="282" t="s">
        <v>132</v>
      </c>
      <c r="CI20" s="286"/>
      <c r="CK20" s="282"/>
      <c r="CR20" s="286"/>
    </row>
    <row r="21" spans="4:98">
      <c r="D21" s="286"/>
      <c r="E21" s="286"/>
      <c r="F21" s="286"/>
      <c r="H21" s="286"/>
      <c r="I21" s="286"/>
      <c r="L21" s="286"/>
      <c r="M21" s="286"/>
      <c r="N21" s="286"/>
      <c r="Y21" s="282">
        <v>1</v>
      </c>
      <c r="AG21" s="570"/>
      <c r="AH21" s="570">
        <v>6</v>
      </c>
      <c r="AI21" s="570"/>
      <c r="AJ21" s="570"/>
      <c r="AK21" s="570">
        <v>6</v>
      </c>
      <c r="AL21" s="570">
        <v>6</v>
      </c>
      <c r="AM21" s="570"/>
      <c r="AN21" s="570">
        <v>6</v>
      </c>
      <c r="AO21" s="570">
        <v>6</v>
      </c>
      <c r="AP21" s="570">
        <v>6</v>
      </c>
      <c r="AQ21" s="570">
        <v>6</v>
      </c>
      <c r="AR21" s="570">
        <v>6</v>
      </c>
      <c r="AS21" s="570"/>
      <c r="AT21" s="570">
        <v>6</v>
      </c>
      <c r="AU21" s="570">
        <v>6</v>
      </c>
      <c r="AV21" s="570"/>
      <c r="AW21" s="570">
        <v>6</v>
      </c>
      <c r="AX21" s="570"/>
      <c r="AY21" s="570"/>
      <c r="AZ21" s="570">
        <v>6</v>
      </c>
      <c r="BA21" s="570">
        <v>6</v>
      </c>
      <c r="BB21" s="290"/>
      <c r="BC21" s="120">
        <v>6</v>
      </c>
      <c r="BD21" s="120">
        <f>COUNTIF(AG16:AL60,BC21)</f>
        <v>3</v>
      </c>
      <c r="BE21" s="120">
        <f>COUNTIF(AG16:BA60,BC21)</f>
        <v>13</v>
      </c>
      <c r="BF21" s="609">
        <v>6</v>
      </c>
      <c r="BG21" s="609">
        <v>6</v>
      </c>
      <c r="BH21" s="609">
        <v>6</v>
      </c>
      <c r="BI21" s="292">
        <v>1</v>
      </c>
      <c r="BJ21" s="296"/>
      <c r="BK21" s="296"/>
      <c r="BL21" s="296"/>
      <c r="BM21" s="296"/>
      <c r="BN21" s="296"/>
      <c r="BO21" s="295"/>
      <c r="BP21" s="295"/>
      <c r="BQ21" s="296"/>
      <c r="BR21" s="283"/>
      <c r="BS21" s="286"/>
      <c r="BT21" s="282" t="s">
        <v>136</v>
      </c>
      <c r="CI21" s="286"/>
      <c r="CK21" s="282"/>
      <c r="CR21" s="286"/>
    </row>
    <row r="22" spans="4:98">
      <c r="D22" s="286"/>
      <c r="E22" s="286"/>
      <c r="F22" s="286"/>
      <c r="H22" s="286"/>
      <c r="I22" s="286"/>
      <c r="L22" s="286"/>
      <c r="M22" s="286"/>
      <c r="N22" s="286"/>
      <c r="Q22" s="283"/>
      <c r="R22" s="283"/>
      <c r="S22" s="283"/>
      <c r="AG22" s="570"/>
      <c r="AH22" s="570">
        <v>7</v>
      </c>
      <c r="AI22" s="570">
        <v>7</v>
      </c>
      <c r="AJ22" s="570"/>
      <c r="AK22" s="570">
        <v>7</v>
      </c>
      <c r="AL22" s="570">
        <v>7</v>
      </c>
      <c r="AM22" s="570">
        <v>7</v>
      </c>
      <c r="AN22" s="570">
        <v>7</v>
      </c>
      <c r="AO22" s="570">
        <v>7</v>
      </c>
      <c r="AP22" s="570"/>
      <c r="AQ22" s="570">
        <v>7</v>
      </c>
      <c r="AR22" s="570">
        <v>7</v>
      </c>
      <c r="AS22" s="570"/>
      <c r="AT22" s="570">
        <v>7</v>
      </c>
      <c r="AU22" s="570">
        <v>7</v>
      </c>
      <c r="AV22" s="570">
        <v>7</v>
      </c>
      <c r="AW22" s="570">
        <v>7</v>
      </c>
      <c r="AX22" s="570">
        <v>7</v>
      </c>
      <c r="AY22" s="570">
        <v>7</v>
      </c>
      <c r="AZ22" s="570"/>
      <c r="BA22" s="570">
        <v>7</v>
      </c>
      <c r="BC22" s="120">
        <v>7</v>
      </c>
      <c r="BD22" s="120">
        <f>COUNTIF(AG16:AL60,BC22)</f>
        <v>4</v>
      </c>
      <c r="BE22" s="120">
        <f>COUNTIF(AG16:BA60,BC22)</f>
        <v>16</v>
      </c>
      <c r="BF22" s="609">
        <v>7</v>
      </c>
      <c r="BG22" s="609">
        <v>7</v>
      </c>
      <c r="BH22" s="609">
        <v>7</v>
      </c>
      <c r="BJ22" s="290"/>
      <c r="BK22" s="294"/>
      <c r="BL22" s="290"/>
      <c r="BM22" s="290"/>
      <c r="BN22" s="290"/>
      <c r="BO22" s="290"/>
      <c r="BP22" s="290"/>
      <c r="BQ22" s="295"/>
      <c r="BR22" s="283"/>
      <c r="BS22" s="286"/>
      <c r="CI22" s="286"/>
      <c r="CK22" s="282"/>
      <c r="CT22" s="286"/>
    </row>
    <row r="23" spans="4:98">
      <c r="D23" s="286"/>
      <c r="E23" s="286"/>
      <c r="F23" s="286"/>
      <c r="H23" s="286"/>
      <c r="I23" s="286"/>
      <c r="L23" s="286"/>
      <c r="M23" s="286"/>
      <c r="N23" s="286"/>
      <c r="Q23" s="283"/>
      <c r="R23" s="283"/>
      <c r="S23" s="283"/>
      <c r="AG23" s="570"/>
      <c r="AH23" s="570">
        <v>8</v>
      </c>
      <c r="AI23" s="570">
        <v>8</v>
      </c>
      <c r="AJ23" s="570">
        <v>8</v>
      </c>
      <c r="AK23" s="570">
        <v>8</v>
      </c>
      <c r="AL23" s="570">
        <v>8</v>
      </c>
      <c r="AM23" s="570">
        <v>8</v>
      </c>
      <c r="AN23" s="570">
        <v>8</v>
      </c>
      <c r="AO23" s="570">
        <v>8</v>
      </c>
      <c r="AP23" s="570">
        <v>8</v>
      </c>
      <c r="AQ23" s="570">
        <v>8</v>
      </c>
      <c r="AR23" s="570">
        <v>8</v>
      </c>
      <c r="AS23" s="570">
        <v>8</v>
      </c>
      <c r="AT23" s="570">
        <v>8</v>
      </c>
      <c r="AU23" s="570">
        <v>8</v>
      </c>
      <c r="AV23" s="570">
        <v>8</v>
      </c>
      <c r="AW23" s="570"/>
      <c r="AX23" s="570"/>
      <c r="AY23" s="570">
        <v>8</v>
      </c>
      <c r="AZ23" s="570">
        <v>8</v>
      </c>
      <c r="BA23" s="570">
        <v>8</v>
      </c>
      <c r="BC23" s="120">
        <v>8</v>
      </c>
      <c r="BD23" s="120">
        <f>COUNTIF(AG16:AL60,BC23)</f>
        <v>5</v>
      </c>
      <c r="BE23" s="120">
        <f>COUNTIF(AG16:BA60,BC23)</f>
        <v>18</v>
      </c>
      <c r="BF23" s="609">
        <v>8</v>
      </c>
      <c r="BG23" s="609">
        <v>8</v>
      </c>
      <c r="BH23" s="609">
        <v>8</v>
      </c>
      <c r="BJ23" s="283"/>
      <c r="BK23" s="290"/>
      <c r="BL23" s="283"/>
      <c r="BM23" s="290"/>
      <c r="BN23" s="290"/>
      <c r="BO23" s="290"/>
      <c r="BP23" s="290"/>
      <c r="BQ23" s="290"/>
      <c r="BR23" s="283"/>
      <c r="BS23" s="286"/>
      <c r="BT23" s="282" t="s">
        <v>143</v>
      </c>
      <c r="CI23" s="286"/>
      <c r="CK23" s="282"/>
      <c r="CT23" s="286"/>
    </row>
    <row r="24" spans="4:98">
      <c r="D24" s="286"/>
      <c r="E24" s="286"/>
      <c r="F24" s="286"/>
      <c r="H24" s="286"/>
      <c r="I24" s="286"/>
      <c r="L24" s="286"/>
      <c r="M24" s="286"/>
      <c r="N24" s="286"/>
      <c r="Q24" s="283"/>
      <c r="R24" s="283"/>
      <c r="S24" s="283"/>
      <c r="T24" s="283"/>
      <c r="AG24" s="570"/>
      <c r="AH24" s="570">
        <v>9</v>
      </c>
      <c r="AI24" s="570">
        <v>9</v>
      </c>
      <c r="AJ24" s="570">
        <v>9</v>
      </c>
      <c r="AK24" s="570">
        <v>9</v>
      </c>
      <c r="AL24" s="570">
        <v>9</v>
      </c>
      <c r="AM24" s="570">
        <v>9</v>
      </c>
      <c r="AN24" s="570">
        <v>9</v>
      </c>
      <c r="AO24" s="570"/>
      <c r="AP24" s="570"/>
      <c r="AQ24" s="570">
        <v>9</v>
      </c>
      <c r="AR24" s="570"/>
      <c r="AS24" s="570">
        <v>9</v>
      </c>
      <c r="AT24" s="570">
        <v>9</v>
      </c>
      <c r="AU24" s="570">
        <v>9</v>
      </c>
      <c r="AV24" s="570">
        <v>9</v>
      </c>
      <c r="AW24" s="570">
        <v>9</v>
      </c>
      <c r="AX24" s="570"/>
      <c r="AY24" s="570">
        <v>9</v>
      </c>
      <c r="AZ24" s="570"/>
      <c r="BA24" s="570">
        <v>9</v>
      </c>
      <c r="BC24" s="120">
        <v>9</v>
      </c>
      <c r="BD24" s="120">
        <f>COUNTIF(AG16:AL60,BC24)</f>
        <v>5</v>
      </c>
      <c r="BE24" s="120">
        <f>COUNTIF(AG16:BA60,BC24)</f>
        <v>15</v>
      </c>
      <c r="BF24" s="609">
        <v>9</v>
      </c>
      <c r="BG24" s="609">
        <v>9</v>
      </c>
      <c r="BH24" s="609">
        <v>9</v>
      </c>
      <c r="BJ24" s="290"/>
      <c r="BK24" s="290"/>
      <c r="BL24" s="290"/>
      <c r="BM24" s="290"/>
      <c r="BN24" s="290"/>
      <c r="BO24" s="290"/>
      <c r="BP24" s="290"/>
      <c r="BQ24" s="290"/>
      <c r="BR24" s="283"/>
      <c r="BS24" s="286"/>
      <c r="CI24" s="286"/>
      <c r="CK24" s="282"/>
      <c r="CR24" s="286"/>
    </row>
    <row r="25" spans="4:98">
      <c r="D25" s="286"/>
      <c r="E25" s="286"/>
      <c r="F25" s="286"/>
      <c r="H25" s="287"/>
      <c r="I25" s="286"/>
      <c r="L25" s="286"/>
      <c r="M25" s="286"/>
      <c r="N25" s="286"/>
      <c r="Q25" s="283"/>
      <c r="X25" s="283"/>
      <c r="Y25" s="283"/>
      <c r="Z25" s="283"/>
      <c r="AA25" s="283"/>
      <c r="AB25" s="283"/>
      <c r="AC25" s="283"/>
      <c r="AG25" s="570"/>
      <c r="AH25" s="570">
        <v>10</v>
      </c>
      <c r="AI25" s="570">
        <v>10</v>
      </c>
      <c r="AJ25" s="570">
        <v>10</v>
      </c>
      <c r="AK25" s="570">
        <v>10</v>
      </c>
      <c r="AL25" s="570">
        <v>10</v>
      </c>
      <c r="AM25" s="570"/>
      <c r="AN25" s="570">
        <v>10</v>
      </c>
      <c r="AO25" s="570">
        <v>10</v>
      </c>
      <c r="AP25" s="570">
        <v>10</v>
      </c>
      <c r="AQ25" s="570">
        <v>10</v>
      </c>
      <c r="AR25" s="570">
        <v>10</v>
      </c>
      <c r="AS25" s="570">
        <v>10</v>
      </c>
      <c r="AT25" s="570"/>
      <c r="AU25" s="570">
        <v>10</v>
      </c>
      <c r="AV25" s="570"/>
      <c r="AW25" s="570">
        <v>10</v>
      </c>
      <c r="AX25" s="570">
        <v>10</v>
      </c>
      <c r="AY25" s="570">
        <v>10</v>
      </c>
      <c r="AZ25" s="570">
        <v>10</v>
      </c>
      <c r="BA25" s="570">
        <v>10</v>
      </c>
      <c r="BC25" s="120">
        <v>10</v>
      </c>
      <c r="BD25" s="120">
        <f>COUNTIF(AG16:AL60,BC25)</f>
        <v>5</v>
      </c>
      <c r="BE25" s="120">
        <f>COUNTIF(AG16:BA60,BC25)</f>
        <v>17</v>
      </c>
      <c r="BF25" s="609">
        <v>10</v>
      </c>
      <c r="BG25" s="609">
        <v>10</v>
      </c>
      <c r="BH25" s="609">
        <v>10</v>
      </c>
      <c r="BJ25" s="290"/>
      <c r="BK25" s="290"/>
      <c r="BL25" s="290"/>
      <c r="BM25" s="290"/>
      <c r="BN25" s="290"/>
      <c r="BO25" s="290"/>
      <c r="BP25" s="290"/>
      <c r="BQ25" s="290"/>
      <c r="BR25" s="283"/>
      <c r="BS25" s="286"/>
      <c r="CI25" s="286"/>
      <c r="CK25" s="282"/>
      <c r="CR25" s="286"/>
    </row>
    <row r="26" spans="4:98">
      <c r="D26" s="286"/>
      <c r="E26" s="287"/>
      <c r="F26" s="287"/>
      <c r="H26" s="286"/>
      <c r="I26" s="286"/>
      <c r="L26" s="286"/>
      <c r="M26" s="286"/>
      <c r="N26" s="286"/>
      <c r="Q26" s="283"/>
      <c r="AG26" s="570"/>
      <c r="AH26" s="570">
        <v>11</v>
      </c>
      <c r="AI26" s="570">
        <v>11</v>
      </c>
      <c r="AJ26" s="570">
        <v>11</v>
      </c>
      <c r="AK26" s="570"/>
      <c r="AL26" s="570"/>
      <c r="AM26" s="570">
        <v>11</v>
      </c>
      <c r="AN26" s="570"/>
      <c r="AO26" s="570">
        <v>11</v>
      </c>
      <c r="AP26" s="570">
        <v>11</v>
      </c>
      <c r="AQ26" s="570">
        <v>11</v>
      </c>
      <c r="AR26" s="570">
        <v>11</v>
      </c>
      <c r="AS26" s="570">
        <v>11</v>
      </c>
      <c r="AT26" s="570">
        <v>11</v>
      </c>
      <c r="AU26" s="570">
        <v>11</v>
      </c>
      <c r="AV26" s="570">
        <v>11</v>
      </c>
      <c r="AW26" s="570">
        <v>11</v>
      </c>
      <c r="AX26" s="570">
        <v>11</v>
      </c>
      <c r="AY26" s="570">
        <v>11</v>
      </c>
      <c r="AZ26" s="570">
        <v>11</v>
      </c>
      <c r="BA26" s="570"/>
      <c r="BC26" s="120">
        <v>11</v>
      </c>
      <c r="BD26" s="120">
        <f>COUNTIF(AG16:AL60,BC26)</f>
        <v>3</v>
      </c>
      <c r="BE26" s="120">
        <f>COUNTIF(AG16:BA60,BC26)</f>
        <v>16</v>
      </c>
      <c r="BF26" s="609">
        <v>11</v>
      </c>
      <c r="BG26" s="609">
        <v>11</v>
      </c>
      <c r="BH26" s="609">
        <v>11</v>
      </c>
      <c r="BI26" s="292">
        <v>2</v>
      </c>
      <c r="BJ26" s="296"/>
      <c r="BK26" s="296"/>
      <c r="BL26" s="296"/>
      <c r="BM26" s="296"/>
      <c r="BN26" s="296"/>
      <c r="BO26" s="296"/>
      <c r="BP26" s="296"/>
      <c r="BQ26" s="296"/>
      <c r="BR26" s="286"/>
      <c r="BS26" s="286"/>
      <c r="CI26" s="286"/>
      <c r="CK26" s="282"/>
      <c r="CR26" s="286"/>
    </row>
    <row r="27" spans="4:98">
      <c r="D27" s="286"/>
      <c r="E27" s="286"/>
      <c r="F27" s="286"/>
      <c r="H27" s="286"/>
      <c r="I27" s="286"/>
      <c r="L27" s="286"/>
      <c r="M27" s="286"/>
      <c r="N27" s="286"/>
      <c r="Q27" s="283"/>
      <c r="AG27" s="570"/>
      <c r="AH27" s="570">
        <v>12</v>
      </c>
      <c r="AI27" s="570">
        <v>12</v>
      </c>
      <c r="AJ27" s="570"/>
      <c r="AK27" s="570">
        <v>12</v>
      </c>
      <c r="AL27" s="570">
        <v>12</v>
      </c>
      <c r="AM27" s="570">
        <v>12</v>
      </c>
      <c r="AN27" s="570"/>
      <c r="AO27" s="570"/>
      <c r="AP27" s="570">
        <v>12</v>
      </c>
      <c r="AQ27" s="570">
        <v>12</v>
      </c>
      <c r="AR27" s="570"/>
      <c r="AS27" s="570"/>
      <c r="AT27" s="570">
        <v>12</v>
      </c>
      <c r="AU27" s="570"/>
      <c r="AV27" s="570">
        <v>12</v>
      </c>
      <c r="AW27" s="570"/>
      <c r="AX27" s="570">
        <v>12</v>
      </c>
      <c r="AY27" s="570">
        <v>12</v>
      </c>
      <c r="AZ27" s="570">
        <v>12</v>
      </c>
      <c r="BA27" s="570">
        <v>12</v>
      </c>
      <c r="BC27" s="120">
        <v>12</v>
      </c>
      <c r="BD27" s="120">
        <f>COUNTIF(AG16:AL60,BC27)</f>
        <v>4</v>
      </c>
      <c r="BE27" s="120">
        <f>COUNTIF(AG16:BA60,BC27)</f>
        <v>13</v>
      </c>
      <c r="BF27" s="609">
        <v>12</v>
      </c>
      <c r="BG27" s="609">
        <v>12</v>
      </c>
      <c r="BH27" s="609">
        <v>12</v>
      </c>
      <c r="BJ27" s="286"/>
      <c r="BK27" s="290"/>
      <c r="BL27" s="290"/>
      <c r="BM27" s="290"/>
      <c r="BN27" s="290"/>
      <c r="BO27" s="290"/>
      <c r="BP27" s="290"/>
      <c r="BQ27" s="290"/>
      <c r="BR27" s="286"/>
      <c r="BS27" s="286"/>
      <c r="CI27" s="286"/>
      <c r="CK27" s="282"/>
      <c r="CR27" s="286"/>
    </row>
    <row r="28" spans="4:98">
      <c r="D28" s="286"/>
      <c r="E28" s="286"/>
      <c r="F28" s="286"/>
      <c r="H28" s="286"/>
      <c r="I28" s="286"/>
      <c r="L28" s="286"/>
      <c r="M28" s="286"/>
      <c r="N28" s="286"/>
      <c r="X28" s="283"/>
      <c r="Y28" s="283"/>
      <c r="Z28" s="283"/>
      <c r="AA28" s="283"/>
      <c r="AB28" s="283"/>
      <c r="AC28" s="283"/>
      <c r="AG28" s="570"/>
      <c r="AH28" s="570">
        <v>13</v>
      </c>
      <c r="AI28" s="570">
        <v>13</v>
      </c>
      <c r="AJ28" s="570">
        <v>13</v>
      </c>
      <c r="AK28" s="570"/>
      <c r="AL28" s="570"/>
      <c r="AM28" s="570">
        <v>13</v>
      </c>
      <c r="AN28" s="570"/>
      <c r="AO28" s="570">
        <v>13</v>
      </c>
      <c r="AP28" s="570">
        <v>13</v>
      </c>
      <c r="AQ28" s="570">
        <v>13</v>
      </c>
      <c r="AR28" s="570">
        <v>13</v>
      </c>
      <c r="AS28" s="570">
        <v>13</v>
      </c>
      <c r="AT28" s="570">
        <v>13</v>
      </c>
      <c r="AU28" s="570">
        <v>13</v>
      </c>
      <c r="AV28" s="570">
        <v>13</v>
      </c>
      <c r="AW28" s="570">
        <v>13</v>
      </c>
      <c r="AX28" s="570">
        <v>13</v>
      </c>
      <c r="AY28" s="570">
        <v>13</v>
      </c>
      <c r="AZ28" s="570">
        <v>13</v>
      </c>
      <c r="BA28" s="570">
        <v>13</v>
      </c>
      <c r="BC28" s="120">
        <v>13</v>
      </c>
      <c r="BD28" s="120">
        <f>COUNTIF(AG16:AL60,BC28)</f>
        <v>3</v>
      </c>
      <c r="BE28" s="120">
        <f>COUNTIF(AG16:BA60,BC28)</f>
        <v>17</v>
      </c>
      <c r="BF28" s="609">
        <v>13</v>
      </c>
      <c r="BG28" s="609">
        <v>13</v>
      </c>
      <c r="BH28" s="609">
        <v>13</v>
      </c>
      <c r="BJ28" s="286"/>
      <c r="BK28" s="290"/>
      <c r="BL28" s="290"/>
      <c r="BM28" s="290"/>
      <c r="BN28" s="290"/>
      <c r="BO28" s="290"/>
      <c r="BP28" s="290"/>
      <c r="BQ28" s="290"/>
      <c r="BR28" s="286"/>
      <c r="BS28" s="286"/>
      <c r="CI28" s="286"/>
      <c r="CK28" s="282"/>
      <c r="CS28" s="286"/>
    </row>
    <row r="29" spans="4:98">
      <c r="D29" s="286"/>
      <c r="E29" s="286"/>
      <c r="F29" s="286"/>
      <c r="H29" s="286"/>
      <c r="I29" s="286"/>
      <c r="L29" s="286"/>
      <c r="M29" s="286"/>
      <c r="N29" s="286"/>
      <c r="Z29" s="283"/>
      <c r="AA29" s="283"/>
      <c r="AB29" s="283"/>
      <c r="AC29" s="283"/>
      <c r="AG29" s="570"/>
      <c r="AH29" s="570"/>
      <c r="AI29" s="570">
        <v>14</v>
      </c>
      <c r="AJ29" s="570">
        <v>14</v>
      </c>
      <c r="AK29" s="570">
        <v>14</v>
      </c>
      <c r="AL29" s="570"/>
      <c r="AM29" s="570"/>
      <c r="AN29" s="570">
        <v>14</v>
      </c>
      <c r="AO29" s="570">
        <v>14</v>
      </c>
      <c r="AP29" s="570">
        <v>14</v>
      </c>
      <c r="AQ29" s="570"/>
      <c r="AR29" s="570">
        <v>14</v>
      </c>
      <c r="AS29" s="570"/>
      <c r="AT29" s="570">
        <v>14</v>
      </c>
      <c r="AU29" s="570">
        <v>14</v>
      </c>
      <c r="AV29" s="570">
        <v>14</v>
      </c>
      <c r="AW29" s="570">
        <v>14</v>
      </c>
      <c r="AX29" s="570">
        <v>14</v>
      </c>
      <c r="AY29" s="570">
        <v>14</v>
      </c>
      <c r="AZ29" s="570">
        <v>14</v>
      </c>
      <c r="BA29" s="570">
        <v>14</v>
      </c>
      <c r="BC29" s="120">
        <v>14</v>
      </c>
      <c r="BD29" s="120">
        <f>COUNTIF(AG16:AL60,BC29)</f>
        <v>3</v>
      </c>
      <c r="BE29" s="120">
        <f>COUNTIF(AG16:BA60,BC29)</f>
        <v>15</v>
      </c>
      <c r="BF29" s="609">
        <v>14</v>
      </c>
      <c r="BG29" s="609">
        <v>14</v>
      </c>
      <c r="BH29" s="609">
        <v>14</v>
      </c>
      <c r="BJ29" s="297"/>
      <c r="BK29" s="290"/>
      <c r="BL29" s="290"/>
      <c r="BM29" s="290"/>
      <c r="BN29" s="290"/>
      <c r="BO29" s="290"/>
      <c r="BP29" s="290"/>
      <c r="BQ29" s="295"/>
      <c r="BR29" s="286"/>
      <c r="BS29" s="286"/>
      <c r="CI29" s="286"/>
      <c r="CK29" s="282"/>
      <c r="CS29" s="286"/>
    </row>
    <row r="30" spans="4:98">
      <c r="Q30" s="283"/>
      <c r="Z30" s="283"/>
      <c r="AA30" s="283"/>
      <c r="AB30" s="283"/>
      <c r="AC30" s="283"/>
      <c r="AG30" s="570"/>
      <c r="AH30" s="570"/>
      <c r="AI30" s="570">
        <v>15</v>
      </c>
      <c r="AJ30" s="570">
        <v>15</v>
      </c>
      <c r="AK30" s="570">
        <v>15</v>
      </c>
      <c r="AL30" s="570">
        <v>15</v>
      </c>
      <c r="AM30" s="570">
        <v>15</v>
      </c>
      <c r="AN30" s="570">
        <v>15</v>
      </c>
      <c r="AO30" s="570">
        <v>15</v>
      </c>
      <c r="AP30" s="570"/>
      <c r="AQ30" s="570">
        <v>15</v>
      </c>
      <c r="AR30" s="570">
        <v>15</v>
      </c>
      <c r="AS30" s="570"/>
      <c r="AT30" s="570">
        <v>15</v>
      </c>
      <c r="AU30" s="570">
        <v>15</v>
      </c>
      <c r="AV30" s="570">
        <v>15</v>
      </c>
      <c r="AW30" s="570"/>
      <c r="AX30" s="570"/>
      <c r="AY30" s="570"/>
      <c r="AZ30" s="570">
        <v>15</v>
      </c>
      <c r="BA30" s="570">
        <v>15</v>
      </c>
      <c r="BB30" s="286"/>
      <c r="BC30" s="120">
        <v>15</v>
      </c>
      <c r="BD30" s="120">
        <f>COUNTIF(AG16:AL60,BC30)</f>
        <v>4</v>
      </c>
      <c r="BE30" s="120">
        <f>COUNTIF(AG16:BA60,BC30)</f>
        <v>14</v>
      </c>
      <c r="BF30" s="609">
        <v>15</v>
      </c>
      <c r="BG30" s="609">
        <v>15</v>
      </c>
      <c r="BH30" s="609">
        <v>15</v>
      </c>
      <c r="BJ30" s="286"/>
      <c r="BK30" s="295"/>
      <c r="BL30" s="290"/>
      <c r="BM30" s="290"/>
      <c r="BN30" s="290"/>
      <c r="BO30" s="290"/>
      <c r="BP30" s="295"/>
      <c r="BQ30" s="290"/>
      <c r="BR30" s="286"/>
      <c r="BS30" s="286"/>
      <c r="CI30" s="286"/>
      <c r="CK30" s="282"/>
      <c r="CS30" s="286"/>
    </row>
    <row r="31" spans="4:98">
      <c r="X31" s="283"/>
      <c r="Y31" s="283"/>
      <c r="AG31" s="570"/>
      <c r="AH31" s="570"/>
      <c r="AI31" s="570">
        <v>16</v>
      </c>
      <c r="AJ31" s="570">
        <v>16</v>
      </c>
      <c r="AK31" s="570">
        <v>16</v>
      </c>
      <c r="AL31" s="570">
        <v>16</v>
      </c>
      <c r="AM31" s="570">
        <v>16</v>
      </c>
      <c r="AN31" s="570">
        <v>16</v>
      </c>
      <c r="AO31" s="570">
        <v>16</v>
      </c>
      <c r="AP31" s="570">
        <v>16</v>
      </c>
      <c r="AQ31" s="570">
        <v>16</v>
      </c>
      <c r="AR31" s="570">
        <v>16</v>
      </c>
      <c r="AS31" s="570">
        <v>16</v>
      </c>
      <c r="AT31" s="570">
        <v>16</v>
      </c>
      <c r="AU31" s="570">
        <v>16</v>
      </c>
      <c r="AV31" s="570">
        <v>16</v>
      </c>
      <c r="AW31" s="570">
        <v>16</v>
      </c>
      <c r="AX31" s="570"/>
      <c r="AY31" s="570">
        <v>16</v>
      </c>
      <c r="AZ31" s="570">
        <v>16</v>
      </c>
      <c r="BA31" s="570">
        <v>16</v>
      </c>
      <c r="BC31" s="120">
        <v>16</v>
      </c>
      <c r="BD31" s="120">
        <f>COUNTIF(AG16:AL60,BC31)</f>
        <v>4</v>
      </c>
      <c r="BE31" s="120">
        <f>COUNTIF(AG16:BA60,BC31)</f>
        <v>18</v>
      </c>
      <c r="BF31" s="609">
        <v>16</v>
      </c>
      <c r="BG31" s="609">
        <v>16</v>
      </c>
      <c r="BH31" s="609">
        <v>16</v>
      </c>
      <c r="BI31" s="292">
        <v>3</v>
      </c>
      <c r="BJ31" s="292"/>
      <c r="BK31" s="296"/>
      <c r="BL31" s="296"/>
      <c r="BM31" s="296"/>
      <c r="BN31" s="296"/>
      <c r="BO31" s="296"/>
      <c r="BP31" s="296"/>
      <c r="BQ31" s="296"/>
      <c r="BR31" s="286"/>
      <c r="CI31" s="286"/>
      <c r="CK31" s="282"/>
    </row>
    <row r="32" spans="4:98">
      <c r="AG32" s="570"/>
      <c r="AH32" s="570">
        <v>17</v>
      </c>
      <c r="AI32" s="570">
        <v>17</v>
      </c>
      <c r="AJ32" s="570">
        <v>17</v>
      </c>
      <c r="AK32" s="570">
        <v>17</v>
      </c>
      <c r="AL32" s="570">
        <v>17</v>
      </c>
      <c r="AM32" s="570">
        <v>17</v>
      </c>
      <c r="AN32" s="570">
        <v>17</v>
      </c>
      <c r="AO32" s="570">
        <v>17</v>
      </c>
      <c r="AP32" s="570">
        <v>17</v>
      </c>
      <c r="AQ32" s="570">
        <v>17</v>
      </c>
      <c r="AR32" s="570">
        <v>17</v>
      </c>
      <c r="AS32" s="570">
        <v>17</v>
      </c>
      <c r="AT32" s="570">
        <v>17</v>
      </c>
      <c r="AU32" s="570">
        <v>17</v>
      </c>
      <c r="AV32" s="570">
        <v>17</v>
      </c>
      <c r="AW32" s="570"/>
      <c r="AX32" s="570">
        <v>17</v>
      </c>
      <c r="AY32" s="570">
        <v>17</v>
      </c>
      <c r="AZ32" s="570">
        <v>17</v>
      </c>
      <c r="BA32" s="570">
        <v>17</v>
      </c>
      <c r="BB32" s="286"/>
      <c r="BC32" s="120">
        <v>17</v>
      </c>
      <c r="BD32" s="120">
        <f>COUNTIF(AG16:AL60,BC32)</f>
        <v>5</v>
      </c>
      <c r="BE32" s="120">
        <f>COUNTIF(AG16:BA60,BC32)</f>
        <v>19</v>
      </c>
      <c r="BF32" s="609">
        <v>17</v>
      </c>
      <c r="BG32" s="609">
        <v>17</v>
      </c>
      <c r="BH32" s="609">
        <v>17</v>
      </c>
      <c r="BJ32" s="376" t="s">
        <v>209</v>
      </c>
      <c r="BK32" s="290"/>
      <c r="BL32" s="290"/>
      <c r="BM32" s="290"/>
      <c r="BN32" s="290"/>
      <c r="BO32" s="290"/>
      <c r="BP32" s="290"/>
      <c r="BQ32" s="290"/>
      <c r="BR32" s="286"/>
      <c r="BT32" s="283"/>
      <c r="BV32" s="286"/>
      <c r="BW32" s="286"/>
      <c r="CI32" s="286"/>
      <c r="CK32" s="282"/>
    </row>
    <row r="33" spans="16:103">
      <c r="Q33" s="283"/>
      <c r="AC33" s="283"/>
      <c r="AG33" s="570"/>
      <c r="AH33" s="570">
        <v>18</v>
      </c>
      <c r="AI33" s="570"/>
      <c r="AJ33" s="570">
        <v>18</v>
      </c>
      <c r="AK33" s="570">
        <v>18</v>
      </c>
      <c r="AL33" s="570">
        <v>18</v>
      </c>
      <c r="AM33" s="570">
        <v>18</v>
      </c>
      <c r="AN33" s="570">
        <v>18</v>
      </c>
      <c r="AO33" s="570">
        <v>18</v>
      </c>
      <c r="AP33" s="570">
        <v>18</v>
      </c>
      <c r="AQ33" s="570">
        <v>18</v>
      </c>
      <c r="AR33" s="570"/>
      <c r="AS33" s="570">
        <v>18</v>
      </c>
      <c r="AT33" s="570"/>
      <c r="AU33" s="570">
        <v>18</v>
      </c>
      <c r="AV33" s="570"/>
      <c r="AW33" s="570">
        <v>18</v>
      </c>
      <c r="AX33" s="570">
        <v>18</v>
      </c>
      <c r="AY33" s="570"/>
      <c r="AZ33" s="570">
        <v>18</v>
      </c>
      <c r="BA33" s="570"/>
      <c r="BB33" s="290"/>
      <c r="BC33" s="120">
        <v>18</v>
      </c>
      <c r="BD33" s="120">
        <f>COUNTIF(AG16:AL60,BC33)</f>
        <v>4</v>
      </c>
      <c r="BE33" s="120">
        <f>COUNTIF(AG16:BA60,BC33)</f>
        <v>14</v>
      </c>
      <c r="BF33" s="609">
        <v>18</v>
      </c>
      <c r="BG33" s="609">
        <v>18</v>
      </c>
      <c r="BH33" s="609">
        <v>18</v>
      </c>
      <c r="BI33" s="374"/>
      <c r="BJ33" s="375" t="s">
        <v>190</v>
      </c>
      <c r="BK33" s="290"/>
      <c r="BL33" s="286"/>
      <c r="BM33" s="290"/>
      <c r="BN33" s="290"/>
      <c r="BO33" s="290"/>
      <c r="BP33" s="290"/>
      <c r="BQ33" s="290"/>
      <c r="BR33" s="286"/>
      <c r="BT33" s="283"/>
      <c r="BV33" s="298"/>
      <c r="BW33" s="286"/>
    </row>
    <row r="34" spans="16:103">
      <c r="Q34" s="283"/>
      <c r="X34" s="283"/>
      <c r="Y34" s="283"/>
      <c r="Z34" s="283"/>
      <c r="AA34" s="283"/>
      <c r="AB34" s="283"/>
      <c r="AC34" s="283"/>
      <c r="AG34" s="570"/>
      <c r="AH34" s="570"/>
      <c r="AI34" s="570">
        <v>19</v>
      </c>
      <c r="AJ34" s="570">
        <v>19</v>
      </c>
      <c r="AK34" s="570">
        <v>19</v>
      </c>
      <c r="AL34" s="570">
        <v>19</v>
      </c>
      <c r="AM34" s="570">
        <v>19</v>
      </c>
      <c r="AN34" s="570">
        <v>19</v>
      </c>
      <c r="AO34" s="570">
        <v>19</v>
      </c>
      <c r="AP34" s="570">
        <v>19</v>
      </c>
      <c r="AQ34" s="570">
        <v>19</v>
      </c>
      <c r="AR34" s="570"/>
      <c r="AS34" s="570">
        <v>19</v>
      </c>
      <c r="AT34" s="570">
        <v>19</v>
      </c>
      <c r="AU34" s="570">
        <v>19</v>
      </c>
      <c r="AV34" s="570">
        <v>19</v>
      </c>
      <c r="AW34" s="570">
        <v>19</v>
      </c>
      <c r="AX34" s="570">
        <v>19</v>
      </c>
      <c r="AY34" s="570"/>
      <c r="AZ34" s="570">
        <v>19</v>
      </c>
      <c r="BA34" s="570">
        <v>19</v>
      </c>
      <c r="BC34" s="120">
        <v>19</v>
      </c>
      <c r="BD34" s="120">
        <f>COUNTIF(AG16:AL60,BC34)</f>
        <v>4</v>
      </c>
      <c r="BE34" s="120">
        <f>COUNTIF(AG16:BA60,BC34)</f>
        <v>17</v>
      </c>
      <c r="BF34" s="609">
        <v>19</v>
      </c>
      <c r="BG34" s="609">
        <v>19</v>
      </c>
      <c r="BH34" s="609">
        <v>19</v>
      </c>
    </row>
    <row r="35" spans="16:103">
      <c r="Q35" s="283"/>
      <c r="R35" s="283"/>
      <c r="S35" s="283"/>
      <c r="T35" s="283"/>
      <c r="U35" s="283"/>
      <c r="V35" s="283"/>
      <c r="W35" s="283"/>
      <c r="X35" s="283"/>
      <c r="Y35" s="283"/>
      <c r="Z35" s="283"/>
      <c r="AA35" s="283"/>
      <c r="AB35" s="283"/>
      <c r="AC35" s="283"/>
      <c r="AG35" s="570"/>
      <c r="AH35" s="570">
        <v>20</v>
      </c>
      <c r="AI35" s="570">
        <v>20</v>
      </c>
      <c r="AJ35" s="570"/>
      <c r="AK35" s="570">
        <v>20</v>
      </c>
      <c r="AL35" s="570"/>
      <c r="AM35" s="570">
        <v>20</v>
      </c>
      <c r="AN35" s="570">
        <v>20</v>
      </c>
      <c r="AO35" s="570">
        <v>20</v>
      </c>
      <c r="AP35" s="570">
        <v>20</v>
      </c>
      <c r="AQ35" s="570">
        <v>20</v>
      </c>
      <c r="AR35" s="570">
        <v>20</v>
      </c>
      <c r="AS35" s="570"/>
      <c r="AT35" s="570"/>
      <c r="AU35" s="570"/>
      <c r="AV35" s="570">
        <v>20</v>
      </c>
      <c r="AW35" s="570">
        <v>20</v>
      </c>
      <c r="AX35" s="570"/>
      <c r="AY35" s="570">
        <v>20</v>
      </c>
      <c r="AZ35" s="570"/>
      <c r="BA35" s="570">
        <v>20</v>
      </c>
      <c r="BC35" s="120">
        <v>20</v>
      </c>
      <c r="BD35" s="120">
        <f>COUNTIF(AG16:AL60,BC35)</f>
        <v>3</v>
      </c>
      <c r="BE35" s="120">
        <f>COUNTIF(AG16:BA60,BC35)</f>
        <v>13</v>
      </c>
      <c r="BF35" s="609">
        <v>20</v>
      </c>
      <c r="BG35" s="609">
        <v>20</v>
      </c>
      <c r="BH35" s="609">
        <v>20</v>
      </c>
      <c r="BJ35" s="286">
        <v>3</v>
      </c>
      <c r="BK35" s="282">
        <v>4</v>
      </c>
      <c r="BL35" s="282">
        <v>3</v>
      </c>
      <c r="BM35" s="282">
        <v>3</v>
      </c>
      <c r="BN35" s="282">
        <v>3</v>
      </c>
      <c r="BO35" s="282">
        <v>3</v>
      </c>
      <c r="BP35" s="282">
        <v>3</v>
      </c>
      <c r="BQ35" s="282">
        <v>24</v>
      </c>
      <c r="BR35" s="282">
        <v>3</v>
      </c>
      <c r="BS35" s="282">
        <v>3</v>
      </c>
      <c r="BT35" s="282">
        <v>3</v>
      </c>
      <c r="BU35" s="282">
        <v>3</v>
      </c>
      <c r="BV35" s="282">
        <v>3</v>
      </c>
      <c r="BW35" s="282">
        <v>3</v>
      </c>
      <c r="BX35" s="282">
        <v>3</v>
      </c>
      <c r="BY35" s="282">
        <v>2</v>
      </c>
      <c r="BZ35" s="282">
        <v>3</v>
      </c>
      <c r="CA35" s="282">
        <v>3</v>
      </c>
      <c r="CB35" s="282">
        <v>24</v>
      </c>
      <c r="CC35" s="282">
        <v>3</v>
      </c>
      <c r="CD35" s="286">
        <v>3</v>
      </c>
      <c r="CE35" s="286">
        <v>3</v>
      </c>
      <c r="CF35" s="286">
        <v>3</v>
      </c>
      <c r="CG35" s="297">
        <v>3</v>
      </c>
      <c r="CK35" s="282"/>
      <c r="CX35" s="286"/>
    </row>
    <row r="36" spans="16:103">
      <c r="Q36" s="283"/>
      <c r="R36" s="283"/>
      <c r="S36" s="283"/>
      <c r="T36" s="283"/>
      <c r="U36" s="283"/>
      <c r="V36" s="283"/>
      <c r="W36" s="283"/>
      <c r="X36" s="283"/>
      <c r="Y36" s="283"/>
      <c r="Z36" s="283"/>
      <c r="AA36" s="283"/>
      <c r="AB36" s="283"/>
      <c r="AC36" s="283"/>
      <c r="AG36" s="570"/>
      <c r="AH36" s="570"/>
      <c r="AI36" s="570"/>
      <c r="AJ36" s="570">
        <v>21</v>
      </c>
      <c r="AK36" s="570">
        <v>21</v>
      </c>
      <c r="AL36" s="570">
        <v>21</v>
      </c>
      <c r="AM36" s="570">
        <v>21</v>
      </c>
      <c r="AN36" s="570"/>
      <c r="AO36" s="570">
        <v>21</v>
      </c>
      <c r="AP36" s="570">
        <v>21</v>
      </c>
      <c r="AQ36" s="570"/>
      <c r="AR36" s="570"/>
      <c r="AS36" s="570"/>
      <c r="AT36" s="570">
        <v>21</v>
      </c>
      <c r="AU36" s="570">
        <v>21</v>
      </c>
      <c r="AV36" s="570"/>
      <c r="AW36" s="570">
        <v>21</v>
      </c>
      <c r="AX36" s="570">
        <v>21</v>
      </c>
      <c r="AY36" s="570">
        <v>21</v>
      </c>
      <c r="AZ36" s="570">
        <v>21</v>
      </c>
      <c r="BA36" s="570">
        <v>21</v>
      </c>
      <c r="BC36" s="120">
        <v>21</v>
      </c>
      <c r="BD36" s="120">
        <f>COUNTIF(AG16:AL60,BC36)</f>
        <v>3</v>
      </c>
      <c r="BE36" s="120">
        <f>COUNTIF(AG16:BA60,BC36)</f>
        <v>13</v>
      </c>
      <c r="BF36" s="609">
        <v>21</v>
      </c>
      <c r="BG36" s="609">
        <v>21</v>
      </c>
      <c r="BH36" s="609">
        <v>21</v>
      </c>
      <c r="BJ36" s="292" t="s">
        <v>141</v>
      </c>
      <c r="BK36" s="282" t="s">
        <v>142</v>
      </c>
      <c r="BO36" s="282" t="s">
        <v>179</v>
      </c>
      <c r="BR36" s="282" t="s">
        <v>234</v>
      </c>
      <c r="BT36" s="290"/>
      <c r="BV36" s="286"/>
      <c r="BW36" s="286"/>
      <c r="CK36" s="282"/>
      <c r="CT36" s="286"/>
    </row>
    <row r="37" spans="16:103">
      <c r="Q37" s="283"/>
      <c r="R37" s="283"/>
      <c r="S37" s="283"/>
      <c r="T37" s="283"/>
      <c r="U37" s="283"/>
      <c r="V37" s="283"/>
      <c r="W37" s="283"/>
      <c r="X37" s="283"/>
      <c r="Y37" s="283"/>
      <c r="Z37" s="283"/>
      <c r="AA37" s="283"/>
      <c r="AB37" s="283"/>
      <c r="AC37" s="283"/>
      <c r="AG37" s="570"/>
      <c r="AH37" s="570"/>
      <c r="AI37" s="570">
        <v>22</v>
      </c>
      <c r="AJ37" s="570">
        <v>22</v>
      </c>
      <c r="AK37" s="570">
        <v>22</v>
      </c>
      <c r="AL37" s="570">
        <v>22</v>
      </c>
      <c r="AM37" s="570">
        <v>22</v>
      </c>
      <c r="AN37" s="570">
        <v>22</v>
      </c>
      <c r="AO37" s="570">
        <v>22</v>
      </c>
      <c r="AP37" s="570"/>
      <c r="AQ37" s="570">
        <v>22</v>
      </c>
      <c r="AR37" s="570"/>
      <c r="AS37" s="570">
        <v>22</v>
      </c>
      <c r="AT37" s="570"/>
      <c r="AU37" s="570"/>
      <c r="AV37" s="570">
        <v>22</v>
      </c>
      <c r="AW37" s="570">
        <v>22</v>
      </c>
      <c r="AX37" s="570">
        <v>22</v>
      </c>
      <c r="AY37" s="570">
        <v>22</v>
      </c>
      <c r="AZ37" s="570"/>
      <c r="BA37" s="570">
        <v>22</v>
      </c>
      <c r="BC37" s="120">
        <v>22</v>
      </c>
      <c r="BD37" s="120">
        <f>COUNTIF(AG16:AL60,BC37)</f>
        <v>4</v>
      </c>
      <c r="BE37" s="120">
        <f>COUNTIF(AG16:BA60,BC37)</f>
        <v>14</v>
      </c>
      <c r="BF37" s="609">
        <v>22</v>
      </c>
      <c r="BG37" s="609">
        <v>22</v>
      </c>
      <c r="BH37" s="609">
        <v>22</v>
      </c>
      <c r="BJ37" s="299" t="s">
        <v>118</v>
      </c>
      <c r="BK37" s="299" t="s">
        <v>119</v>
      </c>
      <c r="BL37" s="299" t="s">
        <v>112</v>
      </c>
      <c r="BM37" s="299" t="s">
        <v>113</v>
      </c>
      <c r="BN37" s="299" t="s">
        <v>114</v>
      </c>
      <c r="BO37" s="299" t="s">
        <v>120</v>
      </c>
      <c r="BP37" s="299" t="s">
        <v>122</v>
      </c>
      <c r="BQ37" s="299" t="s">
        <v>129</v>
      </c>
      <c r="BR37" s="299" t="s">
        <v>152</v>
      </c>
      <c r="BS37" s="299" t="s">
        <v>163</v>
      </c>
      <c r="BT37" s="299" t="s">
        <v>341</v>
      </c>
      <c r="BU37" s="299" t="s">
        <v>342</v>
      </c>
      <c r="BV37" s="299" t="s">
        <v>174</v>
      </c>
      <c r="BW37" s="299" t="s">
        <v>181</v>
      </c>
      <c r="BX37" s="299" t="s">
        <v>200</v>
      </c>
      <c r="BY37" s="299" t="s">
        <v>201</v>
      </c>
      <c r="BZ37" s="299" t="s">
        <v>202</v>
      </c>
      <c r="CA37" s="299" t="s">
        <v>203</v>
      </c>
      <c r="CB37" s="299" t="s">
        <v>204</v>
      </c>
      <c r="CC37" s="299" t="s">
        <v>301</v>
      </c>
      <c r="CD37" s="299" t="s">
        <v>302</v>
      </c>
      <c r="CI37" s="286"/>
      <c r="CK37" s="282"/>
      <c r="CT37" s="286"/>
      <c r="CW37" s="283"/>
    </row>
    <row r="38" spans="16:103">
      <c r="Q38" s="283"/>
      <c r="R38" s="283"/>
      <c r="S38" s="283"/>
      <c r="T38" s="283"/>
      <c r="U38" s="283"/>
      <c r="V38" s="283"/>
      <c r="W38" s="283"/>
      <c r="X38" s="283"/>
      <c r="Y38" s="283"/>
      <c r="Z38" s="283"/>
      <c r="AA38" s="283"/>
      <c r="AB38" s="283"/>
      <c r="AC38" s="283"/>
      <c r="AG38" s="570"/>
      <c r="AH38" s="570">
        <v>23</v>
      </c>
      <c r="AI38" s="570">
        <v>23</v>
      </c>
      <c r="AJ38" s="570"/>
      <c r="AK38" s="570">
        <v>23</v>
      </c>
      <c r="AL38" s="570">
        <v>23</v>
      </c>
      <c r="AM38" s="570">
        <v>23</v>
      </c>
      <c r="AN38" s="570">
        <v>23</v>
      </c>
      <c r="AO38" s="570">
        <v>23</v>
      </c>
      <c r="AP38" s="570">
        <v>23</v>
      </c>
      <c r="AQ38" s="570">
        <v>23</v>
      </c>
      <c r="AR38" s="570">
        <v>23</v>
      </c>
      <c r="AS38" s="570">
        <v>23</v>
      </c>
      <c r="AT38" s="570"/>
      <c r="AU38" s="570">
        <v>23</v>
      </c>
      <c r="AV38" s="570">
        <v>23</v>
      </c>
      <c r="AW38" s="570">
        <v>23</v>
      </c>
      <c r="AX38" s="570">
        <v>23</v>
      </c>
      <c r="AY38" s="570">
        <v>23</v>
      </c>
      <c r="AZ38" s="570">
        <v>23</v>
      </c>
      <c r="BA38" s="570">
        <v>23</v>
      </c>
      <c r="BC38" s="120">
        <v>23</v>
      </c>
      <c r="BD38" s="120">
        <f>COUNTIF(AG16:AL60,BC38)</f>
        <v>4</v>
      </c>
      <c r="BE38" s="120">
        <f>COUNTIF(AG16:BA60,BC38)</f>
        <v>18</v>
      </c>
      <c r="BF38" s="609">
        <v>23</v>
      </c>
      <c r="BG38" s="609">
        <v>23</v>
      </c>
      <c r="BH38" s="609">
        <v>23</v>
      </c>
      <c r="BJ38" s="282">
        <v>1</v>
      </c>
      <c r="BK38" s="282">
        <v>1</v>
      </c>
      <c r="BL38" s="282">
        <v>1</v>
      </c>
      <c r="BM38" s="286">
        <v>5</v>
      </c>
      <c r="BN38" s="286">
        <v>3</v>
      </c>
      <c r="BO38" s="286">
        <v>2</v>
      </c>
      <c r="BP38" s="286">
        <v>2</v>
      </c>
      <c r="BQ38" s="286">
        <v>8</v>
      </c>
      <c r="BR38" s="286">
        <v>2</v>
      </c>
      <c r="BS38" s="286">
        <v>2</v>
      </c>
      <c r="BT38" s="286">
        <v>4</v>
      </c>
      <c r="BU38" s="286">
        <v>6</v>
      </c>
      <c r="BV38" s="286">
        <v>12</v>
      </c>
      <c r="BW38" s="286">
        <v>12</v>
      </c>
      <c r="BX38" s="286">
        <v>25</v>
      </c>
      <c r="BY38" s="286">
        <v>10</v>
      </c>
      <c r="BZ38" s="286">
        <v>2</v>
      </c>
      <c r="CA38" s="286">
        <v>2</v>
      </c>
      <c r="CB38" s="286">
        <v>18</v>
      </c>
      <c r="CC38" s="286">
        <v>5</v>
      </c>
      <c r="CD38" s="286">
        <v>10</v>
      </c>
      <c r="CE38" s="286">
        <v>1</v>
      </c>
      <c r="CF38" s="286">
        <v>9</v>
      </c>
      <c r="CG38" s="286">
        <v>3</v>
      </c>
      <c r="CH38" s="286">
        <v>5</v>
      </c>
      <c r="CI38" s="286">
        <v>1</v>
      </c>
      <c r="CJ38" s="286">
        <v>1</v>
      </c>
      <c r="CK38" s="286">
        <v>3</v>
      </c>
      <c r="CL38" s="286">
        <v>2</v>
      </c>
      <c r="CM38" s="286">
        <v>7</v>
      </c>
      <c r="CN38" s="286">
        <v>4</v>
      </c>
      <c r="CO38" s="286">
        <v>4</v>
      </c>
      <c r="CP38" s="286">
        <v>7</v>
      </c>
      <c r="CQ38" s="290">
        <v>2</v>
      </c>
      <c r="CR38" s="286">
        <v>2</v>
      </c>
      <c r="CS38" s="283">
        <v>1</v>
      </c>
      <c r="CT38" s="283">
        <v>3</v>
      </c>
      <c r="CU38" s="283"/>
      <c r="CV38" s="283"/>
      <c r="CW38" s="283"/>
    </row>
    <row r="39" spans="16:103">
      <c r="Q39" s="283"/>
      <c r="R39" s="283"/>
      <c r="S39" s="283"/>
      <c r="T39" s="283"/>
      <c r="U39" s="283"/>
      <c r="V39" s="283"/>
      <c r="W39" s="283"/>
      <c r="X39" s="283"/>
      <c r="Y39" s="283"/>
      <c r="Z39" s="283"/>
      <c r="AA39" s="283"/>
      <c r="AB39" s="283"/>
      <c r="AC39" s="283"/>
      <c r="AG39" s="570"/>
      <c r="AH39" s="570">
        <v>24</v>
      </c>
      <c r="AI39" s="570">
        <v>24</v>
      </c>
      <c r="AJ39" s="570">
        <v>24</v>
      </c>
      <c r="AK39" s="570"/>
      <c r="AL39" s="570">
        <v>24</v>
      </c>
      <c r="AM39" s="570">
        <v>24</v>
      </c>
      <c r="AN39" s="570">
        <v>24</v>
      </c>
      <c r="AO39" s="570"/>
      <c r="AP39" s="570"/>
      <c r="AQ39" s="570">
        <v>24</v>
      </c>
      <c r="AR39" s="570"/>
      <c r="AS39" s="570"/>
      <c r="AT39" s="570">
        <v>24</v>
      </c>
      <c r="AU39" s="570"/>
      <c r="AV39" s="570">
        <v>24</v>
      </c>
      <c r="AW39" s="570">
        <v>24</v>
      </c>
      <c r="AX39" s="570">
        <v>24</v>
      </c>
      <c r="AY39" s="570">
        <v>24</v>
      </c>
      <c r="AZ39" s="570">
        <v>24</v>
      </c>
      <c r="BA39" s="570">
        <v>24</v>
      </c>
      <c r="BC39" s="120">
        <v>24</v>
      </c>
      <c r="BD39" s="120">
        <f>COUNTIF(AG16:AL60,BC39)</f>
        <v>4</v>
      </c>
      <c r="BE39" s="120">
        <f>COUNTIF(AG16:BA60,BC39)</f>
        <v>14</v>
      </c>
      <c r="BF39" s="609">
        <v>24</v>
      </c>
      <c r="BG39" s="609">
        <v>24</v>
      </c>
      <c r="BH39" s="609">
        <v>24</v>
      </c>
      <c r="BJ39" s="282">
        <v>8</v>
      </c>
      <c r="BK39" s="282">
        <v>3</v>
      </c>
      <c r="BL39" s="282">
        <v>2</v>
      </c>
      <c r="BM39" s="286">
        <v>8</v>
      </c>
      <c r="BN39" s="286">
        <v>10</v>
      </c>
      <c r="BO39" s="286">
        <v>5</v>
      </c>
      <c r="BP39" s="286">
        <v>4</v>
      </c>
      <c r="BQ39" s="286">
        <v>10</v>
      </c>
      <c r="BR39" s="286">
        <v>18</v>
      </c>
      <c r="BS39" s="286">
        <v>7</v>
      </c>
      <c r="BT39" s="286">
        <v>10</v>
      </c>
      <c r="BU39" s="286">
        <v>15</v>
      </c>
      <c r="BV39" s="286">
        <v>15</v>
      </c>
      <c r="BW39" s="286">
        <v>13</v>
      </c>
      <c r="BX39" s="286">
        <v>30</v>
      </c>
      <c r="BY39" s="286">
        <v>20</v>
      </c>
      <c r="BZ39" s="286">
        <v>6</v>
      </c>
      <c r="CA39" s="286">
        <v>6</v>
      </c>
      <c r="CB39" s="286">
        <v>19</v>
      </c>
      <c r="CC39" s="286">
        <v>12</v>
      </c>
      <c r="CD39" s="286">
        <v>21</v>
      </c>
      <c r="CE39" s="286">
        <v>2</v>
      </c>
      <c r="CF39" s="286">
        <v>12</v>
      </c>
      <c r="CG39" s="286">
        <v>5</v>
      </c>
      <c r="CH39" s="286">
        <v>11</v>
      </c>
      <c r="CI39" s="286">
        <v>6</v>
      </c>
      <c r="CJ39" s="286">
        <v>2</v>
      </c>
      <c r="CK39" s="286">
        <v>6</v>
      </c>
      <c r="CL39" s="297">
        <v>15</v>
      </c>
      <c r="CM39" s="286">
        <v>9</v>
      </c>
      <c r="CN39" s="286">
        <v>13</v>
      </c>
      <c r="CO39" s="286">
        <v>7</v>
      </c>
      <c r="CP39" s="286">
        <v>8</v>
      </c>
      <c r="CQ39" s="290">
        <v>4</v>
      </c>
      <c r="CR39" s="286">
        <v>6</v>
      </c>
      <c r="CS39" s="290">
        <v>17</v>
      </c>
      <c r="CT39" s="286">
        <v>10</v>
      </c>
      <c r="CU39" s="290"/>
      <c r="CV39" s="286"/>
      <c r="CW39" s="283"/>
    </row>
    <row r="40" spans="16:103">
      <c r="Q40" s="283"/>
      <c r="R40" s="283"/>
      <c r="S40" s="283"/>
      <c r="T40" s="283"/>
      <c r="U40" s="283"/>
      <c r="V40" s="283"/>
      <c r="W40" s="283"/>
      <c r="X40" s="283"/>
      <c r="Y40" s="283"/>
      <c r="Z40" s="283"/>
      <c r="AA40" s="283"/>
      <c r="AB40" s="283"/>
      <c r="AC40" s="283"/>
      <c r="AG40" s="570"/>
      <c r="AH40" s="570"/>
      <c r="AI40" s="570">
        <v>25</v>
      </c>
      <c r="AJ40" s="570"/>
      <c r="AK40" s="570">
        <v>25</v>
      </c>
      <c r="AL40" s="570">
        <v>25</v>
      </c>
      <c r="AM40" s="570">
        <v>25</v>
      </c>
      <c r="AN40" s="570"/>
      <c r="AO40" s="570">
        <v>25</v>
      </c>
      <c r="AP40" s="570">
        <v>25</v>
      </c>
      <c r="AQ40" s="570"/>
      <c r="AR40" s="570">
        <v>25</v>
      </c>
      <c r="AS40" s="570">
        <v>25</v>
      </c>
      <c r="AT40" s="570">
        <v>25</v>
      </c>
      <c r="AU40" s="570">
        <v>25</v>
      </c>
      <c r="AV40" s="570">
        <v>25</v>
      </c>
      <c r="AW40" s="570"/>
      <c r="AX40" s="570"/>
      <c r="AY40" s="570"/>
      <c r="AZ40" s="570">
        <v>25</v>
      </c>
      <c r="BA40" s="570">
        <v>25</v>
      </c>
      <c r="BC40" s="120">
        <v>25</v>
      </c>
      <c r="BD40" s="120">
        <f>COUNTIF(AG16:AL60,BC40)</f>
        <v>3</v>
      </c>
      <c r="BE40" s="120">
        <f>COUNTIF(AG16:BA60,BC40)</f>
        <v>13</v>
      </c>
      <c r="BF40" s="609">
        <v>25</v>
      </c>
      <c r="BG40" s="609">
        <v>25</v>
      </c>
      <c r="BH40" s="609">
        <v>25</v>
      </c>
      <c r="BJ40" s="282">
        <v>19</v>
      </c>
      <c r="BK40" s="282">
        <v>16</v>
      </c>
      <c r="BL40" s="282">
        <v>8</v>
      </c>
      <c r="BM40" s="286">
        <v>16</v>
      </c>
      <c r="BN40" s="286">
        <v>20</v>
      </c>
      <c r="BO40" s="286">
        <v>6</v>
      </c>
      <c r="BP40" s="286">
        <v>5</v>
      </c>
      <c r="BQ40" s="286">
        <v>15</v>
      </c>
      <c r="BR40" s="286">
        <v>19</v>
      </c>
      <c r="BS40" s="286">
        <v>11</v>
      </c>
      <c r="BT40" s="286">
        <v>14</v>
      </c>
      <c r="BU40" s="286">
        <v>20</v>
      </c>
      <c r="BV40" s="286">
        <v>17</v>
      </c>
      <c r="BW40" s="286">
        <v>14</v>
      </c>
      <c r="BX40" s="286">
        <v>36</v>
      </c>
      <c r="BY40" s="286">
        <v>22</v>
      </c>
      <c r="BZ40" s="286">
        <v>12</v>
      </c>
      <c r="CA40" s="286">
        <v>8</v>
      </c>
      <c r="CB40" s="286">
        <v>23</v>
      </c>
      <c r="CC40" s="286">
        <v>15</v>
      </c>
      <c r="CD40" s="286">
        <v>24</v>
      </c>
      <c r="CE40" s="286">
        <v>6</v>
      </c>
      <c r="CF40" s="286">
        <v>13</v>
      </c>
      <c r="CG40" s="286">
        <v>7</v>
      </c>
      <c r="CH40" s="286">
        <v>20</v>
      </c>
      <c r="CI40" s="286">
        <v>7</v>
      </c>
      <c r="CJ40" s="286">
        <v>7</v>
      </c>
      <c r="CK40" s="286">
        <v>8</v>
      </c>
      <c r="CL40" s="290">
        <v>26</v>
      </c>
      <c r="CM40" s="290">
        <v>10</v>
      </c>
      <c r="CN40" s="290">
        <v>18</v>
      </c>
      <c r="CO40" s="290">
        <v>8</v>
      </c>
      <c r="CP40" s="290">
        <v>12</v>
      </c>
      <c r="CQ40" s="290">
        <v>9</v>
      </c>
      <c r="CR40" s="290">
        <v>21</v>
      </c>
      <c r="CS40" s="290">
        <v>18</v>
      </c>
      <c r="CT40" s="290">
        <v>17</v>
      </c>
      <c r="CU40" s="290"/>
      <c r="CV40" s="290"/>
      <c r="CW40" s="283"/>
      <c r="CY40" s="283"/>
    </row>
    <row r="41" spans="16:103">
      <c r="Q41" s="283" t="s">
        <v>131</v>
      </c>
      <c r="R41" s="283"/>
      <c r="S41" s="283"/>
      <c r="T41" s="283"/>
      <c r="U41" s="283"/>
      <c r="V41" s="283"/>
      <c r="W41" s="283"/>
      <c r="X41" s="283"/>
      <c r="Y41" s="283"/>
      <c r="Z41" s="283"/>
      <c r="AA41" s="283"/>
      <c r="AB41" s="283"/>
      <c r="AC41" s="283"/>
      <c r="AG41" s="570"/>
      <c r="AH41" s="570">
        <v>26</v>
      </c>
      <c r="AI41" s="570">
        <v>26</v>
      </c>
      <c r="AJ41" s="570">
        <v>26</v>
      </c>
      <c r="AK41" s="570">
        <v>26</v>
      </c>
      <c r="AL41" s="570">
        <v>26</v>
      </c>
      <c r="AM41" s="570">
        <v>26</v>
      </c>
      <c r="AN41" s="570"/>
      <c r="AO41" s="570">
        <v>26</v>
      </c>
      <c r="AP41" s="570"/>
      <c r="AQ41" s="570"/>
      <c r="AR41" s="570"/>
      <c r="AS41" s="570"/>
      <c r="AT41" s="570">
        <v>26</v>
      </c>
      <c r="AU41" s="570">
        <v>26</v>
      </c>
      <c r="AV41" s="570">
        <v>26</v>
      </c>
      <c r="AW41" s="570"/>
      <c r="AX41" s="570">
        <v>26</v>
      </c>
      <c r="AY41" s="570">
        <v>26</v>
      </c>
      <c r="AZ41" s="570">
        <v>26</v>
      </c>
      <c r="BA41" s="570">
        <v>26</v>
      </c>
      <c r="BB41" s="286"/>
      <c r="BC41" s="120">
        <v>26</v>
      </c>
      <c r="BD41" s="120">
        <f>COUNTIF(AG16:AL60,BC41)</f>
        <v>5</v>
      </c>
      <c r="BE41" s="120">
        <f>COUNTIF(AG16:BA60,BC41)</f>
        <v>14</v>
      </c>
      <c r="BF41" s="609">
        <v>26</v>
      </c>
      <c r="BG41" s="609">
        <v>26</v>
      </c>
      <c r="BH41" s="609">
        <v>26</v>
      </c>
      <c r="BI41" s="286"/>
      <c r="BJ41" s="282">
        <v>20</v>
      </c>
      <c r="BK41" s="282">
        <v>17</v>
      </c>
      <c r="BL41" s="282">
        <v>9</v>
      </c>
      <c r="BM41" s="286">
        <v>17</v>
      </c>
      <c r="BN41" s="286">
        <v>21</v>
      </c>
      <c r="BO41" s="286">
        <v>8</v>
      </c>
      <c r="BP41" s="286">
        <v>6</v>
      </c>
      <c r="BQ41" s="286">
        <v>16</v>
      </c>
      <c r="BR41" s="286">
        <v>23</v>
      </c>
      <c r="BS41" s="286">
        <v>13</v>
      </c>
      <c r="BT41" s="286">
        <v>17</v>
      </c>
      <c r="BU41" s="286">
        <v>21</v>
      </c>
      <c r="BV41" s="286">
        <v>19</v>
      </c>
      <c r="BW41" s="286">
        <v>15</v>
      </c>
      <c r="BX41" s="286">
        <v>39</v>
      </c>
      <c r="BY41" s="286">
        <v>27</v>
      </c>
      <c r="BZ41" s="286">
        <v>18</v>
      </c>
      <c r="CA41" s="286">
        <v>13</v>
      </c>
      <c r="CB41" s="286">
        <v>32</v>
      </c>
      <c r="CC41" s="286">
        <v>18</v>
      </c>
      <c r="CD41" s="286">
        <v>25</v>
      </c>
      <c r="CE41" s="286">
        <v>7</v>
      </c>
      <c r="CF41" s="286">
        <v>17</v>
      </c>
      <c r="CG41" s="286">
        <v>9</v>
      </c>
      <c r="CH41" s="286">
        <v>25</v>
      </c>
      <c r="CI41" s="286">
        <v>8</v>
      </c>
      <c r="CJ41" s="286">
        <v>12</v>
      </c>
      <c r="CK41" s="286">
        <v>18</v>
      </c>
      <c r="CL41" s="286">
        <v>28</v>
      </c>
      <c r="CM41" s="290">
        <v>17</v>
      </c>
      <c r="CN41" s="290">
        <v>23</v>
      </c>
      <c r="CO41" s="290">
        <v>19</v>
      </c>
      <c r="CP41" s="290">
        <v>22</v>
      </c>
      <c r="CQ41" s="290">
        <v>16</v>
      </c>
      <c r="CR41" s="290">
        <v>31</v>
      </c>
      <c r="CS41" s="290">
        <v>21</v>
      </c>
      <c r="CT41" s="290">
        <v>24</v>
      </c>
      <c r="CU41" s="290"/>
      <c r="CV41" s="290"/>
      <c r="CW41" s="283"/>
      <c r="CY41" s="283"/>
    </row>
    <row r="42" spans="16:103">
      <c r="AG42" s="570"/>
      <c r="AH42" s="570">
        <v>27</v>
      </c>
      <c r="AI42" s="570">
        <v>27</v>
      </c>
      <c r="AJ42" s="570">
        <v>27</v>
      </c>
      <c r="AK42" s="570">
        <v>27</v>
      </c>
      <c r="AL42" s="570"/>
      <c r="AM42" s="570">
        <v>27</v>
      </c>
      <c r="AN42" s="570">
        <v>27</v>
      </c>
      <c r="AO42" s="570"/>
      <c r="AP42" s="570">
        <v>27</v>
      </c>
      <c r="AQ42" s="570">
        <v>27</v>
      </c>
      <c r="AR42" s="570"/>
      <c r="AS42" s="570"/>
      <c r="AT42" s="570">
        <v>27</v>
      </c>
      <c r="AU42" s="570"/>
      <c r="AV42" s="570">
        <v>27</v>
      </c>
      <c r="AW42" s="570">
        <v>27</v>
      </c>
      <c r="AX42" s="570">
        <v>27</v>
      </c>
      <c r="AY42" s="570"/>
      <c r="AZ42" s="570">
        <v>27</v>
      </c>
      <c r="BA42" s="570">
        <v>27</v>
      </c>
      <c r="BC42" s="120">
        <v>27</v>
      </c>
      <c r="BD42" s="120">
        <f>COUNTIF(AG16:AL60,BC42)</f>
        <v>4</v>
      </c>
      <c r="BE42" s="120">
        <f>COUNTIF(AG16:BA60,BC42)</f>
        <v>14</v>
      </c>
      <c r="BF42" s="609">
        <v>27</v>
      </c>
      <c r="BG42" s="609">
        <v>27</v>
      </c>
      <c r="BH42" s="609">
        <v>27</v>
      </c>
      <c r="BI42" s="286"/>
      <c r="BJ42" s="282">
        <v>32</v>
      </c>
      <c r="BK42" s="282">
        <v>21</v>
      </c>
      <c r="BL42" s="282">
        <v>17</v>
      </c>
      <c r="BM42" s="286">
        <v>21</v>
      </c>
      <c r="BN42" s="286">
        <v>27</v>
      </c>
      <c r="BO42" s="286">
        <v>10</v>
      </c>
      <c r="BP42" s="286">
        <v>12</v>
      </c>
      <c r="BQ42" s="286">
        <v>20</v>
      </c>
      <c r="BR42" s="286">
        <v>25</v>
      </c>
      <c r="BS42" s="286">
        <v>23</v>
      </c>
      <c r="BT42" s="286">
        <v>19</v>
      </c>
      <c r="BU42" s="286">
        <v>23</v>
      </c>
      <c r="BV42" s="286">
        <v>20</v>
      </c>
      <c r="BW42" s="286">
        <v>26</v>
      </c>
      <c r="BX42" s="286">
        <v>40</v>
      </c>
      <c r="BY42" s="286">
        <v>29</v>
      </c>
      <c r="BZ42" s="286">
        <v>21</v>
      </c>
      <c r="CA42" s="286">
        <v>19</v>
      </c>
      <c r="CB42" s="286">
        <v>34</v>
      </c>
      <c r="CC42" s="286">
        <v>20</v>
      </c>
      <c r="CD42" s="286">
        <v>26</v>
      </c>
      <c r="CE42" s="286">
        <v>13</v>
      </c>
      <c r="CF42" s="286">
        <v>19</v>
      </c>
      <c r="CG42" s="286">
        <v>10</v>
      </c>
      <c r="CH42" s="286">
        <v>28</v>
      </c>
      <c r="CI42" s="286">
        <v>12</v>
      </c>
      <c r="CJ42" s="286">
        <v>17</v>
      </c>
      <c r="CK42" s="286">
        <v>19</v>
      </c>
      <c r="CL42" s="286">
        <v>31</v>
      </c>
      <c r="CM42" s="286">
        <v>24</v>
      </c>
      <c r="CN42" s="286">
        <v>29</v>
      </c>
      <c r="CO42" s="286">
        <v>21</v>
      </c>
      <c r="CP42" s="286">
        <v>27</v>
      </c>
      <c r="CQ42" s="290">
        <v>35</v>
      </c>
      <c r="CR42" s="286">
        <v>32</v>
      </c>
      <c r="CS42" s="290">
        <v>23</v>
      </c>
      <c r="CT42" s="286">
        <v>25</v>
      </c>
      <c r="CU42" s="290"/>
      <c r="CV42" s="286"/>
      <c r="CW42" s="283"/>
      <c r="CY42" s="283"/>
    </row>
    <row r="43" spans="16:103">
      <c r="Q43" s="300"/>
      <c r="R43" s="119" t="s">
        <v>279</v>
      </c>
      <c r="S43" s="301" t="s">
        <v>280</v>
      </c>
      <c r="T43" s="119" t="s">
        <v>2</v>
      </c>
      <c r="U43" s="301" t="s">
        <v>3</v>
      </c>
      <c r="V43" s="119" t="s">
        <v>4</v>
      </c>
      <c r="W43" s="301" t="s">
        <v>5</v>
      </c>
      <c r="X43" s="302" t="s">
        <v>281</v>
      </c>
      <c r="Y43" s="301"/>
      <c r="Z43" s="119" t="s">
        <v>282</v>
      </c>
      <c r="AA43" s="301" t="s">
        <v>283</v>
      </c>
      <c r="AC43" s="282" t="s">
        <v>529</v>
      </c>
      <c r="AG43" s="570"/>
      <c r="AH43" s="570">
        <v>28</v>
      </c>
      <c r="AI43" s="570"/>
      <c r="AJ43" s="570">
        <v>28</v>
      </c>
      <c r="AK43" s="570">
        <v>28</v>
      </c>
      <c r="AL43" s="570">
        <v>28</v>
      </c>
      <c r="AM43" s="570">
        <v>28</v>
      </c>
      <c r="AN43" s="570">
        <v>28</v>
      </c>
      <c r="AO43" s="570">
        <v>28</v>
      </c>
      <c r="AP43" s="570">
        <v>28</v>
      </c>
      <c r="AQ43" s="570"/>
      <c r="AR43" s="570"/>
      <c r="AS43" s="570">
        <v>28</v>
      </c>
      <c r="AT43" s="570"/>
      <c r="AU43" s="570">
        <v>28</v>
      </c>
      <c r="AV43" s="570">
        <v>28</v>
      </c>
      <c r="AW43" s="570">
        <v>28</v>
      </c>
      <c r="AX43" s="570">
        <v>28</v>
      </c>
      <c r="AY43" s="570">
        <v>28</v>
      </c>
      <c r="AZ43" s="570">
        <v>28</v>
      </c>
      <c r="BA43" s="570">
        <v>28</v>
      </c>
      <c r="BC43" s="120">
        <v>28</v>
      </c>
      <c r="BD43" s="120">
        <f>COUNTIF(AG16:AL60,BC43)</f>
        <v>4</v>
      </c>
      <c r="BE43" s="120">
        <f>COUNTIF(AG16:BA60,BC43)</f>
        <v>16</v>
      </c>
      <c r="BF43" s="609">
        <v>28</v>
      </c>
      <c r="BG43" s="609">
        <v>28</v>
      </c>
      <c r="BH43" s="609">
        <v>28</v>
      </c>
      <c r="BI43" s="286"/>
      <c r="BJ43" s="282">
        <v>34</v>
      </c>
      <c r="BK43" s="282">
        <v>24</v>
      </c>
      <c r="BL43" s="282">
        <v>18</v>
      </c>
      <c r="BM43" s="286">
        <v>25</v>
      </c>
      <c r="BN43" s="286">
        <v>30</v>
      </c>
      <c r="BO43" s="286">
        <v>16</v>
      </c>
      <c r="BP43" s="286">
        <v>17</v>
      </c>
      <c r="BQ43" s="286">
        <v>30</v>
      </c>
      <c r="BR43" s="286">
        <v>31</v>
      </c>
      <c r="BS43" s="286">
        <v>26</v>
      </c>
      <c r="BT43" s="286">
        <v>32</v>
      </c>
      <c r="BU43" s="286">
        <v>24</v>
      </c>
      <c r="BV43" s="286">
        <v>27</v>
      </c>
      <c r="BW43" s="286">
        <v>27</v>
      </c>
      <c r="BX43" s="286">
        <v>41</v>
      </c>
      <c r="BY43" s="286">
        <v>33</v>
      </c>
      <c r="BZ43" s="286">
        <v>32</v>
      </c>
      <c r="CA43" s="286">
        <v>22</v>
      </c>
      <c r="CB43" s="286">
        <v>38</v>
      </c>
      <c r="CC43" s="286">
        <v>24</v>
      </c>
      <c r="CD43" s="286">
        <v>30</v>
      </c>
      <c r="CE43" s="286">
        <v>14</v>
      </c>
      <c r="CF43" s="286">
        <v>26</v>
      </c>
      <c r="CG43" s="286">
        <v>12</v>
      </c>
      <c r="CH43" s="286">
        <v>37</v>
      </c>
      <c r="CI43" s="286">
        <v>13</v>
      </c>
      <c r="CJ43" s="286">
        <v>24</v>
      </c>
      <c r="CK43" s="286">
        <v>24</v>
      </c>
      <c r="CL43" s="286">
        <v>38</v>
      </c>
      <c r="CM43" s="290">
        <v>29</v>
      </c>
      <c r="CN43" s="290">
        <v>31</v>
      </c>
      <c r="CO43" s="290">
        <v>33</v>
      </c>
      <c r="CP43" s="290">
        <v>28</v>
      </c>
      <c r="CQ43" s="290">
        <v>45</v>
      </c>
      <c r="CR43" s="290">
        <v>33</v>
      </c>
      <c r="CS43" s="290">
        <v>38</v>
      </c>
      <c r="CT43" s="290">
        <v>27</v>
      </c>
      <c r="CU43" s="290"/>
      <c r="CV43" s="290"/>
      <c r="CW43" s="283"/>
      <c r="CY43" s="283"/>
    </row>
    <row r="44" spans="16:103">
      <c r="Q44" s="303">
        <v>540</v>
      </c>
      <c r="R44" s="119">
        <v>3</v>
      </c>
      <c r="S44" s="301">
        <v>5</v>
      </c>
      <c r="T44" s="119">
        <v>7</v>
      </c>
      <c r="U44" s="301">
        <v>5</v>
      </c>
      <c r="V44" s="119">
        <v>7</v>
      </c>
      <c r="W44" s="301">
        <v>4</v>
      </c>
      <c r="X44" s="302">
        <v>7</v>
      </c>
      <c r="Y44" s="301"/>
      <c r="Z44" s="119">
        <v>4</v>
      </c>
      <c r="AA44" s="301">
        <v>2</v>
      </c>
      <c r="AC44" s="301">
        <v>6</v>
      </c>
      <c r="AD44" s="301">
        <f>COUNTIF(Z44:Z452,AC44)</f>
        <v>28</v>
      </c>
      <c r="AE44" s="442">
        <f>AD44/AD51</f>
        <v>0.14000000000000001</v>
      </c>
      <c r="AG44" s="570"/>
      <c r="AH44" s="570">
        <v>29</v>
      </c>
      <c r="AI44" s="570"/>
      <c r="AJ44" s="570">
        <v>29</v>
      </c>
      <c r="AK44" s="570">
        <v>29</v>
      </c>
      <c r="AL44" s="570">
        <v>29</v>
      </c>
      <c r="AM44" s="570">
        <v>29</v>
      </c>
      <c r="AN44" s="570">
        <v>29</v>
      </c>
      <c r="AO44" s="570"/>
      <c r="AP44" s="570">
        <v>29</v>
      </c>
      <c r="AQ44" s="570">
        <v>29</v>
      </c>
      <c r="AR44" s="570">
        <v>29</v>
      </c>
      <c r="AS44" s="570">
        <v>29</v>
      </c>
      <c r="AT44" s="570">
        <v>29</v>
      </c>
      <c r="AU44" s="570"/>
      <c r="AV44" s="570">
        <v>29</v>
      </c>
      <c r="AW44" s="570">
        <v>29</v>
      </c>
      <c r="AX44" s="570">
        <v>29</v>
      </c>
      <c r="AY44" s="570">
        <v>29</v>
      </c>
      <c r="AZ44" s="570"/>
      <c r="BA44" s="570">
        <v>29</v>
      </c>
      <c r="BC44" s="120">
        <v>29</v>
      </c>
      <c r="BD44" s="120">
        <f>COUNTIF(AG16:AL60,BC44)</f>
        <v>4</v>
      </c>
      <c r="BE44" s="120">
        <f>COUNTIF(AG16:BA60,BC44)</f>
        <v>16</v>
      </c>
      <c r="BF44" s="609">
        <v>29</v>
      </c>
      <c r="BG44" s="609">
        <v>29</v>
      </c>
      <c r="BH44" s="609">
        <v>29</v>
      </c>
      <c r="BI44" s="286"/>
      <c r="BK44" s="282">
        <v>36</v>
      </c>
      <c r="BL44" s="282">
        <v>32</v>
      </c>
      <c r="BM44" s="286">
        <v>31</v>
      </c>
      <c r="BN44" s="286">
        <v>35</v>
      </c>
      <c r="BO44" s="286">
        <v>33</v>
      </c>
      <c r="BP44" s="286">
        <v>24</v>
      </c>
      <c r="BQ44" s="286">
        <v>36</v>
      </c>
      <c r="BR44" s="286">
        <v>36</v>
      </c>
      <c r="BS44" s="286">
        <v>34</v>
      </c>
      <c r="BT44" s="286">
        <v>40</v>
      </c>
      <c r="BU44" s="286">
        <v>38</v>
      </c>
      <c r="BV44" s="286">
        <v>30</v>
      </c>
      <c r="BW44" s="286"/>
      <c r="BY44" s="286">
        <v>36</v>
      </c>
      <c r="BZ44" s="286">
        <v>33</v>
      </c>
      <c r="CA44" s="286">
        <v>23</v>
      </c>
      <c r="CB44" s="286">
        <v>39</v>
      </c>
      <c r="CC44" s="286">
        <v>27</v>
      </c>
      <c r="CD44" s="286">
        <v>37</v>
      </c>
      <c r="CE44" s="286">
        <v>15</v>
      </c>
      <c r="CF44" s="286">
        <v>30</v>
      </c>
      <c r="CG44" s="286">
        <v>20</v>
      </c>
      <c r="CH44" s="286">
        <v>43</v>
      </c>
      <c r="CI44" s="286">
        <v>14</v>
      </c>
      <c r="CJ44" s="286">
        <v>27</v>
      </c>
      <c r="CK44" s="286">
        <v>26</v>
      </c>
      <c r="CL44" s="286"/>
      <c r="CM44" s="290">
        <v>30</v>
      </c>
      <c r="CN44" s="290">
        <v>34</v>
      </c>
      <c r="CO44" s="290">
        <v>35</v>
      </c>
      <c r="CP44" s="290">
        <v>29</v>
      </c>
      <c r="CQ44" s="290"/>
      <c r="CR44" s="290">
        <v>45</v>
      </c>
      <c r="CS44" s="290">
        <v>39</v>
      </c>
      <c r="CT44" s="290">
        <v>33</v>
      </c>
      <c r="CU44" s="290"/>
      <c r="CV44" s="290"/>
      <c r="CW44" s="283"/>
      <c r="CY44" s="283"/>
    </row>
    <row r="45" spans="16:103">
      <c r="P45" s="284"/>
      <c r="Q45" s="303">
        <v>539</v>
      </c>
      <c r="R45" s="119">
        <v>6</v>
      </c>
      <c r="S45" s="301">
        <v>6</v>
      </c>
      <c r="T45" s="119">
        <v>7</v>
      </c>
      <c r="U45" s="301">
        <v>6</v>
      </c>
      <c r="V45" s="119">
        <v>6</v>
      </c>
      <c r="W45" s="301">
        <v>7</v>
      </c>
      <c r="X45" s="302"/>
      <c r="Y45" s="301"/>
      <c r="Z45" s="119">
        <v>6</v>
      </c>
      <c r="AA45" s="301">
        <v>0</v>
      </c>
      <c r="AC45" s="301">
        <v>5</v>
      </c>
      <c r="AD45" s="301">
        <f>COUNTIF(Z44:Z450,AC45)</f>
        <v>50</v>
      </c>
      <c r="AE45" s="442">
        <f>AD45/AD51</f>
        <v>0.25</v>
      </c>
      <c r="AG45" s="570"/>
      <c r="AH45" s="570"/>
      <c r="AI45" s="570">
        <v>30</v>
      </c>
      <c r="AJ45" s="570">
        <v>30</v>
      </c>
      <c r="AK45" s="570"/>
      <c r="AL45" s="570">
        <v>30</v>
      </c>
      <c r="AM45" s="570">
        <v>30</v>
      </c>
      <c r="AN45" s="570"/>
      <c r="AO45" s="570">
        <v>30</v>
      </c>
      <c r="AP45" s="570"/>
      <c r="AQ45" s="570">
        <v>30</v>
      </c>
      <c r="AR45" s="570">
        <v>30</v>
      </c>
      <c r="AS45" s="570"/>
      <c r="AT45" s="570">
        <v>30</v>
      </c>
      <c r="AU45" s="570"/>
      <c r="AV45" s="570">
        <v>30</v>
      </c>
      <c r="AW45" s="570">
        <v>30</v>
      </c>
      <c r="AX45" s="570"/>
      <c r="AY45" s="570">
        <v>30</v>
      </c>
      <c r="AZ45" s="570"/>
      <c r="BA45" s="570">
        <v>30</v>
      </c>
      <c r="BB45" s="286"/>
      <c r="BC45" s="120">
        <v>30</v>
      </c>
      <c r="BD45" s="120">
        <f>COUNTIF(AG16:AL60,BC45)</f>
        <v>3</v>
      </c>
      <c r="BE45" s="120">
        <f>COUNTIF(AG16:BA60,BC45)</f>
        <v>12</v>
      </c>
      <c r="BF45" s="609">
        <v>30</v>
      </c>
      <c r="BG45" s="609">
        <v>30</v>
      </c>
      <c r="BH45" s="609">
        <v>30</v>
      </c>
      <c r="BI45" s="286"/>
      <c r="BK45" s="282">
        <v>39</v>
      </c>
      <c r="BL45" s="282">
        <v>33</v>
      </c>
      <c r="BM45" s="286">
        <v>33</v>
      </c>
      <c r="BN45" s="286">
        <v>36</v>
      </c>
      <c r="BO45" s="286">
        <v>34</v>
      </c>
      <c r="BP45" s="286">
        <v>25</v>
      </c>
      <c r="BQ45" s="286">
        <v>38</v>
      </c>
      <c r="BR45" s="286"/>
      <c r="BS45" s="286">
        <v>38</v>
      </c>
      <c r="BT45" s="286">
        <v>41</v>
      </c>
      <c r="BU45" s="286">
        <v>40</v>
      </c>
      <c r="BV45" s="286">
        <v>45</v>
      </c>
      <c r="BW45" s="286"/>
      <c r="BX45" s="286"/>
      <c r="BY45" s="286">
        <v>41</v>
      </c>
      <c r="BZ45" s="286">
        <v>39</v>
      </c>
      <c r="CA45" s="286">
        <v>28</v>
      </c>
      <c r="CB45" s="286">
        <v>40</v>
      </c>
      <c r="CC45" s="286">
        <v>35</v>
      </c>
      <c r="CD45" s="286"/>
      <c r="CE45" s="286">
        <v>29</v>
      </c>
      <c r="CF45" s="286">
        <v>42</v>
      </c>
      <c r="CG45" s="286">
        <v>25</v>
      </c>
      <c r="CH45" s="286">
        <v>45</v>
      </c>
      <c r="CI45" s="286">
        <v>19</v>
      </c>
      <c r="CJ45" s="286">
        <v>34</v>
      </c>
      <c r="CK45" s="286">
        <v>29</v>
      </c>
      <c r="CL45" s="286"/>
      <c r="CM45" s="290">
        <v>36</v>
      </c>
      <c r="CN45" s="290">
        <v>36</v>
      </c>
      <c r="CO45" s="290">
        <v>37</v>
      </c>
      <c r="CP45" s="290">
        <v>31</v>
      </c>
      <c r="CQ45" s="290"/>
      <c r="CR45" s="286"/>
      <c r="CS45" s="290">
        <v>45</v>
      </c>
      <c r="CT45" s="290">
        <v>36</v>
      </c>
      <c r="CU45" s="290"/>
      <c r="CV45" s="290"/>
      <c r="CW45" s="283"/>
      <c r="CY45" s="283"/>
    </row>
    <row r="46" spans="16:103">
      <c r="P46" s="284"/>
      <c r="Q46" s="303">
        <v>538</v>
      </c>
      <c r="R46" s="119">
        <v>4</v>
      </c>
      <c r="S46" s="301">
        <v>3</v>
      </c>
      <c r="T46" s="119">
        <v>5</v>
      </c>
      <c r="U46" s="301">
        <v>6</v>
      </c>
      <c r="V46" s="119">
        <v>4</v>
      </c>
      <c r="W46" s="301">
        <v>7</v>
      </c>
      <c r="X46" s="302">
        <v>7</v>
      </c>
      <c r="Y46" s="301"/>
      <c r="Z46" s="119">
        <v>3</v>
      </c>
      <c r="AA46" s="301">
        <v>3</v>
      </c>
      <c r="AC46" s="301">
        <v>4</v>
      </c>
      <c r="AD46" s="301">
        <f>COUNTIF(Z44:Z450,AC46)</f>
        <v>54</v>
      </c>
      <c r="AE46" s="442">
        <f>AD46/AD51</f>
        <v>0.27</v>
      </c>
      <c r="AG46" s="570"/>
      <c r="AH46" s="570">
        <v>31</v>
      </c>
      <c r="AI46" s="570">
        <v>31</v>
      </c>
      <c r="AJ46" s="570">
        <v>31</v>
      </c>
      <c r="AK46" s="570">
        <v>31</v>
      </c>
      <c r="AL46" s="570"/>
      <c r="AM46" s="570">
        <v>31</v>
      </c>
      <c r="AN46" s="570">
        <v>31</v>
      </c>
      <c r="AO46" s="570">
        <v>31</v>
      </c>
      <c r="AP46" s="570">
        <v>31</v>
      </c>
      <c r="AQ46" s="570">
        <v>31</v>
      </c>
      <c r="AR46" s="570">
        <v>31</v>
      </c>
      <c r="AS46" s="570">
        <v>31</v>
      </c>
      <c r="AT46" s="570">
        <v>31</v>
      </c>
      <c r="AU46" s="570">
        <v>31</v>
      </c>
      <c r="AV46" s="570">
        <v>31</v>
      </c>
      <c r="AW46" s="570">
        <v>31</v>
      </c>
      <c r="AX46" s="570">
        <v>31</v>
      </c>
      <c r="AY46" s="570">
        <v>31</v>
      </c>
      <c r="AZ46" s="570">
        <v>31</v>
      </c>
      <c r="BA46" s="570">
        <v>31</v>
      </c>
      <c r="BC46" s="120">
        <v>31</v>
      </c>
      <c r="BD46" s="120">
        <f>COUNTIF(AG16:AL60,BC46)</f>
        <v>4</v>
      </c>
      <c r="BE46" s="120">
        <f>COUNTIF(AG16:BA60,BC46)</f>
        <v>19</v>
      </c>
      <c r="BF46" s="609">
        <v>31</v>
      </c>
      <c r="BG46" s="609">
        <v>31</v>
      </c>
      <c r="BH46" s="609">
        <v>31</v>
      </c>
      <c r="BI46" s="286"/>
      <c r="BK46" s="282">
        <v>40</v>
      </c>
      <c r="BL46" s="282">
        <v>34</v>
      </c>
      <c r="BM46" s="286">
        <v>35</v>
      </c>
      <c r="BN46" s="286">
        <v>40</v>
      </c>
      <c r="BO46" s="286">
        <v>38</v>
      </c>
      <c r="BP46" s="286">
        <v>32</v>
      </c>
      <c r="BQ46" s="286">
        <v>39</v>
      </c>
      <c r="BR46" s="286"/>
      <c r="BS46" s="286">
        <v>43</v>
      </c>
      <c r="BT46" s="286"/>
      <c r="BU46" s="286">
        <v>45</v>
      </c>
      <c r="BV46" s="286"/>
      <c r="BW46" s="286"/>
      <c r="BX46" s="286"/>
      <c r="BY46" s="286">
        <v>44</v>
      </c>
      <c r="BZ46" s="286">
        <v>45</v>
      </c>
      <c r="CA46" s="286">
        <v>44</v>
      </c>
      <c r="CB46" s="286"/>
      <c r="CC46" s="286">
        <v>36</v>
      </c>
      <c r="CD46" s="286"/>
      <c r="CE46" s="286">
        <v>41</v>
      </c>
      <c r="CF46" s="286">
        <v>43</v>
      </c>
      <c r="CG46" s="286">
        <v>33</v>
      </c>
      <c r="CH46" s="286"/>
      <c r="CI46" s="286">
        <v>22</v>
      </c>
      <c r="CJ46" s="286">
        <v>39</v>
      </c>
      <c r="CK46" s="286">
        <v>31</v>
      </c>
      <c r="CL46" s="286"/>
      <c r="CM46" s="290">
        <v>37</v>
      </c>
      <c r="CN46" s="290">
        <v>42</v>
      </c>
      <c r="CO46" s="290">
        <v>40</v>
      </c>
      <c r="CP46" s="290">
        <v>33</v>
      </c>
      <c r="CQ46" s="290"/>
      <c r="CR46" s="290"/>
      <c r="CS46" s="290"/>
      <c r="CT46" s="290">
        <v>38</v>
      </c>
      <c r="CU46" s="290"/>
      <c r="CV46" s="290"/>
      <c r="CW46" s="283"/>
      <c r="CY46" s="283"/>
    </row>
    <row r="47" spans="16:103">
      <c r="P47" s="284"/>
      <c r="Q47" s="303">
        <v>537</v>
      </c>
      <c r="R47" s="119">
        <v>5</v>
      </c>
      <c r="S47" s="301">
        <v>4</v>
      </c>
      <c r="T47" s="119">
        <v>7</v>
      </c>
      <c r="U47" s="301">
        <v>7</v>
      </c>
      <c r="V47" s="119">
        <v>3</v>
      </c>
      <c r="W47" s="301">
        <v>7</v>
      </c>
      <c r="X47" s="302">
        <v>7</v>
      </c>
      <c r="Y47" s="301"/>
      <c r="Z47" s="119">
        <v>4</v>
      </c>
      <c r="AA47" s="301">
        <v>2</v>
      </c>
      <c r="AC47" s="301">
        <v>3</v>
      </c>
      <c r="AD47" s="301">
        <f>COUNTIF(Z44:Z450,AC47)</f>
        <v>38</v>
      </c>
      <c r="AE47" s="442">
        <f>AD47/AD51</f>
        <v>0.19</v>
      </c>
      <c r="AG47" s="570"/>
      <c r="AH47" s="570">
        <v>32</v>
      </c>
      <c r="AI47" s="570">
        <v>32</v>
      </c>
      <c r="AJ47" s="570">
        <v>32</v>
      </c>
      <c r="AK47" s="570">
        <v>32</v>
      </c>
      <c r="AL47" s="570">
        <v>32</v>
      </c>
      <c r="AM47" s="570">
        <v>32</v>
      </c>
      <c r="AN47" s="570">
        <v>32</v>
      </c>
      <c r="AO47" s="570">
        <v>32</v>
      </c>
      <c r="AP47" s="570">
        <v>32</v>
      </c>
      <c r="AQ47" s="570"/>
      <c r="AR47" s="570">
        <v>32</v>
      </c>
      <c r="AS47" s="570">
        <v>32</v>
      </c>
      <c r="AT47" s="570"/>
      <c r="AU47" s="570">
        <v>32</v>
      </c>
      <c r="AV47" s="570"/>
      <c r="AW47" s="570">
        <v>32</v>
      </c>
      <c r="AX47" s="570">
        <v>32</v>
      </c>
      <c r="AY47" s="570">
        <v>32</v>
      </c>
      <c r="AZ47" s="570">
        <v>32</v>
      </c>
      <c r="BA47" s="570">
        <v>32</v>
      </c>
      <c r="BC47" s="120">
        <v>32</v>
      </c>
      <c r="BD47" s="120">
        <f>COUNTIF(AG16:AL60,BC47)</f>
        <v>5</v>
      </c>
      <c r="BE47" s="120">
        <f>COUNTIF(AG16:BA60,BC47)</f>
        <v>17</v>
      </c>
      <c r="BF47" s="609">
        <v>32</v>
      </c>
      <c r="BG47" s="609">
        <v>32</v>
      </c>
      <c r="BH47" s="609">
        <v>32</v>
      </c>
      <c r="BI47" s="286"/>
      <c r="BL47" s="282">
        <v>38</v>
      </c>
      <c r="BM47" s="286"/>
      <c r="BN47" s="286">
        <v>42</v>
      </c>
      <c r="BO47" s="286"/>
      <c r="BP47" s="286">
        <v>45</v>
      </c>
      <c r="BQ47" s="286">
        <v>42</v>
      </c>
      <c r="BR47" s="286"/>
      <c r="BS47" s="286">
        <v>45</v>
      </c>
      <c r="BT47" s="286"/>
      <c r="BU47" s="286"/>
      <c r="BV47" s="286"/>
      <c r="BW47" s="286"/>
      <c r="BX47" s="286"/>
      <c r="BY47" s="286">
        <v>45</v>
      </c>
      <c r="BZ47" s="286"/>
      <c r="CA47" s="286">
        <v>45</v>
      </c>
      <c r="CB47" s="286"/>
      <c r="CC47" s="286">
        <v>42</v>
      </c>
      <c r="CD47" s="286"/>
      <c r="CE47" s="286">
        <v>43</v>
      </c>
      <c r="CF47" s="286">
        <v>45</v>
      </c>
      <c r="CG47" s="286">
        <v>40</v>
      </c>
      <c r="CH47" s="286"/>
      <c r="CI47" s="286"/>
      <c r="CJ47" s="286">
        <v>44</v>
      </c>
      <c r="CK47" s="286">
        <v>32</v>
      </c>
      <c r="CL47" s="286"/>
      <c r="CM47" s="290">
        <v>40</v>
      </c>
      <c r="CN47" s="290">
        <v>45</v>
      </c>
      <c r="CO47" s="290">
        <v>41</v>
      </c>
      <c r="CP47" s="290"/>
      <c r="CQ47" s="290"/>
      <c r="CR47" s="290"/>
      <c r="CS47" s="286"/>
      <c r="CT47" s="286"/>
      <c r="CU47" s="286"/>
      <c r="CV47" s="286"/>
      <c r="CW47" s="283"/>
      <c r="CY47" s="283"/>
    </row>
    <row r="48" spans="16:103">
      <c r="P48" s="284"/>
      <c r="Q48" s="303">
        <v>536</v>
      </c>
      <c r="R48" s="119">
        <v>7</v>
      </c>
      <c r="S48" s="301">
        <v>5</v>
      </c>
      <c r="T48" s="119">
        <v>5</v>
      </c>
      <c r="U48" s="301">
        <v>5</v>
      </c>
      <c r="V48" s="119">
        <v>7</v>
      </c>
      <c r="W48" s="301">
        <v>7</v>
      </c>
      <c r="X48" s="302">
        <v>5</v>
      </c>
      <c r="Y48" s="301"/>
      <c r="Z48" s="119">
        <v>6</v>
      </c>
      <c r="AA48" s="301">
        <v>0</v>
      </c>
      <c r="AC48" s="301">
        <v>2</v>
      </c>
      <c r="AD48" s="301">
        <f>COUNTIF(Z44:Z450,AC48)</f>
        <v>21</v>
      </c>
      <c r="AE48" s="442">
        <f>AD48/AD51</f>
        <v>0.105</v>
      </c>
      <c r="AG48" s="570"/>
      <c r="AH48" s="570">
        <v>33</v>
      </c>
      <c r="AI48" s="570">
        <v>33</v>
      </c>
      <c r="AJ48" s="570">
        <v>33</v>
      </c>
      <c r="AK48" s="570">
        <v>33</v>
      </c>
      <c r="AL48" s="570">
        <v>33</v>
      </c>
      <c r="AM48" s="570">
        <v>33</v>
      </c>
      <c r="AN48" s="570"/>
      <c r="AO48" s="570">
        <v>33</v>
      </c>
      <c r="AP48" s="570">
        <v>33</v>
      </c>
      <c r="AQ48" s="570">
        <v>33</v>
      </c>
      <c r="AR48" s="570"/>
      <c r="AS48" s="570">
        <v>33</v>
      </c>
      <c r="AT48" s="570"/>
      <c r="AU48" s="570">
        <v>33</v>
      </c>
      <c r="AV48" s="570">
        <v>33</v>
      </c>
      <c r="AW48" s="570">
        <v>33</v>
      </c>
      <c r="AX48" s="570"/>
      <c r="AY48" s="570">
        <v>33</v>
      </c>
      <c r="AZ48" s="570">
        <v>33</v>
      </c>
      <c r="BA48" s="570">
        <v>33</v>
      </c>
      <c r="BC48" s="120">
        <v>33</v>
      </c>
      <c r="BD48" s="120">
        <f>COUNTIF(AG16:AL60,BC48)</f>
        <v>5</v>
      </c>
      <c r="BE48" s="120">
        <f>COUNTIF(AG16:BA60,BC48)</f>
        <v>16</v>
      </c>
      <c r="BF48" s="609">
        <v>33</v>
      </c>
      <c r="BG48" s="609">
        <v>33</v>
      </c>
      <c r="BH48" s="609">
        <v>33</v>
      </c>
      <c r="BI48" s="286"/>
      <c r="BM48" s="286"/>
      <c r="BN48" s="286"/>
      <c r="BO48" s="286"/>
      <c r="BP48" s="286"/>
      <c r="BQ48" s="286">
        <v>45</v>
      </c>
      <c r="BR48" s="286"/>
      <c r="BS48" s="286"/>
      <c r="BT48" s="286"/>
      <c r="BU48" s="286"/>
      <c r="BV48" s="286"/>
      <c r="BW48" s="286"/>
      <c r="BX48" s="286"/>
      <c r="BY48" s="286"/>
      <c r="BZ48" s="286"/>
      <c r="CA48" s="286"/>
      <c r="CB48" s="286"/>
      <c r="CC48" s="286"/>
      <c r="CD48" s="286"/>
      <c r="CE48" s="286"/>
      <c r="CF48" s="286"/>
      <c r="CG48" s="286">
        <v>45</v>
      </c>
      <c r="CH48" s="286"/>
      <c r="CI48" s="286"/>
      <c r="CJ48" s="286">
        <v>45</v>
      </c>
      <c r="CK48" s="286">
        <v>34</v>
      </c>
      <c r="CL48" s="286"/>
      <c r="CM48" s="290">
        <v>41</v>
      </c>
      <c r="CN48" s="286"/>
      <c r="CO48" s="286"/>
      <c r="CP48" s="290"/>
      <c r="CQ48" s="290"/>
      <c r="CR48" s="290"/>
      <c r="CS48" s="290"/>
      <c r="CT48" s="286"/>
      <c r="CU48" s="290"/>
      <c r="CV48" s="286"/>
      <c r="CW48" s="283"/>
      <c r="CY48" s="283"/>
    </row>
    <row r="49" spans="16:106">
      <c r="P49" s="284"/>
      <c r="Q49" s="303">
        <v>535</v>
      </c>
      <c r="R49" s="119">
        <v>7</v>
      </c>
      <c r="S49" s="301">
        <v>4</v>
      </c>
      <c r="T49" s="119">
        <v>7</v>
      </c>
      <c r="U49" s="119">
        <v>5</v>
      </c>
      <c r="V49" s="119">
        <v>4</v>
      </c>
      <c r="W49" s="119">
        <v>7</v>
      </c>
      <c r="X49" s="302">
        <v>5</v>
      </c>
      <c r="Y49" s="301"/>
      <c r="Z49" s="119">
        <v>4</v>
      </c>
      <c r="AA49" s="119">
        <v>2</v>
      </c>
      <c r="AC49" s="301">
        <v>1</v>
      </c>
      <c r="AD49" s="301">
        <f>COUNTIF(Z44:Z450,AC49)</f>
        <v>8</v>
      </c>
      <c r="AE49" s="442">
        <f>AD49/AD51</f>
        <v>0.04</v>
      </c>
      <c r="AG49" s="570"/>
      <c r="AH49" s="570">
        <v>34</v>
      </c>
      <c r="AI49" s="570">
        <v>34</v>
      </c>
      <c r="AJ49" s="570"/>
      <c r="AK49" s="570">
        <v>34</v>
      </c>
      <c r="AL49" s="570">
        <v>34</v>
      </c>
      <c r="AM49" s="570">
        <v>34</v>
      </c>
      <c r="AN49" s="570"/>
      <c r="AO49" s="570">
        <v>34</v>
      </c>
      <c r="AP49" s="570"/>
      <c r="AQ49" s="570">
        <v>34</v>
      </c>
      <c r="AR49" s="570">
        <v>34</v>
      </c>
      <c r="AS49" s="570">
        <v>34</v>
      </c>
      <c r="AT49" s="570"/>
      <c r="AU49" s="570">
        <v>34</v>
      </c>
      <c r="AV49" s="570"/>
      <c r="AW49" s="570"/>
      <c r="AX49" s="570">
        <v>34</v>
      </c>
      <c r="AY49" s="570"/>
      <c r="AZ49" s="570"/>
      <c r="BA49" s="570">
        <v>34</v>
      </c>
      <c r="BC49" s="120">
        <v>34</v>
      </c>
      <c r="BD49" s="120">
        <f>COUNTIF(AG16:AL60,BC49)</f>
        <v>4</v>
      </c>
      <c r="BE49" s="120">
        <f>COUNTIF(AG16:BA60,BC49)</f>
        <v>12</v>
      </c>
      <c r="BF49" s="609">
        <v>34</v>
      </c>
      <c r="BG49" s="609">
        <v>34</v>
      </c>
      <c r="BH49" s="609">
        <v>34</v>
      </c>
      <c r="BI49" s="286"/>
      <c r="BM49" s="286"/>
      <c r="BN49" s="286"/>
      <c r="BO49" s="286"/>
      <c r="BP49" s="286"/>
      <c r="BQ49" s="286"/>
      <c r="BR49" s="286"/>
      <c r="BS49" s="286"/>
      <c r="BT49" s="286"/>
      <c r="BU49" s="286"/>
      <c r="BV49" s="286"/>
      <c r="BW49" s="286"/>
      <c r="BX49" s="286"/>
      <c r="BY49" s="286"/>
      <c r="BZ49" s="286"/>
      <c r="CA49" s="286"/>
      <c r="CB49" s="286"/>
      <c r="CC49" s="286"/>
      <c r="CD49" s="286"/>
      <c r="CE49" s="286"/>
      <c r="CF49" s="286"/>
      <c r="CG49" s="286"/>
      <c r="CH49" s="286"/>
      <c r="CI49" s="286"/>
      <c r="CJ49" s="286"/>
      <c r="CK49" s="286">
        <v>36</v>
      </c>
      <c r="CL49" s="286"/>
      <c r="CM49" s="290">
        <v>43</v>
      </c>
      <c r="CN49" s="290"/>
      <c r="CO49" s="290"/>
      <c r="CP49" s="290"/>
      <c r="CQ49" s="286"/>
      <c r="CR49" s="290"/>
      <c r="CS49" s="290"/>
      <c r="CT49" s="286"/>
      <c r="CU49" s="290"/>
      <c r="CV49" s="286"/>
      <c r="CW49" s="283"/>
      <c r="CY49" s="283"/>
    </row>
    <row r="50" spans="16:106">
      <c r="P50" s="284"/>
      <c r="Q50" s="303">
        <v>534</v>
      </c>
      <c r="R50" s="119">
        <v>3</v>
      </c>
      <c r="S50" s="301">
        <v>3</v>
      </c>
      <c r="T50" s="119">
        <v>7</v>
      </c>
      <c r="U50" s="119">
        <v>7</v>
      </c>
      <c r="V50" s="119">
        <v>7</v>
      </c>
      <c r="W50" s="119">
        <v>6</v>
      </c>
      <c r="X50" s="302">
        <v>4</v>
      </c>
      <c r="Y50" s="301"/>
      <c r="Z50" s="119">
        <v>4</v>
      </c>
      <c r="AA50" s="119">
        <v>2</v>
      </c>
      <c r="AC50" s="301">
        <v>0</v>
      </c>
      <c r="AD50" s="301">
        <f>COUNTIF(Z44:Z450,AC50)</f>
        <v>1</v>
      </c>
      <c r="AE50" s="442">
        <f>AD50/AD51</f>
        <v>5.0000000000000001E-3</v>
      </c>
      <c r="AG50" s="570"/>
      <c r="AH50" s="570">
        <v>35</v>
      </c>
      <c r="AI50" s="570">
        <v>35</v>
      </c>
      <c r="AJ50" s="570">
        <v>35</v>
      </c>
      <c r="AK50" s="570">
        <v>35</v>
      </c>
      <c r="AL50" s="570">
        <v>35</v>
      </c>
      <c r="AM50" s="570">
        <v>35</v>
      </c>
      <c r="AN50" s="570">
        <v>35</v>
      </c>
      <c r="AO50" s="570">
        <v>35</v>
      </c>
      <c r="AP50" s="570"/>
      <c r="AQ50" s="570"/>
      <c r="AR50" s="570">
        <v>35</v>
      </c>
      <c r="AS50" s="570">
        <v>35</v>
      </c>
      <c r="AT50" s="570">
        <v>35</v>
      </c>
      <c r="AU50" s="570">
        <v>35</v>
      </c>
      <c r="AV50" s="570">
        <v>35</v>
      </c>
      <c r="AW50" s="570">
        <v>35</v>
      </c>
      <c r="AX50" s="570">
        <v>35</v>
      </c>
      <c r="AY50" s="570">
        <v>35</v>
      </c>
      <c r="AZ50" s="570">
        <v>35</v>
      </c>
      <c r="BA50" s="570"/>
      <c r="BC50" s="120">
        <v>35</v>
      </c>
      <c r="BD50" s="120">
        <f>COUNTIF(AG16:AL60,BC50)</f>
        <v>5</v>
      </c>
      <c r="BE50" s="120">
        <f>COUNTIF(AG16:BA60,BC50)</f>
        <v>17</v>
      </c>
      <c r="BF50" s="609">
        <v>35</v>
      </c>
      <c r="BG50" s="609">
        <v>35</v>
      </c>
      <c r="BH50" s="609">
        <v>35</v>
      </c>
      <c r="BI50" s="286"/>
      <c r="BM50" s="286"/>
      <c r="BN50" s="286"/>
      <c r="BO50" s="286"/>
      <c r="BP50" s="286"/>
      <c r="BQ50" s="286"/>
      <c r="BR50" s="286"/>
      <c r="BS50" s="286"/>
      <c r="BT50" s="286"/>
      <c r="BU50" s="286"/>
      <c r="BV50" s="286"/>
      <c r="BW50" s="286"/>
      <c r="BX50" s="286"/>
      <c r="BY50" s="286"/>
      <c r="BZ50" s="286"/>
      <c r="CA50" s="286"/>
      <c r="CB50" s="286"/>
      <c r="CC50" s="286"/>
      <c r="CD50" s="286"/>
      <c r="CE50" s="286"/>
      <c r="CF50" s="286"/>
      <c r="CG50" s="286"/>
      <c r="CH50" s="286"/>
      <c r="CI50" s="286"/>
      <c r="CJ50" s="286"/>
      <c r="CK50" s="286">
        <v>37</v>
      </c>
      <c r="CL50" s="286"/>
      <c r="CM50" s="290">
        <v>45</v>
      </c>
      <c r="CN50" s="290"/>
      <c r="CO50" s="290"/>
      <c r="CP50" s="286"/>
      <c r="CQ50" s="286"/>
      <c r="CR50" s="286"/>
      <c r="CS50" s="290"/>
      <c r="CT50" s="286"/>
      <c r="CU50" s="290"/>
      <c r="CV50" s="286"/>
      <c r="CW50" s="283"/>
      <c r="CY50" s="283"/>
    </row>
    <row r="51" spans="16:106">
      <c r="P51" s="284"/>
      <c r="Q51" s="303">
        <v>533</v>
      </c>
      <c r="R51" s="119">
        <v>7</v>
      </c>
      <c r="S51" s="301">
        <v>7</v>
      </c>
      <c r="T51" s="119">
        <v>7</v>
      </c>
      <c r="U51" s="119">
        <v>6</v>
      </c>
      <c r="V51" s="119">
        <v>6</v>
      </c>
      <c r="W51" s="119">
        <v>5</v>
      </c>
      <c r="X51" s="302">
        <v>4</v>
      </c>
      <c r="Y51" s="301"/>
      <c r="Z51" s="119">
        <v>6</v>
      </c>
      <c r="AA51" s="119">
        <v>0</v>
      </c>
      <c r="AC51" s="301"/>
      <c r="AD51" s="301">
        <f>SUM(AD44:AD50)</f>
        <v>200</v>
      </c>
      <c r="AE51" s="442">
        <f>SUM(AE44:AE50)</f>
        <v>1</v>
      </c>
      <c r="AG51" s="570"/>
      <c r="AH51" s="570">
        <v>36</v>
      </c>
      <c r="AI51" s="570">
        <v>36</v>
      </c>
      <c r="AJ51" s="570">
        <v>36</v>
      </c>
      <c r="AK51" s="570">
        <v>36</v>
      </c>
      <c r="AL51" s="570">
        <v>36</v>
      </c>
      <c r="AM51" s="570">
        <v>36</v>
      </c>
      <c r="AN51" s="570">
        <v>36</v>
      </c>
      <c r="AO51" s="570">
        <v>36</v>
      </c>
      <c r="AP51" s="570">
        <v>36</v>
      </c>
      <c r="AQ51" s="570"/>
      <c r="AR51" s="570"/>
      <c r="AS51" s="570">
        <v>36</v>
      </c>
      <c r="AT51" s="570"/>
      <c r="AU51" s="570">
        <v>36</v>
      </c>
      <c r="AV51" s="570">
        <v>36</v>
      </c>
      <c r="AW51" s="570">
        <v>36</v>
      </c>
      <c r="AX51" s="570"/>
      <c r="AY51" s="570">
        <v>36</v>
      </c>
      <c r="AZ51" s="570">
        <v>36</v>
      </c>
      <c r="BA51" s="570"/>
      <c r="BC51" s="120">
        <v>36</v>
      </c>
      <c r="BD51" s="120">
        <f>COUNTIF(AG16:AL60,BC51)</f>
        <v>5</v>
      </c>
      <c r="BE51" s="120">
        <f>COUNTIF(AG16:BA60,BC51)</f>
        <v>15</v>
      </c>
      <c r="BF51" s="609">
        <v>36</v>
      </c>
      <c r="BG51" s="609">
        <v>36</v>
      </c>
      <c r="BH51" s="609">
        <v>36</v>
      </c>
      <c r="BI51" s="286"/>
      <c r="BM51" s="286"/>
      <c r="BN51" s="286"/>
      <c r="BO51" s="286"/>
      <c r="BP51" s="286"/>
      <c r="BQ51" s="286"/>
      <c r="BR51" s="286"/>
      <c r="BS51" s="286"/>
      <c r="BT51" s="286"/>
      <c r="BU51" s="286"/>
      <c r="BV51" s="286"/>
      <c r="BW51" s="286"/>
      <c r="BX51" s="286"/>
      <c r="BY51" s="286"/>
      <c r="BZ51" s="286"/>
      <c r="CA51" s="286"/>
      <c r="CB51" s="286"/>
      <c r="CC51" s="286"/>
      <c r="CD51" s="286"/>
      <c r="CE51" s="286"/>
      <c r="CF51" s="286"/>
      <c r="CG51" s="286"/>
      <c r="CH51" s="286"/>
      <c r="CI51" s="286"/>
      <c r="CJ51" s="286"/>
      <c r="CK51" s="286">
        <v>38</v>
      </c>
      <c r="CL51" s="286"/>
      <c r="CM51" s="290"/>
      <c r="CN51" s="290"/>
      <c r="CO51" s="286"/>
      <c r="CP51" s="286"/>
      <c r="CQ51" s="286"/>
      <c r="CR51" s="286"/>
      <c r="CS51" s="290"/>
      <c r="CT51" s="286"/>
      <c r="CU51" s="290"/>
      <c r="CV51" s="286"/>
      <c r="CW51" s="283"/>
      <c r="CY51" s="283"/>
    </row>
    <row r="52" spans="16:106">
      <c r="P52" s="284"/>
      <c r="Q52" s="303">
        <v>532</v>
      </c>
      <c r="R52" s="119">
        <v>7</v>
      </c>
      <c r="S52" s="301">
        <v>6</v>
      </c>
      <c r="T52" s="301">
        <v>4</v>
      </c>
      <c r="U52" s="119">
        <v>3</v>
      </c>
      <c r="V52" s="119">
        <v>7</v>
      </c>
      <c r="W52" s="119">
        <v>6</v>
      </c>
      <c r="X52" s="302">
        <v>4</v>
      </c>
      <c r="Y52" s="301"/>
      <c r="Z52" s="119">
        <v>4</v>
      </c>
      <c r="AA52" s="119">
        <v>2</v>
      </c>
      <c r="AE52" s="444"/>
      <c r="AG52" s="570"/>
      <c r="AH52" s="570"/>
      <c r="AI52" s="570">
        <v>37</v>
      </c>
      <c r="AJ52" s="570">
        <v>37</v>
      </c>
      <c r="AK52" s="570">
        <v>37</v>
      </c>
      <c r="AL52" s="570">
        <v>37</v>
      </c>
      <c r="AM52" s="570">
        <v>37</v>
      </c>
      <c r="AN52" s="570">
        <v>37</v>
      </c>
      <c r="AO52" s="570"/>
      <c r="AP52" s="570"/>
      <c r="AQ52" s="570">
        <v>37</v>
      </c>
      <c r="AR52" s="570">
        <v>37</v>
      </c>
      <c r="AS52" s="570"/>
      <c r="AT52" s="570">
        <v>37</v>
      </c>
      <c r="AU52" s="570">
        <v>37</v>
      </c>
      <c r="AV52" s="570">
        <v>37</v>
      </c>
      <c r="AW52" s="570">
        <v>37</v>
      </c>
      <c r="AX52" s="570">
        <v>37</v>
      </c>
      <c r="AY52" s="570">
        <v>37</v>
      </c>
      <c r="AZ52" s="570">
        <v>37</v>
      </c>
      <c r="BA52" s="570">
        <v>37</v>
      </c>
      <c r="BB52" s="286"/>
      <c r="BC52" s="120">
        <v>37</v>
      </c>
      <c r="BD52" s="120">
        <f>COUNTIF(AG16:AL60,BC52)</f>
        <v>4</v>
      </c>
      <c r="BE52" s="120">
        <f>COUNTIF(AG16:BA60,BC52)</f>
        <v>16</v>
      </c>
      <c r="BF52" s="609">
        <v>37</v>
      </c>
      <c r="BG52" s="609">
        <v>37</v>
      </c>
      <c r="BH52" s="609">
        <v>37</v>
      </c>
      <c r="BI52" s="286"/>
      <c r="CK52" s="282"/>
      <c r="CS52" s="290"/>
      <c r="CT52" s="290"/>
      <c r="CU52" s="290"/>
      <c r="CV52" s="290"/>
      <c r="CW52" s="283"/>
      <c r="CY52" s="283"/>
    </row>
    <row r="53" spans="16:106">
      <c r="P53" s="284"/>
      <c r="Q53" s="303">
        <v>531</v>
      </c>
      <c r="R53" s="301">
        <v>7</v>
      </c>
      <c r="S53" s="301">
        <v>5</v>
      </c>
      <c r="T53" s="301">
        <v>7</v>
      </c>
      <c r="U53" s="301">
        <v>4</v>
      </c>
      <c r="V53" s="301">
        <v>7</v>
      </c>
      <c r="W53" s="301">
        <v>4</v>
      </c>
      <c r="X53" s="305">
        <v>6</v>
      </c>
      <c r="Y53" s="301"/>
      <c r="Z53" s="301">
        <v>4</v>
      </c>
      <c r="AA53" s="301">
        <v>2</v>
      </c>
      <c r="AC53" s="301">
        <v>6</v>
      </c>
      <c r="AD53" s="301">
        <f>COUNTIF(AA44:AA450,AC53)</f>
        <v>1</v>
      </c>
      <c r="AE53" s="442">
        <f>AD53/AD60</f>
        <v>6.0606060606060606E-3</v>
      </c>
      <c r="AG53" s="570"/>
      <c r="AH53" s="570">
        <v>38</v>
      </c>
      <c r="AI53" s="570">
        <v>38</v>
      </c>
      <c r="AJ53" s="570">
        <v>38</v>
      </c>
      <c r="AK53" s="570">
        <v>38</v>
      </c>
      <c r="AL53" s="570">
        <v>38</v>
      </c>
      <c r="AM53" s="570">
        <v>38</v>
      </c>
      <c r="AN53" s="570">
        <v>38</v>
      </c>
      <c r="AO53" s="570">
        <v>38</v>
      </c>
      <c r="AP53" s="570">
        <v>38</v>
      </c>
      <c r="AQ53" s="570">
        <v>38</v>
      </c>
      <c r="AR53" s="570">
        <v>38</v>
      </c>
      <c r="AS53" s="570">
        <v>38</v>
      </c>
      <c r="AT53" s="570">
        <v>38</v>
      </c>
      <c r="AU53" s="570">
        <v>38</v>
      </c>
      <c r="AV53" s="570">
        <v>38</v>
      </c>
      <c r="AW53" s="570">
        <v>38</v>
      </c>
      <c r="AX53" s="570"/>
      <c r="AY53" s="570">
        <v>38</v>
      </c>
      <c r="AZ53" s="570">
        <v>38</v>
      </c>
      <c r="BA53" s="570">
        <v>38</v>
      </c>
      <c r="BC53" s="120">
        <v>38</v>
      </c>
      <c r="BD53" s="120">
        <f>COUNTIF(AG16:AL60,BC53)</f>
        <v>5</v>
      </c>
      <c r="BE53" s="120">
        <f>COUNTIF(AG16:BA60,BC53)</f>
        <v>19</v>
      </c>
      <c r="BF53" s="609">
        <v>38</v>
      </c>
      <c r="BG53" s="609">
        <v>38</v>
      </c>
      <c r="BH53" s="609">
        <v>38</v>
      </c>
      <c r="BI53" s="286"/>
      <c r="CF53" s="286"/>
      <c r="CK53" s="282"/>
      <c r="CU53" s="290"/>
      <c r="CV53" s="290"/>
      <c r="CW53" s="283"/>
      <c r="CY53" s="283"/>
    </row>
    <row r="54" spans="16:106">
      <c r="P54" s="284"/>
      <c r="Q54" s="303">
        <v>530</v>
      </c>
      <c r="R54" s="301">
        <v>7</v>
      </c>
      <c r="S54" s="301">
        <v>6</v>
      </c>
      <c r="T54" s="301">
        <v>5</v>
      </c>
      <c r="U54" s="301">
        <v>4</v>
      </c>
      <c r="V54" s="301">
        <v>7</v>
      </c>
      <c r="W54" s="301">
        <v>6</v>
      </c>
      <c r="X54" s="305">
        <v>5</v>
      </c>
      <c r="Y54" s="301"/>
      <c r="Z54" s="301">
        <v>5</v>
      </c>
      <c r="AA54" s="301">
        <v>1</v>
      </c>
      <c r="AC54" s="301">
        <v>5</v>
      </c>
      <c r="AD54" s="301">
        <f>COUNTIF(AA44:AA450,AC54)</f>
        <v>8</v>
      </c>
      <c r="AE54" s="442">
        <f>AD54/AD60</f>
        <v>4.8484848484848485E-2</v>
      </c>
      <c r="AG54" s="570"/>
      <c r="AH54" s="570">
        <v>39</v>
      </c>
      <c r="AI54" s="570">
        <v>39</v>
      </c>
      <c r="AJ54" s="570"/>
      <c r="AK54" s="570"/>
      <c r="AL54" s="570"/>
      <c r="AM54" s="570"/>
      <c r="AN54" s="570">
        <v>39</v>
      </c>
      <c r="AO54" s="570"/>
      <c r="AP54" s="570">
        <v>39</v>
      </c>
      <c r="AQ54" s="570">
        <v>39</v>
      </c>
      <c r="AR54" s="570">
        <v>39</v>
      </c>
      <c r="AS54" s="570">
        <v>39</v>
      </c>
      <c r="AT54" s="570"/>
      <c r="AU54" s="570">
        <v>39</v>
      </c>
      <c r="AV54" s="570">
        <v>39</v>
      </c>
      <c r="AW54" s="570"/>
      <c r="AX54" s="570">
        <v>39</v>
      </c>
      <c r="AY54" s="570"/>
      <c r="AZ54" s="570">
        <v>39</v>
      </c>
      <c r="BA54" s="570">
        <v>39</v>
      </c>
      <c r="BC54" s="120">
        <v>39</v>
      </c>
      <c r="BD54" s="120">
        <f>COUNTIF(AG16:AL60,BC54)</f>
        <v>2</v>
      </c>
      <c r="BE54" s="120">
        <f>COUNTIF(AG16:BA60,BC54)</f>
        <v>12</v>
      </c>
      <c r="BF54" s="609">
        <v>39</v>
      </c>
      <c r="BG54" s="609">
        <v>39</v>
      </c>
      <c r="BH54" s="609">
        <v>39</v>
      </c>
      <c r="CK54" s="282"/>
      <c r="CT54" s="286"/>
      <c r="CU54" s="290"/>
      <c r="CV54" s="290"/>
      <c r="CW54" s="283"/>
      <c r="CY54" s="283"/>
    </row>
    <row r="55" spans="16:106">
      <c r="P55" s="284"/>
      <c r="Q55" s="303">
        <v>529</v>
      </c>
      <c r="R55" s="301">
        <v>4</v>
      </c>
      <c r="S55" s="301">
        <v>6</v>
      </c>
      <c r="T55" s="301">
        <v>6</v>
      </c>
      <c r="U55" s="301">
        <v>6</v>
      </c>
      <c r="V55" s="301">
        <v>7</v>
      </c>
      <c r="W55" s="301">
        <v>4</v>
      </c>
      <c r="X55" s="305">
        <v>5</v>
      </c>
      <c r="Y55" s="301"/>
      <c r="Z55" s="301">
        <v>4</v>
      </c>
      <c r="AA55" s="301">
        <v>2</v>
      </c>
      <c r="AC55" s="301">
        <v>4</v>
      </c>
      <c r="AD55" s="301">
        <f>COUNTIF(AA44:AA450,AC55)</f>
        <v>21</v>
      </c>
      <c r="AE55" s="442">
        <f>AD55/AD60</f>
        <v>0.12727272727272726</v>
      </c>
      <c r="AG55" s="570"/>
      <c r="AH55" s="570"/>
      <c r="AI55" s="570">
        <v>40</v>
      </c>
      <c r="AJ55" s="570"/>
      <c r="AK55" s="570">
        <v>40</v>
      </c>
      <c r="AL55" s="570">
        <v>40</v>
      </c>
      <c r="AM55" s="570">
        <v>40</v>
      </c>
      <c r="AN55" s="570">
        <v>40</v>
      </c>
      <c r="AO55" s="570">
        <v>40</v>
      </c>
      <c r="AP55" s="570">
        <v>40</v>
      </c>
      <c r="AQ55" s="570">
        <v>40</v>
      </c>
      <c r="AR55" s="570">
        <v>40</v>
      </c>
      <c r="AS55" s="570"/>
      <c r="AT55" s="570">
        <v>40</v>
      </c>
      <c r="AU55" s="570">
        <v>40</v>
      </c>
      <c r="AV55" s="570">
        <v>40</v>
      </c>
      <c r="AW55" s="570">
        <v>40</v>
      </c>
      <c r="AX55" s="570"/>
      <c r="AY55" s="570">
        <v>40</v>
      </c>
      <c r="AZ55" s="570">
        <v>40</v>
      </c>
      <c r="BA55" s="570">
        <v>40</v>
      </c>
      <c r="BC55" s="120">
        <v>40</v>
      </c>
      <c r="BD55" s="120">
        <f>COUNTIF(AG16:AL60,BC55)</f>
        <v>3</v>
      </c>
      <c r="BE55" s="120">
        <f>COUNTIF(AG16:BA60,BC55)</f>
        <v>16</v>
      </c>
      <c r="BF55" s="609">
        <v>40</v>
      </c>
      <c r="BG55" s="609">
        <v>40</v>
      </c>
      <c r="BH55" s="609">
        <v>40</v>
      </c>
      <c r="CT55" s="286"/>
      <c r="CU55" s="290"/>
      <c r="CV55" s="290"/>
      <c r="CW55" s="283"/>
      <c r="CY55" s="283"/>
    </row>
    <row r="56" spans="16:106">
      <c r="Q56" s="303">
        <v>528</v>
      </c>
      <c r="R56" s="301">
        <v>5</v>
      </c>
      <c r="S56" s="301">
        <v>7</v>
      </c>
      <c r="T56" s="301">
        <v>4</v>
      </c>
      <c r="U56" s="301">
        <v>7</v>
      </c>
      <c r="V56" s="301">
        <v>5</v>
      </c>
      <c r="W56" s="301">
        <v>6</v>
      </c>
      <c r="X56" s="305">
        <v>6</v>
      </c>
      <c r="Y56" s="301"/>
      <c r="Z56" s="301">
        <v>5</v>
      </c>
      <c r="AA56" s="301">
        <v>1</v>
      </c>
      <c r="AC56" s="301">
        <v>3</v>
      </c>
      <c r="AD56" s="301">
        <f>COUNTIF(AA44:AA450,AC56)</f>
        <v>38</v>
      </c>
      <c r="AE56" s="442">
        <f>AD56/AD60</f>
        <v>0.23030303030303031</v>
      </c>
      <c r="AG56" s="570"/>
      <c r="AH56" s="570">
        <v>41</v>
      </c>
      <c r="AI56" s="570">
        <v>41</v>
      </c>
      <c r="AJ56" s="570">
        <v>41</v>
      </c>
      <c r="AK56" s="570">
        <v>41</v>
      </c>
      <c r="AL56" s="570"/>
      <c r="AM56" s="570">
        <v>41</v>
      </c>
      <c r="AN56" s="570">
        <v>41</v>
      </c>
      <c r="AO56" s="570">
        <v>41</v>
      </c>
      <c r="AP56" s="570"/>
      <c r="AQ56" s="570">
        <v>41</v>
      </c>
      <c r="AR56" s="570"/>
      <c r="AS56" s="570">
        <v>41</v>
      </c>
      <c r="AT56" s="570">
        <v>41</v>
      </c>
      <c r="AU56" s="570">
        <v>41</v>
      </c>
      <c r="AV56" s="570">
        <v>41</v>
      </c>
      <c r="AW56" s="570">
        <v>41</v>
      </c>
      <c r="AX56" s="570">
        <v>41</v>
      </c>
      <c r="AY56" s="570">
        <v>41</v>
      </c>
      <c r="AZ56" s="570">
        <v>41</v>
      </c>
      <c r="BA56" s="570"/>
      <c r="BB56" s="286"/>
      <c r="BC56" s="120">
        <v>41</v>
      </c>
      <c r="BD56" s="120">
        <f>COUNTIF(AG16:AL60,BC56)</f>
        <v>4</v>
      </c>
      <c r="BE56" s="120">
        <f>COUNTIF(AG16:BA60,BC56)</f>
        <v>16</v>
      </c>
      <c r="BF56" s="609">
        <v>41</v>
      </c>
      <c r="BG56" s="609">
        <v>41</v>
      </c>
      <c r="BH56" s="609">
        <v>41</v>
      </c>
      <c r="BO56" s="290"/>
      <c r="BP56" s="290"/>
      <c r="BQ56" s="283"/>
      <c r="BR56" s="286"/>
      <c r="CT56" s="286"/>
      <c r="CU56" s="290"/>
      <c r="CV56" s="290"/>
      <c r="CW56" s="283"/>
      <c r="CY56" s="283"/>
    </row>
    <row r="57" spans="16:106">
      <c r="P57" s="284"/>
      <c r="Q57" s="303">
        <v>527</v>
      </c>
      <c r="R57" s="301">
        <v>6</v>
      </c>
      <c r="S57" s="301">
        <v>6</v>
      </c>
      <c r="T57" s="301">
        <v>6</v>
      </c>
      <c r="U57" s="301">
        <v>7</v>
      </c>
      <c r="V57" s="301">
        <v>6</v>
      </c>
      <c r="W57" s="301">
        <v>5</v>
      </c>
      <c r="X57" s="305">
        <v>6</v>
      </c>
      <c r="Y57" s="301"/>
      <c r="Z57" s="301">
        <v>6</v>
      </c>
      <c r="AA57" s="301">
        <v>0</v>
      </c>
      <c r="AC57" s="301">
        <v>2</v>
      </c>
      <c r="AD57" s="301">
        <f>COUNTIF(AA44:AA450,AC57)</f>
        <v>54</v>
      </c>
      <c r="AE57" s="442">
        <f>AD57/AD60</f>
        <v>0.32727272727272727</v>
      </c>
      <c r="AG57" s="570"/>
      <c r="AH57" s="570"/>
      <c r="AI57" s="570">
        <v>42</v>
      </c>
      <c r="AJ57" s="570"/>
      <c r="AK57" s="570"/>
      <c r="AL57" s="570">
        <v>42</v>
      </c>
      <c r="AM57" s="570">
        <v>42</v>
      </c>
      <c r="AN57" s="570">
        <v>42</v>
      </c>
      <c r="AO57" s="570"/>
      <c r="AP57" s="570">
        <v>42</v>
      </c>
      <c r="AQ57" s="570">
        <v>42</v>
      </c>
      <c r="AR57" s="570">
        <v>42</v>
      </c>
      <c r="AS57" s="570">
        <v>42</v>
      </c>
      <c r="AT57" s="570">
        <v>42</v>
      </c>
      <c r="AU57" s="570">
        <v>42</v>
      </c>
      <c r="AV57" s="570">
        <v>42</v>
      </c>
      <c r="AW57" s="570">
        <v>42</v>
      </c>
      <c r="AX57" s="570">
        <v>42</v>
      </c>
      <c r="AY57" s="570">
        <v>42</v>
      </c>
      <c r="AZ57" s="570"/>
      <c r="BA57" s="570"/>
      <c r="BC57" s="120">
        <v>42</v>
      </c>
      <c r="BD57" s="120">
        <f>COUNTIF(AG16:AL60,BC57)</f>
        <v>2</v>
      </c>
      <c r="BE57" s="120">
        <f>COUNTIF(AG16:BA60,BC57)</f>
        <v>14</v>
      </c>
      <c r="BF57" s="609">
        <v>42</v>
      </c>
      <c r="BG57" s="609">
        <v>42</v>
      </c>
      <c r="BH57" s="609">
        <v>42</v>
      </c>
      <c r="BJ57" s="290"/>
      <c r="BK57" s="283"/>
      <c r="BL57" s="297"/>
      <c r="BM57" s="290"/>
      <c r="BN57" s="290"/>
      <c r="BO57" s="290"/>
      <c r="BP57" s="290"/>
      <c r="BQ57" s="283"/>
      <c r="BR57" s="286"/>
      <c r="CK57" s="282"/>
      <c r="CU57" s="290"/>
      <c r="CV57" s="290"/>
      <c r="CW57" s="283"/>
      <c r="CY57" s="283"/>
    </row>
    <row r="58" spans="16:106">
      <c r="P58" s="284"/>
      <c r="Q58" s="303">
        <v>526</v>
      </c>
      <c r="R58" s="301">
        <v>5</v>
      </c>
      <c r="S58" s="301">
        <v>5</v>
      </c>
      <c r="T58" s="301">
        <v>6</v>
      </c>
      <c r="U58" s="301">
        <v>5</v>
      </c>
      <c r="V58" s="301">
        <v>4</v>
      </c>
      <c r="W58" s="301">
        <v>5</v>
      </c>
      <c r="X58" s="305">
        <v>7</v>
      </c>
      <c r="Y58" s="301"/>
      <c r="Z58" s="301">
        <v>5</v>
      </c>
      <c r="AA58" s="301">
        <v>1</v>
      </c>
      <c r="AC58" s="301">
        <v>1</v>
      </c>
      <c r="AD58" s="301">
        <f>COUNTIF(AA44:AA144,AC58)</f>
        <v>25</v>
      </c>
      <c r="AE58" s="442">
        <f>AD58/AD60</f>
        <v>0.15151515151515152</v>
      </c>
      <c r="AG58" s="570"/>
      <c r="AH58" s="570">
        <v>43</v>
      </c>
      <c r="AI58" s="570">
        <v>43</v>
      </c>
      <c r="AJ58" s="570">
        <v>43</v>
      </c>
      <c r="AK58" s="570">
        <v>43</v>
      </c>
      <c r="AL58" s="570">
        <v>43</v>
      </c>
      <c r="AM58" s="570"/>
      <c r="AN58" s="570">
        <v>43</v>
      </c>
      <c r="AO58" s="570">
        <v>43</v>
      </c>
      <c r="AP58" s="570">
        <v>43</v>
      </c>
      <c r="AQ58" s="570"/>
      <c r="AR58" s="570">
        <v>43</v>
      </c>
      <c r="AS58" s="570"/>
      <c r="AT58" s="570">
        <v>43</v>
      </c>
      <c r="AU58" s="570">
        <v>43</v>
      </c>
      <c r="AV58" s="570"/>
      <c r="AW58" s="570">
        <v>43</v>
      </c>
      <c r="AX58" s="570">
        <v>43</v>
      </c>
      <c r="AY58" s="570">
        <v>43</v>
      </c>
      <c r="AZ58" s="570">
        <v>43</v>
      </c>
      <c r="BA58" s="570">
        <v>43</v>
      </c>
      <c r="BC58" s="120">
        <v>43</v>
      </c>
      <c r="BD58" s="120">
        <f>COUNTIF(AG16:AL60,BC58)</f>
        <v>5</v>
      </c>
      <c r="BE58" s="120">
        <f>COUNTIF(AG16:BA60,BC58)</f>
        <v>16</v>
      </c>
      <c r="BF58" s="609">
        <v>43</v>
      </c>
      <c r="BG58" s="609">
        <v>43</v>
      </c>
      <c r="BH58" s="609">
        <v>43</v>
      </c>
      <c r="BJ58" s="290"/>
      <c r="BK58" s="283"/>
      <c r="BL58" s="297"/>
      <c r="BM58" s="290"/>
      <c r="BN58" s="290"/>
      <c r="BO58" s="290"/>
      <c r="BP58" s="290"/>
      <c r="BQ58" s="283"/>
      <c r="BR58" s="286"/>
      <c r="CK58" s="282"/>
      <c r="CW58" s="283"/>
      <c r="CY58" s="283"/>
    </row>
    <row r="59" spans="16:106">
      <c r="P59" s="284"/>
      <c r="Q59" s="303">
        <v>525</v>
      </c>
      <c r="R59" s="301">
        <v>6</v>
      </c>
      <c r="S59" s="301">
        <v>6</v>
      </c>
      <c r="T59" s="301">
        <v>5</v>
      </c>
      <c r="U59" s="301">
        <v>5</v>
      </c>
      <c r="V59" s="301">
        <v>5</v>
      </c>
      <c r="W59" s="301">
        <v>6</v>
      </c>
      <c r="X59" s="305">
        <v>6</v>
      </c>
      <c r="Y59" s="301"/>
      <c r="Z59" s="301">
        <v>6</v>
      </c>
      <c r="AA59" s="301">
        <v>0</v>
      </c>
      <c r="AC59" s="301">
        <v>0</v>
      </c>
      <c r="AD59" s="301">
        <f>COUNTIF(AA44:AA144,AC59)</f>
        <v>18</v>
      </c>
      <c r="AE59" s="442">
        <f>AD59/AD60</f>
        <v>0.10909090909090909</v>
      </c>
      <c r="AG59" s="570"/>
      <c r="AH59" s="570"/>
      <c r="AI59" s="570">
        <v>44</v>
      </c>
      <c r="AJ59" s="570">
        <v>44</v>
      </c>
      <c r="AK59" s="570">
        <v>44</v>
      </c>
      <c r="AL59" s="570">
        <v>44</v>
      </c>
      <c r="AM59" s="570">
        <v>44</v>
      </c>
      <c r="AN59" s="570">
        <v>44</v>
      </c>
      <c r="AO59" s="570">
        <v>44</v>
      </c>
      <c r="AP59" s="570"/>
      <c r="AQ59" s="570"/>
      <c r="AR59" s="570">
        <v>44</v>
      </c>
      <c r="AS59" s="570">
        <v>44</v>
      </c>
      <c r="AT59" s="570">
        <v>44</v>
      </c>
      <c r="AU59" s="570">
        <v>44</v>
      </c>
      <c r="AV59" s="570">
        <v>44</v>
      </c>
      <c r="AW59" s="570">
        <v>44</v>
      </c>
      <c r="AX59" s="570">
        <v>44</v>
      </c>
      <c r="AY59" s="570">
        <v>44</v>
      </c>
      <c r="AZ59" s="570"/>
      <c r="BA59" s="570">
        <v>44</v>
      </c>
      <c r="BC59" s="120">
        <v>44</v>
      </c>
      <c r="BD59" s="120">
        <f>COUNTIF(AG16:AL60,BC59)</f>
        <v>4</v>
      </c>
      <c r="BE59" s="120">
        <f>COUNTIF(AG16:BA60,BC59)</f>
        <v>16</v>
      </c>
      <c r="BF59" s="609">
        <v>44</v>
      </c>
      <c r="BG59" s="609">
        <v>44</v>
      </c>
      <c r="BH59" s="609">
        <v>44</v>
      </c>
      <c r="BJ59" s="290"/>
      <c r="BK59" s="283"/>
      <c r="BL59" s="297"/>
      <c r="BM59" s="290"/>
      <c r="BN59" s="290"/>
      <c r="BO59" s="290"/>
      <c r="BP59" s="290"/>
      <c r="BQ59" s="283"/>
      <c r="BR59" s="286"/>
      <c r="CK59" s="282"/>
      <c r="CW59" s="283"/>
      <c r="CY59" s="283"/>
    </row>
    <row r="60" spans="16:106">
      <c r="P60" s="284"/>
      <c r="Q60" s="303">
        <v>524</v>
      </c>
      <c r="R60" s="301">
        <v>6</v>
      </c>
      <c r="S60" s="301">
        <v>6</v>
      </c>
      <c r="T60" s="301">
        <v>6</v>
      </c>
      <c r="U60" s="301">
        <v>7</v>
      </c>
      <c r="V60" s="301">
        <v>4</v>
      </c>
      <c r="W60" s="301">
        <v>3</v>
      </c>
      <c r="X60" s="305">
        <v>6</v>
      </c>
      <c r="Y60" s="301"/>
      <c r="Z60" s="301">
        <v>4</v>
      </c>
      <c r="AA60" s="301">
        <v>2</v>
      </c>
      <c r="AC60" s="301"/>
      <c r="AD60" s="301">
        <f>SUM(AD53:AD59)</f>
        <v>165</v>
      </c>
      <c r="AE60" s="442">
        <f>SUM(AE53:AE59)</f>
        <v>1</v>
      </c>
      <c r="AG60" s="570"/>
      <c r="AH60" s="570">
        <v>45</v>
      </c>
      <c r="AI60" s="570"/>
      <c r="AJ60" s="570">
        <v>45</v>
      </c>
      <c r="AK60" s="570">
        <v>45</v>
      </c>
      <c r="AL60" s="570">
        <v>45</v>
      </c>
      <c r="AM60" s="570">
        <v>45</v>
      </c>
      <c r="AN60" s="570">
        <v>45</v>
      </c>
      <c r="AO60" s="570">
        <v>45</v>
      </c>
      <c r="AP60" s="570">
        <v>45</v>
      </c>
      <c r="AQ60" s="570">
        <v>45</v>
      </c>
      <c r="AR60" s="570">
        <v>45</v>
      </c>
      <c r="AS60" s="570">
        <v>45</v>
      </c>
      <c r="AT60" s="570"/>
      <c r="AU60" s="570"/>
      <c r="AV60" s="570"/>
      <c r="AW60" s="570">
        <v>45</v>
      </c>
      <c r="AX60" s="570">
        <v>45</v>
      </c>
      <c r="AY60" s="570"/>
      <c r="AZ60" s="570">
        <v>45</v>
      </c>
      <c r="BA60" s="570">
        <v>45</v>
      </c>
      <c r="BC60" s="120">
        <v>45</v>
      </c>
      <c r="BD60" s="120">
        <f>COUNTIF(AG16:AL60,BC60)</f>
        <v>4</v>
      </c>
      <c r="BE60" s="120">
        <f>COUNTIF(AG16:BA60,BC60)</f>
        <v>15</v>
      </c>
      <c r="BF60" s="609">
        <v>45</v>
      </c>
      <c r="BG60" s="609">
        <v>45</v>
      </c>
      <c r="BH60" s="609">
        <v>45</v>
      </c>
      <c r="BJ60" s="290"/>
      <c r="BK60" s="283"/>
      <c r="BL60" s="297"/>
      <c r="BM60" s="290"/>
      <c r="BN60" s="290"/>
      <c r="BO60" s="290"/>
      <c r="BP60" s="290"/>
      <c r="BQ60" s="283"/>
      <c r="BR60" s="286"/>
      <c r="CK60" s="282"/>
      <c r="CY60" s="283"/>
    </row>
    <row r="61" spans="16:106">
      <c r="P61" s="284"/>
      <c r="Q61" s="303">
        <v>523</v>
      </c>
      <c r="R61" s="301">
        <v>5</v>
      </c>
      <c r="S61" s="301">
        <v>6</v>
      </c>
      <c r="T61" s="301">
        <v>5</v>
      </c>
      <c r="U61" s="301">
        <v>7</v>
      </c>
      <c r="V61" s="301">
        <v>6</v>
      </c>
      <c r="W61" s="301">
        <v>3</v>
      </c>
      <c r="X61" s="305">
        <v>6</v>
      </c>
      <c r="Y61" s="301"/>
      <c r="Z61" s="301">
        <v>5</v>
      </c>
      <c r="AA61" s="301">
        <v>1</v>
      </c>
      <c r="AC61" s="282" t="s">
        <v>329</v>
      </c>
      <c r="AE61" s="444"/>
      <c r="AG61" s="286"/>
      <c r="AH61" s="120"/>
      <c r="AI61" s="120"/>
      <c r="AJ61" s="120"/>
      <c r="AK61" s="120"/>
      <c r="AL61" s="120"/>
      <c r="AM61" s="120"/>
      <c r="AN61" s="120"/>
      <c r="AO61" s="306"/>
      <c r="AP61" s="306"/>
      <c r="AQ61" s="283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6"/>
      <c r="BD61" s="286"/>
      <c r="BE61" s="286"/>
      <c r="BG61" s="283"/>
      <c r="BH61" s="283"/>
      <c r="CK61" s="282"/>
      <c r="CY61" s="283"/>
    </row>
    <row r="62" spans="16:106">
      <c r="P62" s="284"/>
      <c r="Q62" s="303">
        <v>522</v>
      </c>
      <c r="R62" s="301">
        <v>6</v>
      </c>
      <c r="S62" s="301">
        <v>6</v>
      </c>
      <c r="T62" s="301">
        <v>5</v>
      </c>
      <c r="U62" s="301">
        <v>4</v>
      </c>
      <c r="V62" s="301">
        <v>5</v>
      </c>
      <c r="W62" s="301">
        <v>4</v>
      </c>
      <c r="X62" s="305">
        <v>7</v>
      </c>
      <c r="Y62" s="301"/>
      <c r="Z62" s="301">
        <v>4</v>
      </c>
      <c r="AA62" s="301">
        <v>2</v>
      </c>
      <c r="AC62" s="301">
        <v>6</v>
      </c>
      <c r="AD62" s="301">
        <f>COUNTIF(J80:J300,AC62)</f>
        <v>46</v>
      </c>
      <c r="AE62" s="442">
        <f>AD62/AD69</f>
        <v>0.27878787878787881</v>
      </c>
      <c r="AG62" s="286"/>
      <c r="AH62" s="120"/>
      <c r="AI62" s="120"/>
      <c r="AJ62" s="120"/>
      <c r="AK62" s="120"/>
      <c r="AL62" s="120"/>
      <c r="AM62" s="120"/>
      <c r="AN62" s="120"/>
      <c r="AO62" s="283"/>
      <c r="AP62" s="283"/>
      <c r="AQ62" s="286"/>
      <c r="AR62" s="286"/>
      <c r="AS62" s="286"/>
      <c r="AT62" s="286"/>
      <c r="AU62" s="286"/>
      <c r="AV62" s="286"/>
      <c r="AW62" s="286"/>
      <c r="AX62" s="286"/>
      <c r="AY62" s="286"/>
      <c r="AZ62" s="286"/>
      <c r="BA62" s="286"/>
      <c r="BB62" s="286"/>
      <c r="BC62" s="286"/>
      <c r="BE62" s="286"/>
      <c r="BH62" s="290"/>
      <c r="BI62" s="283" t="s">
        <v>208</v>
      </c>
      <c r="BJ62" s="297"/>
      <c r="BK62" s="290"/>
      <c r="BL62" s="290"/>
      <c r="BM62" s="290"/>
      <c r="BN62" s="290"/>
      <c r="BO62" s="283"/>
      <c r="BP62" s="286"/>
      <c r="CK62" s="282"/>
      <c r="CR62" s="286"/>
      <c r="CY62" s="283"/>
    </row>
    <row r="63" spans="16:106">
      <c r="Q63" s="303">
        <v>521</v>
      </c>
      <c r="R63" s="301">
        <v>6</v>
      </c>
      <c r="S63" s="301">
        <v>7</v>
      </c>
      <c r="T63" s="301">
        <v>4</v>
      </c>
      <c r="U63" s="301">
        <v>5</v>
      </c>
      <c r="V63" s="301">
        <v>7</v>
      </c>
      <c r="W63" s="301">
        <v>5</v>
      </c>
      <c r="X63" s="305">
        <v>5</v>
      </c>
      <c r="Y63" s="301"/>
      <c r="Z63" s="301">
        <v>5</v>
      </c>
      <c r="AA63" s="301">
        <v>1</v>
      </c>
      <c r="AC63" s="301">
        <v>5</v>
      </c>
      <c r="AD63" s="301">
        <f>COUNTIF(J80:J300,AC63)</f>
        <v>64</v>
      </c>
      <c r="AE63" s="442">
        <f>AD63/AD69</f>
        <v>0.38787878787878788</v>
      </c>
      <c r="AH63" s="286"/>
      <c r="AI63" s="286"/>
      <c r="AJ63" s="286"/>
      <c r="AK63" s="286"/>
      <c r="AL63" s="286"/>
      <c r="AM63" s="286"/>
      <c r="AN63" s="286"/>
      <c r="AO63" s="286"/>
      <c r="AP63" s="286"/>
      <c r="AQ63" s="286"/>
      <c r="BG63" s="286"/>
      <c r="BH63" s="290"/>
      <c r="BI63" s="307" t="s">
        <v>206</v>
      </c>
      <c r="BJ63" s="297"/>
      <c r="BK63" s="290"/>
      <c r="BL63" s="290"/>
      <c r="BM63" s="290"/>
      <c r="BN63" s="290"/>
      <c r="BO63" s="290"/>
      <c r="BP63" s="290"/>
      <c r="BQ63" s="290"/>
    </row>
    <row r="64" spans="16:106">
      <c r="Q64" s="300">
        <v>542</v>
      </c>
      <c r="R64" s="119">
        <v>6</v>
      </c>
      <c r="S64" s="301">
        <v>7</v>
      </c>
      <c r="T64" s="301">
        <v>7</v>
      </c>
      <c r="U64" s="301">
        <v>6</v>
      </c>
      <c r="V64" s="301">
        <v>5</v>
      </c>
      <c r="W64" s="301">
        <v>7</v>
      </c>
      <c r="X64" s="305">
        <v>7</v>
      </c>
      <c r="Y64" s="301"/>
      <c r="Z64" s="301">
        <v>6</v>
      </c>
      <c r="AA64" s="301">
        <v>0</v>
      </c>
      <c r="AC64" s="301">
        <v>4</v>
      </c>
      <c r="AD64" s="301">
        <f>COUNTIF(J80:J300,AC64)</f>
        <v>33</v>
      </c>
      <c r="AE64" s="442">
        <f>AD64/AD69</f>
        <v>0.2</v>
      </c>
      <c r="BI64" s="282">
        <v>13</v>
      </c>
      <c r="BJ64" s="282">
        <v>4</v>
      </c>
      <c r="BK64" s="282">
        <v>4</v>
      </c>
      <c r="BL64" s="282">
        <v>3</v>
      </c>
      <c r="BM64" s="282">
        <v>4</v>
      </c>
      <c r="BN64" s="282">
        <v>3</v>
      </c>
      <c r="BO64" s="282">
        <v>4</v>
      </c>
      <c r="BP64" s="282">
        <v>4</v>
      </c>
      <c r="BQ64" s="282">
        <v>4</v>
      </c>
      <c r="BR64" s="282">
        <v>4</v>
      </c>
      <c r="BS64" s="282">
        <v>4</v>
      </c>
      <c r="BT64" s="282">
        <v>4</v>
      </c>
      <c r="BU64" s="282">
        <v>3</v>
      </c>
      <c r="BV64" s="282">
        <v>14</v>
      </c>
      <c r="BW64" s="282">
        <v>14</v>
      </c>
      <c r="BX64" s="282">
        <v>14</v>
      </c>
      <c r="BY64" s="282">
        <v>4</v>
      </c>
      <c r="BZ64" s="282">
        <v>4</v>
      </c>
      <c r="CA64" s="282">
        <v>14</v>
      </c>
      <c r="CB64" s="286">
        <v>4</v>
      </c>
      <c r="CC64" s="282">
        <v>13</v>
      </c>
      <c r="CD64" s="286">
        <v>4</v>
      </c>
      <c r="CE64" s="286">
        <v>3</v>
      </c>
      <c r="CF64" s="286">
        <v>4</v>
      </c>
      <c r="CG64" s="286">
        <v>4</v>
      </c>
      <c r="CK64" s="282"/>
      <c r="CX64" s="282">
        <v>13</v>
      </c>
      <c r="DA64" s="286"/>
      <c r="DB64" s="286"/>
    </row>
    <row r="65" spans="10:102">
      <c r="Q65" s="300">
        <v>543</v>
      </c>
      <c r="R65" s="119">
        <v>7</v>
      </c>
      <c r="S65" s="301">
        <v>6</v>
      </c>
      <c r="T65" s="301">
        <v>6</v>
      </c>
      <c r="U65" s="301">
        <v>7</v>
      </c>
      <c r="V65" s="301">
        <v>6</v>
      </c>
      <c r="W65" s="301">
        <v>4</v>
      </c>
      <c r="X65" s="305">
        <v>6</v>
      </c>
      <c r="Y65" s="301"/>
      <c r="Z65" s="301">
        <v>5</v>
      </c>
      <c r="AA65" s="301">
        <v>1</v>
      </c>
      <c r="AC65" s="301">
        <v>3</v>
      </c>
      <c r="AD65" s="301">
        <f>COUNTIF(J80:J300,AC65)</f>
        <v>12</v>
      </c>
      <c r="AE65" s="442">
        <f>AD65/AD69</f>
        <v>7.2727272727272724E-2</v>
      </c>
      <c r="BH65" s="292" t="s">
        <v>91</v>
      </c>
      <c r="BI65" s="282" t="s">
        <v>164</v>
      </c>
      <c r="BO65" s="282" t="s">
        <v>178</v>
      </c>
      <c r="BP65" s="286"/>
      <c r="CK65" s="282"/>
      <c r="CR65" s="286"/>
      <c r="CX65" s="282">
        <v>4</v>
      </c>
    </row>
    <row r="66" spans="10:102">
      <c r="Q66" s="300">
        <v>544</v>
      </c>
      <c r="R66" s="119">
        <v>6</v>
      </c>
      <c r="S66" s="301">
        <v>5</v>
      </c>
      <c r="T66" s="301">
        <v>7</v>
      </c>
      <c r="U66" s="301">
        <v>4</v>
      </c>
      <c r="V66" s="301">
        <v>6</v>
      </c>
      <c r="W66" s="301">
        <v>6</v>
      </c>
      <c r="X66" s="305"/>
      <c r="Y66" s="301"/>
      <c r="Z66" s="301">
        <v>5</v>
      </c>
      <c r="AA66" s="301">
        <v>1</v>
      </c>
      <c r="AC66" s="301">
        <v>2</v>
      </c>
      <c r="AD66" s="301">
        <f>COUNTIF(J80:J300,AC66)</f>
        <v>9</v>
      </c>
      <c r="AE66" s="442">
        <f>AD66/AD69</f>
        <v>5.4545454545454543E-2</v>
      </c>
      <c r="BH66" s="299" t="s">
        <v>118</v>
      </c>
      <c r="BI66" s="299" t="s">
        <v>119</v>
      </c>
      <c r="BJ66" s="299" t="s">
        <v>112</v>
      </c>
      <c r="BK66" s="299" t="s">
        <v>113</v>
      </c>
      <c r="BL66" s="299" t="s">
        <v>114</v>
      </c>
      <c r="BM66" s="299" t="s">
        <v>120</v>
      </c>
      <c r="BN66" s="299" t="s">
        <v>122</v>
      </c>
      <c r="BO66" s="299" t="s">
        <v>129</v>
      </c>
      <c r="BP66" s="299" t="s">
        <v>152</v>
      </c>
      <c r="BQ66" s="299" t="s">
        <v>163</v>
      </c>
      <c r="BR66" s="299" t="s">
        <v>165</v>
      </c>
      <c r="BS66" s="299" t="s">
        <v>168</v>
      </c>
      <c r="BT66" s="299" t="s">
        <v>172</v>
      </c>
      <c r="BU66" s="299" t="s">
        <v>173</v>
      </c>
      <c r="BV66" s="299" t="s">
        <v>174</v>
      </c>
      <c r="BW66" s="299" t="s">
        <v>181</v>
      </c>
      <c r="BX66" s="299" t="s">
        <v>200</v>
      </c>
      <c r="BY66" s="299" t="s">
        <v>201</v>
      </c>
      <c r="BZ66" s="299" t="s">
        <v>202</v>
      </c>
      <c r="CA66" s="299" t="s">
        <v>203</v>
      </c>
      <c r="CB66" s="299" t="s">
        <v>204</v>
      </c>
      <c r="CK66" s="282"/>
      <c r="CR66" s="286"/>
      <c r="CX66" s="282">
        <v>4</v>
      </c>
    </row>
    <row r="67" spans="10:102">
      <c r="Q67" s="300">
        <v>545</v>
      </c>
      <c r="R67" s="119">
        <v>7</v>
      </c>
      <c r="S67" s="301">
        <v>6</v>
      </c>
      <c r="T67" s="301">
        <v>5</v>
      </c>
      <c r="U67" s="301">
        <v>7</v>
      </c>
      <c r="V67" s="301">
        <v>5</v>
      </c>
      <c r="W67" s="301">
        <v>6</v>
      </c>
      <c r="X67" s="305"/>
      <c r="Y67" s="301"/>
      <c r="Z67" s="301">
        <v>6</v>
      </c>
      <c r="AA67" s="301">
        <v>0</v>
      </c>
      <c r="AC67" s="301">
        <v>1</v>
      </c>
      <c r="AD67" s="301">
        <f>COUNTIF(J80:J300,AC67)</f>
        <v>1</v>
      </c>
      <c r="AE67" s="442">
        <f>AD67/AD69</f>
        <v>6.0606060606060606E-3</v>
      </c>
      <c r="BI67" s="282">
        <v>1</v>
      </c>
      <c r="BJ67" s="282">
        <v>1</v>
      </c>
      <c r="BK67" s="282">
        <v>3</v>
      </c>
      <c r="BL67" s="290">
        <v>1</v>
      </c>
      <c r="BM67" s="282">
        <v>1</v>
      </c>
      <c r="BN67" s="282">
        <v>1</v>
      </c>
      <c r="BO67" s="282">
        <v>1</v>
      </c>
      <c r="BP67" s="282">
        <v>1</v>
      </c>
      <c r="BQ67" s="282">
        <v>2</v>
      </c>
      <c r="BR67" s="282">
        <v>1</v>
      </c>
      <c r="BS67" s="282">
        <v>1</v>
      </c>
      <c r="BT67" s="282">
        <v>2</v>
      </c>
      <c r="BU67" s="282">
        <v>2</v>
      </c>
      <c r="BV67" s="282">
        <v>1</v>
      </c>
      <c r="BW67" s="282">
        <v>1</v>
      </c>
      <c r="BX67" s="282">
        <v>3</v>
      </c>
      <c r="BY67" s="282">
        <v>2</v>
      </c>
      <c r="BZ67" s="282">
        <v>1</v>
      </c>
      <c r="CA67" s="282">
        <v>1</v>
      </c>
      <c r="CB67" s="282">
        <v>1</v>
      </c>
      <c r="CC67" s="282">
        <v>1</v>
      </c>
      <c r="CD67" s="282">
        <v>1</v>
      </c>
      <c r="CE67" s="282">
        <v>1</v>
      </c>
      <c r="CF67" s="282">
        <v>1</v>
      </c>
      <c r="CG67" s="283">
        <v>2</v>
      </c>
      <c r="CH67" s="290">
        <v>1</v>
      </c>
      <c r="CI67" s="290">
        <v>1</v>
      </c>
      <c r="CJ67" s="282">
        <v>3</v>
      </c>
      <c r="CK67" s="297">
        <v>1</v>
      </c>
      <c r="CL67" s="308">
        <v>2</v>
      </c>
      <c r="CM67" s="286">
        <v>2</v>
      </c>
      <c r="CN67" s="290">
        <v>1</v>
      </c>
      <c r="CO67" s="290">
        <v>2</v>
      </c>
      <c r="CP67" s="290">
        <v>1</v>
      </c>
      <c r="CQ67" s="290">
        <v>1</v>
      </c>
      <c r="CR67" s="290">
        <v>1</v>
      </c>
      <c r="CS67" s="290">
        <v>1</v>
      </c>
      <c r="CT67" s="308">
        <v>1</v>
      </c>
      <c r="CX67" s="282">
        <v>3</v>
      </c>
    </row>
    <row r="68" spans="10:102">
      <c r="Q68" s="300">
        <v>546</v>
      </c>
      <c r="R68" s="301">
        <v>4</v>
      </c>
      <c r="S68" s="301">
        <v>5</v>
      </c>
      <c r="T68" s="301">
        <v>7</v>
      </c>
      <c r="U68" s="301">
        <v>5</v>
      </c>
      <c r="V68" s="301">
        <v>6</v>
      </c>
      <c r="W68" s="301">
        <v>5</v>
      </c>
      <c r="X68" s="305"/>
      <c r="Y68" s="301"/>
      <c r="Z68" s="301">
        <v>5</v>
      </c>
      <c r="AA68" s="301">
        <v>1</v>
      </c>
      <c r="AC68" s="301">
        <v>0</v>
      </c>
      <c r="AD68" s="301">
        <f>COUNTIF(J80:J300,AC68)</f>
        <v>0</v>
      </c>
      <c r="AE68" s="442">
        <f>AD68/AD69</f>
        <v>0</v>
      </c>
      <c r="AN68" s="309"/>
      <c r="AO68" s="309"/>
      <c r="AP68" s="309"/>
      <c r="BG68" s="292"/>
      <c r="BI68" s="282">
        <v>2</v>
      </c>
      <c r="BJ68" s="282">
        <v>3</v>
      </c>
      <c r="BK68" s="282">
        <v>5</v>
      </c>
      <c r="BL68" s="282">
        <v>2</v>
      </c>
      <c r="BM68" s="282">
        <v>3</v>
      </c>
      <c r="BN68" s="282">
        <v>2</v>
      </c>
      <c r="BO68" s="282">
        <v>5</v>
      </c>
      <c r="BP68" s="282">
        <v>2</v>
      </c>
      <c r="BQ68" s="282">
        <v>4</v>
      </c>
      <c r="BR68" s="282">
        <v>2</v>
      </c>
      <c r="BS68" s="282">
        <v>5</v>
      </c>
      <c r="BT68" s="282">
        <v>3</v>
      </c>
      <c r="BU68" s="282">
        <v>3</v>
      </c>
      <c r="BV68" s="282">
        <v>3</v>
      </c>
      <c r="BW68" s="282">
        <v>7</v>
      </c>
      <c r="BX68" s="282">
        <v>4</v>
      </c>
      <c r="BY68" s="282">
        <v>4</v>
      </c>
      <c r="BZ68" s="282">
        <v>2</v>
      </c>
      <c r="CA68" s="282">
        <v>2</v>
      </c>
      <c r="CB68" s="282">
        <v>2</v>
      </c>
      <c r="CC68" s="282">
        <v>2</v>
      </c>
      <c r="CD68" s="282">
        <v>3</v>
      </c>
      <c r="CE68" s="282">
        <v>3</v>
      </c>
      <c r="CF68" s="282">
        <v>3</v>
      </c>
      <c r="CG68" s="283">
        <v>3</v>
      </c>
      <c r="CH68" s="290">
        <v>3</v>
      </c>
      <c r="CI68" s="308">
        <v>5</v>
      </c>
      <c r="CJ68" s="282">
        <v>6</v>
      </c>
      <c r="CK68" s="297">
        <v>2</v>
      </c>
      <c r="CL68" s="308">
        <v>4</v>
      </c>
      <c r="CM68" s="286">
        <v>3</v>
      </c>
      <c r="CN68" s="290">
        <v>4</v>
      </c>
      <c r="CO68" s="290">
        <v>4</v>
      </c>
      <c r="CP68" s="290">
        <v>2</v>
      </c>
      <c r="CQ68" s="290">
        <v>3</v>
      </c>
      <c r="CR68" s="290">
        <v>2</v>
      </c>
      <c r="CS68" s="290">
        <v>3</v>
      </c>
      <c r="CT68" s="308">
        <v>5</v>
      </c>
      <c r="CX68" s="282">
        <v>4</v>
      </c>
    </row>
    <row r="69" spans="10:102">
      <c r="Q69" s="300">
        <v>547</v>
      </c>
      <c r="R69" s="301">
        <v>4</v>
      </c>
      <c r="S69" s="301">
        <v>6</v>
      </c>
      <c r="T69" s="301">
        <v>7</v>
      </c>
      <c r="U69" s="301">
        <v>5</v>
      </c>
      <c r="V69" s="301">
        <v>3</v>
      </c>
      <c r="W69" s="301">
        <v>5</v>
      </c>
      <c r="X69" s="301"/>
      <c r="Y69" s="301"/>
      <c r="Z69" s="301">
        <v>4</v>
      </c>
      <c r="AA69" s="301">
        <v>2</v>
      </c>
      <c r="AC69" s="301"/>
      <c r="AD69" s="301">
        <f>SUM(AD62:AD68)</f>
        <v>165</v>
      </c>
      <c r="AE69" s="442">
        <f>SUM(AE62:AE68)</f>
        <v>1</v>
      </c>
      <c r="AN69" s="309"/>
      <c r="AO69" s="309"/>
      <c r="AP69" s="309"/>
      <c r="BI69" s="282">
        <v>3</v>
      </c>
      <c r="BJ69" s="282">
        <v>4</v>
      </c>
      <c r="BK69" s="282">
        <v>6</v>
      </c>
      <c r="BL69" s="282">
        <v>4</v>
      </c>
      <c r="BM69" s="282">
        <v>4</v>
      </c>
      <c r="BN69" s="282">
        <v>3</v>
      </c>
      <c r="BO69" s="282">
        <v>6</v>
      </c>
      <c r="BP69" s="282">
        <v>4</v>
      </c>
      <c r="BQ69" s="282">
        <v>5</v>
      </c>
      <c r="BR69" s="282">
        <v>5</v>
      </c>
      <c r="BS69" s="282">
        <v>6</v>
      </c>
      <c r="BT69" s="282">
        <v>4</v>
      </c>
      <c r="BU69" s="282">
        <v>5</v>
      </c>
      <c r="BV69" s="282">
        <v>4</v>
      </c>
      <c r="BW69" s="282">
        <v>11</v>
      </c>
      <c r="BX69" s="282">
        <v>6</v>
      </c>
      <c r="BY69" s="282">
        <v>5</v>
      </c>
      <c r="BZ69" s="282">
        <v>3</v>
      </c>
      <c r="CA69" s="282">
        <v>3</v>
      </c>
      <c r="CB69" s="282">
        <v>3</v>
      </c>
      <c r="CC69" s="282">
        <v>5</v>
      </c>
      <c r="CD69" s="282">
        <v>5</v>
      </c>
      <c r="CE69" s="282">
        <v>4</v>
      </c>
      <c r="CF69" s="282">
        <v>4</v>
      </c>
      <c r="CG69" s="283">
        <v>4</v>
      </c>
      <c r="CH69" s="290">
        <v>8</v>
      </c>
      <c r="CI69" s="290">
        <v>6</v>
      </c>
      <c r="CJ69" s="282">
        <v>7</v>
      </c>
      <c r="CK69" s="308">
        <v>4</v>
      </c>
      <c r="CL69" s="308">
        <v>5</v>
      </c>
      <c r="CM69" s="286">
        <v>5</v>
      </c>
      <c r="CN69" s="290">
        <v>5</v>
      </c>
      <c r="CO69" s="290">
        <v>5</v>
      </c>
      <c r="CP69" s="290">
        <v>3</v>
      </c>
      <c r="CQ69" s="290">
        <v>6</v>
      </c>
      <c r="CR69" s="290">
        <v>3</v>
      </c>
      <c r="CS69" s="290">
        <v>4</v>
      </c>
      <c r="CT69" s="308">
        <v>6</v>
      </c>
      <c r="CX69" s="282">
        <v>3</v>
      </c>
    </row>
    <row r="70" spans="10:102">
      <c r="Q70" s="300">
        <v>548</v>
      </c>
      <c r="R70" s="301"/>
      <c r="S70" s="301"/>
      <c r="T70" s="301"/>
      <c r="U70" s="301"/>
      <c r="V70" s="301"/>
      <c r="W70" s="301"/>
      <c r="X70" s="301"/>
      <c r="Y70" s="301"/>
      <c r="Z70" s="301"/>
      <c r="AA70" s="301"/>
      <c r="AD70" s="310"/>
      <c r="AE70" s="444"/>
      <c r="BI70" s="282">
        <v>4</v>
      </c>
      <c r="BJ70" s="283">
        <v>5</v>
      </c>
      <c r="BK70" s="282">
        <v>7</v>
      </c>
      <c r="BL70" s="282">
        <v>9</v>
      </c>
      <c r="BM70" s="282">
        <v>6</v>
      </c>
      <c r="BN70" s="283">
        <v>4</v>
      </c>
      <c r="BO70" s="282">
        <v>8</v>
      </c>
      <c r="BP70" s="282">
        <v>5</v>
      </c>
      <c r="BQ70" s="282">
        <v>6</v>
      </c>
      <c r="BR70" s="282">
        <v>6</v>
      </c>
      <c r="BS70" s="282">
        <v>7</v>
      </c>
      <c r="BT70" s="282">
        <v>6</v>
      </c>
      <c r="BU70" s="282">
        <v>7</v>
      </c>
      <c r="BV70" s="282">
        <v>6</v>
      </c>
      <c r="BW70" s="282">
        <v>12</v>
      </c>
      <c r="BX70" s="282">
        <v>7</v>
      </c>
      <c r="BY70" s="282">
        <v>6</v>
      </c>
      <c r="BZ70" s="282">
        <v>5</v>
      </c>
      <c r="CA70" s="282">
        <v>4</v>
      </c>
      <c r="CB70" s="282">
        <v>6</v>
      </c>
      <c r="CC70" s="282">
        <v>6</v>
      </c>
      <c r="CD70" s="282">
        <v>9</v>
      </c>
      <c r="CE70" s="282">
        <v>6</v>
      </c>
      <c r="CF70" s="282">
        <v>6</v>
      </c>
      <c r="CG70" s="283">
        <v>8</v>
      </c>
      <c r="CH70" s="290">
        <v>11</v>
      </c>
      <c r="CI70" s="290">
        <v>7</v>
      </c>
      <c r="CJ70" s="282">
        <v>8</v>
      </c>
      <c r="CK70" s="308">
        <v>7</v>
      </c>
      <c r="CL70" s="297">
        <v>8</v>
      </c>
      <c r="CM70" s="286">
        <v>8</v>
      </c>
      <c r="CN70" s="290">
        <v>6</v>
      </c>
      <c r="CO70" s="290">
        <v>6</v>
      </c>
      <c r="CP70" s="290">
        <v>7</v>
      </c>
      <c r="CQ70" s="290">
        <v>9</v>
      </c>
      <c r="CR70" s="290">
        <v>4</v>
      </c>
      <c r="CS70" s="290">
        <v>6</v>
      </c>
      <c r="CT70" s="282">
        <v>7</v>
      </c>
      <c r="CX70" s="282">
        <v>4</v>
      </c>
    </row>
    <row r="71" spans="10:102">
      <c r="Q71" s="300">
        <v>549</v>
      </c>
      <c r="R71" s="301">
        <v>4</v>
      </c>
      <c r="S71" s="301">
        <v>5</v>
      </c>
      <c r="T71" s="120">
        <v>5</v>
      </c>
      <c r="U71" s="120">
        <v>6</v>
      </c>
      <c r="V71" s="120">
        <v>6</v>
      </c>
      <c r="W71" s="120">
        <v>3</v>
      </c>
      <c r="X71" s="301"/>
      <c r="Y71" s="301"/>
      <c r="Z71" s="120">
        <v>4</v>
      </c>
      <c r="AA71" s="301">
        <v>2</v>
      </c>
      <c r="AC71" s="282" t="s">
        <v>395</v>
      </c>
      <c r="AE71" s="444"/>
      <c r="BI71" s="283">
        <v>5</v>
      </c>
      <c r="BJ71" s="282">
        <v>8</v>
      </c>
      <c r="BK71" s="282">
        <v>11</v>
      </c>
      <c r="BL71" s="282">
        <v>11</v>
      </c>
      <c r="BM71" s="282">
        <v>7</v>
      </c>
      <c r="BN71" s="283">
        <v>5</v>
      </c>
      <c r="BO71" s="282">
        <v>9</v>
      </c>
      <c r="BP71" s="282">
        <v>6</v>
      </c>
      <c r="BQ71" s="282">
        <v>7</v>
      </c>
      <c r="BR71" s="282">
        <v>7</v>
      </c>
      <c r="BS71" s="282">
        <v>10</v>
      </c>
      <c r="BT71" s="282">
        <v>7</v>
      </c>
      <c r="BU71" s="282">
        <v>11</v>
      </c>
      <c r="BV71" s="282">
        <v>7</v>
      </c>
      <c r="BW71" s="282">
        <v>13</v>
      </c>
      <c r="BX71" s="282">
        <v>10</v>
      </c>
      <c r="BY71" s="282">
        <v>7</v>
      </c>
      <c r="BZ71" s="282">
        <v>7</v>
      </c>
      <c r="CA71" s="282">
        <v>6</v>
      </c>
      <c r="CB71" s="282">
        <v>9</v>
      </c>
      <c r="CC71" s="282">
        <v>7</v>
      </c>
      <c r="CD71" s="282">
        <v>10</v>
      </c>
      <c r="CE71" s="282">
        <v>14</v>
      </c>
      <c r="CF71" s="282">
        <v>7</v>
      </c>
      <c r="CG71" s="283">
        <v>9</v>
      </c>
      <c r="CH71" s="290">
        <v>12</v>
      </c>
      <c r="CI71" s="297">
        <v>8</v>
      </c>
      <c r="CJ71" s="282">
        <v>9</v>
      </c>
      <c r="CK71" s="297">
        <v>11</v>
      </c>
      <c r="CL71" s="297">
        <v>10</v>
      </c>
      <c r="CM71" s="308">
        <v>10</v>
      </c>
      <c r="CN71" s="290">
        <v>7</v>
      </c>
      <c r="CO71" s="290">
        <v>8</v>
      </c>
      <c r="CP71" s="290">
        <v>9</v>
      </c>
      <c r="CQ71" s="290">
        <v>11</v>
      </c>
      <c r="CR71" s="290">
        <v>6</v>
      </c>
      <c r="CS71" s="290">
        <v>7</v>
      </c>
      <c r="CT71" s="282">
        <v>8</v>
      </c>
      <c r="CX71" s="282">
        <v>4</v>
      </c>
    </row>
    <row r="72" spans="10:102">
      <c r="Q72" s="300">
        <v>550</v>
      </c>
      <c r="R72" s="301">
        <v>3</v>
      </c>
      <c r="S72" s="301">
        <v>4</v>
      </c>
      <c r="T72" s="120">
        <v>5</v>
      </c>
      <c r="U72" s="120">
        <v>4</v>
      </c>
      <c r="V72" s="120">
        <v>5</v>
      </c>
      <c r="W72" s="120">
        <v>5</v>
      </c>
      <c r="X72" s="301"/>
      <c r="Y72" s="301"/>
      <c r="Z72" s="120">
        <v>3</v>
      </c>
      <c r="AA72" s="120">
        <v>3</v>
      </c>
      <c r="AC72" s="301">
        <v>6</v>
      </c>
      <c r="AD72" s="301">
        <f>COUNTIF(I99:I250,AC72)</f>
        <v>7</v>
      </c>
      <c r="AE72" s="442">
        <f>AD72/AD79</f>
        <v>4.7945205479452052E-2</v>
      </c>
      <c r="BI72" s="283">
        <v>8</v>
      </c>
      <c r="BJ72" s="282">
        <v>10</v>
      </c>
      <c r="BK72" s="282">
        <v>12</v>
      </c>
      <c r="BL72" s="282">
        <v>12</v>
      </c>
      <c r="BM72" s="282">
        <v>10</v>
      </c>
      <c r="BN72" s="283">
        <v>10</v>
      </c>
      <c r="BO72" s="282">
        <v>10</v>
      </c>
      <c r="BP72" s="282">
        <v>15</v>
      </c>
      <c r="BQ72" s="282">
        <v>8</v>
      </c>
      <c r="BR72" s="282">
        <v>10</v>
      </c>
      <c r="BS72" s="282">
        <v>11</v>
      </c>
      <c r="BT72" s="282">
        <v>11</v>
      </c>
      <c r="BU72" s="282">
        <v>18</v>
      </c>
      <c r="BV72" s="282">
        <v>15</v>
      </c>
      <c r="BW72" s="282">
        <v>22</v>
      </c>
      <c r="BX72" s="282">
        <v>12</v>
      </c>
      <c r="BY72" s="282">
        <v>9</v>
      </c>
      <c r="BZ72" s="282">
        <v>8</v>
      </c>
      <c r="CA72" s="282">
        <v>8</v>
      </c>
      <c r="CB72" s="282">
        <v>13</v>
      </c>
      <c r="CC72" s="282">
        <v>10</v>
      </c>
      <c r="CD72" s="282">
        <v>12</v>
      </c>
      <c r="CE72" s="282">
        <v>17</v>
      </c>
      <c r="CF72" s="282">
        <v>11</v>
      </c>
      <c r="CG72" s="283">
        <v>17</v>
      </c>
      <c r="CH72" s="290">
        <v>13</v>
      </c>
      <c r="CI72" s="308">
        <v>9</v>
      </c>
      <c r="CJ72" s="282">
        <v>10</v>
      </c>
      <c r="CK72" s="297">
        <v>14</v>
      </c>
      <c r="CL72" s="297">
        <v>11</v>
      </c>
      <c r="CM72" s="286">
        <v>12</v>
      </c>
      <c r="CN72" s="290">
        <v>11</v>
      </c>
      <c r="CO72" s="290">
        <v>9</v>
      </c>
      <c r="CP72" s="290">
        <v>12</v>
      </c>
      <c r="CQ72" s="290">
        <v>16</v>
      </c>
      <c r="CR72" s="290">
        <v>7</v>
      </c>
      <c r="CS72" s="290">
        <v>11</v>
      </c>
      <c r="CT72" s="282">
        <v>10</v>
      </c>
      <c r="CX72" s="282">
        <v>4</v>
      </c>
    </row>
    <row r="73" spans="10:102">
      <c r="Q73" s="300">
        <v>551</v>
      </c>
      <c r="R73" s="120">
        <v>4</v>
      </c>
      <c r="S73" s="120">
        <v>4</v>
      </c>
      <c r="T73" s="120">
        <v>6</v>
      </c>
      <c r="U73" s="120">
        <v>6</v>
      </c>
      <c r="V73" s="120">
        <v>4</v>
      </c>
      <c r="W73" s="120">
        <v>3</v>
      </c>
      <c r="X73" s="301"/>
      <c r="Y73" s="301"/>
      <c r="Z73" s="120">
        <v>2</v>
      </c>
      <c r="AA73" s="120">
        <v>4</v>
      </c>
      <c r="AC73" s="301">
        <v>5</v>
      </c>
      <c r="AD73" s="301">
        <f>COUNTIF(I99:I250,AC73)</f>
        <v>23</v>
      </c>
      <c r="AE73" s="442">
        <f>AD73/AD79</f>
        <v>0.15753424657534246</v>
      </c>
      <c r="BG73" s="292"/>
      <c r="BI73" s="282">
        <v>14</v>
      </c>
      <c r="BJ73" s="282">
        <v>13</v>
      </c>
      <c r="BK73" s="283">
        <v>14</v>
      </c>
      <c r="BL73" s="282">
        <v>14</v>
      </c>
      <c r="BM73" s="282">
        <v>11</v>
      </c>
      <c r="BN73" s="282">
        <v>11</v>
      </c>
      <c r="BO73" s="282">
        <v>13</v>
      </c>
      <c r="BP73" s="282">
        <v>17</v>
      </c>
      <c r="BQ73" s="282">
        <v>9</v>
      </c>
      <c r="BR73" s="282">
        <v>12</v>
      </c>
      <c r="BS73" s="282">
        <v>14</v>
      </c>
      <c r="BT73" s="282">
        <v>13</v>
      </c>
      <c r="BU73" s="282">
        <v>19</v>
      </c>
      <c r="BV73" s="282">
        <v>16</v>
      </c>
      <c r="BW73" s="282">
        <v>23</v>
      </c>
      <c r="BX73" s="282">
        <v>14</v>
      </c>
      <c r="BY73" s="282">
        <v>16</v>
      </c>
      <c r="BZ73" s="282">
        <v>12</v>
      </c>
      <c r="CA73" s="282">
        <v>10</v>
      </c>
      <c r="CB73" s="282">
        <v>14</v>
      </c>
      <c r="CC73" s="282">
        <v>11</v>
      </c>
      <c r="CD73" s="282">
        <v>20</v>
      </c>
      <c r="CE73" s="282">
        <v>19</v>
      </c>
      <c r="CF73" s="282">
        <v>13</v>
      </c>
      <c r="CG73" s="283">
        <v>27</v>
      </c>
      <c r="CH73" s="290">
        <v>14</v>
      </c>
      <c r="CI73" s="308">
        <v>11</v>
      </c>
      <c r="CJ73" s="282">
        <v>17</v>
      </c>
      <c r="CK73" s="297">
        <v>16</v>
      </c>
      <c r="CL73" s="297">
        <v>12</v>
      </c>
      <c r="CM73" s="286">
        <v>13</v>
      </c>
      <c r="CN73" s="290">
        <v>13</v>
      </c>
      <c r="CO73" s="290">
        <v>11</v>
      </c>
      <c r="CP73" s="290">
        <v>13</v>
      </c>
      <c r="CQ73" s="290">
        <v>17</v>
      </c>
      <c r="CR73" s="290">
        <v>8</v>
      </c>
      <c r="CS73" s="290">
        <v>12</v>
      </c>
      <c r="CT73" s="308">
        <v>11</v>
      </c>
      <c r="CX73" s="282">
        <v>4</v>
      </c>
    </row>
    <row r="74" spans="10:102">
      <c r="Q74" s="300">
        <v>552</v>
      </c>
      <c r="R74" s="120">
        <v>5</v>
      </c>
      <c r="S74" s="120">
        <v>5</v>
      </c>
      <c r="T74" s="120">
        <v>6</v>
      </c>
      <c r="U74" s="120">
        <v>3</v>
      </c>
      <c r="V74" s="120">
        <v>6</v>
      </c>
      <c r="W74" s="120">
        <v>6</v>
      </c>
      <c r="X74" s="301"/>
      <c r="Y74" s="301"/>
      <c r="Z74" s="120">
        <v>5</v>
      </c>
      <c r="AA74" s="120">
        <v>1</v>
      </c>
      <c r="AC74" s="301">
        <v>4</v>
      </c>
      <c r="AD74" s="301">
        <f>COUNTIF(I99:I250,AC74)</f>
        <v>32</v>
      </c>
      <c r="AE74" s="442">
        <f>AD74/AD79</f>
        <v>0.21917808219178081</v>
      </c>
      <c r="BI74" s="282">
        <v>16</v>
      </c>
      <c r="BJ74" s="282">
        <v>14</v>
      </c>
      <c r="BK74" s="282">
        <v>18</v>
      </c>
      <c r="BL74" s="282">
        <v>26</v>
      </c>
      <c r="BM74" s="282">
        <v>13</v>
      </c>
      <c r="BN74" s="282">
        <v>13</v>
      </c>
      <c r="BO74" s="282">
        <v>15</v>
      </c>
      <c r="BP74" s="282">
        <v>19</v>
      </c>
      <c r="BQ74" s="282">
        <v>10</v>
      </c>
      <c r="BR74" s="282">
        <v>14</v>
      </c>
      <c r="BS74" s="282">
        <v>16</v>
      </c>
      <c r="BT74" s="282">
        <v>17</v>
      </c>
      <c r="BU74" s="282">
        <v>20</v>
      </c>
      <c r="BV74" s="282">
        <v>17</v>
      </c>
      <c r="BW74" s="282">
        <v>25</v>
      </c>
      <c r="BX74" s="282">
        <v>15</v>
      </c>
      <c r="BY74" s="282">
        <v>18</v>
      </c>
      <c r="BZ74" s="282">
        <v>14</v>
      </c>
      <c r="CA74" s="282">
        <v>11</v>
      </c>
      <c r="CB74" s="282">
        <v>15</v>
      </c>
      <c r="CC74" s="282">
        <v>17</v>
      </c>
      <c r="CD74" s="282">
        <v>32</v>
      </c>
      <c r="CE74" s="282">
        <v>20</v>
      </c>
      <c r="CF74" s="282">
        <v>14</v>
      </c>
      <c r="CG74" s="282">
        <v>29</v>
      </c>
      <c r="CH74" s="290">
        <v>21</v>
      </c>
      <c r="CI74" s="297">
        <v>12</v>
      </c>
      <c r="CJ74" s="282">
        <v>20</v>
      </c>
      <c r="CK74" s="297">
        <v>20</v>
      </c>
      <c r="CL74" s="297">
        <v>13</v>
      </c>
      <c r="CM74" s="308">
        <v>18</v>
      </c>
      <c r="CN74" s="290">
        <v>15</v>
      </c>
      <c r="CO74" s="290">
        <v>13</v>
      </c>
      <c r="CP74" s="290">
        <v>14</v>
      </c>
      <c r="CQ74" s="290">
        <v>19</v>
      </c>
      <c r="CR74" s="290">
        <v>10</v>
      </c>
      <c r="CS74" s="290">
        <v>23</v>
      </c>
      <c r="CT74" s="297">
        <v>12</v>
      </c>
      <c r="CX74" s="282">
        <v>4</v>
      </c>
    </row>
    <row r="75" spans="10:102">
      <c r="Q75" s="300">
        <v>553</v>
      </c>
      <c r="R75" s="120">
        <v>4</v>
      </c>
      <c r="S75" s="120">
        <v>6</v>
      </c>
      <c r="T75" s="120">
        <v>6</v>
      </c>
      <c r="U75" s="120">
        <v>6</v>
      </c>
      <c r="V75" s="120">
        <v>6</v>
      </c>
      <c r="W75" s="120">
        <v>6</v>
      </c>
      <c r="X75" s="301"/>
      <c r="Y75" s="301"/>
      <c r="Z75" s="120">
        <v>5</v>
      </c>
      <c r="AA75" s="120">
        <v>1</v>
      </c>
      <c r="AC75" s="301">
        <v>3</v>
      </c>
      <c r="AD75" s="301">
        <f>COUNTIF(I99:I250,AC75)</f>
        <v>45</v>
      </c>
      <c r="AE75" s="442">
        <f>AD75/AD79</f>
        <v>0.30821917808219179</v>
      </c>
      <c r="BI75" s="282">
        <v>17</v>
      </c>
      <c r="BJ75" s="282">
        <v>15</v>
      </c>
      <c r="BK75" s="282">
        <v>21</v>
      </c>
      <c r="BL75" s="282">
        <v>27</v>
      </c>
      <c r="BM75" s="282">
        <v>14</v>
      </c>
      <c r="BN75" s="282">
        <v>14</v>
      </c>
      <c r="BO75" s="282">
        <v>16</v>
      </c>
      <c r="BP75" s="282">
        <v>25</v>
      </c>
      <c r="BQ75" s="282">
        <v>13</v>
      </c>
      <c r="BR75" s="282">
        <v>19</v>
      </c>
      <c r="BS75" s="282">
        <v>17</v>
      </c>
      <c r="BT75" s="282">
        <v>20</v>
      </c>
      <c r="BU75" s="282">
        <v>25</v>
      </c>
      <c r="BV75" s="282">
        <v>20</v>
      </c>
      <c r="BW75" s="282">
        <v>32</v>
      </c>
      <c r="BX75" s="282">
        <v>19</v>
      </c>
      <c r="BY75" s="282">
        <v>20</v>
      </c>
      <c r="BZ75" s="282">
        <v>20</v>
      </c>
      <c r="CA75" s="282">
        <v>12</v>
      </c>
      <c r="CB75" s="282">
        <v>17</v>
      </c>
      <c r="CC75" s="282">
        <v>24</v>
      </c>
      <c r="CD75" s="282">
        <v>35</v>
      </c>
      <c r="CE75" s="282">
        <v>24</v>
      </c>
      <c r="CF75" s="282">
        <v>19</v>
      </c>
      <c r="CG75" s="282">
        <v>31</v>
      </c>
      <c r="CH75" s="290">
        <v>31</v>
      </c>
      <c r="CI75" s="290">
        <v>15</v>
      </c>
      <c r="CJ75" s="282">
        <v>23</v>
      </c>
      <c r="CK75" s="297">
        <v>24</v>
      </c>
      <c r="CL75" s="286">
        <v>17</v>
      </c>
      <c r="CM75" s="282">
        <v>26</v>
      </c>
      <c r="CN75" s="290">
        <v>19</v>
      </c>
      <c r="CO75" s="290">
        <v>26</v>
      </c>
      <c r="CP75" s="290">
        <v>15</v>
      </c>
      <c r="CQ75" s="290">
        <v>22</v>
      </c>
      <c r="CR75" s="290">
        <v>11</v>
      </c>
      <c r="CS75" s="290">
        <v>26</v>
      </c>
      <c r="CT75" s="308">
        <v>14</v>
      </c>
      <c r="CX75" s="282">
        <v>4</v>
      </c>
    </row>
    <row r="76" spans="10:102">
      <c r="Q76" s="300">
        <v>554</v>
      </c>
      <c r="R76" s="301">
        <v>5</v>
      </c>
      <c r="S76" s="301">
        <v>3</v>
      </c>
      <c r="T76" s="301">
        <v>5</v>
      </c>
      <c r="U76" s="301">
        <v>4</v>
      </c>
      <c r="V76" s="301">
        <v>4</v>
      </c>
      <c r="W76" s="301">
        <v>5</v>
      </c>
      <c r="X76" s="301"/>
      <c r="Y76" s="301"/>
      <c r="Z76" s="120">
        <v>3</v>
      </c>
      <c r="AA76" s="120">
        <v>3</v>
      </c>
      <c r="AC76" s="301">
        <v>2</v>
      </c>
      <c r="AD76" s="301">
        <f>COUNTIF(I99:I250,AC76)</f>
        <v>26</v>
      </c>
      <c r="AE76" s="442">
        <f>AD76/AD79</f>
        <v>0.17808219178082191</v>
      </c>
      <c r="BI76" s="282">
        <v>20</v>
      </c>
      <c r="BJ76" s="282">
        <v>18</v>
      </c>
      <c r="BK76" s="282">
        <v>22</v>
      </c>
      <c r="BL76" s="282">
        <v>29</v>
      </c>
      <c r="BM76" s="282">
        <v>15</v>
      </c>
      <c r="BN76" s="282">
        <v>17</v>
      </c>
      <c r="BO76" s="282">
        <v>25</v>
      </c>
      <c r="BP76" s="282">
        <v>26</v>
      </c>
      <c r="BQ76" s="282">
        <v>18</v>
      </c>
      <c r="BR76" s="282">
        <v>25</v>
      </c>
      <c r="BS76" s="282">
        <v>21</v>
      </c>
      <c r="BT76" s="282">
        <v>31</v>
      </c>
      <c r="BU76" s="282">
        <v>37</v>
      </c>
      <c r="BV76" s="282">
        <v>23</v>
      </c>
      <c r="BW76" s="282">
        <v>34</v>
      </c>
      <c r="BX76" s="282">
        <v>20</v>
      </c>
      <c r="BY76" s="282">
        <v>26</v>
      </c>
      <c r="BZ76" s="282">
        <v>22</v>
      </c>
      <c r="CA76" s="282">
        <v>17</v>
      </c>
      <c r="CB76" s="282">
        <v>26</v>
      </c>
      <c r="CC76" s="282">
        <v>28</v>
      </c>
      <c r="CD76" s="282">
        <v>40</v>
      </c>
      <c r="CE76" s="282">
        <v>25</v>
      </c>
      <c r="CF76" s="282">
        <v>20</v>
      </c>
      <c r="CG76" s="283">
        <v>35</v>
      </c>
      <c r="CH76" s="290">
        <v>32</v>
      </c>
      <c r="CI76" s="290">
        <v>16</v>
      </c>
      <c r="CJ76" s="282">
        <v>27</v>
      </c>
      <c r="CK76" s="282">
        <v>25</v>
      </c>
      <c r="CL76" s="286">
        <v>21</v>
      </c>
      <c r="CM76" s="286">
        <v>31</v>
      </c>
      <c r="CN76" s="290">
        <v>26</v>
      </c>
      <c r="CO76" s="290">
        <v>28</v>
      </c>
      <c r="CP76" s="290">
        <v>19</v>
      </c>
      <c r="CQ76" s="290">
        <v>25</v>
      </c>
      <c r="CR76" s="290">
        <v>13</v>
      </c>
      <c r="CS76" s="290">
        <v>30</v>
      </c>
      <c r="CT76" s="282">
        <v>18</v>
      </c>
      <c r="CX76" s="282">
        <v>3</v>
      </c>
    </row>
    <row r="77" spans="10:102">
      <c r="Q77" s="300">
        <v>555</v>
      </c>
      <c r="R77" s="120">
        <v>6</v>
      </c>
      <c r="S77" s="120">
        <v>6</v>
      </c>
      <c r="T77" s="120">
        <v>5</v>
      </c>
      <c r="U77" s="120">
        <v>6</v>
      </c>
      <c r="V77" s="120">
        <v>6</v>
      </c>
      <c r="W77" s="120">
        <v>6</v>
      </c>
      <c r="X77" s="301"/>
      <c r="Y77" s="301"/>
      <c r="Z77" s="120">
        <v>6</v>
      </c>
      <c r="AA77" s="120">
        <v>0</v>
      </c>
      <c r="AC77" s="301">
        <v>1</v>
      </c>
      <c r="AD77" s="301">
        <f>COUNTIF(I99:I250,AC77)</f>
        <v>13</v>
      </c>
      <c r="AE77" s="442">
        <f>AD77/AD79</f>
        <v>8.9041095890410954E-2</v>
      </c>
      <c r="BI77" s="283">
        <v>29</v>
      </c>
      <c r="BJ77" s="282">
        <v>33</v>
      </c>
      <c r="BK77" s="282">
        <v>26</v>
      </c>
      <c r="BL77" s="282">
        <v>33</v>
      </c>
      <c r="BM77" s="282">
        <v>23</v>
      </c>
      <c r="BN77" s="282">
        <v>20</v>
      </c>
      <c r="BO77" s="282">
        <v>28</v>
      </c>
      <c r="BP77" s="282">
        <v>35</v>
      </c>
      <c r="BQ77" s="282">
        <v>27</v>
      </c>
      <c r="BR77" s="282">
        <v>26</v>
      </c>
      <c r="BS77" s="282">
        <v>31</v>
      </c>
      <c r="BT77" s="282">
        <v>33</v>
      </c>
      <c r="BU77" s="282">
        <v>39</v>
      </c>
      <c r="BV77" s="282">
        <v>28</v>
      </c>
      <c r="BW77" s="282">
        <v>42</v>
      </c>
      <c r="BX77" s="282">
        <v>26</v>
      </c>
      <c r="BY77" s="282">
        <v>28</v>
      </c>
      <c r="BZ77" s="282">
        <v>23</v>
      </c>
      <c r="CA77" s="282">
        <v>21</v>
      </c>
      <c r="CB77" s="282">
        <v>32</v>
      </c>
      <c r="CC77" s="282">
        <v>29</v>
      </c>
      <c r="CD77" s="282">
        <v>43</v>
      </c>
      <c r="CE77" s="282">
        <v>27</v>
      </c>
      <c r="CF77" s="282">
        <v>23</v>
      </c>
      <c r="CG77" s="283">
        <v>37</v>
      </c>
      <c r="CH77" s="290">
        <v>34</v>
      </c>
      <c r="CI77" s="290">
        <v>22</v>
      </c>
      <c r="CJ77" s="282">
        <v>30</v>
      </c>
      <c r="CK77" s="308">
        <v>27</v>
      </c>
      <c r="CL77" s="297">
        <v>23</v>
      </c>
      <c r="CM77" s="286">
        <v>32</v>
      </c>
      <c r="CN77" s="290">
        <v>34</v>
      </c>
      <c r="CO77" s="290">
        <v>32</v>
      </c>
      <c r="CP77" s="290">
        <v>22</v>
      </c>
      <c r="CQ77" s="290">
        <v>26</v>
      </c>
      <c r="CR77" s="290">
        <v>18</v>
      </c>
      <c r="CS77" s="290">
        <v>32</v>
      </c>
      <c r="CT77" s="297">
        <v>22</v>
      </c>
      <c r="CX77" s="282">
        <v>14</v>
      </c>
    </row>
    <row r="78" spans="10:102">
      <c r="Q78" s="300">
        <v>556</v>
      </c>
      <c r="R78" s="301">
        <v>6</v>
      </c>
      <c r="S78" s="121">
        <v>5</v>
      </c>
      <c r="T78" s="120">
        <v>7</v>
      </c>
      <c r="U78" s="121">
        <v>4</v>
      </c>
      <c r="V78" s="121">
        <v>5</v>
      </c>
      <c r="W78" s="121">
        <v>5</v>
      </c>
      <c r="X78" s="301"/>
      <c r="Y78" s="301"/>
      <c r="Z78" s="120">
        <v>5</v>
      </c>
      <c r="AA78" s="120">
        <v>1</v>
      </c>
      <c r="AC78" s="301">
        <v>0</v>
      </c>
      <c r="AD78" s="301">
        <f>COUNTIF(I99:I250,AC78)</f>
        <v>0</v>
      </c>
      <c r="AE78" s="442">
        <f>AD78/AD79</f>
        <v>0</v>
      </c>
      <c r="BI78" s="282">
        <v>34</v>
      </c>
      <c r="BJ78" s="282">
        <v>37</v>
      </c>
      <c r="BK78" s="282">
        <v>29</v>
      </c>
      <c r="BL78" s="282">
        <v>35</v>
      </c>
      <c r="BM78" s="282">
        <v>24</v>
      </c>
      <c r="BN78" s="282">
        <v>21</v>
      </c>
      <c r="BO78" s="282">
        <v>32</v>
      </c>
      <c r="BP78" s="282">
        <v>41</v>
      </c>
      <c r="BQ78" s="282">
        <v>38</v>
      </c>
      <c r="BR78" s="282">
        <v>27</v>
      </c>
      <c r="BS78" s="282">
        <v>32</v>
      </c>
      <c r="BT78" s="282">
        <v>39</v>
      </c>
      <c r="BU78" s="282">
        <v>41</v>
      </c>
      <c r="BV78" s="282">
        <v>29</v>
      </c>
      <c r="BW78" s="282">
        <v>44</v>
      </c>
      <c r="BX78" s="282">
        <v>29</v>
      </c>
      <c r="BY78" s="282">
        <v>31</v>
      </c>
      <c r="BZ78" s="282">
        <v>28</v>
      </c>
      <c r="CA78" s="282">
        <v>24</v>
      </c>
      <c r="CB78" s="282">
        <v>38</v>
      </c>
      <c r="CC78" s="282">
        <v>32</v>
      </c>
      <c r="CD78" s="282">
        <v>45</v>
      </c>
      <c r="CE78" s="282">
        <v>32</v>
      </c>
      <c r="CF78" s="282">
        <v>34</v>
      </c>
      <c r="CG78" s="283">
        <v>38</v>
      </c>
      <c r="CH78" s="290">
        <v>45</v>
      </c>
      <c r="CI78" s="290">
        <v>28</v>
      </c>
      <c r="CJ78" s="282">
        <v>37</v>
      </c>
      <c r="CK78" s="297">
        <v>33</v>
      </c>
      <c r="CL78" s="297">
        <v>25</v>
      </c>
      <c r="CM78" s="286">
        <v>34</v>
      </c>
      <c r="CN78" s="290">
        <v>41</v>
      </c>
      <c r="CO78" s="290">
        <v>34</v>
      </c>
      <c r="CP78" s="290">
        <v>23</v>
      </c>
      <c r="CQ78" s="290">
        <v>31</v>
      </c>
      <c r="CR78" s="290">
        <v>23</v>
      </c>
      <c r="CS78" s="290">
        <v>35</v>
      </c>
      <c r="CT78" s="308">
        <v>31</v>
      </c>
      <c r="CX78" s="282">
        <v>14</v>
      </c>
    </row>
    <row r="79" spans="10:102">
      <c r="Q79" s="300">
        <v>557</v>
      </c>
      <c r="R79" s="120">
        <v>4</v>
      </c>
      <c r="S79" s="120">
        <v>6</v>
      </c>
      <c r="T79" s="120">
        <v>5</v>
      </c>
      <c r="U79" s="120">
        <v>6</v>
      </c>
      <c r="V79" s="120">
        <v>5</v>
      </c>
      <c r="W79" s="120">
        <v>6</v>
      </c>
      <c r="X79" s="301"/>
      <c r="Y79" s="301"/>
      <c r="Z79" s="301">
        <v>5</v>
      </c>
      <c r="AA79" s="301">
        <v>1</v>
      </c>
      <c r="AC79" s="301"/>
      <c r="AD79" s="301">
        <f>SUM(AD72:AD78)</f>
        <v>146</v>
      </c>
      <c r="AE79" s="442">
        <f>SUM(AE72:AE78)</f>
        <v>1</v>
      </c>
      <c r="BI79" s="282">
        <v>35</v>
      </c>
      <c r="BJ79" s="282">
        <v>44</v>
      </c>
      <c r="BK79" s="283">
        <v>33</v>
      </c>
      <c r="BL79" s="282">
        <v>38</v>
      </c>
      <c r="BM79" s="282">
        <v>34</v>
      </c>
      <c r="BN79" s="282">
        <v>26</v>
      </c>
      <c r="BO79" s="282">
        <v>41</v>
      </c>
      <c r="BP79" s="282">
        <v>43</v>
      </c>
      <c r="BQ79" s="282">
        <v>39</v>
      </c>
      <c r="BR79" s="282">
        <v>32</v>
      </c>
      <c r="BS79" s="282">
        <v>38</v>
      </c>
      <c r="BU79" s="282">
        <v>42</v>
      </c>
      <c r="BV79" s="282">
        <v>32</v>
      </c>
      <c r="BW79" s="282">
        <v>45</v>
      </c>
      <c r="BX79" s="282">
        <v>40</v>
      </c>
      <c r="BY79" s="282">
        <v>35</v>
      </c>
      <c r="BZ79" s="282">
        <v>30</v>
      </c>
      <c r="CA79" s="282">
        <v>26</v>
      </c>
      <c r="CB79" s="282">
        <v>41</v>
      </c>
      <c r="CC79" s="282">
        <v>37</v>
      </c>
      <c r="CE79" s="282">
        <v>34</v>
      </c>
      <c r="CF79" s="282">
        <v>37</v>
      </c>
      <c r="CG79" s="283">
        <v>40</v>
      </c>
      <c r="CH79" s="290"/>
      <c r="CI79" s="290">
        <v>33</v>
      </c>
      <c r="CJ79" s="282">
        <v>43</v>
      </c>
      <c r="CK79" s="297">
        <v>34</v>
      </c>
      <c r="CL79" s="297">
        <v>34</v>
      </c>
      <c r="CM79" s="286">
        <v>43</v>
      </c>
      <c r="CN79" s="290">
        <v>45</v>
      </c>
      <c r="CO79" s="290">
        <v>40</v>
      </c>
      <c r="CP79" s="290">
        <v>26</v>
      </c>
      <c r="CQ79" s="290">
        <v>42</v>
      </c>
      <c r="CR79" s="290">
        <v>31</v>
      </c>
      <c r="CS79" s="290">
        <v>36</v>
      </c>
      <c r="CT79" s="282">
        <v>32</v>
      </c>
      <c r="CX79" s="282">
        <v>14</v>
      </c>
    </row>
    <row r="80" spans="10:102">
      <c r="J80" s="311">
        <v>6</v>
      </c>
      <c r="K80" s="120">
        <v>15</v>
      </c>
      <c r="L80" s="120">
        <v>15</v>
      </c>
      <c r="M80" s="120">
        <v>18</v>
      </c>
      <c r="N80" s="120">
        <v>15</v>
      </c>
      <c r="O80" s="120">
        <v>15</v>
      </c>
      <c r="P80" s="120">
        <v>15</v>
      </c>
      <c r="Q80" s="300">
        <v>558</v>
      </c>
      <c r="R80" s="120">
        <v>6</v>
      </c>
      <c r="S80" s="120">
        <v>6</v>
      </c>
      <c r="T80" s="120">
        <v>5</v>
      </c>
      <c r="U80" s="120">
        <v>6</v>
      </c>
      <c r="V80" s="120">
        <v>6</v>
      </c>
      <c r="W80" s="120">
        <v>6</v>
      </c>
      <c r="X80" s="301"/>
      <c r="Y80" s="301"/>
      <c r="Z80" s="301">
        <v>6</v>
      </c>
      <c r="AA80" s="301">
        <v>0</v>
      </c>
      <c r="BI80" s="282">
        <v>43</v>
      </c>
      <c r="BJ80" s="282">
        <v>45</v>
      </c>
      <c r="BK80" s="282">
        <v>38</v>
      </c>
      <c r="BL80" s="282">
        <v>42</v>
      </c>
      <c r="BM80" s="282">
        <v>35</v>
      </c>
      <c r="BN80" s="282">
        <v>31</v>
      </c>
      <c r="BQ80" s="282">
        <v>40</v>
      </c>
      <c r="BR80" s="282">
        <v>34</v>
      </c>
      <c r="BS80" s="282">
        <v>42</v>
      </c>
      <c r="BU80" s="282">
        <v>45</v>
      </c>
      <c r="BV80" s="282">
        <v>40</v>
      </c>
      <c r="BX80" s="282">
        <v>43</v>
      </c>
      <c r="BY80" s="282">
        <v>40</v>
      </c>
      <c r="BZ80" s="282">
        <v>41</v>
      </c>
      <c r="CA80" s="282">
        <v>36</v>
      </c>
      <c r="CB80" s="282">
        <v>44</v>
      </c>
      <c r="CC80" s="282">
        <v>39</v>
      </c>
      <c r="CE80" s="282">
        <v>44</v>
      </c>
      <c r="CF80" s="282">
        <v>41</v>
      </c>
      <c r="CG80" s="283">
        <v>44</v>
      </c>
      <c r="CH80" s="290"/>
      <c r="CI80" s="290">
        <v>34</v>
      </c>
      <c r="CK80" s="297">
        <v>35</v>
      </c>
      <c r="CL80" s="308">
        <v>36</v>
      </c>
      <c r="CM80" s="308">
        <v>44</v>
      </c>
      <c r="CO80" s="290">
        <v>43</v>
      </c>
      <c r="CP80" s="290">
        <v>34</v>
      </c>
      <c r="CQ80" s="290">
        <v>43</v>
      </c>
      <c r="CR80" s="290">
        <v>32</v>
      </c>
      <c r="CS80" s="290">
        <v>43</v>
      </c>
      <c r="CT80" s="282">
        <v>37</v>
      </c>
      <c r="CX80" s="282">
        <v>4</v>
      </c>
    </row>
    <row r="81" spans="10:102">
      <c r="J81" s="311">
        <v>5</v>
      </c>
      <c r="K81" s="301">
        <v>17</v>
      </c>
      <c r="L81" s="301">
        <v>18</v>
      </c>
      <c r="M81" s="301">
        <v>17</v>
      </c>
      <c r="N81" s="301">
        <v>18</v>
      </c>
      <c r="O81" s="120">
        <v>14</v>
      </c>
      <c r="P81" s="120">
        <v>18</v>
      </c>
      <c r="Q81" s="300">
        <v>559</v>
      </c>
      <c r="R81" s="120">
        <v>4</v>
      </c>
      <c r="S81" s="120">
        <v>5</v>
      </c>
      <c r="T81" s="120">
        <v>4</v>
      </c>
      <c r="U81" s="120">
        <v>5</v>
      </c>
      <c r="V81" s="120">
        <v>6</v>
      </c>
      <c r="W81" s="120">
        <v>5</v>
      </c>
      <c r="X81" s="301"/>
      <c r="Y81" s="301"/>
      <c r="Z81" s="301">
        <v>4</v>
      </c>
      <c r="AA81" s="301">
        <v>2</v>
      </c>
      <c r="BK81" s="282">
        <v>43</v>
      </c>
      <c r="BM81" s="282">
        <v>36</v>
      </c>
      <c r="BN81" s="282">
        <v>40</v>
      </c>
      <c r="BQ81" s="282">
        <v>45</v>
      </c>
      <c r="BV81" s="282">
        <v>45</v>
      </c>
      <c r="BY81" s="282">
        <v>43</v>
      </c>
      <c r="BZ81" s="282">
        <v>43</v>
      </c>
      <c r="CA81" s="282">
        <v>45</v>
      </c>
      <c r="CH81" s="290"/>
      <c r="CI81" s="290">
        <v>39</v>
      </c>
      <c r="CK81" s="297">
        <v>42</v>
      </c>
      <c r="CL81" s="297">
        <v>44</v>
      </c>
      <c r="CP81" s="290">
        <v>36</v>
      </c>
      <c r="CR81" s="290">
        <v>34</v>
      </c>
      <c r="CT81" s="308">
        <v>40</v>
      </c>
      <c r="CX81" s="282">
        <v>4</v>
      </c>
    </row>
    <row r="82" spans="10:102">
      <c r="J82" s="311">
        <v>3</v>
      </c>
      <c r="K82" s="120">
        <v>13</v>
      </c>
      <c r="L82" s="120">
        <v>16</v>
      </c>
      <c r="M82" s="120">
        <v>14</v>
      </c>
      <c r="N82" s="120">
        <v>17</v>
      </c>
      <c r="O82" s="120">
        <v>14</v>
      </c>
      <c r="P82" s="120">
        <v>16</v>
      </c>
      <c r="Q82" s="300">
        <v>560</v>
      </c>
      <c r="R82" s="120">
        <v>7</v>
      </c>
      <c r="S82" s="120">
        <v>4</v>
      </c>
      <c r="T82" s="120">
        <v>6</v>
      </c>
      <c r="U82" s="120">
        <v>5</v>
      </c>
      <c r="V82" s="120">
        <v>6</v>
      </c>
      <c r="W82" s="120">
        <v>4</v>
      </c>
      <c r="X82" s="301"/>
      <c r="Y82" s="301"/>
      <c r="Z82" s="301">
        <v>4</v>
      </c>
      <c r="AA82" s="301">
        <v>2</v>
      </c>
      <c r="BN82" s="282">
        <v>44</v>
      </c>
      <c r="BZ82" s="282">
        <v>44</v>
      </c>
      <c r="CK82" s="282"/>
      <c r="CP82" s="290">
        <v>37</v>
      </c>
      <c r="CR82" s="290">
        <v>41</v>
      </c>
      <c r="CT82" s="282">
        <v>43</v>
      </c>
      <c r="CX82" s="282">
        <v>14</v>
      </c>
    </row>
    <row r="83" spans="10:102">
      <c r="J83" s="311">
        <v>5</v>
      </c>
      <c r="K83" s="120">
        <v>16</v>
      </c>
      <c r="L83" s="120">
        <v>14</v>
      </c>
      <c r="M83" s="120">
        <v>16</v>
      </c>
      <c r="N83" s="120">
        <v>16</v>
      </c>
      <c r="O83" s="120">
        <v>16</v>
      </c>
      <c r="P83" s="120">
        <v>17</v>
      </c>
      <c r="Q83" s="300">
        <v>561</v>
      </c>
      <c r="R83" s="120">
        <v>5</v>
      </c>
      <c r="S83" s="120">
        <v>6</v>
      </c>
      <c r="T83" s="120">
        <v>5</v>
      </c>
      <c r="U83" s="120">
        <v>5</v>
      </c>
      <c r="V83" s="120">
        <v>5</v>
      </c>
      <c r="W83" s="120">
        <v>4</v>
      </c>
      <c r="X83" s="301"/>
      <c r="Y83" s="301"/>
      <c r="Z83" s="301">
        <v>5</v>
      </c>
      <c r="AA83" s="301">
        <v>1</v>
      </c>
      <c r="BR83" s="308"/>
      <c r="CK83" s="282"/>
      <c r="CX83" s="282">
        <v>4</v>
      </c>
    </row>
    <row r="84" spans="10:102">
      <c r="J84" s="311">
        <v>2</v>
      </c>
      <c r="K84" s="120">
        <v>13</v>
      </c>
      <c r="L84" s="120">
        <v>13</v>
      </c>
      <c r="M84" s="120">
        <v>16</v>
      </c>
      <c r="N84" s="120">
        <v>13</v>
      </c>
      <c r="O84" s="120">
        <v>13</v>
      </c>
      <c r="P84" s="120">
        <v>16</v>
      </c>
      <c r="Q84" s="300">
        <v>562</v>
      </c>
      <c r="R84" s="120">
        <v>6</v>
      </c>
      <c r="S84" s="301">
        <v>6</v>
      </c>
      <c r="T84" s="301">
        <v>4</v>
      </c>
      <c r="U84" s="301">
        <v>6</v>
      </c>
      <c r="V84" s="301">
        <v>6</v>
      </c>
      <c r="W84" s="301">
        <v>4</v>
      </c>
      <c r="X84" s="301"/>
      <c r="Y84" s="301"/>
      <c r="Z84" s="301">
        <v>4</v>
      </c>
      <c r="AA84" s="301">
        <v>2</v>
      </c>
      <c r="CK84" s="282"/>
      <c r="CP84" s="286"/>
      <c r="CX84" s="282">
        <v>13</v>
      </c>
    </row>
    <row r="85" spans="10:102">
      <c r="J85" s="311">
        <v>5</v>
      </c>
      <c r="K85" s="120">
        <v>13</v>
      </c>
      <c r="L85" s="120">
        <v>15</v>
      </c>
      <c r="M85" s="120">
        <v>15</v>
      </c>
      <c r="N85" s="120">
        <v>15</v>
      </c>
      <c r="O85" s="120">
        <v>15</v>
      </c>
      <c r="P85" s="120">
        <v>15</v>
      </c>
      <c r="Q85" s="300">
        <v>563</v>
      </c>
      <c r="R85" s="120">
        <v>6</v>
      </c>
      <c r="S85" s="120">
        <v>7</v>
      </c>
      <c r="T85" s="120">
        <v>6</v>
      </c>
      <c r="U85" s="120">
        <v>5</v>
      </c>
      <c r="V85" s="120">
        <v>4</v>
      </c>
      <c r="W85" s="120">
        <v>7</v>
      </c>
      <c r="X85" s="301"/>
      <c r="Y85" s="301"/>
      <c r="Z85" s="301">
        <v>5</v>
      </c>
      <c r="AA85" s="301">
        <v>1</v>
      </c>
      <c r="CK85" s="282"/>
      <c r="CP85" s="286"/>
      <c r="CX85" s="282">
        <v>4</v>
      </c>
    </row>
    <row r="86" spans="10:102">
      <c r="J86" s="311">
        <v>5</v>
      </c>
      <c r="K86" s="120">
        <v>15</v>
      </c>
      <c r="L86" s="301">
        <v>15</v>
      </c>
      <c r="M86" s="301">
        <v>15</v>
      </c>
      <c r="N86" s="301">
        <v>15</v>
      </c>
      <c r="O86" s="301">
        <v>15</v>
      </c>
      <c r="P86" s="301">
        <v>13</v>
      </c>
      <c r="Q86" s="300">
        <v>564</v>
      </c>
      <c r="R86" s="120">
        <v>5</v>
      </c>
      <c r="S86" s="301">
        <v>5</v>
      </c>
      <c r="T86" s="301">
        <v>7</v>
      </c>
      <c r="U86" s="301">
        <v>5</v>
      </c>
      <c r="V86" s="301">
        <v>7</v>
      </c>
      <c r="W86" s="301">
        <v>6</v>
      </c>
      <c r="X86" s="301"/>
      <c r="Y86" s="301"/>
      <c r="Z86" s="120">
        <v>6</v>
      </c>
      <c r="AA86" s="120">
        <v>0</v>
      </c>
      <c r="BI86" s="283"/>
      <c r="CB86" s="283"/>
      <c r="CK86" s="282"/>
      <c r="CP86" s="286"/>
      <c r="CX86" s="282">
        <v>3</v>
      </c>
    </row>
    <row r="87" spans="10:102">
      <c r="J87" s="311">
        <v>4</v>
      </c>
      <c r="K87" s="120">
        <v>14</v>
      </c>
      <c r="L87" s="120">
        <v>17</v>
      </c>
      <c r="M87" s="120">
        <v>12</v>
      </c>
      <c r="N87" s="120">
        <v>14</v>
      </c>
      <c r="O87" s="120">
        <v>17</v>
      </c>
      <c r="P87" s="120">
        <v>12</v>
      </c>
      <c r="Q87" s="300">
        <v>565</v>
      </c>
      <c r="R87" s="301">
        <v>5</v>
      </c>
      <c r="S87" s="301">
        <v>4</v>
      </c>
      <c r="T87" s="301">
        <v>6</v>
      </c>
      <c r="U87" s="301">
        <v>5</v>
      </c>
      <c r="V87" s="301">
        <v>4</v>
      </c>
      <c r="W87" s="301">
        <v>6</v>
      </c>
      <c r="X87" s="301"/>
      <c r="Y87" s="301"/>
      <c r="Z87" s="301">
        <v>4</v>
      </c>
      <c r="AA87" s="301">
        <v>2</v>
      </c>
      <c r="BI87" s="283"/>
      <c r="CB87" s="283"/>
      <c r="CK87" s="282"/>
      <c r="CP87" s="286"/>
      <c r="CX87" s="282">
        <v>4</v>
      </c>
    </row>
    <row r="88" spans="10:102">
      <c r="J88" s="312">
        <v>5</v>
      </c>
      <c r="K88" s="301">
        <v>15</v>
      </c>
      <c r="L88" s="301">
        <v>14</v>
      </c>
      <c r="M88" s="301">
        <v>18</v>
      </c>
      <c r="N88" s="301">
        <v>16</v>
      </c>
      <c r="O88" s="301">
        <v>16</v>
      </c>
      <c r="P88" s="120">
        <v>18</v>
      </c>
      <c r="Q88" s="300">
        <v>566</v>
      </c>
      <c r="R88" s="301">
        <v>7</v>
      </c>
      <c r="S88" s="301">
        <v>6</v>
      </c>
      <c r="T88" s="301">
        <v>8</v>
      </c>
      <c r="U88" s="301">
        <v>5</v>
      </c>
      <c r="V88" s="301">
        <v>5</v>
      </c>
      <c r="W88" s="301">
        <v>3</v>
      </c>
      <c r="X88" s="301"/>
      <c r="Y88" s="301"/>
      <c r="Z88" s="120">
        <v>5</v>
      </c>
      <c r="AA88" s="120">
        <v>1</v>
      </c>
      <c r="BH88" s="283"/>
      <c r="BI88" s="283"/>
      <c r="CB88" s="283"/>
      <c r="CK88" s="282"/>
      <c r="CP88" s="286"/>
      <c r="CX88" s="282">
        <v>4</v>
      </c>
    </row>
    <row r="89" spans="10:102">
      <c r="J89" s="311">
        <v>3</v>
      </c>
      <c r="K89" s="120">
        <v>15</v>
      </c>
      <c r="L89" s="120">
        <v>14</v>
      </c>
      <c r="M89" s="120">
        <v>14</v>
      </c>
      <c r="N89" s="120">
        <v>14</v>
      </c>
      <c r="O89" s="120">
        <v>16</v>
      </c>
      <c r="P89" s="120">
        <v>15</v>
      </c>
      <c r="Q89" s="300">
        <v>567</v>
      </c>
      <c r="R89" s="301">
        <v>7</v>
      </c>
      <c r="S89" s="301">
        <v>6</v>
      </c>
      <c r="T89" s="301">
        <v>6</v>
      </c>
      <c r="U89" s="301">
        <v>6</v>
      </c>
      <c r="V89" s="301">
        <v>5</v>
      </c>
      <c r="W89" s="301">
        <v>7</v>
      </c>
      <c r="X89" s="301"/>
      <c r="Y89" s="301"/>
      <c r="Z89" s="301">
        <v>6</v>
      </c>
      <c r="AA89" s="301">
        <v>0</v>
      </c>
      <c r="AN89" s="309"/>
      <c r="BH89" s="284"/>
      <c r="BI89" s="67"/>
      <c r="CB89" s="283"/>
      <c r="CK89" s="282"/>
      <c r="CP89" s="286"/>
    </row>
    <row r="90" spans="10:102">
      <c r="J90" s="312">
        <v>6</v>
      </c>
      <c r="K90" s="313">
        <v>15</v>
      </c>
      <c r="L90" s="313">
        <v>15</v>
      </c>
      <c r="M90" s="313">
        <v>19</v>
      </c>
      <c r="N90" s="313">
        <v>15</v>
      </c>
      <c r="O90" s="313">
        <v>15</v>
      </c>
      <c r="P90" s="313">
        <v>15</v>
      </c>
      <c r="Q90" s="300">
        <v>568</v>
      </c>
      <c r="R90" s="313">
        <v>7</v>
      </c>
      <c r="S90" s="313">
        <v>6</v>
      </c>
      <c r="T90" s="313">
        <v>3</v>
      </c>
      <c r="U90" s="313">
        <v>7</v>
      </c>
      <c r="V90" s="313">
        <v>7</v>
      </c>
      <c r="W90" s="313">
        <v>7</v>
      </c>
      <c r="X90" s="314"/>
      <c r="Y90" s="314"/>
      <c r="Z90" s="314">
        <v>5</v>
      </c>
      <c r="AA90" s="314">
        <v>1</v>
      </c>
      <c r="AN90" s="309"/>
      <c r="BC90" s="290"/>
      <c r="BD90" s="283"/>
      <c r="BE90" s="283"/>
      <c r="BF90" s="283"/>
      <c r="BG90" s="283"/>
      <c r="BH90" s="283"/>
      <c r="BI90" s="283"/>
      <c r="CB90" s="283"/>
      <c r="CK90" s="282"/>
      <c r="CP90" s="286"/>
    </row>
    <row r="91" spans="10:102">
      <c r="J91" s="311">
        <v>6</v>
      </c>
      <c r="K91" s="120">
        <v>16</v>
      </c>
      <c r="L91" s="120">
        <v>16</v>
      </c>
      <c r="M91" s="120">
        <v>15</v>
      </c>
      <c r="N91" s="120">
        <v>15</v>
      </c>
      <c r="O91" s="120">
        <v>16</v>
      </c>
      <c r="P91" s="120">
        <v>18</v>
      </c>
      <c r="Q91" s="300">
        <v>569</v>
      </c>
      <c r="R91" s="301">
        <v>7</v>
      </c>
      <c r="S91" s="120">
        <v>7</v>
      </c>
      <c r="T91" s="120">
        <v>5</v>
      </c>
      <c r="U91" s="120">
        <v>5</v>
      </c>
      <c r="V91" s="120">
        <v>7</v>
      </c>
      <c r="W91" s="120">
        <v>8</v>
      </c>
      <c r="X91" s="301"/>
      <c r="Y91" s="301"/>
      <c r="Z91" s="301">
        <v>6</v>
      </c>
      <c r="AA91" s="301">
        <v>0</v>
      </c>
      <c r="AB91" s="315"/>
      <c r="AC91" s="316"/>
      <c r="AD91" s="316"/>
      <c r="AE91" s="316"/>
      <c r="AF91" s="316"/>
      <c r="AG91" s="315"/>
      <c r="AH91" s="316"/>
      <c r="AI91" s="316"/>
      <c r="AJ91" s="316"/>
      <c r="AK91" s="316"/>
      <c r="AL91" s="316"/>
      <c r="AM91" s="315"/>
      <c r="AN91" s="309"/>
      <c r="BC91" s="284"/>
      <c r="BD91" s="284"/>
      <c r="BE91" s="284"/>
      <c r="BF91" s="284"/>
      <c r="BG91" s="284"/>
      <c r="BH91" s="283"/>
      <c r="BI91" s="283"/>
      <c r="CB91" s="283"/>
      <c r="CK91" s="282"/>
      <c r="CP91" s="286"/>
    </row>
    <row r="92" spans="10:102">
      <c r="J92" s="314">
        <v>5</v>
      </c>
      <c r="K92" s="314">
        <v>20</v>
      </c>
      <c r="L92" s="314">
        <v>13</v>
      </c>
      <c r="M92" s="314">
        <v>15</v>
      </c>
      <c r="N92" s="314">
        <v>16</v>
      </c>
      <c r="O92" s="313">
        <v>17</v>
      </c>
      <c r="P92" s="313">
        <v>20</v>
      </c>
      <c r="Q92" s="300">
        <v>570</v>
      </c>
      <c r="R92" s="314">
        <v>8</v>
      </c>
      <c r="S92" s="314">
        <v>5</v>
      </c>
      <c r="T92" s="314">
        <v>6</v>
      </c>
      <c r="U92" s="314">
        <v>6</v>
      </c>
      <c r="V92" s="313">
        <v>7</v>
      </c>
      <c r="W92" s="313">
        <v>8</v>
      </c>
      <c r="X92" s="314"/>
      <c r="Y92" s="314"/>
      <c r="Z92" s="314">
        <v>6</v>
      </c>
      <c r="AA92" s="314">
        <v>0</v>
      </c>
      <c r="AB92" s="315"/>
      <c r="AC92" s="283"/>
      <c r="AD92" s="283"/>
      <c r="AE92" s="283"/>
      <c r="AF92" s="283"/>
      <c r="AG92" s="315"/>
      <c r="AH92" s="283"/>
      <c r="AI92" s="283"/>
      <c r="AJ92" s="283"/>
      <c r="AK92" s="283"/>
      <c r="AL92" s="283"/>
      <c r="AM92" s="315"/>
      <c r="AN92" s="309"/>
      <c r="BC92" s="283"/>
      <c r="BD92" s="67"/>
      <c r="BE92" s="283"/>
      <c r="BF92" s="283"/>
      <c r="BG92" s="283"/>
      <c r="BH92" s="283"/>
      <c r="BI92" s="283"/>
      <c r="CB92" s="283"/>
      <c r="CK92" s="282"/>
      <c r="CP92" s="286"/>
    </row>
    <row r="93" spans="10:102">
      <c r="J93" s="301">
        <v>5</v>
      </c>
      <c r="K93" s="120">
        <v>18</v>
      </c>
      <c r="L93" s="120">
        <v>13</v>
      </c>
      <c r="M93" s="120">
        <v>17</v>
      </c>
      <c r="N93" s="120">
        <v>16</v>
      </c>
      <c r="O93" s="120">
        <v>18</v>
      </c>
      <c r="P93" s="120">
        <v>17</v>
      </c>
      <c r="Q93" s="300">
        <v>571</v>
      </c>
      <c r="R93" s="120">
        <v>7</v>
      </c>
      <c r="S93" s="120">
        <v>5</v>
      </c>
      <c r="T93" s="120">
        <v>7</v>
      </c>
      <c r="U93" s="120">
        <v>7</v>
      </c>
      <c r="V93" s="120">
        <v>7</v>
      </c>
      <c r="W93" s="120">
        <v>6</v>
      </c>
      <c r="X93" s="301"/>
      <c r="Y93" s="301"/>
      <c r="Z93" s="301">
        <v>6</v>
      </c>
      <c r="AA93" s="301">
        <v>0</v>
      </c>
      <c r="AB93" s="315"/>
      <c r="AC93" s="283"/>
      <c r="AD93" s="283"/>
      <c r="AE93" s="283"/>
      <c r="AF93" s="283"/>
      <c r="AG93" s="315"/>
      <c r="AH93" s="283"/>
      <c r="AI93" s="283"/>
      <c r="AJ93" s="283"/>
      <c r="AK93" s="283"/>
      <c r="AL93" s="283"/>
      <c r="AM93" s="315"/>
      <c r="AN93" s="317"/>
      <c r="BC93" s="283"/>
      <c r="BD93" s="283"/>
      <c r="BE93" s="283"/>
      <c r="BF93" s="283"/>
      <c r="BG93" s="283"/>
      <c r="BH93" s="283"/>
      <c r="BI93" s="283"/>
      <c r="CB93" s="283"/>
      <c r="CK93" s="282"/>
      <c r="CP93" s="286"/>
    </row>
    <row r="94" spans="10:102">
      <c r="J94" s="314">
        <v>6</v>
      </c>
      <c r="K94" s="314">
        <v>20</v>
      </c>
      <c r="L94" s="314">
        <v>17</v>
      </c>
      <c r="M94" s="314">
        <v>16</v>
      </c>
      <c r="N94" s="314">
        <v>17</v>
      </c>
      <c r="O94" s="314">
        <v>16</v>
      </c>
      <c r="P94" s="314">
        <v>18</v>
      </c>
      <c r="Q94" s="300">
        <v>572</v>
      </c>
      <c r="R94" s="314">
        <v>7</v>
      </c>
      <c r="S94" s="314">
        <v>7</v>
      </c>
      <c r="T94" s="314">
        <v>6</v>
      </c>
      <c r="U94" s="314">
        <v>6</v>
      </c>
      <c r="V94" s="314">
        <v>5</v>
      </c>
      <c r="W94" s="314">
        <v>6</v>
      </c>
      <c r="X94" s="314"/>
      <c r="Y94" s="314"/>
      <c r="Z94" s="314">
        <v>6</v>
      </c>
      <c r="AA94" s="314">
        <v>0</v>
      </c>
      <c r="AB94" s="283"/>
      <c r="AC94" s="283"/>
      <c r="AD94" s="283"/>
      <c r="AE94" s="283"/>
      <c r="AF94" s="283"/>
      <c r="AG94" s="315"/>
      <c r="AH94" s="283"/>
      <c r="AI94" s="283"/>
      <c r="AJ94" s="283"/>
      <c r="AK94" s="283"/>
      <c r="AL94" s="283"/>
      <c r="AM94" s="315"/>
      <c r="AN94" s="317"/>
      <c r="BC94" s="283"/>
      <c r="BD94" s="283"/>
      <c r="BE94" s="283"/>
      <c r="BF94" s="283"/>
      <c r="BG94" s="283"/>
      <c r="BH94" s="67"/>
      <c r="BI94" s="283"/>
      <c r="CB94" s="283"/>
      <c r="CK94" s="282"/>
      <c r="CP94" s="286"/>
    </row>
    <row r="95" spans="10:102">
      <c r="J95" s="301">
        <v>5</v>
      </c>
      <c r="K95" s="301">
        <v>20</v>
      </c>
      <c r="L95" s="301">
        <v>16</v>
      </c>
      <c r="M95" s="301">
        <v>16</v>
      </c>
      <c r="N95" s="301">
        <v>16</v>
      </c>
      <c r="O95" s="301">
        <v>20</v>
      </c>
      <c r="P95" s="301">
        <v>12</v>
      </c>
      <c r="Q95" s="300">
        <v>573</v>
      </c>
      <c r="R95" s="301">
        <v>7</v>
      </c>
      <c r="S95" s="301">
        <v>7</v>
      </c>
      <c r="T95" s="301">
        <v>6</v>
      </c>
      <c r="U95" s="301">
        <v>5</v>
      </c>
      <c r="V95" s="301">
        <v>8</v>
      </c>
      <c r="W95" s="301">
        <v>5</v>
      </c>
      <c r="X95" s="301"/>
      <c r="Y95" s="301"/>
      <c r="Z95" s="301">
        <v>6</v>
      </c>
      <c r="AA95" s="301">
        <v>0</v>
      </c>
      <c r="AB95" s="283"/>
      <c r="AC95" s="283"/>
      <c r="AD95" s="283"/>
      <c r="AE95" s="283"/>
      <c r="AF95" s="283"/>
      <c r="AG95" s="315"/>
      <c r="AH95" s="283"/>
      <c r="AI95" s="283"/>
      <c r="AJ95" s="283"/>
      <c r="AK95" s="283"/>
      <c r="AL95" s="283"/>
      <c r="AM95" s="315"/>
      <c r="AN95" s="318"/>
      <c r="BC95" s="283"/>
      <c r="BD95" s="290"/>
      <c r="BE95" s="283"/>
      <c r="BF95" s="283"/>
      <c r="BG95" s="283"/>
      <c r="BH95" s="290"/>
      <c r="BI95" s="283"/>
      <c r="CK95" s="282"/>
      <c r="CP95" s="286"/>
    </row>
    <row r="96" spans="10:102">
      <c r="J96" s="314">
        <v>5</v>
      </c>
      <c r="K96" s="314">
        <v>14</v>
      </c>
      <c r="L96" s="313">
        <v>19</v>
      </c>
      <c r="M96" s="313">
        <v>15</v>
      </c>
      <c r="N96" s="313">
        <v>16</v>
      </c>
      <c r="O96" s="313">
        <v>17</v>
      </c>
      <c r="P96" s="313">
        <v>20</v>
      </c>
      <c r="Q96" s="300">
        <v>574</v>
      </c>
      <c r="R96" s="314">
        <v>4</v>
      </c>
      <c r="S96" s="313">
        <v>7</v>
      </c>
      <c r="T96" s="313">
        <v>6</v>
      </c>
      <c r="U96" s="313">
        <v>6</v>
      </c>
      <c r="V96" s="313">
        <v>6</v>
      </c>
      <c r="W96" s="313">
        <v>8</v>
      </c>
      <c r="X96" s="314"/>
      <c r="Y96" s="314"/>
      <c r="Z96" s="314">
        <v>5</v>
      </c>
      <c r="AA96" s="314">
        <v>1</v>
      </c>
      <c r="AB96" s="283"/>
      <c r="AC96" s="283"/>
      <c r="AD96" s="283"/>
      <c r="AE96" s="283"/>
      <c r="AF96" s="283"/>
      <c r="AG96" s="283"/>
      <c r="AH96" s="283"/>
      <c r="AI96" s="283"/>
      <c r="AJ96" s="283"/>
      <c r="AK96" s="283"/>
      <c r="AL96" s="283"/>
      <c r="AM96" s="315"/>
      <c r="AN96" s="317"/>
      <c r="BC96" s="283"/>
      <c r="BD96" s="283"/>
      <c r="BE96" s="283"/>
      <c r="BF96" s="283"/>
      <c r="BG96" s="283"/>
      <c r="BH96" s="283"/>
      <c r="BI96" s="283"/>
      <c r="CK96" s="282"/>
      <c r="CP96" s="286"/>
    </row>
    <row r="97" spans="9:94">
      <c r="I97" s="301"/>
      <c r="J97" s="120">
        <v>5</v>
      </c>
      <c r="K97" s="120">
        <v>17</v>
      </c>
      <c r="L97" s="120">
        <v>15</v>
      </c>
      <c r="M97" s="120">
        <v>15</v>
      </c>
      <c r="N97" s="120">
        <v>13</v>
      </c>
      <c r="O97" s="120">
        <v>15</v>
      </c>
      <c r="P97" s="120">
        <v>18</v>
      </c>
      <c r="Q97" s="300">
        <v>575</v>
      </c>
      <c r="R97" s="120">
        <v>6</v>
      </c>
      <c r="S97" s="120">
        <v>6</v>
      </c>
      <c r="T97" s="120">
        <v>3</v>
      </c>
      <c r="U97" s="120">
        <v>5</v>
      </c>
      <c r="V97" s="120">
        <v>5</v>
      </c>
      <c r="W97" s="120">
        <v>6</v>
      </c>
      <c r="X97" s="301"/>
      <c r="Y97" s="301"/>
      <c r="Z97" s="120">
        <v>5</v>
      </c>
      <c r="AA97" s="120">
        <v>1</v>
      </c>
      <c r="AB97" s="283"/>
      <c r="AC97" s="283"/>
      <c r="AD97" s="283"/>
      <c r="AE97" s="283"/>
      <c r="AF97" s="283"/>
      <c r="AG97" s="283"/>
      <c r="AH97" s="283"/>
      <c r="AI97" s="283"/>
      <c r="AJ97" s="283"/>
      <c r="AK97" s="283"/>
      <c r="AL97" s="283"/>
      <c r="AM97" s="315"/>
      <c r="AN97" s="317"/>
      <c r="BC97" s="283"/>
      <c r="BD97" s="283"/>
      <c r="BE97" s="283"/>
      <c r="BF97" s="283"/>
      <c r="BG97" s="283"/>
      <c r="BH97" s="283"/>
      <c r="BI97" s="283"/>
      <c r="CK97" s="282"/>
      <c r="CP97" s="286"/>
    </row>
    <row r="98" spans="9:94">
      <c r="I98" s="301"/>
      <c r="J98" s="120">
        <v>1</v>
      </c>
      <c r="K98" s="120">
        <v>11</v>
      </c>
      <c r="L98" s="120">
        <v>13</v>
      </c>
      <c r="M98" s="120">
        <v>13</v>
      </c>
      <c r="N98" s="120">
        <v>14</v>
      </c>
      <c r="O98" s="120">
        <v>14</v>
      </c>
      <c r="P98" s="120">
        <v>15</v>
      </c>
      <c r="Q98" s="300">
        <v>576</v>
      </c>
      <c r="R98" s="120">
        <v>4</v>
      </c>
      <c r="S98" s="120">
        <v>3</v>
      </c>
      <c r="T98" s="120">
        <v>4</v>
      </c>
      <c r="U98" s="120">
        <v>4</v>
      </c>
      <c r="V98" s="120">
        <v>4</v>
      </c>
      <c r="W98" s="120">
        <v>4</v>
      </c>
      <c r="X98" s="301"/>
      <c r="Y98" s="301"/>
      <c r="Z98" s="120">
        <v>0</v>
      </c>
      <c r="AA98" s="120">
        <v>6</v>
      </c>
      <c r="AB98" s="283"/>
      <c r="AC98" s="283"/>
      <c r="AD98" s="283"/>
      <c r="AE98" s="283"/>
      <c r="AF98" s="283"/>
      <c r="AG98" s="283"/>
      <c r="AH98" s="283"/>
      <c r="AI98" s="283"/>
      <c r="AJ98" s="283"/>
      <c r="AK98" s="283"/>
      <c r="AL98" s="283"/>
      <c r="AM98" s="315"/>
      <c r="AN98" s="317"/>
      <c r="BC98" s="283"/>
      <c r="BD98" s="283"/>
      <c r="BE98" s="283"/>
      <c r="BF98" s="283"/>
      <c r="BG98" s="283"/>
      <c r="BH98" s="283"/>
      <c r="BI98" s="283"/>
      <c r="CB98" s="283"/>
      <c r="CK98" s="282"/>
      <c r="CP98" s="286"/>
    </row>
    <row r="99" spans="9:94">
      <c r="I99" s="301">
        <v>4</v>
      </c>
      <c r="J99" s="120">
        <v>4</v>
      </c>
      <c r="K99" s="120">
        <v>14</v>
      </c>
      <c r="L99" s="120">
        <v>18</v>
      </c>
      <c r="M99" s="120">
        <v>14</v>
      </c>
      <c r="N99" s="120">
        <v>15</v>
      </c>
      <c r="O99" s="120">
        <v>17</v>
      </c>
      <c r="P99" s="120">
        <v>15</v>
      </c>
      <c r="Q99" s="300">
        <v>577</v>
      </c>
      <c r="R99" s="120">
        <v>6</v>
      </c>
      <c r="S99" s="120">
        <v>6</v>
      </c>
      <c r="T99" s="120">
        <v>5</v>
      </c>
      <c r="U99" s="120">
        <v>5</v>
      </c>
      <c r="V99" s="120">
        <v>5</v>
      </c>
      <c r="W99" s="120">
        <v>5</v>
      </c>
      <c r="X99" s="301"/>
      <c r="Y99" s="301"/>
      <c r="Z99" s="120">
        <v>6</v>
      </c>
      <c r="AA99" s="120">
        <v>0</v>
      </c>
      <c r="AB99" s="283"/>
      <c r="AC99" s="283"/>
      <c r="AD99" s="283"/>
      <c r="AE99" s="283"/>
      <c r="AF99" s="283"/>
      <c r="AG99" s="283"/>
      <c r="AH99" s="283"/>
      <c r="AI99" s="283"/>
      <c r="AJ99" s="283"/>
      <c r="AK99" s="283"/>
      <c r="AL99" s="283"/>
      <c r="AM99" s="315"/>
      <c r="AN99" s="317"/>
      <c r="BC99" s="283"/>
      <c r="BD99" s="283"/>
      <c r="BE99" s="283"/>
      <c r="BF99" s="283"/>
      <c r="BG99" s="283"/>
      <c r="BH99" s="283"/>
      <c r="BI99" s="283"/>
      <c r="BJ99" s="283"/>
      <c r="CB99" s="283"/>
      <c r="CK99" s="282"/>
      <c r="CP99" s="286"/>
    </row>
    <row r="100" spans="9:94">
      <c r="I100" s="301">
        <v>1</v>
      </c>
      <c r="J100" s="120">
        <v>3</v>
      </c>
      <c r="K100" s="120">
        <v>14</v>
      </c>
      <c r="L100" s="120">
        <v>13</v>
      </c>
      <c r="M100" s="120">
        <v>18</v>
      </c>
      <c r="N100" s="120">
        <v>15</v>
      </c>
      <c r="O100" s="120">
        <v>14</v>
      </c>
      <c r="P100" s="120">
        <v>17</v>
      </c>
      <c r="Q100" s="300">
        <v>578</v>
      </c>
      <c r="R100" s="120">
        <v>4</v>
      </c>
      <c r="S100" s="120">
        <v>4</v>
      </c>
      <c r="T100" s="120">
        <v>6</v>
      </c>
      <c r="U100" s="120">
        <v>4</v>
      </c>
      <c r="V100" s="120">
        <v>3</v>
      </c>
      <c r="W100" s="120">
        <v>4</v>
      </c>
      <c r="X100" s="301"/>
      <c r="Y100" s="301"/>
      <c r="Z100" s="120">
        <v>1</v>
      </c>
      <c r="AA100" s="120">
        <v>5</v>
      </c>
      <c r="AB100" s="283"/>
      <c r="AC100" s="283"/>
      <c r="AD100" s="283"/>
      <c r="AE100" s="283"/>
      <c r="AF100" s="283"/>
      <c r="AG100" s="283"/>
      <c r="AH100" s="283"/>
      <c r="AI100" s="283"/>
      <c r="AJ100" s="283"/>
      <c r="AK100" s="283"/>
      <c r="AL100" s="283"/>
      <c r="AM100" s="315"/>
      <c r="AN100" s="315"/>
      <c r="BC100" s="283"/>
      <c r="BD100" s="283"/>
      <c r="BE100" s="283"/>
      <c r="BF100" s="283"/>
      <c r="BG100" s="283"/>
      <c r="BH100" s="283"/>
      <c r="BI100" s="283"/>
      <c r="BJ100" s="283"/>
      <c r="CB100" s="283"/>
      <c r="CK100" s="282"/>
      <c r="CP100" s="286"/>
    </row>
    <row r="101" spans="9:94">
      <c r="I101" s="301">
        <v>3</v>
      </c>
      <c r="J101" s="120">
        <v>4</v>
      </c>
      <c r="K101" s="120">
        <v>14</v>
      </c>
      <c r="L101" s="120">
        <v>15</v>
      </c>
      <c r="M101" s="120">
        <v>15</v>
      </c>
      <c r="N101" s="120">
        <v>15</v>
      </c>
      <c r="O101" s="120">
        <v>13</v>
      </c>
      <c r="P101" s="120">
        <v>17</v>
      </c>
      <c r="Q101" s="300">
        <v>579</v>
      </c>
      <c r="R101" s="120">
        <v>6</v>
      </c>
      <c r="S101" s="120">
        <v>5</v>
      </c>
      <c r="T101" s="120">
        <v>4</v>
      </c>
      <c r="U101" s="120">
        <v>5</v>
      </c>
      <c r="V101" s="120">
        <v>3</v>
      </c>
      <c r="W101" s="120">
        <v>6</v>
      </c>
      <c r="X101" s="301"/>
      <c r="Y101" s="301"/>
      <c r="Z101" s="120">
        <v>4</v>
      </c>
      <c r="AA101" s="120">
        <v>2</v>
      </c>
      <c r="AB101" s="283"/>
      <c r="AC101" s="283"/>
      <c r="AD101" s="283"/>
      <c r="AE101" s="283"/>
      <c r="AF101" s="283"/>
      <c r="AG101" s="283"/>
      <c r="AH101" s="283"/>
      <c r="AI101" s="283"/>
      <c r="AJ101" s="283"/>
      <c r="AK101" s="283"/>
      <c r="AL101" s="283"/>
      <c r="AM101" s="315"/>
      <c r="AN101" s="315"/>
      <c r="BC101" s="283"/>
      <c r="BD101" s="283"/>
      <c r="BE101" s="283"/>
      <c r="BF101" s="283"/>
      <c r="BG101" s="283"/>
      <c r="BH101" s="283"/>
      <c r="BI101" s="290"/>
      <c r="BJ101" s="283"/>
      <c r="BQ101" s="283"/>
      <c r="CB101" s="283"/>
      <c r="CK101" s="282"/>
      <c r="CP101" s="286"/>
    </row>
    <row r="102" spans="9:94">
      <c r="I102" s="301">
        <v>2</v>
      </c>
      <c r="J102" s="120">
        <v>4</v>
      </c>
      <c r="K102" s="120">
        <v>14</v>
      </c>
      <c r="L102" s="120">
        <v>16</v>
      </c>
      <c r="M102" s="120">
        <v>14</v>
      </c>
      <c r="N102" s="120">
        <v>19</v>
      </c>
      <c r="O102" s="120">
        <v>17</v>
      </c>
      <c r="P102" s="120">
        <v>17</v>
      </c>
      <c r="Q102" s="300">
        <v>580</v>
      </c>
      <c r="R102" s="120">
        <v>6</v>
      </c>
      <c r="S102" s="120">
        <v>4</v>
      </c>
      <c r="T102" s="120">
        <v>5</v>
      </c>
      <c r="U102" s="120">
        <v>6</v>
      </c>
      <c r="V102" s="120">
        <v>4</v>
      </c>
      <c r="W102" s="120">
        <v>6</v>
      </c>
      <c r="X102" s="301"/>
      <c r="Y102" s="301"/>
      <c r="Z102" s="120">
        <v>4</v>
      </c>
      <c r="AA102" s="120">
        <v>2</v>
      </c>
      <c r="AB102" s="283"/>
      <c r="AC102" s="283"/>
      <c r="AD102" s="283"/>
      <c r="AE102" s="283"/>
      <c r="AF102" s="283"/>
      <c r="AG102" s="283"/>
      <c r="AH102" s="283"/>
      <c r="AI102" s="283"/>
      <c r="AJ102" s="283"/>
      <c r="AK102" s="283"/>
      <c r="AL102" s="283"/>
      <c r="AM102" s="315"/>
      <c r="AN102" s="283"/>
      <c r="BC102" s="283"/>
      <c r="BD102" s="283"/>
      <c r="BE102" s="283"/>
      <c r="BF102" s="290"/>
      <c r="BG102" s="283"/>
      <c r="BH102" s="283"/>
      <c r="BI102" s="283"/>
      <c r="BJ102" s="283"/>
      <c r="BQ102" s="283"/>
      <c r="CB102" s="283"/>
      <c r="CK102" s="282"/>
      <c r="CP102" s="286"/>
    </row>
    <row r="103" spans="9:94">
      <c r="I103" s="301">
        <v>4</v>
      </c>
      <c r="J103" s="120">
        <v>6</v>
      </c>
      <c r="K103" s="120">
        <v>15</v>
      </c>
      <c r="L103" s="120">
        <v>16</v>
      </c>
      <c r="M103" s="120">
        <v>17</v>
      </c>
      <c r="N103" s="120">
        <v>16</v>
      </c>
      <c r="O103" s="120">
        <v>15</v>
      </c>
      <c r="P103" s="120">
        <v>17</v>
      </c>
      <c r="Q103" s="300">
        <v>581</v>
      </c>
      <c r="R103" s="120">
        <v>6</v>
      </c>
      <c r="S103" s="120">
        <v>4</v>
      </c>
      <c r="T103" s="120">
        <v>5</v>
      </c>
      <c r="U103" s="120">
        <v>4</v>
      </c>
      <c r="V103" s="120">
        <v>6</v>
      </c>
      <c r="W103" s="120">
        <v>6</v>
      </c>
      <c r="X103" s="301"/>
      <c r="Y103" s="301"/>
      <c r="Z103" s="120">
        <v>4</v>
      </c>
      <c r="AA103" s="120">
        <v>2</v>
      </c>
      <c r="AB103" s="283"/>
      <c r="AC103" s="290"/>
      <c r="AD103" s="283"/>
      <c r="AE103" s="283"/>
      <c r="AF103" s="283"/>
      <c r="AG103" s="283"/>
      <c r="AH103" s="283"/>
      <c r="AI103" s="283"/>
      <c r="AJ103" s="283"/>
      <c r="AK103" s="283"/>
      <c r="AL103" s="283"/>
      <c r="AM103" s="315"/>
      <c r="AN103" s="283"/>
      <c r="BC103" s="283"/>
      <c r="BD103" s="283"/>
      <c r="BE103" s="283"/>
      <c r="BF103" s="283"/>
      <c r="BG103" s="283"/>
      <c r="BH103" s="283"/>
      <c r="BI103" s="283"/>
      <c r="BJ103" s="283"/>
      <c r="BP103" s="283"/>
      <c r="BQ103" s="283"/>
      <c r="CK103" s="282"/>
      <c r="CP103" s="286"/>
    </row>
    <row r="104" spans="9:94">
      <c r="I104" s="301">
        <v>3</v>
      </c>
      <c r="J104" s="120">
        <v>6</v>
      </c>
      <c r="K104" s="120">
        <v>15</v>
      </c>
      <c r="L104" s="120">
        <v>16</v>
      </c>
      <c r="M104" s="120">
        <v>16</v>
      </c>
      <c r="N104" s="120">
        <v>15</v>
      </c>
      <c r="O104" s="120">
        <v>16</v>
      </c>
      <c r="P104" s="120">
        <v>16</v>
      </c>
      <c r="Q104" s="300">
        <v>582</v>
      </c>
      <c r="R104" s="120">
        <v>4</v>
      </c>
      <c r="S104" s="120">
        <v>6</v>
      </c>
      <c r="T104" s="120">
        <v>4</v>
      </c>
      <c r="U104" s="120">
        <v>6</v>
      </c>
      <c r="V104" s="120">
        <v>5</v>
      </c>
      <c r="W104" s="120">
        <v>4</v>
      </c>
      <c r="X104" s="301"/>
      <c r="Y104" s="301"/>
      <c r="Z104" s="120">
        <v>3</v>
      </c>
      <c r="AA104" s="120">
        <v>3</v>
      </c>
      <c r="AB104" s="284"/>
      <c r="AC104" s="283"/>
      <c r="AD104" s="283"/>
      <c r="AE104" s="283"/>
      <c r="AF104" s="283"/>
      <c r="AG104" s="283"/>
      <c r="AH104" s="283"/>
      <c r="AI104" s="283"/>
      <c r="AJ104" s="283"/>
      <c r="AK104" s="283"/>
      <c r="AL104" s="283"/>
      <c r="AM104" s="315"/>
      <c r="AN104" s="283"/>
      <c r="BC104" s="283"/>
      <c r="BD104" s="283"/>
      <c r="BE104" s="283"/>
      <c r="BF104" s="283"/>
      <c r="BG104" s="290"/>
      <c r="BH104" s="283"/>
      <c r="BI104" s="283"/>
      <c r="BJ104" s="283"/>
      <c r="BK104" s="283"/>
      <c r="BN104" s="283"/>
      <c r="BO104" s="283"/>
      <c r="BP104" s="283"/>
      <c r="BQ104" s="283"/>
      <c r="CK104" s="282"/>
      <c r="CP104" s="286"/>
    </row>
    <row r="105" spans="9:94">
      <c r="I105" s="301">
        <v>1</v>
      </c>
      <c r="J105" s="120">
        <v>4</v>
      </c>
      <c r="K105" s="120">
        <v>12</v>
      </c>
      <c r="L105" s="120">
        <v>15</v>
      </c>
      <c r="M105" s="120">
        <v>16</v>
      </c>
      <c r="N105" s="120">
        <v>15</v>
      </c>
      <c r="O105" s="120">
        <v>13</v>
      </c>
      <c r="P105" s="120">
        <v>15</v>
      </c>
      <c r="Q105" s="300">
        <v>583</v>
      </c>
      <c r="R105" s="120">
        <v>5</v>
      </c>
      <c r="S105" s="120">
        <v>3</v>
      </c>
      <c r="T105" s="120">
        <v>4</v>
      </c>
      <c r="U105" s="120">
        <v>5</v>
      </c>
      <c r="V105" s="120">
        <v>3</v>
      </c>
      <c r="W105" s="120">
        <v>4</v>
      </c>
      <c r="X105" s="301"/>
      <c r="Y105" s="301"/>
      <c r="Z105" s="120">
        <v>2</v>
      </c>
      <c r="AA105" s="120">
        <v>4</v>
      </c>
      <c r="AB105" s="284"/>
      <c r="AC105" s="283"/>
      <c r="AD105" s="283"/>
      <c r="AE105" s="283"/>
      <c r="AF105" s="283"/>
      <c r="AG105" s="283"/>
      <c r="AH105" s="283"/>
      <c r="AI105" s="283"/>
      <c r="AJ105" s="283"/>
      <c r="AK105" s="283"/>
      <c r="AL105" s="283"/>
      <c r="AM105" s="315"/>
      <c r="AN105" s="283"/>
      <c r="BC105" s="283"/>
      <c r="BD105" s="283"/>
      <c r="BE105" s="283"/>
      <c r="BF105" s="283"/>
      <c r="BG105" s="283"/>
      <c r="BH105" s="283"/>
      <c r="BI105" s="283"/>
      <c r="BJ105" s="283"/>
      <c r="BK105" s="283"/>
      <c r="BL105" s="283"/>
      <c r="BN105" s="283"/>
      <c r="BO105" s="283"/>
      <c r="BP105" s="283"/>
      <c r="BQ105" s="283"/>
      <c r="CK105" s="282"/>
      <c r="CP105" s="286"/>
    </row>
    <row r="106" spans="9:94">
      <c r="I106" s="301">
        <v>1</v>
      </c>
      <c r="J106" s="120">
        <v>3</v>
      </c>
      <c r="K106" s="120">
        <v>13</v>
      </c>
      <c r="L106" s="120">
        <v>13</v>
      </c>
      <c r="M106" s="120">
        <v>15</v>
      </c>
      <c r="N106" s="120">
        <v>15</v>
      </c>
      <c r="O106" s="120">
        <v>13</v>
      </c>
      <c r="P106" s="120">
        <v>16</v>
      </c>
      <c r="Q106" s="300">
        <v>584</v>
      </c>
      <c r="R106" s="120">
        <v>5</v>
      </c>
      <c r="S106" s="120">
        <v>4</v>
      </c>
      <c r="T106" s="120">
        <v>3</v>
      </c>
      <c r="U106" s="120">
        <v>5</v>
      </c>
      <c r="V106" s="120">
        <v>2</v>
      </c>
      <c r="W106" s="120">
        <v>4</v>
      </c>
      <c r="X106" s="301"/>
      <c r="Y106" s="301"/>
      <c r="Z106" s="120">
        <v>2</v>
      </c>
      <c r="AA106" s="120">
        <v>4</v>
      </c>
      <c r="AB106" s="284"/>
      <c r="AC106" s="290"/>
      <c r="AD106" s="283"/>
      <c r="AE106" s="283"/>
      <c r="AF106" s="283"/>
      <c r="AG106" s="283"/>
      <c r="AH106" s="283"/>
      <c r="AI106" s="283"/>
      <c r="AJ106" s="283"/>
      <c r="AK106" s="283"/>
      <c r="AL106" s="283"/>
      <c r="AM106" s="315"/>
      <c r="AN106" s="283"/>
      <c r="BC106" s="283"/>
      <c r="BD106" s="283"/>
      <c r="BE106" s="283"/>
      <c r="BF106" s="283"/>
      <c r="BG106" s="283"/>
      <c r="BH106" s="283"/>
      <c r="BI106" s="283"/>
      <c r="BJ106" s="283"/>
      <c r="BK106" s="283"/>
      <c r="BL106" s="283"/>
      <c r="BN106" s="283"/>
      <c r="BO106" s="283"/>
      <c r="BP106" s="283"/>
      <c r="BQ106" s="283"/>
      <c r="CK106" s="282"/>
      <c r="CP106" s="286"/>
    </row>
    <row r="107" spans="9:94">
      <c r="I107" s="301">
        <v>1</v>
      </c>
      <c r="J107" s="120">
        <v>2</v>
      </c>
      <c r="K107" s="120">
        <v>17</v>
      </c>
      <c r="L107" s="120">
        <v>14</v>
      </c>
      <c r="M107" s="120">
        <v>14</v>
      </c>
      <c r="N107" s="120">
        <v>13</v>
      </c>
      <c r="O107" s="120">
        <v>13</v>
      </c>
      <c r="P107" s="120">
        <v>16</v>
      </c>
      <c r="Q107" s="300">
        <v>585</v>
      </c>
      <c r="R107" s="120">
        <v>6</v>
      </c>
      <c r="S107" s="120">
        <v>4</v>
      </c>
      <c r="T107" s="120">
        <v>4</v>
      </c>
      <c r="U107" s="120">
        <v>4</v>
      </c>
      <c r="V107" s="120">
        <v>2</v>
      </c>
      <c r="W107" s="120">
        <v>4</v>
      </c>
      <c r="X107" s="301"/>
      <c r="Y107" s="301"/>
      <c r="Z107" s="120">
        <v>1</v>
      </c>
      <c r="AA107" s="120">
        <v>5</v>
      </c>
      <c r="AB107" s="284"/>
      <c r="AC107" s="290"/>
      <c r="AD107" s="290"/>
      <c r="AE107" s="283"/>
      <c r="AF107" s="283"/>
      <c r="AG107" s="283"/>
      <c r="AH107" s="283"/>
      <c r="AI107" s="283"/>
      <c r="AJ107" s="283"/>
      <c r="AK107" s="283"/>
      <c r="AL107" s="283"/>
      <c r="AM107" s="315"/>
      <c r="AN107" s="283"/>
      <c r="BC107" s="283"/>
      <c r="BD107" s="283"/>
      <c r="BE107" s="283"/>
      <c r="BF107" s="283"/>
      <c r="BG107" s="283"/>
      <c r="BH107" s="283"/>
      <c r="BI107" s="283"/>
      <c r="BJ107" s="290"/>
      <c r="BK107" s="290"/>
      <c r="BL107" s="290"/>
      <c r="BM107" s="290"/>
      <c r="BN107" s="290"/>
      <c r="BO107" s="283"/>
      <c r="BP107" s="283"/>
      <c r="BQ107" s="283"/>
      <c r="CK107" s="282"/>
      <c r="CP107" s="286"/>
    </row>
    <row r="108" spans="9:94">
      <c r="I108" s="301">
        <v>4</v>
      </c>
      <c r="J108" s="120">
        <v>4</v>
      </c>
      <c r="K108" s="120">
        <v>15</v>
      </c>
      <c r="L108" s="120">
        <v>17</v>
      </c>
      <c r="M108" s="120">
        <v>15</v>
      </c>
      <c r="N108" s="120">
        <v>13</v>
      </c>
      <c r="O108" s="120">
        <v>13</v>
      </c>
      <c r="P108" s="120">
        <v>16</v>
      </c>
      <c r="Q108" s="300">
        <v>586</v>
      </c>
      <c r="R108" s="120">
        <v>6</v>
      </c>
      <c r="S108" s="120">
        <v>6</v>
      </c>
      <c r="T108" s="120">
        <v>5</v>
      </c>
      <c r="U108" s="120">
        <v>5</v>
      </c>
      <c r="V108" s="120">
        <v>6</v>
      </c>
      <c r="W108" s="120">
        <v>5</v>
      </c>
      <c r="X108" s="301"/>
      <c r="Y108" s="301"/>
      <c r="Z108" s="120">
        <v>6</v>
      </c>
      <c r="AA108" s="120">
        <v>0</v>
      </c>
      <c r="AB108" s="284"/>
      <c r="AC108" s="290"/>
      <c r="AD108" s="290"/>
      <c r="AE108" s="290"/>
      <c r="AF108" s="283"/>
      <c r="AG108" s="283"/>
      <c r="AH108" s="283"/>
      <c r="AI108" s="283"/>
      <c r="AJ108" s="283"/>
      <c r="AK108" s="283"/>
      <c r="AL108" s="283"/>
      <c r="AM108" s="315"/>
      <c r="AN108" s="283"/>
      <c r="BC108" s="283"/>
      <c r="BD108" s="283"/>
      <c r="BE108" s="283"/>
      <c r="BF108" s="283"/>
      <c r="BG108" s="67"/>
      <c r="BH108" s="283"/>
      <c r="BI108" s="283"/>
      <c r="BJ108" s="283"/>
      <c r="BK108" s="283"/>
      <c r="BL108" s="283"/>
      <c r="BM108" s="283"/>
      <c r="BN108" s="283"/>
      <c r="BO108" s="283"/>
      <c r="BP108" s="283"/>
      <c r="BQ108" s="283"/>
      <c r="CK108" s="282"/>
      <c r="CP108" s="286"/>
    </row>
    <row r="109" spans="9:94">
      <c r="I109" s="301">
        <v>3</v>
      </c>
      <c r="J109" s="120">
        <v>3</v>
      </c>
      <c r="K109" s="120">
        <v>13</v>
      </c>
      <c r="L109" s="120">
        <v>17</v>
      </c>
      <c r="M109" s="120">
        <v>15</v>
      </c>
      <c r="N109" s="120">
        <v>16</v>
      </c>
      <c r="O109" s="120">
        <v>12</v>
      </c>
      <c r="P109" s="120">
        <v>10</v>
      </c>
      <c r="Q109" s="300">
        <v>587</v>
      </c>
      <c r="R109" s="120">
        <v>5</v>
      </c>
      <c r="S109" s="120">
        <v>6</v>
      </c>
      <c r="T109" s="120">
        <v>5</v>
      </c>
      <c r="U109" s="120">
        <v>5</v>
      </c>
      <c r="V109" s="120">
        <v>3</v>
      </c>
      <c r="W109" s="120">
        <v>4</v>
      </c>
      <c r="X109" s="301"/>
      <c r="Y109" s="301"/>
      <c r="Z109" s="120">
        <v>4</v>
      </c>
      <c r="AA109" s="120">
        <v>2</v>
      </c>
      <c r="AB109" s="284"/>
      <c r="AC109" s="283"/>
      <c r="AD109" s="290"/>
      <c r="AE109" s="290"/>
      <c r="AF109" s="290"/>
      <c r="AG109" s="283"/>
      <c r="AH109" s="283"/>
      <c r="AI109" s="283"/>
      <c r="AJ109" s="283"/>
      <c r="AK109" s="283"/>
      <c r="AL109" s="283"/>
      <c r="AM109" s="315"/>
      <c r="AN109" s="283"/>
      <c r="BC109" s="283"/>
      <c r="BD109" s="283"/>
      <c r="BE109" s="283"/>
      <c r="BF109" s="283"/>
      <c r="BG109" s="283"/>
      <c r="BH109" s="283"/>
      <c r="BI109" s="283"/>
      <c r="BJ109" s="283"/>
      <c r="BK109" s="283"/>
      <c r="BL109" s="283"/>
      <c r="BM109" s="283"/>
      <c r="BN109" s="283"/>
      <c r="BO109" s="283"/>
      <c r="BP109" s="283"/>
      <c r="BQ109" s="283"/>
      <c r="CK109" s="282"/>
      <c r="CP109" s="286"/>
    </row>
    <row r="110" spans="9:94">
      <c r="I110" s="301">
        <v>3</v>
      </c>
      <c r="J110" s="120">
        <v>3</v>
      </c>
      <c r="K110" s="120">
        <v>16</v>
      </c>
      <c r="L110" s="120">
        <v>12</v>
      </c>
      <c r="M110" s="120">
        <v>12</v>
      </c>
      <c r="N110" s="120">
        <v>12</v>
      </c>
      <c r="O110" s="120">
        <v>16</v>
      </c>
      <c r="P110" s="120">
        <v>16</v>
      </c>
      <c r="Q110" s="300">
        <v>588</v>
      </c>
      <c r="R110" s="120">
        <v>5</v>
      </c>
      <c r="S110" s="120">
        <v>3</v>
      </c>
      <c r="T110" s="120">
        <v>2</v>
      </c>
      <c r="U110" s="120">
        <v>4</v>
      </c>
      <c r="V110" s="120">
        <v>5</v>
      </c>
      <c r="W110" s="120">
        <v>5</v>
      </c>
      <c r="X110" s="301"/>
      <c r="Y110" s="301"/>
      <c r="Z110" s="120">
        <v>3</v>
      </c>
      <c r="AA110" s="120">
        <v>3</v>
      </c>
      <c r="AB110" s="284"/>
      <c r="AC110" s="283"/>
      <c r="AD110" s="283"/>
      <c r="AE110" s="290"/>
      <c r="AF110" s="290"/>
      <c r="AG110" s="290"/>
      <c r="AH110" s="283"/>
      <c r="AI110" s="283"/>
      <c r="AJ110" s="283"/>
      <c r="AK110" s="283"/>
      <c r="AL110" s="283"/>
      <c r="AM110" s="315"/>
      <c r="AN110" s="283"/>
      <c r="BC110" s="283"/>
      <c r="BD110" s="283"/>
      <c r="BE110" s="283"/>
      <c r="BF110" s="283"/>
      <c r="BG110" s="283"/>
      <c r="BH110" s="283"/>
      <c r="BI110" s="283"/>
      <c r="BJ110" s="283"/>
      <c r="BK110" s="283"/>
      <c r="BL110" s="283"/>
      <c r="BM110" s="283"/>
      <c r="BN110" s="283"/>
      <c r="BO110" s="283"/>
      <c r="BP110" s="283"/>
      <c r="BQ110" s="283"/>
      <c r="CK110" s="282"/>
      <c r="CP110" s="286"/>
    </row>
    <row r="111" spans="9:94">
      <c r="I111" s="301">
        <v>4</v>
      </c>
      <c r="J111" s="120">
        <v>4</v>
      </c>
      <c r="K111" s="120">
        <v>15</v>
      </c>
      <c r="L111" s="120">
        <v>14</v>
      </c>
      <c r="M111" s="120">
        <v>16</v>
      </c>
      <c r="N111" s="120">
        <v>17</v>
      </c>
      <c r="O111" s="301">
        <v>16</v>
      </c>
      <c r="P111" s="120">
        <v>14</v>
      </c>
      <c r="Q111" s="300">
        <v>589</v>
      </c>
      <c r="R111" s="120">
        <v>5</v>
      </c>
      <c r="S111" s="120">
        <v>5</v>
      </c>
      <c r="T111" s="120">
        <v>5</v>
      </c>
      <c r="U111" s="120">
        <v>6</v>
      </c>
      <c r="V111" s="120">
        <v>5</v>
      </c>
      <c r="W111" s="120">
        <v>4</v>
      </c>
      <c r="X111" s="301"/>
      <c r="Y111" s="301"/>
      <c r="Z111" s="120">
        <v>5</v>
      </c>
      <c r="AA111" s="120">
        <v>1</v>
      </c>
      <c r="AB111" s="284"/>
      <c r="AC111" s="283"/>
      <c r="AD111" s="283"/>
      <c r="AE111" s="283"/>
      <c r="AF111" s="290"/>
      <c r="AG111" s="290"/>
      <c r="AH111" s="290"/>
      <c r="AI111" s="283"/>
      <c r="AJ111" s="283"/>
      <c r="AK111" s="283"/>
      <c r="AL111" s="283"/>
      <c r="AM111" s="315"/>
      <c r="AN111" s="283"/>
      <c r="BC111" s="283"/>
      <c r="BD111" s="283"/>
      <c r="BE111" s="283"/>
      <c r="BF111" s="290"/>
      <c r="BG111" s="283"/>
      <c r="BH111" s="283"/>
      <c r="BI111" s="283"/>
      <c r="BJ111" s="283"/>
      <c r="BK111" s="283"/>
      <c r="BL111" s="283"/>
      <c r="BM111" s="283"/>
      <c r="BN111" s="283"/>
      <c r="BO111" s="283"/>
      <c r="BP111" s="283"/>
      <c r="BQ111" s="283"/>
      <c r="CK111" s="282"/>
      <c r="CP111" s="286"/>
    </row>
    <row r="112" spans="9:94">
      <c r="I112" s="301">
        <v>3</v>
      </c>
      <c r="J112" s="120">
        <v>4</v>
      </c>
      <c r="K112" s="120">
        <v>16</v>
      </c>
      <c r="L112" s="120">
        <v>14</v>
      </c>
      <c r="M112" s="120">
        <v>18</v>
      </c>
      <c r="N112" s="120">
        <v>17</v>
      </c>
      <c r="O112" s="120">
        <v>14</v>
      </c>
      <c r="P112" s="120">
        <v>17</v>
      </c>
      <c r="Q112" s="300">
        <v>590</v>
      </c>
      <c r="R112" s="120">
        <v>5</v>
      </c>
      <c r="S112" s="120">
        <v>4</v>
      </c>
      <c r="T112" s="120">
        <v>5</v>
      </c>
      <c r="U112" s="120">
        <v>5</v>
      </c>
      <c r="V112" s="120">
        <v>5</v>
      </c>
      <c r="W112" s="120">
        <v>3</v>
      </c>
      <c r="X112" s="301"/>
      <c r="Y112" s="301"/>
      <c r="Z112" s="120">
        <v>4</v>
      </c>
      <c r="AA112" s="120">
        <v>2</v>
      </c>
      <c r="AB112" s="284"/>
      <c r="AC112" s="283"/>
      <c r="AD112" s="290"/>
      <c r="AE112" s="283"/>
      <c r="AF112" s="283"/>
      <c r="AG112" s="290"/>
      <c r="AH112" s="290"/>
      <c r="AI112" s="290"/>
      <c r="AJ112" s="283"/>
      <c r="AK112" s="283"/>
      <c r="AL112" s="283"/>
      <c r="AM112" s="315"/>
      <c r="AN112" s="283"/>
      <c r="BC112" s="283"/>
      <c r="BD112" s="283"/>
      <c r="BE112" s="283"/>
      <c r="BF112" s="283"/>
      <c r="BG112" s="283"/>
      <c r="BH112" s="283"/>
      <c r="BI112" s="283"/>
      <c r="BJ112" s="283"/>
      <c r="BK112" s="283"/>
      <c r="BL112" s="283"/>
      <c r="BM112" s="283"/>
      <c r="BN112" s="283"/>
      <c r="BO112" s="283"/>
      <c r="BP112" s="283"/>
      <c r="BQ112" s="283"/>
      <c r="CK112" s="282"/>
      <c r="CP112" s="286"/>
    </row>
    <row r="113" spans="9:94">
      <c r="I113" s="301">
        <v>4</v>
      </c>
      <c r="J113" s="120">
        <v>4</v>
      </c>
      <c r="K113" s="120">
        <v>18</v>
      </c>
      <c r="L113" s="120">
        <v>13</v>
      </c>
      <c r="M113" s="120">
        <v>14</v>
      </c>
      <c r="N113" s="120">
        <v>15</v>
      </c>
      <c r="O113" s="120">
        <v>18</v>
      </c>
      <c r="P113" s="120">
        <v>17</v>
      </c>
      <c r="Q113" s="300">
        <v>591</v>
      </c>
      <c r="R113" s="120">
        <v>6</v>
      </c>
      <c r="S113" s="120">
        <v>4</v>
      </c>
      <c r="T113" s="120">
        <v>5</v>
      </c>
      <c r="U113" s="120">
        <v>5</v>
      </c>
      <c r="V113" s="120">
        <v>5</v>
      </c>
      <c r="W113" s="120">
        <v>5</v>
      </c>
      <c r="X113" s="301"/>
      <c r="Y113" s="301"/>
      <c r="Z113" s="120">
        <v>5</v>
      </c>
      <c r="AA113" s="120">
        <v>1</v>
      </c>
      <c r="AB113" s="284"/>
      <c r="AC113" s="284"/>
      <c r="AD113" s="290"/>
      <c r="AE113" s="283"/>
      <c r="AF113" s="283"/>
      <c r="AG113" s="283"/>
      <c r="AH113" s="290"/>
      <c r="AI113" s="290"/>
      <c r="AJ113" s="283"/>
      <c r="AK113" s="283"/>
      <c r="AL113" s="283"/>
      <c r="AM113" s="315"/>
      <c r="AN113" s="283"/>
      <c r="BC113" s="283"/>
      <c r="BD113" s="283"/>
      <c r="BE113" s="283"/>
      <c r="BF113" s="283"/>
      <c r="BG113" s="283"/>
      <c r="BH113" s="283"/>
      <c r="BI113" s="283"/>
      <c r="BJ113" s="283"/>
      <c r="BK113" s="283"/>
      <c r="BL113" s="67"/>
      <c r="BM113" s="67"/>
      <c r="BN113" s="67"/>
      <c r="BO113" s="283"/>
      <c r="BP113" s="283"/>
      <c r="BQ113" s="283"/>
      <c r="CK113" s="282"/>
      <c r="CP113" s="286"/>
    </row>
    <row r="114" spans="9:94">
      <c r="I114" s="301">
        <v>1</v>
      </c>
      <c r="J114" s="120">
        <v>2</v>
      </c>
      <c r="K114" s="120">
        <v>14</v>
      </c>
      <c r="L114" s="120">
        <v>16</v>
      </c>
      <c r="M114" s="120">
        <v>14</v>
      </c>
      <c r="N114" s="120">
        <v>14</v>
      </c>
      <c r="O114" s="120">
        <v>15</v>
      </c>
      <c r="P114" s="120">
        <v>13</v>
      </c>
      <c r="Q114" s="300">
        <v>592</v>
      </c>
      <c r="R114" s="120">
        <v>4</v>
      </c>
      <c r="S114" s="120">
        <v>4</v>
      </c>
      <c r="T114" s="120">
        <v>4</v>
      </c>
      <c r="U114" s="120">
        <v>5</v>
      </c>
      <c r="V114" s="120">
        <v>5</v>
      </c>
      <c r="W114" s="120">
        <v>4</v>
      </c>
      <c r="X114" s="301"/>
      <c r="Y114" s="301"/>
      <c r="Z114" s="120">
        <v>2</v>
      </c>
      <c r="AA114" s="120">
        <v>4</v>
      </c>
      <c r="AB114" s="284"/>
      <c r="AC114" s="283"/>
      <c r="AD114" s="284"/>
      <c r="AE114" s="283"/>
      <c r="AF114" s="283"/>
      <c r="AG114" s="283"/>
      <c r="AH114" s="283"/>
      <c r="AI114" s="290"/>
      <c r="AJ114" s="283"/>
      <c r="AK114" s="283"/>
      <c r="AL114" s="283"/>
      <c r="AM114" s="315"/>
      <c r="AN114" s="283"/>
      <c r="BC114" s="283"/>
      <c r="BD114" s="283"/>
      <c r="BE114" s="283"/>
      <c r="BF114" s="283"/>
      <c r="BG114" s="283"/>
      <c r="BH114" s="283"/>
      <c r="BI114" s="283"/>
      <c r="BJ114" s="290"/>
      <c r="BK114" s="283"/>
      <c r="BL114" s="283"/>
      <c r="BM114" s="283"/>
      <c r="BN114" s="283"/>
      <c r="BO114" s="283"/>
      <c r="BP114" s="283"/>
      <c r="BQ114" s="283"/>
      <c r="CK114" s="282"/>
      <c r="CP114" s="286"/>
    </row>
    <row r="115" spans="9:94">
      <c r="I115" s="301">
        <v>4</v>
      </c>
      <c r="J115" s="120">
        <v>6</v>
      </c>
      <c r="K115" s="120">
        <v>17</v>
      </c>
      <c r="L115" s="120">
        <v>19</v>
      </c>
      <c r="M115" s="120">
        <v>15</v>
      </c>
      <c r="N115" s="120">
        <v>16</v>
      </c>
      <c r="O115" s="120">
        <v>17</v>
      </c>
      <c r="P115" s="120">
        <v>17</v>
      </c>
      <c r="Q115" s="300">
        <v>593</v>
      </c>
      <c r="R115" s="120">
        <v>6</v>
      </c>
      <c r="S115" s="120">
        <v>5</v>
      </c>
      <c r="T115" s="120">
        <v>4</v>
      </c>
      <c r="U115" s="120">
        <v>4</v>
      </c>
      <c r="V115" s="120">
        <v>5</v>
      </c>
      <c r="W115" s="120">
        <v>5</v>
      </c>
      <c r="X115" s="301"/>
      <c r="Y115" s="301"/>
      <c r="Z115" s="120">
        <v>4</v>
      </c>
      <c r="AA115" s="120">
        <v>2</v>
      </c>
      <c r="AB115" s="284"/>
      <c r="AC115" s="283"/>
      <c r="AD115" s="283"/>
      <c r="AE115" s="284"/>
      <c r="AF115" s="283"/>
      <c r="AG115" s="283"/>
      <c r="AH115" s="283"/>
      <c r="AI115" s="283"/>
      <c r="AJ115" s="283"/>
      <c r="AK115" s="283"/>
      <c r="AL115" s="283"/>
      <c r="AM115" s="315"/>
      <c r="AN115" s="283"/>
      <c r="BC115" s="283"/>
      <c r="BD115" s="283"/>
      <c r="BE115" s="283"/>
      <c r="BF115" s="283"/>
      <c r="BG115" s="283"/>
      <c r="BH115" s="283"/>
      <c r="BI115" s="283"/>
      <c r="BJ115" s="283"/>
      <c r="BK115" s="283"/>
      <c r="BL115" s="283"/>
      <c r="BM115" s="283"/>
      <c r="BN115" s="283"/>
      <c r="BO115" s="283"/>
      <c r="BP115" s="283"/>
      <c r="BQ115" s="283"/>
      <c r="CK115" s="282"/>
      <c r="CP115" s="286"/>
    </row>
    <row r="116" spans="9:94">
      <c r="I116" s="301">
        <v>2</v>
      </c>
      <c r="J116" s="120">
        <v>6</v>
      </c>
      <c r="K116" s="120">
        <v>17</v>
      </c>
      <c r="L116" s="120">
        <v>19</v>
      </c>
      <c r="M116" s="120">
        <v>15</v>
      </c>
      <c r="N116" s="120">
        <v>15</v>
      </c>
      <c r="O116" s="120">
        <v>19</v>
      </c>
      <c r="P116" s="120">
        <v>15</v>
      </c>
      <c r="Q116" s="300">
        <v>594</v>
      </c>
      <c r="R116" s="120">
        <v>4</v>
      </c>
      <c r="S116" s="120">
        <v>4</v>
      </c>
      <c r="T116" s="120">
        <v>4</v>
      </c>
      <c r="U116" s="120">
        <v>4</v>
      </c>
      <c r="V116" s="120">
        <v>5</v>
      </c>
      <c r="W116" s="120">
        <v>5</v>
      </c>
      <c r="X116" s="301"/>
      <c r="Y116" s="301"/>
      <c r="Z116" s="120">
        <v>2</v>
      </c>
      <c r="AA116" s="120">
        <v>4</v>
      </c>
      <c r="AB116" s="67"/>
      <c r="AC116" s="283"/>
      <c r="AD116" s="283"/>
      <c r="AE116" s="283"/>
      <c r="AF116" s="283"/>
      <c r="AG116" s="283"/>
      <c r="AH116" s="290"/>
      <c r="AI116" s="283"/>
      <c r="AJ116" s="283"/>
      <c r="AK116" s="283"/>
      <c r="AL116" s="283"/>
      <c r="AM116" s="315"/>
      <c r="AN116" s="283"/>
      <c r="BC116" s="283"/>
      <c r="BD116" s="283"/>
      <c r="BE116" s="283"/>
      <c r="BF116" s="283"/>
      <c r="BG116" s="283"/>
      <c r="BH116" s="283"/>
      <c r="BI116" s="283"/>
      <c r="BJ116" s="283"/>
      <c r="BK116" s="283"/>
      <c r="BL116" s="283"/>
      <c r="BM116" s="283"/>
      <c r="BN116" s="283"/>
      <c r="BO116" s="283"/>
      <c r="BP116" s="283"/>
      <c r="BQ116" s="283"/>
      <c r="CK116" s="282"/>
      <c r="CP116" s="286"/>
    </row>
    <row r="117" spans="9:94">
      <c r="I117" s="301">
        <v>2</v>
      </c>
      <c r="J117" s="120">
        <v>5</v>
      </c>
      <c r="K117" s="120">
        <v>18</v>
      </c>
      <c r="L117" s="120">
        <v>15</v>
      </c>
      <c r="M117" s="120">
        <v>15</v>
      </c>
      <c r="N117" s="120">
        <v>21</v>
      </c>
      <c r="O117" s="120">
        <v>16</v>
      </c>
      <c r="P117" s="120">
        <v>14</v>
      </c>
      <c r="Q117" s="300">
        <v>595</v>
      </c>
      <c r="R117" s="120">
        <v>6</v>
      </c>
      <c r="S117" s="120">
        <v>4</v>
      </c>
      <c r="T117" s="301">
        <v>4</v>
      </c>
      <c r="U117" s="120">
        <v>6</v>
      </c>
      <c r="V117" s="120">
        <v>4</v>
      </c>
      <c r="W117" s="120">
        <v>3</v>
      </c>
      <c r="X117" s="301"/>
      <c r="Y117" s="301"/>
      <c r="Z117" s="120">
        <v>2</v>
      </c>
      <c r="AA117" s="120">
        <v>4</v>
      </c>
      <c r="AB117" s="67"/>
      <c r="AC117" s="283"/>
      <c r="AD117" s="283"/>
      <c r="AE117" s="283"/>
      <c r="AF117" s="283"/>
      <c r="AG117" s="283"/>
      <c r="AH117" s="290"/>
      <c r="AI117" s="290"/>
      <c r="AJ117" s="283"/>
      <c r="AK117" s="283"/>
      <c r="AL117" s="283"/>
      <c r="AM117" s="315"/>
      <c r="AN117" s="283"/>
      <c r="BC117" s="283"/>
      <c r="BD117" s="283"/>
      <c r="BE117" s="283"/>
      <c r="BF117" s="283"/>
      <c r="BG117" s="283"/>
      <c r="BH117" s="283"/>
      <c r="BI117" s="283"/>
      <c r="BJ117" s="283"/>
      <c r="BK117" s="283"/>
      <c r="BL117" s="290"/>
      <c r="BM117" s="290"/>
      <c r="BN117" s="290"/>
      <c r="BO117" s="283"/>
      <c r="BP117" s="283"/>
      <c r="BQ117" s="283"/>
      <c r="CK117" s="282"/>
      <c r="CP117" s="286"/>
    </row>
    <row r="118" spans="9:94">
      <c r="I118" s="301">
        <v>2</v>
      </c>
      <c r="J118" s="301">
        <v>4</v>
      </c>
      <c r="K118" s="120">
        <v>16</v>
      </c>
      <c r="L118" s="301">
        <v>14</v>
      </c>
      <c r="M118" s="120">
        <v>16</v>
      </c>
      <c r="N118" s="120">
        <v>18</v>
      </c>
      <c r="O118" s="120">
        <v>14</v>
      </c>
      <c r="P118" s="120">
        <v>19</v>
      </c>
      <c r="Q118" s="300">
        <v>596</v>
      </c>
      <c r="R118" s="120">
        <v>4</v>
      </c>
      <c r="S118" s="120">
        <v>2</v>
      </c>
      <c r="T118" s="120">
        <v>4</v>
      </c>
      <c r="U118" s="120">
        <v>5</v>
      </c>
      <c r="V118" s="120">
        <v>4</v>
      </c>
      <c r="W118" s="120">
        <v>6</v>
      </c>
      <c r="X118" s="301"/>
      <c r="Y118" s="301"/>
      <c r="Z118" s="120">
        <v>2</v>
      </c>
      <c r="AA118" s="120">
        <v>4</v>
      </c>
      <c r="AB118" s="67"/>
      <c r="AC118" s="290"/>
      <c r="AD118" s="283"/>
      <c r="AE118" s="283"/>
      <c r="AF118" s="283"/>
      <c r="AG118" s="283"/>
      <c r="AH118" s="284"/>
      <c r="AI118" s="290"/>
      <c r="AJ118" s="283"/>
      <c r="AK118" s="283"/>
      <c r="AL118" s="283"/>
      <c r="AM118" s="315"/>
      <c r="AN118" s="283"/>
      <c r="BC118" s="283"/>
      <c r="BD118" s="283"/>
      <c r="BE118" s="290"/>
      <c r="BF118" s="283"/>
      <c r="BG118" s="283"/>
      <c r="BH118" s="283"/>
      <c r="BI118" s="283"/>
      <c r="BJ118" s="283"/>
      <c r="BK118" s="283"/>
      <c r="BL118" s="283"/>
      <c r="BM118" s="283"/>
      <c r="BN118" s="283"/>
      <c r="BO118" s="283"/>
      <c r="BP118" s="283"/>
      <c r="BQ118" s="283"/>
      <c r="CK118" s="282"/>
      <c r="CP118" s="286"/>
    </row>
    <row r="119" spans="9:94">
      <c r="I119" s="120">
        <v>4</v>
      </c>
      <c r="J119" s="120">
        <v>4</v>
      </c>
      <c r="K119" s="120">
        <v>14</v>
      </c>
      <c r="L119" s="120">
        <v>18</v>
      </c>
      <c r="M119" s="120">
        <v>15</v>
      </c>
      <c r="N119" s="120">
        <v>14</v>
      </c>
      <c r="O119" s="120">
        <v>20</v>
      </c>
      <c r="P119" s="120">
        <v>17</v>
      </c>
      <c r="Q119" s="300">
        <v>597</v>
      </c>
      <c r="R119" s="120">
        <v>4</v>
      </c>
      <c r="S119" s="120">
        <v>5</v>
      </c>
      <c r="T119" s="120">
        <v>5</v>
      </c>
      <c r="U119" s="120">
        <v>6</v>
      </c>
      <c r="V119" s="120">
        <v>5</v>
      </c>
      <c r="W119" s="120">
        <v>6</v>
      </c>
      <c r="X119" s="301"/>
      <c r="Y119" s="301"/>
      <c r="Z119" s="120">
        <v>5</v>
      </c>
      <c r="AA119" s="120">
        <v>1</v>
      </c>
      <c r="AB119" s="67"/>
      <c r="AC119" s="283"/>
      <c r="AD119" s="290"/>
      <c r="AE119" s="283"/>
      <c r="AF119" s="283"/>
      <c r="AG119" s="283"/>
      <c r="AH119" s="283"/>
      <c r="AI119" s="284"/>
      <c r="AJ119" s="283"/>
      <c r="AK119" s="283"/>
      <c r="AL119" s="283"/>
      <c r="AM119" s="315"/>
      <c r="AN119" s="283"/>
      <c r="BC119" s="283"/>
      <c r="BD119" s="283"/>
      <c r="BE119" s="283"/>
      <c r="BF119" s="283"/>
      <c r="BG119" s="283"/>
      <c r="BH119" s="283"/>
      <c r="BI119" s="283"/>
      <c r="BJ119" s="283"/>
      <c r="BK119" s="283"/>
      <c r="BL119" s="283"/>
      <c r="BM119" s="283"/>
      <c r="BN119" s="283"/>
      <c r="BO119" s="283"/>
      <c r="BP119" s="283"/>
      <c r="BQ119" s="283"/>
      <c r="CK119" s="282"/>
      <c r="CP119" s="286"/>
    </row>
    <row r="120" spans="9:94">
      <c r="I120" s="120">
        <v>2</v>
      </c>
      <c r="J120" s="120">
        <v>5</v>
      </c>
      <c r="K120" s="120">
        <v>16</v>
      </c>
      <c r="L120" s="120">
        <v>16</v>
      </c>
      <c r="M120" s="120">
        <v>18</v>
      </c>
      <c r="N120" s="120">
        <v>14</v>
      </c>
      <c r="O120" s="120">
        <v>17</v>
      </c>
      <c r="P120" s="120">
        <v>18</v>
      </c>
      <c r="Q120" s="300">
        <v>598</v>
      </c>
      <c r="R120" s="120">
        <v>5</v>
      </c>
      <c r="S120" s="120">
        <v>2</v>
      </c>
      <c r="T120" s="120">
        <v>4</v>
      </c>
      <c r="U120" s="120">
        <v>1</v>
      </c>
      <c r="V120" s="120">
        <v>4</v>
      </c>
      <c r="W120" s="120">
        <v>6</v>
      </c>
      <c r="X120" s="301"/>
      <c r="Y120" s="301"/>
      <c r="Z120" s="120">
        <v>2</v>
      </c>
      <c r="AA120" s="120">
        <v>4</v>
      </c>
      <c r="AB120" s="67"/>
      <c r="AC120" s="290"/>
      <c r="AD120" s="283"/>
      <c r="AE120" s="290"/>
      <c r="AF120" s="283"/>
      <c r="AG120" s="283"/>
      <c r="AH120" s="283"/>
      <c r="AI120" s="290"/>
      <c r="AJ120" s="283"/>
      <c r="AK120" s="283"/>
      <c r="AL120" s="283"/>
      <c r="AM120" s="315"/>
      <c r="AN120" s="283"/>
      <c r="BC120" s="283"/>
      <c r="BD120" s="283"/>
      <c r="BE120" s="283"/>
      <c r="BF120" s="283"/>
      <c r="BG120" s="283"/>
      <c r="BH120" s="283"/>
      <c r="BI120" s="283"/>
      <c r="BJ120" s="283"/>
      <c r="BK120" s="283"/>
      <c r="BL120" s="283"/>
      <c r="BM120" s="283"/>
      <c r="BN120" s="283"/>
      <c r="BO120" s="283"/>
      <c r="BP120" s="283"/>
      <c r="BQ120" s="283"/>
      <c r="CK120" s="282"/>
      <c r="CP120" s="286"/>
    </row>
    <row r="121" spans="9:94">
      <c r="I121" s="120">
        <v>1</v>
      </c>
      <c r="J121" s="120">
        <v>5</v>
      </c>
      <c r="K121" s="120">
        <v>17</v>
      </c>
      <c r="L121" s="120">
        <v>16</v>
      </c>
      <c r="M121" s="120">
        <v>13</v>
      </c>
      <c r="N121" s="120">
        <v>16</v>
      </c>
      <c r="O121" s="120">
        <v>16</v>
      </c>
      <c r="P121" s="120">
        <v>15</v>
      </c>
      <c r="Q121" s="300">
        <v>599</v>
      </c>
      <c r="R121" s="120">
        <v>4</v>
      </c>
      <c r="S121" s="120">
        <v>5</v>
      </c>
      <c r="T121" s="120">
        <v>1</v>
      </c>
      <c r="U121" s="120">
        <v>3</v>
      </c>
      <c r="V121" s="120">
        <v>4</v>
      </c>
      <c r="W121" s="120">
        <v>3</v>
      </c>
      <c r="X121" s="301"/>
      <c r="Y121" s="301"/>
      <c r="Z121" s="120">
        <v>1</v>
      </c>
      <c r="AA121" s="120">
        <v>5</v>
      </c>
      <c r="AB121" s="67"/>
      <c r="AC121" s="290"/>
      <c r="AD121" s="283"/>
      <c r="AE121" s="283"/>
      <c r="AF121" s="290"/>
      <c r="AG121" s="283"/>
      <c r="AH121" s="283"/>
      <c r="AI121" s="290"/>
      <c r="AJ121" s="283"/>
      <c r="AK121" s="283"/>
      <c r="AL121" s="283"/>
      <c r="AM121" s="315"/>
      <c r="AN121" s="283"/>
      <c r="BC121" s="283"/>
      <c r="BD121" s="283"/>
      <c r="BE121" s="283"/>
      <c r="BF121" s="283"/>
      <c r="BG121" s="283"/>
      <c r="BH121" s="283"/>
      <c r="BI121" s="283"/>
      <c r="BJ121" s="283"/>
      <c r="BK121" s="283"/>
      <c r="BL121" s="283"/>
      <c r="BM121" s="283"/>
      <c r="BN121" s="283"/>
      <c r="BO121" s="283"/>
      <c r="BP121" s="283"/>
      <c r="BQ121" s="283"/>
      <c r="CK121" s="282"/>
      <c r="CP121" s="286"/>
    </row>
    <row r="122" spans="9:94">
      <c r="I122" s="120">
        <v>3</v>
      </c>
      <c r="J122" s="120">
        <v>6</v>
      </c>
      <c r="K122" s="120">
        <v>16</v>
      </c>
      <c r="L122" s="120">
        <v>16</v>
      </c>
      <c r="M122" s="120">
        <v>19</v>
      </c>
      <c r="N122" s="120">
        <v>17</v>
      </c>
      <c r="O122" s="120">
        <v>17</v>
      </c>
      <c r="P122" s="301">
        <v>16</v>
      </c>
      <c r="Q122" s="300">
        <v>600</v>
      </c>
      <c r="R122" s="120">
        <v>4</v>
      </c>
      <c r="S122" s="120">
        <v>5</v>
      </c>
      <c r="T122" s="120">
        <v>5</v>
      </c>
      <c r="U122" s="120">
        <v>6</v>
      </c>
      <c r="V122" s="120">
        <v>4</v>
      </c>
      <c r="W122" s="120">
        <v>3</v>
      </c>
      <c r="X122" s="301"/>
      <c r="Y122" s="301"/>
      <c r="Z122" s="120">
        <v>3</v>
      </c>
      <c r="AA122" s="120">
        <v>3</v>
      </c>
      <c r="AB122" s="67"/>
      <c r="AC122" s="290"/>
      <c r="AD122" s="290"/>
      <c r="AE122" s="283"/>
      <c r="AF122" s="283"/>
      <c r="AG122" s="290"/>
      <c r="AH122" s="283"/>
      <c r="AI122" s="290"/>
      <c r="AJ122" s="283"/>
      <c r="AK122" s="283"/>
      <c r="AL122" s="283"/>
      <c r="AM122" s="315"/>
      <c r="AN122" s="283"/>
      <c r="BC122" s="283"/>
      <c r="BD122" s="283"/>
      <c r="BE122" s="67"/>
      <c r="BF122" s="283"/>
      <c r="BG122" s="283"/>
      <c r="BH122" s="283"/>
      <c r="BI122" s="283"/>
      <c r="BJ122" s="283"/>
      <c r="BK122" s="283"/>
      <c r="BL122" s="283"/>
      <c r="BM122" s="283"/>
      <c r="BN122" s="283"/>
      <c r="BO122" s="283"/>
      <c r="BP122" s="283"/>
      <c r="BQ122" s="283"/>
      <c r="CK122" s="282"/>
      <c r="CP122" s="286"/>
    </row>
    <row r="123" spans="9:94">
      <c r="I123" s="120">
        <v>5</v>
      </c>
      <c r="J123" s="120">
        <v>5</v>
      </c>
      <c r="K123" s="120">
        <v>16</v>
      </c>
      <c r="L123" s="120">
        <v>17</v>
      </c>
      <c r="M123" s="120">
        <v>16</v>
      </c>
      <c r="N123" s="120">
        <v>15</v>
      </c>
      <c r="O123" s="120">
        <v>18</v>
      </c>
      <c r="P123" s="120">
        <v>14</v>
      </c>
      <c r="Q123" s="300">
        <v>601</v>
      </c>
      <c r="R123" s="120">
        <v>5</v>
      </c>
      <c r="S123" s="120">
        <v>5</v>
      </c>
      <c r="T123" s="120">
        <v>5</v>
      </c>
      <c r="U123" s="120">
        <v>6</v>
      </c>
      <c r="V123" s="120">
        <v>6</v>
      </c>
      <c r="W123" s="120">
        <v>4</v>
      </c>
      <c r="X123" s="301"/>
      <c r="Y123" s="301"/>
      <c r="Z123" s="120">
        <v>5</v>
      </c>
      <c r="AA123" s="120">
        <v>1</v>
      </c>
      <c r="AB123" s="67"/>
      <c r="AC123" s="290"/>
      <c r="AD123" s="290"/>
      <c r="AE123" s="290"/>
      <c r="AF123" s="290"/>
      <c r="AG123" s="283"/>
      <c r="AH123" s="290"/>
      <c r="AI123" s="283"/>
      <c r="AJ123" s="283"/>
      <c r="AK123" s="283"/>
      <c r="AL123" s="283"/>
      <c r="AM123" s="315"/>
      <c r="AN123" s="283"/>
      <c r="BC123" s="283"/>
      <c r="BD123" s="283"/>
      <c r="BE123" s="283"/>
      <c r="BF123" s="283"/>
      <c r="BG123" s="283"/>
      <c r="BH123" s="283"/>
      <c r="BI123" s="283"/>
      <c r="BJ123" s="283"/>
      <c r="BK123" s="283"/>
      <c r="BL123" s="283"/>
      <c r="BM123" s="283"/>
      <c r="BN123" s="283"/>
      <c r="BO123" s="283"/>
      <c r="BP123" s="283"/>
      <c r="BQ123" s="283"/>
      <c r="CK123" s="282"/>
      <c r="CP123" s="286"/>
    </row>
    <row r="124" spans="9:94">
      <c r="I124" s="120">
        <v>3</v>
      </c>
      <c r="J124" s="120">
        <v>6</v>
      </c>
      <c r="K124" s="120">
        <v>20</v>
      </c>
      <c r="L124" s="120">
        <v>18</v>
      </c>
      <c r="M124" s="120">
        <v>19</v>
      </c>
      <c r="N124" s="120">
        <v>19</v>
      </c>
      <c r="O124" s="120">
        <v>16</v>
      </c>
      <c r="P124" s="120">
        <v>16</v>
      </c>
      <c r="Q124" s="300">
        <v>602</v>
      </c>
      <c r="R124" s="120">
        <v>5</v>
      </c>
      <c r="S124" s="120">
        <v>4</v>
      </c>
      <c r="T124" s="120">
        <v>5</v>
      </c>
      <c r="U124" s="120">
        <v>5</v>
      </c>
      <c r="V124" s="120">
        <v>4</v>
      </c>
      <c r="W124" s="120">
        <v>4</v>
      </c>
      <c r="X124" s="301"/>
      <c r="Y124" s="301"/>
      <c r="Z124" s="120">
        <v>3</v>
      </c>
      <c r="AA124" s="120">
        <v>3</v>
      </c>
      <c r="AB124" s="67"/>
      <c r="AC124" s="290"/>
      <c r="AD124" s="283"/>
      <c r="AE124" s="283"/>
      <c r="AF124" s="290"/>
      <c r="AG124" s="283"/>
      <c r="AH124" s="283"/>
      <c r="AI124" s="290"/>
      <c r="AJ124" s="283"/>
      <c r="AK124" s="283"/>
      <c r="AL124" s="283"/>
      <c r="AM124" s="315"/>
      <c r="AN124" s="283"/>
      <c r="BC124" s="283"/>
      <c r="BD124" s="283"/>
      <c r="BE124" s="283"/>
      <c r="BF124" s="283"/>
      <c r="BG124" s="283"/>
      <c r="BH124" s="283"/>
      <c r="BI124" s="283"/>
      <c r="BJ124" s="283"/>
      <c r="BK124" s="283"/>
      <c r="BL124" s="283"/>
      <c r="BM124" s="283"/>
      <c r="BN124" s="283"/>
      <c r="BO124" s="283"/>
      <c r="BP124" s="283"/>
      <c r="BQ124" s="283"/>
      <c r="CK124" s="282"/>
      <c r="CP124" s="286"/>
    </row>
    <row r="125" spans="9:94">
      <c r="I125" s="120">
        <v>4</v>
      </c>
      <c r="J125" s="120">
        <v>4</v>
      </c>
      <c r="K125" s="120">
        <v>16</v>
      </c>
      <c r="L125" s="120">
        <v>17</v>
      </c>
      <c r="M125" s="120">
        <v>17</v>
      </c>
      <c r="N125" s="120">
        <v>14</v>
      </c>
      <c r="O125" s="120">
        <v>14</v>
      </c>
      <c r="P125" s="120">
        <v>17</v>
      </c>
      <c r="Q125" s="300">
        <v>603</v>
      </c>
      <c r="R125" s="120">
        <v>5</v>
      </c>
      <c r="S125" s="120">
        <v>5</v>
      </c>
      <c r="T125" s="120">
        <v>5</v>
      </c>
      <c r="U125" s="120">
        <v>5</v>
      </c>
      <c r="V125" s="120">
        <v>4</v>
      </c>
      <c r="W125" s="120">
        <v>6</v>
      </c>
      <c r="X125" s="301"/>
      <c r="Y125" s="301"/>
      <c r="Z125" s="120">
        <v>5</v>
      </c>
      <c r="AA125" s="120">
        <v>1</v>
      </c>
      <c r="AB125" s="67"/>
      <c r="AC125" s="290"/>
      <c r="AD125" s="290"/>
      <c r="AE125" s="283"/>
      <c r="AF125" s="283"/>
      <c r="AG125" s="290"/>
      <c r="AH125" s="283"/>
      <c r="AI125" s="283"/>
      <c r="AJ125" s="283"/>
      <c r="AK125" s="283"/>
      <c r="AL125" s="283"/>
      <c r="AM125" s="315"/>
      <c r="AN125" s="283"/>
      <c r="BC125" s="283"/>
      <c r="BD125" s="283"/>
      <c r="BE125" s="283"/>
      <c r="BF125" s="283"/>
      <c r="BG125" s="283"/>
      <c r="BH125" s="283"/>
      <c r="BI125" s="283"/>
      <c r="BJ125" s="283"/>
      <c r="BK125" s="283"/>
      <c r="BL125" s="283"/>
      <c r="BM125" s="283"/>
      <c r="BN125" s="283"/>
      <c r="BO125" s="283"/>
      <c r="BP125" s="283"/>
      <c r="BQ125" s="283"/>
      <c r="CK125" s="282"/>
      <c r="CP125" s="286"/>
    </row>
    <row r="126" spans="9:94">
      <c r="I126" s="120">
        <v>1</v>
      </c>
      <c r="J126" s="120">
        <v>6</v>
      </c>
      <c r="K126" s="120">
        <v>19</v>
      </c>
      <c r="L126" s="120">
        <v>18</v>
      </c>
      <c r="M126" s="120">
        <v>18</v>
      </c>
      <c r="N126" s="120">
        <v>15</v>
      </c>
      <c r="O126" s="120">
        <v>15</v>
      </c>
      <c r="P126" s="120">
        <v>15</v>
      </c>
      <c r="Q126" s="300">
        <v>604</v>
      </c>
      <c r="R126" s="120">
        <v>4</v>
      </c>
      <c r="S126" s="120">
        <v>4</v>
      </c>
      <c r="T126" s="120">
        <v>4</v>
      </c>
      <c r="U126" s="120">
        <v>3</v>
      </c>
      <c r="V126" s="120">
        <v>5</v>
      </c>
      <c r="W126" s="120">
        <v>2</v>
      </c>
      <c r="X126" s="301"/>
      <c r="Y126" s="301"/>
      <c r="Z126" s="120">
        <v>1</v>
      </c>
      <c r="AA126" s="120">
        <v>5</v>
      </c>
      <c r="AB126" s="67"/>
      <c r="AC126" s="290"/>
      <c r="AD126" s="283"/>
      <c r="AE126" s="283"/>
      <c r="AF126" s="283"/>
      <c r="AG126" s="283"/>
      <c r="AH126" s="290"/>
      <c r="AI126" s="283"/>
      <c r="AJ126" s="283"/>
      <c r="AK126" s="283"/>
      <c r="AL126" s="283"/>
      <c r="AM126" s="315"/>
      <c r="AN126" s="283"/>
      <c r="BC126" s="283"/>
      <c r="BD126" s="283"/>
      <c r="BE126" s="283"/>
      <c r="BF126" s="283"/>
      <c r="BG126" s="283"/>
      <c r="BH126" s="283"/>
      <c r="BI126" s="283"/>
      <c r="BJ126" s="283"/>
      <c r="BK126" s="283"/>
      <c r="BL126" s="283"/>
      <c r="BM126" s="283"/>
      <c r="BN126" s="283"/>
      <c r="BO126" s="283"/>
      <c r="BP126" s="283"/>
      <c r="BQ126" s="283"/>
      <c r="CK126" s="282"/>
      <c r="CP126" s="286"/>
    </row>
    <row r="127" spans="9:94">
      <c r="I127" s="120">
        <v>2</v>
      </c>
      <c r="J127" s="120">
        <v>5</v>
      </c>
      <c r="K127" s="120">
        <v>19</v>
      </c>
      <c r="L127" s="120">
        <v>15</v>
      </c>
      <c r="M127" s="120">
        <v>16</v>
      </c>
      <c r="N127" s="120">
        <v>12</v>
      </c>
      <c r="O127" s="120">
        <v>15</v>
      </c>
      <c r="P127" s="120">
        <v>16</v>
      </c>
      <c r="Q127" s="300">
        <v>605</v>
      </c>
      <c r="R127" s="120">
        <v>4</v>
      </c>
      <c r="S127" s="120">
        <v>5</v>
      </c>
      <c r="T127" s="120">
        <v>4</v>
      </c>
      <c r="U127" s="120">
        <v>5</v>
      </c>
      <c r="V127" s="120">
        <v>5</v>
      </c>
      <c r="W127" s="120">
        <v>4</v>
      </c>
      <c r="X127" s="301"/>
      <c r="Y127" s="301"/>
      <c r="Z127" s="120">
        <v>3</v>
      </c>
      <c r="AA127" s="120">
        <v>3</v>
      </c>
      <c r="AG127" s="309"/>
      <c r="BC127" s="283"/>
      <c r="BD127" s="283"/>
      <c r="BE127" s="283"/>
      <c r="BF127" s="283"/>
      <c r="BG127" s="283"/>
      <c r="BH127" s="283"/>
      <c r="BI127" s="283"/>
      <c r="BJ127" s="283"/>
      <c r="BK127" s="283"/>
      <c r="BL127" s="283"/>
      <c r="BM127" s="283"/>
      <c r="BN127" s="283"/>
      <c r="BO127" s="283"/>
      <c r="BP127" s="283"/>
      <c r="BQ127" s="283"/>
      <c r="CK127" s="282"/>
      <c r="CP127" s="286"/>
    </row>
    <row r="128" spans="9:94">
      <c r="I128" s="120">
        <v>5</v>
      </c>
      <c r="J128" s="120">
        <v>5</v>
      </c>
      <c r="K128" s="120">
        <v>17</v>
      </c>
      <c r="L128" s="120">
        <v>19</v>
      </c>
      <c r="M128" s="120">
        <v>14</v>
      </c>
      <c r="N128" s="120">
        <v>16</v>
      </c>
      <c r="O128" s="120">
        <v>15</v>
      </c>
      <c r="P128" s="120">
        <v>17</v>
      </c>
      <c r="Q128" s="300">
        <v>606</v>
      </c>
      <c r="R128" s="120">
        <v>5</v>
      </c>
      <c r="S128" s="120">
        <v>5</v>
      </c>
      <c r="T128" s="120">
        <v>4</v>
      </c>
      <c r="U128" s="120">
        <v>6</v>
      </c>
      <c r="V128" s="120">
        <v>5</v>
      </c>
      <c r="W128" s="120">
        <v>5</v>
      </c>
      <c r="X128" s="301"/>
      <c r="Y128" s="301"/>
      <c r="Z128" s="120">
        <v>5</v>
      </c>
      <c r="AA128" s="120">
        <v>1</v>
      </c>
      <c r="AG128" s="317"/>
      <c r="BC128" s="283"/>
      <c r="BD128" s="283"/>
      <c r="BE128" s="283"/>
      <c r="BF128" s="283"/>
      <c r="BG128" s="283"/>
      <c r="BH128" s="283"/>
      <c r="BI128" s="283"/>
      <c r="BJ128" s="283"/>
      <c r="BK128" s="283"/>
      <c r="BL128" s="283"/>
      <c r="BM128" s="283"/>
      <c r="BN128" s="283"/>
      <c r="BO128" s="283"/>
      <c r="BP128" s="283"/>
      <c r="BQ128" s="283"/>
      <c r="CK128" s="282"/>
      <c r="CP128" s="286"/>
    </row>
    <row r="129" spans="9:94">
      <c r="I129" s="120">
        <v>3</v>
      </c>
      <c r="J129" s="120">
        <v>5</v>
      </c>
      <c r="K129" s="120">
        <v>18</v>
      </c>
      <c r="L129" s="120">
        <v>16</v>
      </c>
      <c r="M129" s="120">
        <v>14</v>
      </c>
      <c r="N129" s="120">
        <v>17</v>
      </c>
      <c r="O129" s="120">
        <v>16</v>
      </c>
      <c r="P129" s="120">
        <v>16</v>
      </c>
      <c r="Q129" s="300">
        <v>607</v>
      </c>
      <c r="R129" s="120">
        <v>5</v>
      </c>
      <c r="S129" s="120">
        <v>5</v>
      </c>
      <c r="T129" s="120">
        <v>5</v>
      </c>
      <c r="U129" s="120">
        <v>5</v>
      </c>
      <c r="V129" s="120">
        <v>3</v>
      </c>
      <c r="W129" s="120">
        <v>4</v>
      </c>
      <c r="X129" s="301"/>
      <c r="Y129" s="301"/>
      <c r="Z129" s="120">
        <v>4</v>
      </c>
      <c r="AA129" s="120">
        <v>2</v>
      </c>
      <c r="AG129" s="309"/>
      <c r="AH129" s="286"/>
      <c r="BC129" s="283"/>
      <c r="BD129" s="283"/>
      <c r="BE129" s="283"/>
      <c r="BF129" s="283"/>
      <c r="BG129" s="283"/>
      <c r="BH129" s="283"/>
      <c r="BI129" s="283"/>
      <c r="BJ129" s="283"/>
      <c r="BK129" s="283"/>
      <c r="BL129" s="283"/>
      <c r="BM129" s="283"/>
      <c r="BN129" s="283"/>
      <c r="BO129" s="283"/>
      <c r="BP129" s="283"/>
      <c r="BQ129" s="283"/>
      <c r="CK129" s="282"/>
      <c r="CP129" s="286"/>
    </row>
    <row r="130" spans="9:94">
      <c r="I130" s="120">
        <v>1</v>
      </c>
      <c r="J130" s="120">
        <v>5</v>
      </c>
      <c r="K130" s="120">
        <v>15</v>
      </c>
      <c r="L130" s="120">
        <v>17</v>
      </c>
      <c r="M130" s="120">
        <v>16</v>
      </c>
      <c r="N130" s="120">
        <v>14</v>
      </c>
      <c r="O130" s="120">
        <v>18</v>
      </c>
      <c r="P130" s="120">
        <v>16</v>
      </c>
      <c r="Q130" s="300">
        <v>608</v>
      </c>
      <c r="R130" s="120">
        <v>4</v>
      </c>
      <c r="S130" s="120">
        <v>4</v>
      </c>
      <c r="T130" s="120">
        <v>4</v>
      </c>
      <c r="U130" s="120">
        <v>4</v>
      </c>
      <c r="V130" s="120">
        <v>5</v>
      </c>
      <c r="W130" s="120">
        <v>4</v>
      </c>
      <c r="X130" s="301"/>
      <c r="Y130" s="301"/>
      <c r="Z130" s="120">
        <v>1</v>
      </c>
      <c r="AA130" s="120">
        <v>5</v>
      </c>
      <c r="AG130" s="309"/>
      <c r="AH130" s="286"/>
      <c r="BC130" s="283"/>
      <c r="BD130" s="283"/>
      <c r="BE130" s="283"/>
      <c r="BF130" s="283"/>
      <c r="BG130" s="283"/>
      <c r="BH130" s="283"/>
      <c r="BI130" s="283"/>
      <c r="BJ130" s="283"/>
      <c r="BK130" s="283"/>
      <c r="BL130" s="283"/>
      <c r="BM130" s="283"/>
      <c r="BN130" s="283"/>
      <c r="BO130" s="283"/>
      <c r="BP130" s="283"/>
      <c r="BQ130" s="283"/>
      <c r="CK130" s="282"/>
      <c r="CP130" s="286"/>
    </row>
    <row r="131" spans="9:94">
      <c r="I131" s="120">
        <v>2</v>
      </c>
      <c r="J131" s="120">
        <v>6</v>
      </c>
      <c r="K131" s="120">
        <v>18</v>
      </c>
      <c r="L131" s="120">
        <v>16</v>
      </c>
      <c r="M131" s="120">
        <v>15</v>
      </c>
      <c r="N131" s="120">
        <v>18</v>
      </c>
      <c r="O131" s="120">
        <v>16</v>
      </c>
      <c r="P131" s="120">
        <v>17</v>
      </c>
      <c r="Q131" s="300">
        <v>609</v>
      </c>
      <c r="R131" s="120">
        <v>5</v>
      </c>
      <c r="S131" s="120">
        <v>4</v>
      </c>
      <c r="T131" s="120">
        <v>4</v>
      </c>
      <c r="U131" s="120">
        <v>4</v>
      </c>
      <c r="V131" s="120">
        <v>4</v>
      </c>
      <c r="W131" s="120">
        <v>5</v>
      </c>
      <c r="X131" s="301"/>
      <c r="Y131" s="301"/>
      <c r="Z131" s="120">
        <v>2</v>
      </c>
      <c r="AA131" s="120">
        <v>4</v>
      </c>
      <c r="AG131" s="309"/>
      <c r="AH131" s="286"/>
      <c r="BC131" s="283"/>
      <c r="BD131" s="283"/>
      <c r="BE131" s="283"/>
      <c r="BF131" s="283"/>
      <c r="BG131" s="283"/>
      <c r="BH131" s="283"/>
      <c r="BJ131" s="283"/>
      <c r="BK131" s="283"/>
      <c r="BL131" s="283"/>
      <c r="BM131" s="283"/>
      <c r="BN131" s="283"/>
      <c r="BO131" s="283"/>
      <c r="BP131" s="283"/>
      <c r="BQ131" s="283"/>
      <c r="CK131" s="282"/>
      <c r="CP131" s="286"/>
    </row>
    <row r="132" spans="9:94">
      <c r="I132" s="120">
        <v>3</v>
      </c>
      <c r="J132" s="120">
        <v>6</v>
      </c>
      <c r="K132" s="120">
        <v>18</v>
      </c>
      <c r="L132" s="120">
        <v>15</v>
      </c>
      <c r="M132" s="120">
        <v>16</v>
      </c>
      <c r="N132" s="120">
        <v>16</v>
      </c>
      <c r="O132" s="120">
        <v>16</v>
      </c>
      <c r="P132" s="120">
        <v>15</v>
      </c>
      <c r="Q132" s="300">
        <v>610</v>
      </c>
      <c r="R132" s="120">
        <v>6</v>
      </c>
      <c r="S132" s="120">
        <v>4</v>
      </c>
      <c r="T132" s="120">
        <v>5</v>
      </c>
      <c r="U132" s="120">
        <v>5</v>
      </c>
      <c r="V132" s="120">
        <v>3</v>
      </c>
      <c r="W132" s="120">
        <v>3</v>
      </c>
      <c r="X132" s="301"/>
      <c r="Y132" s="301"/>
      <c r="Z132" s="120">
        <v>3</v>
      </c>
      <c r="AA132" s="120">
        <v>3</v>
      </c>
      <c r="AG132" s="318"/>
      <c r="AH132" s="286"/>
      <c r="BC132" s="283"/>
      <c r="BD132" s="283"/>
      <c r="BE132" s="283"/>
      <c r="BF132" s="283"/>
      <c r="BG132" s="283"/>
      <c r="BH132" s="283"/>
      <c r="BJ132" s="283"/>
      <c r="BK132" s="283"/>
      <c r="BL132" s="283"/>
      <c r="BM132" s="283"/>
      <c r="BN132" s="283"/>
      <c r="BO132" s="283"/>
      <c r="BP132" s="283"/>
      <c r="BQ132" s="283"/>
      <c r="CK132" s="282"/>
      <c r="CP132" s="286"/>
    </row>
    <row r="133" spans="9:94">
      <c r="I133" s="120">
        <v>2</v>
      </c>
      <c r="J133" s="120">
        <v>4</v>
      </c>
      <c r="K133" s="120">
        <v>18</v>
      </c>
      <c r="L133" s="120">
        <v>15</v>
      </c>
      <c r="M133" s="120">
        <v>15</v>
      </c>
      <c r="N133" s="120">
        <v>16</v>
      </c>
      <c r="O133" s="120">
        <v>12</v>
      </c>
      <c r="P133" s="120">
        <v>13</v>
      </c>
      <c r="Q133" s="300">
        <v>611</v>
      </c>
      <c r="R133" s="120">
        <v>5</v>
      </c>
      <c r="S133" s="120">
        <v>3</v>
      </c>
      <c r="T133" s="120">
        <v>4</v>
      </c>
      <c r="U133" s="120">
        <v>5</v>
      </c>
      <c r="V133" s="120">
        <v>2</v>
      </c>
      <c r="W133" s="120">
        <v>4</v>
      </c>
      <c r="X133" s="301"/>
      <c r="Y133" s="301"/>
      <c r="Z133" s="120">
        <v>2</v>
      </c>
      <c r="AA133" s="120">
        <v>4</v>
      </c>
      <c r="AG133" s="309"/>
      <c r="AH133" s="286"/>
      <c r="BC133" s="283"/>
      <c r="BD133" s="283"/>
      <c r="BE133" s="283"/>
      <c r="BF133" s="283"/>
      <c r="BG133" s="283"/>
      <c r="BH133" s="283"/>
      <c r="BJ133" s="283"/>
      <c r="BK133" s="283"/>
      <c r="BL133" s="283"/>
      <c r="BM133" s="283"/>
      <c r="BN133" s="283"/>
      <c r="BO133" s="283"/>
      <c r="BP133" s="283"/>
      <c r="BQ133" s="283"/>
      <c r="CK133" s="282"/>
      <c r="CP133" s="286"/>
    </row>
    <row r="134" spans="9:94">
      <c r="I134" s="120">
        <v>4</v>
      </c>
      <c r="J134" s="120">
        <v>5</v>
      </c>
      <c r="K134" s="120">
        <v>19</v>
      </c>
      <c r="L134" s="120">
        <v>18</v>
      </c>
      <c r="M134" s="120">
        <v>18</v>
      </c>
      <c r="N134" s="120">
        <v>15</v>
      </c>
      <c r="O134" s="120">
        <v>14</v>
      </c>
      <c r="P134" s="120">
        <v>16</v>
      </c>
      <c r="Q134" s="300">
        <v>612</v>
      </c>
      <c r="R134" s="120">
        <v>6</v>
      </c>
      <c r="S134" s="120">
        <v>6</v>
      </c>
      <c r="T134" s="120">
        <v>5</v>
      </c>
      <c r="U134" s="120">
        <v>5</v>
      </c>
      <c r="V134" s="120">
        <v>4</v>
      </c>
      <c r="W134" s="120">
        <v>4</v>
      </c>
      <c r="X134" s="301"/>
      <c r="Y134" s="301"/>
      <c r="Z134" s="120">
        <v>4</v>
      </c>
      <c r="AA134" s="120">
        <v>2</v>
      </c>
      <c r="AG134" s="309"/>
      <c r="AH134" s="286"/>
      <c r="BC134" s="283"/>
      <c r="BD134" s="283"/>
      <c r="BE134" s="283"/>
      <c r="BF134" s="283"/>
      <c r="BG134" s="283"/>
      <c r="BH134" s="283"/>
      <c r="BJ134" s="283"/>
      <c r="BK134" s="283"/>
      <c r="BL134" s="283"/>
      <c r="BM134" s="283"/>
      <c r="BN134" s="283"/>
      <c r="BO134" s="283"/>
      <c r="BP134" s="283"/>
      <c r="BQ134" s="283"/>
      <c r="CK134" s="282"/>
      <c r="CP134" s="286"/>
    </row>
    <row r="135" spans="9:94">
      <c r="I135" s="120">
        <v>2</v>
      </c>
      <c r="J135" s="120">
        <v>5</v>
      </c>
      <c r="K135" s="120">
        <v>15</v>
      </c>
      <c r="L135" s="120">
        <v>16</v>
      </c>
      <c r="M135" s="120">
        <v>13</v>
      </c>
      <c r="N135" s="120">
        <v>18</v>
      </c>
      <c r="O135" s="120">
        <v>15</v>
      </c>
      <c r="P135" s="120">
        <v>15</v>
      </c>
      <c r="Q135" s="300">
        <v>613</v>
      </c>
      <c r="R135" s="120">
        <v>4</v>
      </c>
      <c r="S135" s="120">
        <v>4</v>
      </c>
      <c r="T135" s="120">
        <v>2</v>
      </c>
      <c r="U135" s="120">
        <v>6</v>
      </c>
      <c r="V135" s="120">
        <v>4</v>
      </c>
      <c r="W135" s="120">
        <v>5</v>
      </c>
      <c r="X135" s="301"/>
      <c r="Y135" s="301"/>
      <c r="Z135" s="120">
        <v>2</v>
      </c>
      <c r="AA135" s="120">
        <v>4</v>
      </c>
      <c r="AG135" s="317"/>
      <c r="AH135" s="286"/>
      <c r="BC135" s="283"/>
      <c r="BD135" s="283"/>
      <c r="BE135" s="283"/>
      <c r="BF135" s="283"/>
      <c r="BG135" s="283"/>
      <c r="BH135" s="283"/>
      <c r="BJ135" s="290"/>
      <c r="BK135" s="283"/>
      <c r="BL135" s="283"/>
      <c r="BM135" s="283"/>
      <c r="BN135" s="283"/>
      <c r="BO135" s="283"/>
      <c r="BP135" s="283"/>
      <c r="BQ135" s="283"/>
      <c r="CK135" s="282"/>
      <c r="CP135" s="286"/>
    </row>
    <row r="136" spans="9:94">
      <c r="I136" s="120">
        <v>3</v>
      </c>
      <c r="J136" s="120">
        <v>3</v>
      </c>
      <c r="K136" s="120">
        <v>14</v>
      </c>
      <c r="L136" s="120">
        <v>14</v>
      </c>
      <c r="M136" s="120">
        <v>17</v>
      </c>
      <c r="N136" s="120">
        <v>16</v>
      </c>
      <c r="O136" s="120">
        <v>13</v>
      </c>
      <c r="P136" s="120">
        <v>17</v>
      </c>
      <c r="Q136" s="300">
        <v>614</v>
      </c>
      <c r="R136" s="120">
        <v>4</v>
      </c>
      <c r="S136" s="120">
        <v>3</v>
      </c>
      <c r="T136" s="120">
        <v>6</v>
      </c>
      <c r="U136" s="120">
        <v>5</v>
      </c>
      <c r="V136" s="120">
        <v>3</v>
      </c>
      <c r="W136" s="120">
        <v>5</v>
      </c>
      <c r="X136" s="301"/>
      <c r="Y136" s="301"/>
      <c r="Z136" s="120">
        <v>3</v>
      </c>
      <c r="AA136" s="120">
        <v>3</v>
      </c>
      <c r="AG136" s="283"/>
      <c r="AH136" s="286"/>
      <c r="BC136" s="283"/>
      <c r="BD136" s="283"/>
      <c r="BE136" s="283"/>
      <c r="BF136" s="283"/>
      <c r="BG136" s="283"/>
      <c r="BJ136" s="283"/>
      <c r="BK136" s="283"/>
      <c r="BL136" s="283"/>
      <c r="BM136" s="283"/>
      <c r="BN136" s="283"/>
      <c r="BO136" s="283"/>
      <c r="BP136" s="283"/>
      <c r="BQ136" s="283"/>
      <c r="CK136" s="282"/>
      <c r="CP136" s="286"/>
    </row>
    <row r="137" spans="9:94">
      <c r="I137" s="120">
        <v>3</v>
      </c>
      <c r="J137" s="120">
        <v>4</v>
      </c>
      <c r="K137" s="120">
        <v>14</v>
      </c>
      <c r="L137" s="120">
        <v>17</v>
      </c>
      <c r="M137" s="120">
        <v>14</v>
      </c>
      <c r="N137" s="120">
        <v>15</v>
      </c>
      <c r="O137" s="120">
        <v>15</v>
      </c>
      <c r="P137" s="120">
        <v>17</v>
      </c>
      <c r="Q137" s="300">
        <v>615</v>
      </c>
      <c r="R137" s="120">
        <v>3</v>
      </c>
      <c r="S137" s="120">
        <v>6</v>
      </c>
      <c r="T137" s="120">
        <v>4</v>
      </c>
      <c r="U137" s="120">
        <v>3</v>
      </c>
      <c r="V137" s="120">
        <v>5</v>
      </c>
      <c r="W137" s="120">
        <v>5</v>
      </c>
      <c r="X137" s="301"/>
      <c r="Y137" s="301"/>
      <c r="Z137" s="120">
        <v>3</v>
      </c>
      <c r="AA137" s="120">
        <v>3</v>
      </c>
      <c r="AG137" s="309"/>
      <c r="AH137" s="286"/>
      <c r="BC137" s="283"/>
      <c r="BD137" s="283"/>
      <c r="BE137" s="283"/>
      <c r="BF137" s="283"/>
      <c r="BG137" s="283"/>
      <c r="BJ137" s="283"/>
      <c r="BK137" s="283"/>
      <c r="BL137" s="283"/>
      <c r="BM137" s="283"/>
      <c r="BN137" s="283"/>
      <c r="BO137" s="283"/>
      <c r="BP137" s="283"/>
      <c r="BQ137" s="283"/>
      <c r="CK137" s="282"/>
      <c r="CP137" s="286"/>
    </row>
    <row r="138" spans="9:94">
      <c r="I138" s="120">
        <v>3</v>
      </c>
      <c r="J138" s="120">
        <v>4</v>
      </c>
      <c r="K138" s="120">
        <v>16</v>
      </c>
      <c r="L138" s="120">
        <v>14</v>
      </c>
      <c r="M138" s="120">
        <v>13</v>
      </c>
      <c r="N138" s="120">
        <v>17</v>
      </c>
      <c r="O138" s="120">
        <v>17</v>
      </c>
      <c r="P138" s="120">
        <v>18</v>
      </c>
      <c r="Q138" s="300">
        <v>616</v>
      </c>
      <c r="R138" s="120">
        <v>4</v>
      </c>
      <c r="S138" s="120">
        <v>4</v>
      </c>
      <c r="T138" s="120">
        <v>4</v>
      </c>
      <c r="U138" s="120">
        <v>5</v>
      </c>
      <c r="V138" s="120">
        <v>5</v>
      </c>
      <c r="W138" s="120">
        <v>5</v>
      </c>
      <c r="X138" s="301"/>
      <c r="Y138" s="301"/>
      <c r="Z138" s="120">
        <v>3</v>
      </c>
      <c r="AA138" s="120">
        <v>3</v>
      </c>
      <c r="AG138" s="309"/>
      <c r="AH138" s="286"/>
      <c r="CK138" s="282"/>
      <c r="CP138" s="286"/>
    </row>
    <row r="139" spans="9:94">
      <c r="I139" s="120">
        <v>3</v>
      </c>
      <c r="J139" s="120">
        <v>5</v>
      </c>
      <c r="K139" s="120">
        <v>16</v>
      </c>
      <c r="L139" s="120">
        <v>18</v>
      </c>
      <c r="M139" s="120">
        <v>14</v>
      </c>
      <c r="N139" s="120">
        <v>17</v>
      </c>
      <c r="O139" s="120">
        <v>15</v>
      </c>
      <c r="P139" s="120">
        <v>17</v>
      </c>
      <c r="Q139" s="300">
        <v>617</v>
      </c>
      <c r="R139" s="120">
        <v>4</v>
      </c>
      <c r="S139" s="120">
        <v>5</v>
      </c>
      <c r="T139" s="120">
        <v>5</v>
      </c>
      <c r="U139" s="120">
        <v>4</v>
      </c>
      <c r="V139" s="120">
        <v>5</v>
      </c>
      <c r="W139" s="120">
        <v>6</v>
      </c>
      <c r="X139" s="301"/>
      <c r="Y139" s="301"/>
      <c r="Z139" s="120">
        <v>4</v>
      </c>
      <c r="AA139" s="120">
        <v>2</v>
      </c>
      <c r="AG139" s="317"/>
      <c r="AH139" s="286"/>
      <c r="CK139" s="282"/>
      <c r="CP139" s="286"/>
    </row>
    <row r="140" spans="9:94">
      <c r="I140" s="120">
        <v>4</v>
      </c>
      <c r="J140" s="120">
        <v>6</v>
      </c>
      <c r="K140" s="120">
        <v>18</v>
      </c>
      <c r="L140" s="120">
        <v>17</v>
      </c>
      <c r="M140" s="120">
        <v>18</v>
      </c>
      <c r="N140" s="120">
        <v>19</v>
      </c>
      <c r="O140" s="120">
        <v>18</v>
      </c>
      <c r="P140" s="120">
        <v>17</v>
      </c>
      <c r="Q140" s="300">
        <v>618</v>
      </c>
      <c r="R140" s="120">
        <v>5</v>
      </c>
      <c r="S140" s="120">
        <v>4</v>
      </c>
      <c r="T140" s="120">
        <v>6</v>
      </c>
      <c r="U140" s="120">
        <v>5</v>
      </c>
      <c r="V140" s="120">
        <v>5</v>
      </c>
      <c r="W140" s="120">
        <v>4</v>
      </c>
      <c r="X140" s="301"/>
      <c r="Y140" s="301"/>
      <c r="Z140" s="120">
        <v>4</v>
      </c>
      <c r="AA140" s="120">
        <v>2</v>
      </c>
      <c r="AG140" s="283"/>
      <c r="AH140" s="286"/>
      <c r="CK140" s="282"/>
      <c r="CP140" s="286"/>
    </row>
    <row r="141" spans="9:94">
      <c r="I141" s="120">
        <v>2</v>
      </c>
      <c r="J141" s="120">
        <v>2</v>
      </c>
      <c r="K141" s="120">
        <v>15</v>
      </c>
      <c r="L141" s="120">
        <v>14</v>
      </c>
      <c r="M141" s="120">
        <v>12</v>
      </c>
      <c r="N141" s="120">
        <v>17</v>
      </c>
      <c r="O141" s="120">
        <v>13</v>
      </c>
      <c r="P141" s="120">
        <v>13</v>
      </c>
      <c r="Q141" s="300">
        <v>619</v>
      </c>
      <c r="R141" s="120">
        <v>6</v>
      </c>
      <c r="S141" s="120">
        <v>4</v>
      </c>
      <c r="T141" s="120">
        <v>2</v>
      </c>
      <c r="U141" s="120">
        <v>6</v>
      </c>
      <c r="V141" s="120">
        <v>5</v>
      </c>
      <c r="W141" s="120">
        <v>4</v>
      </c>
      <c r="X141" s="301"/>
      <c r="Y141" s="301"/>
      <c r="Z141" s="120">
        <v>3</v>
      </c>
      <c r="AA141" s="120">
        <v>3</v>
      </c>
      <c r="AG141" s="317"/>
      <c r="AH141" s="286"/>
      <c r="CK141" s="282"/>
      <c r="CP141" s="286"/>
    </row>
    <row r="142" spans="9:94">
      <c r="I142" s="120">
        <v>4</v>
      </c>
      <c r="J142" s="120">
        <v>5</v>
      </c>
      <c r="K142" s="120">
        <v>16</v>
      </c>
      <c r="L142" s="120">
        <v>15</v>
      </c>
      <c r="M142" s="120">
        <v>18</v>
      </c>
      <c r="N142" s="120">
        <v>17</v>
      </c>
      <c r="O142" s="120">
        <v>16</v>
      </c>
      <c r="P142" s="120">
        <v>14</v>
      </c>
      <c r="Q142" s="300">
        <v>620</v>
      </c>
      <c r="R142" s="120">
        <v>6</v>
      </c>
      <c r="S142" s="120">
        <v>6</v>
      </c>
      <c r="T142" s="120">
        <v>6</v>
      </c>
      <c r="U142" s="120">
        <v>6</v>
      </c>
      <c r="V142" s="120">
        <v>4</v>
      </c>
      <c r="W142" s="120">
        <v>4</v>
      </c>
      <c r="X142" s="301"/>
      <c r="Y142" s="301"/>
      <c r="Z142" s="120">
        <v>4</v>
      </c>
      <c r="AA142" s="120">
        <v>2</v>
      </c>
      <c r="AG142" s="309"/>
      <c r="AH142" s="309"/>
      <c r="AI142" s="309"/>
      <c r="AJ142" s="309"/>
      <c r="AK142" s="309"/>
      <c r="CK142" s="282"/>
      <c r="CP142" s="286"/>
    </row>
    <row r="143" spans="9:94">
      <c r="I143" s="120">
        <v>5</v>
      </c>
      <c r="J143" s="120">
        <v>5</v>
      </c>
      <c r="K143" s="120">
        <v>19</v>
      </c>
      <c r="L143" s="120">
        <v>15</v>
      </c>
      <c r="M143" s="120">
        <v>12</v>
      </c>
      <c r="N143" s="120">
        <v>18</v>
      </c>
      <c r="O143" s="120">
        <v>15</v>
      </c>
      <c r="P143" s="120">
        <v>20</v>
      </c>
      <c r="Q143" s="300">
        <v>621</v>
      </c>
      <c r="R143" s="120">
        <v>5</v>
      </c>
      <c r="S143" s="120">
        <v>5</v>
      </c>
      <c r="T143" s="120">
        <v>2</v>
      </c>
      <c r="U143" s="120">
        <v>6</v>
      </c>
      <c r="V143" s="120">
        <v>5</v>
      </c>
      <c r="W143" s="120">
        <v>6</v>
      </c>
      <c r="X143" s="301"/>
      <c r="Y143" s="301"/>
      <c r="Z143" s="120">
        <v>5</v>
      </c>
      <c r="AA143" s="120">
        <v>1</v>
      </c>
      <c r="AG143" s="283"/>
      <c r="AH143" s="319"/>
      <c r="AI143" s="309"/>
      <c r="AJ143" s="309"/>
      <c r="AK143" s="309"/>
      <c r="CK143" s="282"/>
      <c r="CP143" s="286"/>
    </row>
    <row r="144" spans="9:94">
      <c r="I144" s="120">
        <v>3</v>
      </c>
      <c r="J144" s="120">
        <v>5</v>
      </c>
      <c r="K144" s="120">
        <v>16</v>
      </c>
      <c r="L144" s="120">
        <v>18</v>
      </c>
      <c r="M144" s="120">
        <v>17</v>
      </c>
      <c r="N144" s="120">
        <v>16</v>
      </c>
      <c r="O144" s="120">
        <v>15</v>
      </c>
      <c r="P144" s="120">
        <v>14</v>
      </c>
      <c r="Q144" s="300">
        <v>622</v>
      </c>
      <c r="R144" s="120">
        <v>5</v>
      </c>
      <c r="S144" s="120">
        <v>4</v>
      </c>
      <c r="T144" s="120">
        <v>6</v>
      </c>
      <c r="U144" s="120">
        <v>5</v>
      </c>
      <c r="V144" s="120">
        <v>4</v>
      </c>
      <c r="W144" s="120">
        <v>4</v>
      </c>
      <c r="X144" s="301"/>
      <c r="Y144" s="301"/>
      <c r="Z144" s="120">
        <v>3</v>
      </c>
      <c r="AA144" s="120">
        <v>3</v>
      </c>
      <c r="AG144" s="309"/>
      <c r="AH144" s="309"/>
      <c r="AI144" s="309"/>
      <c r="AJ144" s="309"/>
      <c r="AK144" s="309"/>
      <c r="CK144" s="282"/>
      <c r="CP144" s="286"/>
    </row>
    <row r="145" spans="9:94">
      <c r="I145" s="120">
        <v>3</v>
      </c>
      <c r="J145" s="120">
        <v>5</v>
      </c>
      <c r="K145" s="120">
        <v>17</v>
      </c>
      <c r="L145" s="120">
        <v>17</v>
      </c>
      <c r="M145" s="120">
        <v>16</v>
      </c>
      <c r="N145" s="120">
        <v>17</v>
      </c>
      <c r="O145" s="120">
        <v>14</v>
      </c>
      <c r="P145" s="120">
        <v>19</v>
      </c>
      <c r="Q145" s="300">
        <v>623</v>
      </c>
      <c r="R145" s="120">
        <v>4</v>
      </c>
      <c r="S145" s="120">
        <v>5</v>
      </c>
      <c r="T145" s="120">
        <v>6</v>
      </c>
      <c r="U145" s="120">
        <v>4</v>
      </c>
      <c r="V145" s="120">
        <v>6</v>
      </c>
      <c r="W145" s="120">
        <v>6</v>
      </c>
      <c r="X145" s="301"/>
      <c r="Y145" s="301"/>
      <c r="Z145" s="120">
        <v>4</v>
      </c>
      <c r="AA145" s="120">
        <v>2</v>
      </c>
      <c r="AG145" s="309"/>
      <c r="AH145" s="309"/>
      <c r="AI145" s="309"/>
      <c r="AJ145" s="309"/>
      <c r="AK145" s="309"/>
      <c r="CK145" s="282"/>
      <c r="CP145" s="286"/>
    </row>
    <row r="146" spans="9:94">
      <c r="I146" s="301">
        <v>3</v>
      </c>
      <c r="J146" s="301">
        <v>4</v>
      </c>
      <c r="K146" s="120">
        <v>15</v>
      </c>
      <c r="L146" s="120">
        <v>19</v>
      </c>
      <c r="M146" s="120">
        <v>16</v>
      </c>
      <c r="N146" s="120">
        <v>14</v>
      </c>
      <c r="O146" s="120">
        <v>14</v>
      </c>
      <c r="P146" s="120">
        <v>20</v>
      </c>
      <c r="Q146" s="300">
        <v>624</v>
      </c>
      <c r="R146" s="120">
        <v>6</v>
      </c>
      <c r="S146" s="120">
        <v>6</v>
      </c>
      <c r="T146" s="120">
        <v>3</v>
      </c>
      <c r="U146" s="120">
        <v>5</v>
      </c>
      <c r="V146" s="120">
        <v>5</v>
      </c>
      <c r="W146" s="120">
        <v>6</v>
      </c>
      <c r="X146" s="301"/>
      <c r="Y146" s="301"/>
      <c r="Z146" s="301">
        <v>5</v>
      </c>
      <c r="AA146" s="301">
        <v>1</v>
      </c>
      <c r="AG146" s="309"/>
      <c r="AH146" s="309"/>
      <c r="AI146" s="309"/>
      <c r="AJ146" s="309"/>
      <c r="AK146" s="309"/>
      <c r="CK146" s="282"/>
      <c r="CP146" s="286"/>
    </row>
    <row r="147" spans="9:94">
      <c r="I147" s="301">
        <v>3</v>
      </c>
      <c r="J147" s="301">
        <v>6</v>
      </c>
      <c r="K147" s="301">
        <v>16</v>
      </c>
      <c r="L147" s="301">
        <v>16</v>
      </c>
      <c r="M147" s="301">
        <v>15</v>
      </c>
      <c r="N147" s="301">
        <v>17</v>
      </c>
      <c r="O147" s="301">
        <v>17</v>
      </c>
      <c r="P147" s="120">
        <v>15</v>
      </c>
      <c r="Q147" s="300">
        <v>625</v>
      </c>
      <c r="R147" s="301">
        <v>4</v>
      </c>
      <c r="S147" s="301">
        <v>6</v>
      </c>
      <c r="T147" s="120">
        <v>4</v>
      </c>
      <c r="U147" s="120">
        <v>6</v>
      </c>
      <c r="V147" s="120">
        <v>5</v>
      </c>
      <c r="W147" s="120">
        <v>4</v>
      </c>
      <c r="X147" s="301"/>
      <c r="Y147" s="301"/>
      <c r="Z147" s="301">
        <v>3</v>
      </c>
      <c r="AA147" s="301">
        <v>3</v>
      </c>
      <c r="AG147" s="309"/>
      <c r="AH147" s="309"/>
      <c r="AI147" s="309"/>
      <c r="AJ147" s="309"/>
      <c r="AK147" s="309"/>
      <c r="CK147" s="282"/>
      <c r="CP147" s="286"/>
    </row>
    <row r="148" spans="9:94">
      <c r="I148" s="301">
        <v>5</v>
      </c>
      <c r="J148" s="301">
        <v>6</v>
      </c>
      <c r="K148" s="301">
        <v>17</v>
      </c>
      <c r="L148" s="301">
        <v>17</v>
      </c>
      <c r="M148" s="301">
        <v>16</v>
      </c>
      <c r="N148" s="301">
        <v>15</v>
      </c>
      <c r="O148" s="301">
        <v>17</v>
      </c>
      <c r="P148" s="301">
        <v>15</v>
      </c>
      <c r="Q148" s="300">
        <v>626</v>
      </c>
      <c r="R148" s="301">
        <v>5</v>
      </c>
      <c r="S148" s="301">
        <v>6</v>
      </c>
      <c r="T148" s="301">
        <v>6</v>
      </c>
      <c r="U148" s="301">
        <v>5</v>
      </c>
      <c r="V148" s="301">
        <v>4</v>
      </c>
      <c r="W148" s="301">
        <v>5</v>
      </c>
      <c r="X148" s="301"/>
      <c r="Y148" s="301"/>
      <c r="Z148" s="301">
        <v>5</v>
      </c>
      <c r="AA148" s="301">
        <v>1</v>
      </c>
      <c r="AG148" s="309"/>
      <c r="AH148" s="286"/>
      <c r="AI148" s="309"/>
      <c r="AJ148" s="309"/>
      <c r="AK148" s="309"/>
      <c r="CK148" s="282"/>
      <c r="CP148" s="286"/>
    </row>
    <row r="149" spans="9:94">
      <c r="I149" s="301">
        <v>4</v>
      </c>
      <c r="J149" s="301">
        <v>5</v>
      </c>
      <c r="K149" s="301">
        <v>20</v>
      </c>
      <c r="L149" s="301">
        <v>18</v>
      </c>
      <c r="M149" s="301">
        <v>17</v>
      </c>
      <c r="N149" s="301">
        <v>17</v>
      </c>
      <c r="O149" s="301">
        <v>14</v>
      </c>
      <c r="P149" s="120">
        <v>17</v>
      </c>
      <c r="Q149" s="300">
        <v>627</v>
      </c>
      <c r="R149" s="301">
        <v>6</v>
      </c>
      <c r="S149" s="301">
        <v>6</v>
      </c>
      <c r="T149" s="301">
        <v>6</v>
      </c>
      <c r="U149" s="301">
        <v>4</v>
      </c>
      <c r="V149" s="301">
        <v>4</v>
      </c>
      <c r="W149" s="120">
        <v>6</v>
      </c>
      <c r="X149" s="301"/>
      <c r="Y149" s="301"/>
      <c r="Z149" s="301">
        <v>4</v>
      </c>
      <c r="AA149" s="301">
        <v>2</v>
      </c>
      <c r="AG149" s="283"/>
      <c r="AH149" s="286"/>
      <c r="AI149" s="309"/>
      <c r="AJ149" s="309"/>
      <c r="AK149" s="309"/>
      <c r="CK149" s="282"/>
      <c r="CP149" s="286"/>
    </row>
    <row r="150" spans="9:94">
      <c r="I150" s="301">
        <v>3</v>
      </c>
      <c r="J150" s="301">
        <v>4</v>
      </c>
      <c r="K150" s="301">
        <v>18</v>
      </c>
      <c r="L150" s="301">
        <v>17</v>
      </c>
      <c r="M150" s="301">
        <v>20</v>
      </c>
      <c r="N150" s="301">
        <v>12</v>
      </c>
      <c r="O150" s="301">
        <v>14</v>
      </c>
      <c r="P150" s="120">
        <v>17</v>
      </c>
      <c r="Q150" s="300">
        <v>628</v>
      </c>
      <c r="R150" s="301">
        <v>5</v>
      </c>
      <c r="S150" s="301">
        <v>5</v>
      </c>
      <c r="T150" s="301">
        <v>6</v>
      </c>
      <c r="U150" s="301">
        <v>3</v>
      </c>
      <c r="V150" s="301">
        <v>4</v>
      </c>
      <c r="W150" s="120">
        <v>3</v>
      </c>
      <c r="X150" s="301"/>
      <c r="Y150" s="301"/>
      <c r="Z150" s="301">
        <v>3</v>
      </c>
      <c r="AA150" s="301">
        <v>3</v>
      </c>
      <c r="AG150" s="309"/>
      <c r="AH150" s="309"/>
      <c r="AI150" s="309"/>
      <c r="AJ150" s="309"/>
      <c r="AK150" s="309"/>
      <c r="CK150" s="282"/>
      <c r="CP150" s="286"/>
    </row>
    <row r="151" spans="9:94">
      <c r="I151" s="301">
        <v>3</v>
      </c>
      <c r="J151" s="301">
        <v>5</v>
      </c>
      <c r="K151" s="120">
        <v>16</v>
      </c>
      <c r="L151" s="120">
        <v>17</v>
      </c>
      <c r="M151" s="120">
        <v>18</v>
      </c>
      <c r="N151" s="120">
        <v>17</v>
      </c>
      <c r="O151" s="120">
        <v>16</v>
      </c>
      <c r="P151" s="120">
        <v>14</v>
      </c>
      <c r="Q151" s="300">
        <v>629</v>
      </c>
      <c r="R151" s="120">
        <v>4</v>
      </c>
      <c r="S151" s="120">
        <v>5</v>
      </c>
      <c r="T151" s="120">
        <v>5</v>
      </c>
      <c r="U151" s="120">
        <v>4</v>
      </c>
      <c r="V151" s="120">
        <v>5</v>
      </c>
      <c r="W151" s="120">
        <v>4</v>
      </c>
      <c r="X151" s="301"/>
      <c r="Y151" s="301"/>
      <c r="Z151" s="301">
        <v>3</v>
      </c>
      <c r="AA151" s="301">
        <v>3</v>
      </c>
      <c r="AG151" s="317"/>
      <c r="AH151" s="309"/>
      <c r="AI151" s="119">
        <v>11</v>
      </c>
      <c r="AJ151" s="119">
        <f>COUNTIF(K80:P200,AI151)</f>
        <v>2</v>
      </c>
      <c r="AK151" s="345">
        <f>AJ151/AJ162</f>
        <v>2.7662517289073307E-3</v>
      </c>
      <c r="CK151" s="282"/>
      <c r="CP151" s="286"/>
    </row>
    <row r="152" spans="9:94">
      <c r="I152" s="301">
        <v>4</v>
      </c>
      <c r="J152" s="301">
        <v>5</v>
      </c>
      <c r="K152" s="301">
        <v>16</v>
      </c>
      <c r="L152" s="301">
        <v>17</v>
      </c>
      <c r="M152" s="301">
        <v>14</v>
      </c>
      <c r="N152" s="301">
        <v>17</v>
      </c>
      <c r="O152" s="301">
        <v>17</v>
      </c>
      <c r="P152" s="301">
        <v>16</v>
      </c>
      <c r="Q152" s="300">
        <v>630</v>
      </c>
      <c r="R152" s="301">
        <v>5</v>
      </c>
      <c r="S152" s="301">
        <v>6</v>
      </c>
      <c r="T152" s="301">
        <v>4</v>
      </c>
      <c r="U152" s="301">
        <v>5</v>
      </c>
      <c r="V152" s="301">
        <v>4</v>
      </c>
      <c r="W152" s="301">
        <v>5</v>
      </c>
      <c r="X152" s="301"/>
      <c r="Y152" s="301"/>
      <c r="Z152" s="301">
        <v>4</v>
      </c>
      <c r="AA152" s="301">
        <v>2</v>
      </c>
      <c r="AG152" s="309"/>
      <c r="AH152" s="309"/>
      <c r="AI152" s="119">
        <v>12</v>
      </c>
      <c r="AJ152" s="119">
        <f>COUNTIF(K80:P200,AI152)</f>
        <v>15</v>
      </c>
      <c r="AK152" s="345">
        <f>AJ152/AJ162</f>
        <v>2.0746887966804978E-2</v>
      </c>
      <c r="CK152" s="282"/>
      <c r="CP152" s="286"/>
    </row>
    <row r="153" spans="9:94">
      <c r="I153" s="301">
        <v>3</v>
      </c>
      <c r="J153" s="301">
        <v>6</v>
      </c>
      <c r="K153" s="301">
        <v>17</v>
      </c>
      <c r="L153" s="301">
        <v>15</v>
      </c>
      <c r="M153" s="301">
        <v>15</v>
      </c>
      <c r="N153" s="301">
        <v>18</v>
      </c>
      <c r="O153" s="120">
        <v>18</v>
      </c>
      <c r="P153" s="120">
        <v>15</v>
      </c>
      <c r="Q153" s="300">
        <v>631</v>
      </c>
      <c r="R153" s="301">
        <v>4</v>
      </c>
      <c r="S153" s="301">
        <v>5</v>
      </c>
      <c r="T153" s="301">
        <v>4</v>
      </c>
      <c r="U153" s="301">
        <v>6</v>
      </c>
      <c r="V153" s="301">
        <v>6</v>
      </c>
      <c r="W153" s="120">
        <v>4</v>
      </c>
      <c r="X153" s="301"/>
      <c r="Y153" s="301"/>
      <c r="Z153" s="301">
        <v>3</v>
      </c>
      <c r="AA153" s="301">
        <v>3</v>
      </c>
      <c r="AG153" s="309"/>
      <c r="AH153" s="309"/>
      <c r="AI153" s="119">
        <v>13</v>
      </c>
      <c r="AJ153" s="119">
        <f>COUNTIF(K80:P200,AI153)</f>
        <v>35</v>
      </c>
      <c r="AK153" s="345">
        <f>AJ153/AJ162</f>
        <v>4.8409405255878286E-2</v>
      </c>
      <c r="CK153" s="282"/>
      <c r="CP153" s="286"/>
    </row>
    <row r="154" spans="9:94">
      <c r="I154" s="301">
        <v>6</v>
      </c>
      <c r="J154" s="301">
        <v>6</v>
      </c>
      <c r="K154" s="301">
        <v>16</v>
      </c>
      <c r="L154" s="301">
        <v>18</v>
      </c>
      <c r="M154" s="301">
        <v>19</v>
      </c>
      <c r="N154" s="301">
        <v>16</v>
      </c>
      <c r="O154" s="301">
        <v>16</v>
      </c>
      <c r="P154" s="301">
        <v>20</v>
      </c>
      <c r="Q154" s="300">
        <v>632</v>
      </c>
      <c r="R154" s="301">
        <v>5</v>
      </c>
      <c r="S154" s="301">
        <v>6</v>
      </c>
      <c r="T154" s="301">
        <v>6</v>
      </c>
      <c r="U154" s="301">
        <v>6</v>
      </c>
      <c r="V154" s="301">
        <v>5</v>
      </c>
      <c r="W154" s="301">
        <v>6</v>
      </c>
      <c r="X154" s="301"/>
      <c r="Y154" s="301"/>
      <c r="Z154" s="301">
        <v>6</v>
      </c>
      <c r="AA154" s="301">
        <v>0</v>
      </c>
      <c r="AG154" s="317"/>
      <c r="AH154" s="309"/>
      <c r="AI154" s="119">
        <v>14</v>
      </c>
      <c r="AJ154" s="119">
        <f>COUNTIF(K80:P200,AI154)</f>
        <v>78</v>
      </c>
      <c r="AK154" s="345">
        <f>AJ154/AJ162</f>
        <v>0.1078838174273859</v>
      </c>
      <c r="CK154" s="282"/>
      <c r="CP154" s="286"/>
    </row>
    <row r="155" spans="9:94">
      <c r="I155" s="301">
        <v>5</v>
      </c>
      <c r="J155" s="301">
        <v>6</v>
      </c>
      <c r="K155" s="301">
        <v>17</v>
      </c>
      <c r="L155" s="301">
        <v>15</v>
      </c>
      <c r="M155" s="301">
        <v>15</v>
      </c>
      <c r="N155" s="301">
        <v>18</v>
      </c>
      <c r="O155" s="301">
        <v>15</v>
      </c>
      <c r="P155" s="301">
        <v>17</v>
      </c>
      <c r="Q155" s="300">
        <v>633</v>
      </c>
      <c r="R155" s="301">
        <v>5</v>
      </c>
      <c r="S155" s="301">
        <v>4</v>
      </c>
      <c r="T155" s="301">
        <v>5</v>
      </c>
      <c r="U155" s="301">
        <v>5</v>
      </c>
      <c r="V155" s="301">
        <v>5</v>
      </c>
      <c r="W155" s="301">
        <v>6</v>
      </c>
      <c r="X155" s="301"/>
      <c r="Y155" s="301"/>
      <c r="Z155" s="301">
        <v>5</v>
      </c>
      <c r="AA155" s="301">
        <v>1</v>
      </c>
      <c r="AG155" s="309"/>
      <c r="AH155" s="309"/>
      <c r="AI155" s="119">
        <v>15</v>
      </c>
      <c r="AJ155" s="119">
        <f>COUNTIF(K80:P200,AI155)</f>
        <v>123</v>
      </c>
      <c r="AK155" s="345">
        <f>AJ155/AJ162</f>
        <v>0.17012448132780084</v>
      </c>
      <c r="CK155" s="282"/>
      <c r="CP155" s="286"/>
    </row>
    <row r="156" spans="9:94">
      <c r="I156" s="301">
        <v>5</v>
      </c>
      <c r="J156" s="301">
        <v>6</v>
      </c>
      <c r="K156" s="301">
        <v>19</v>
      </c>
      <c r="L156" s="301">
        <v>18</v>
      </c>
      <c r="M156" s="301">
        <v>16</v>
      </c>
      <c r="N156" s="301">
        <v>16</v>
      </c>
      <c r="O156" s="301">
        <v>18</v>
      </c>
      <c r="P156" s="120">
        <v>16</v>
      </c>
      <c r="Q156" s="300">
        <v>634</v>
      </c>
      <c r="R156" s="301">
        <v>6</v>
      </c>
      <c r="S156" s="301">
        <v>6</v>
      </c>
      <c r="T156" s="301">
        <v>6</v>
      </c>
      <c r="U156" s="301">
        <v>6</v>
      </c>
      <c r="V156" s="301">
        <v>5</v>
      </c>
      <c r="W156" s="120">
        <v>3</v>
      </c>
      <c r="X156" s="301"/>
      <c r="Y156" s="301"/>
      <c r="Z156" s="301">
        <v>5</v>
      </c>
      <c r="AA156" s="301">
        <v>1</v>
      </c>
      <c r="AG156" s="317"/>
      <c r="AH156" s="309"/>
      <c r="AI156" s="119">
        <v>16</v>
      </c>
      <c r="AJ156" s="119">
        <f>COUNTIF(K80:P200,AI156)</f>
        <v>155</v>
      </c>
      <c r="AK156" s="345">
        <f>AJ156/AJ162</f>
        <v>0.21438450899031811</v>
      </c>
      <c r="CK156" s="282"/>
      <c r="CP156" s="286"/>
    </row>
    <row r="157" spans="9:94">
      <c r="I157" s="301">
        <v>6</v>
      </c>
      <c r="J157" s="301">
        <v>6</v>
      </c>
      <c r="K157" s="301">
        <v>18</v>
      </c>
      <c r="L157" s="301">
        <v>17</v>
      </c>
      <c r="M157" s="301">
        <v>20</v>
      </c>
      <c r="N157" s="301">
        <v>18</v>
      </c>
      <c r="O157" s="301">
        <v>17</v>
      </c>
      <c r="P157" s="120">
        <v>18</v>
      </c>
      <c r="Q157" s="300">
        <v>635</v>
      </c>
      <c r="R157" s="301">
        <v>5</v>
      </c>
      <c r="S157" s="301">
        <v>6</v>
      </c>
      <c r="T157" s="301">
        <v>6</v>
      </c>
      <c r="U157" s="301">
        <v>6</v>
      </c>
      <c r="V157" s="301">
        <v>6</v>
      </c>
      <c r="W157" s="120">
        <v>6</v>
      </c>
      <c r="X157" s="301"/>
      <c r="Y157" s="301"/>
      <c r="Z157" s="301">
        <v>6</v>
      </c>
      <c r="AA157" s="301">
        <v>0</v>
      </c>
      <c r="AG157" s="309"/>
      <c r="AH157" s="309"/>
      <c r="AI157" s="119">
        <v>17</v>
      </c>
      <c r="AJ157" s="119">
        <f>COUNTIF(K80:P200,AI157)</f>
        <v>130</v>
      </c>
      <c r="AK157" s="345">
        <f>AJ157/AJ162</f>
        <v>0.17980636237897649</v>
      </c>
      <c r="CK157" s="282"/>
      <c r="CP157" s="286"/>
    </row>
    <row r="158" spans="9:94">
      <c r="I158" s="301">
        <v>5</v>
      </c>
      <c r="J158" s="301">
        <v>5</v>
      </c>
      <c r="K158" s="301">
        <v>20</v>
      </c>
      <c r="L158" s="301">
        <v>21</v>
      </c>
      <c r="M158" s="301">
        <v>15</v>
      </c>
      <c r="N158" s="301">
        <v>19</v>
      </c>
      <c r="O158" s="301">
        <v>14</v>
      </c>
      <c r="P158" s="301">
        <v>18</v>
      </c>
      <c r="Q158" s="300">
        <v>636</v>
      </c>
      <c r="R158" s="301">
        <v>6</v>
      </c>
      <c r="S158" s="301">
        <v>6</v>
      </c>
      <c r="T158" s="301">
        <v>6</v>
      </c>
      <c r="U158" s="301">
        <v>5</v>
      </c>
      <c r="V158" s="301">
        <v>3</v>
      </c>
      <c r="W158" s="301">
        <v>5</v>
      </c>
      <c r="X158" s="301"/>
      <c r="Y158" s="301"/>
      <c r="Z158" s="301">
        <v>5</v>
      </c>
      <c r="AA158" s="301">
        <v>1</v>
      </c>
      <c r="AG158" s="309"/>
      <c r="AH158" s="309"/>
      <c r="AI158" s="119">
        <v>18</v>
      </c>
      <c r="AJ158" s="119">
        <f>COUNTIF(K80:P200,AI158)</f>
        <v>97</v>
      </c>
      <c r="AK158" s="345">
        <f>AJ158/AJ162</f>
        <v>0.13416320885200553</v>
      </c>
      <c r="CK158" s="282"/>
      <c r="CP158" s="286"/>
    </row>
    <row r="159" spans="9:94">
      <c r="I159" s="301">
        <v>3</v>
      </c>
      <c r="J159" s="301">
        <v>6</v>
      </c>
      <c r="K159" s="301">
        <v>19</v>
      </c>
      <c r="L159" s="301">
        <v>18</v>
      </c>
      <c r="M159" s="301">
        <v>17</v>
      </c>
      <c r="N159" s="301">
        <v>16</v>
      </c>
      <c r="O159" s="301">
        <v>17</v>
      </c>
      <c r="P159" s="301">
        <v>16</v>
      </c>
      <c r="Q159" s="300">
        <v>637</v>
      </c>
      <c r="R159" s="301">
        <v>4</v>
      </c>
      <c r="S159" s="301">
        <v>4</v>
      </c>
      <c r="T159" s="301">
        <v>6</v>
      </c>
      <c r="U159" s="301">
        <v>4</v>
      </c>
      <c r="V159" s="301">
        <v>5</v>
      </c>
      <c r="W159" s="301">
        <v>6</v>
      </c>
      <c r="X159" s="301"/>
      <c r="Y159" s="301"/>
      <c r="Z159" s="301">
        <v>3</v>
      </c>
      <c r="AA159" s="301">
        <v>3</v>
      </c>
      <c r="AG159" s="317"/>
      <c r="AH159" s="309"/>
      <c r="AI159" s="119">
        <v>19</v>
      </c>
      <c r="AJ159" s="119">
        <f>COUNTIF(K80:P200,AI159)</f>
        <v>55</v>
      </c>
      <c r="AK159" s="345">
        <f>AJ159/AJ162</f>
        <v>7.6071922544951584E-2</v>
      </c>
      <c r="CK159" s="282"/>
      <c r="CP159" s="286"/>
    </row>
    <row r="160" spans="9:94">
      <c r="I160" s="301">
        <v>4</v>
      </c>
      <c r="J160" s="301">
        <v>5</v>
      </c>
      <c r="K160" s="301">
        <v>18</v>
      </c>
      <c r="L160" s="301">
        <v>15</v>
      </c>
      <c r="M160" s="301">
        <v>18</v>
      </c>
      <c r="N160" s="301">
        <v>18</v>
      </c>
      <c r="O160" s="301">
        <v>18</v>
      </c>
      <c r="P160" s="301">
        <v>19</v>
      </c>
      <c r="Q160" s="300">
        <v>638</v>
      </c>
      <c r="R160" s="301">
        <v>5</v>
      </c>
      <c r="S160" s="301">
        <v>5</v>
      </c>
      <c r="T160" s="301">
        <v>3</v>
      </c>
      <c r="U160" s="301">
        <v>6</v>
      </c>
      <c r="V160" s="301">
        <v>6</v>
      </c>
      <c r="W160" s="301">
        <v>5</v>
      </c>
      <c r="X160" s="301"/>
      <c r="Y160" s="301"/>
      <c r="Z160" s="301">
        <v>5</v>
      </c>
      <c r="AA160" s="301">
        <v>1</v>
      </c>
      <c r="AG160" s="309"/>
      <c r="AH160" s="309"/>
      <c r="AI160" s="119">
        <v>20</v>
      </c>
      <c r="AJ160" s="119">
        <f>COUNTIF(K80:P200,AI160)</f>
        <v>28</v>
      </c>
      <c r="AK160" s="345">
        <f>AJ160/AJ162</f>
        <v>3.8727524204702629E-2</v>
      </c>
      <c r="CK160" s="282"/>
      <c r="CP160" s="286"/>
    </row>
    <row r="161" spans="9:94">
      <c r="I161" s="301">
        <v>3</v>
      </c>
      <c r="J161" s="301">
        <v>6</v>
      </c>
      <c r="K161" s="301">
        <v>18</v>
      </c>
      <c r="L161" s="301">
        <v>16</v>
      </c>
      <c r="M161" s="301">
        <v>18</v>
      </c>
      <c r="N161" s="301">
        <v>18</v>
      </c>
      <c r="O161" s="301">
        <v>17</v>
      </c>
      <c r="P161" s="301">
        <v>17</v>
      </c>
      <c r="Q161" s="300">
        <v>639</v>
      </c>
      <c r="R161" s="301">
        <v>4</v>
      </c>
      <c r="S161" s="301">
        <v>4</v>
      </c>
      <c r="T161" s="301">
        <v>4</v>
      </c>
      <c r="U161" s="301">
        <v>6</v>
      </c>
      <c r="V161" s="301">
        <v>5</v>
      </c>
      <c r="W161" s="301">
        <v>5</v>
      </c>
      <c r="X161" s="301"/>
      <c r="Y161" s="301"/>
      <c r="Z161" s="301">
        <v>3</v>
      </c>
      <c r="AA161" s="301">
        <v>3</v>
      </c>
      <c r="AG161" s="309"/>
      <c r="AH161" s="286"/>
      <c r="AI161" s="119">
        <v>21</v>
      </c>
      <c r="AJ161" s="119">
        <f>COUNTIF(K80:P200,AI161)</f>
        <v>5</v>
      </c>
      <c r="AK161" s="345">
        <f>AJ161/AJ162</f>
        <v>6.9156293222683261E-3</v>
      </c>
      <c r="CK161" s="282"/>
      <c r="CP161" s="286"/>
    </row>
    <row r="162" spans="9:94">
      <c r="I162" s="301">
        <v>4</v>
      </c>
      <c r="J162" s="301">
        <v>5</v>
      </c>
      <c r="K162" s="301">
        <v>18</v>
      </c>
      <c r="L162" s="301">
        <v>16</v>
      </c>
      <c r="M162" s="301">
        <v>16</v>
      </c>
      <c r="N162" s="301">
        <v>16</v>
      </c>
      <c r="O162" s="301">
        <v>19</v>
      </c>
      <c r="P162" s="301">
        <v>15</v>
      </c>
      <c r="Q162" s="300">
        <v>640</v>
      </c>
      <c r="R162" s="301">
        <v>6</v>
      </c>
      <c r="S162" s="301">
        <v>4</v>
      </c>
      <c r="T162" s="301">
        <v>5</v>
      </c>
      <c r="U162" s="301">
        <v>6</v>
      </c>
      <c r="V162" s="301">
        <v>5</v>
      </c>
      <c r="W162" s="301">
        <v>4</v>
      </c>
      <c r="X162" s="301"/>
      <c r="Y162" s="301"/>
      <c r="Z162" s="301">
        <v>4</v>
      </c>
      <c r="AA162" s="301">
        <v>2</v>
      </c>
      <c r="AG162" s="309"/>
      <c r="AH162" s="286"/>
      <c r="AI162" s="301"/>
      <c r="AJ162" s="301">
        <f>SUM(AJ151:AJ161)</f>
        <v>723</v>
      </c>
      <c r="AK162" s="304">
        <f>SUM(AK151:AK161)</f>
        <v>0.99999999999999989</v>
      </c>
      <c r="CK162" s="282"/>
      <c r="CP162" s="286"/>
    </row>
    <row r="163" spans="9:94">
      <c r="I163" s="120">
        <v>5</v>
      </c>
      <c r="J163" s="120">
        <v>5</v>
      </c>
      <c r="K163" s="301">
        <v>19</v>
      </c>
      <c r="L163" s="301">
        <v>16</v>
      </c>
      <c r="M163" s="301">
        <v>17</v>
      </c>
      <c r="N163" s="301">
        <v>14</v>
      </c>
      <c r="O163" s="301">
        <v>19</v>
      </c>
      <c r="P163" s="301">
        <v>16</v>
      </c>
      <c r="Q163" s="300">
        <v>641</v>
      </c>
      <c r="R163" s="301">
        <v>5</v>
      </c>
      <c r="S163" s="301">
        <v>5</v>
      </c>
      <c r="T163" s="301">
        <v>6</v>
      </c>
      <c r="U163" s="301">
        <v>3</v>
      </c>
      <c r="V163" s="301">
        <v>6</v>
      </c>
      <c r="W163" s="301">
        <v>6</v>
      </c>
      <c r="X163" s="301"/>
      <c r="Y163" s="301"/>
      <c r="Z163" s="301">
        <v>5</v>
      </c>
      <c r="AA163" s="301">
        <v>1</v>
      </c>
      <c r="AG163" s="309"/>
      <c r="AH163" s="286"/>
      <c r="CK163" s="282"/>
      <c r="CP163" s="286"/>
    </row>
    <row r="164" spans="9:94">
      <c r="I164" s="120">
        <v>4</v>
      </c>
      <c r="J164" s="120">
        <v>4</v>
      </c>
      <c r="K164" s="301">
        <v>14</v>
      </c>
      <c r="L164" s="301">
        <v>19</v>
      </c>
      <c r="M164" s="301">
        <v>16</v>
      </c>
      <c r="N164" s="301">
        <v>20</v>
      </c>
      <c r="O164" s="301">
        <v>17</v>
      </c>
      <c r="P164" s="301">
        <v>12</v>
      </c>
      <c r="Q164" s="300">
        <v>642</v>
      </c>
      <c r="R164" s="301">
        <v>3</v>
      </c>
      <c r="S164" s="301">
        <v>5</v>
      </c>
      <c r="T164" s="301">
        <v>6</v>
      </c>
      <c r="U164" s="301">
        <v>6</v>
      </c>
      <c r="V164" s="301">
        <v>6</v>
      </c>
      <c r="W164" s="301">
        <v>2</v>
      </c>
      <c r="X164" s="301"/>
      <c r="Y164" s="301"/>
      <c r="Z164" s="301">
        <v>4</v>
      </c>
      <c r="AA164" s="301">
        <v>2</v>
      </c>
      <c r="AG164" s="283"/>
      <c r="AH164" s="286"/>
      <c r="CK164" s="282"/>
      <c r="CP164" s="286"/>
    </row>
    <row r="165" spans="9:94">
      <c r="I165" s="301">
        <v>2</v>
      </c>
      <c r="J165" s="120">
        <v>4</v>
      </c>
      <c r="K165" s="301">
        <v>16</v>
      </c>
      <c r="L165" s="301">
        <v>20</v>
      </c>
      <c r="M165" s="301">
        <v>17</v>
      </c>
      <c r="N165" s="301">
        <v>15</v>
      </c>
      <c r="O165" s="301">
        <v>18</v>
      </c>
      <c r="P165" s="301">
        <v>15</v>
      </c>
      <c r="Q165" s="300">
        <v>643</v>
      </c>
      <c r="R165" s="301">
        <v>4</v>
      </c>
      <c r="S165" s="301">
        <v>6</v>
      </c>
      <c r="T165" s="301">
        <v>4</v>
      </c>
      <c r="U165" s="301">
        <v>3</v>
      </c>
      <c r="V165" s="301">
        <v>5</v>
      </c>
      <c r="W165" s="301">
        <v>3</v>
      </c>
      <c r="X165" s="301"/>
      <c r="Y165" s="301"/>
      <c r="Z165" s="301">
        <v>2</v>
      </c>
      <c r="AA165" s="301">
        <v>4</v>
      </c>
      <c r="AG165" s="317"/>
      <c r="AH165" s="286"/>
      <c r="CK165" s="282"/>
      <c r="CP165" s="286"/>
    </row>
    <row r="166" spans="9:94">
      <c r="I166" s="120">
        <v>2</v>
      </c>
      <c r="J166" s="120">
        <v>5</v>
      </c>
      <c r="K166" s="301">
        <v>18</v>
      </c>
      <c r="L166" s="301">
        <v>19</v>
      </c>
      <c r="M166" s="301">
        <v>18</v>
      </c>
      <c r="N166" s="301">
        <v>20</v>
      </c>
      <c r="O166" s="301">
        <v>16</v>
      </c>
      <c r="P166" s="301">
        <v>13</v>
      </c>
      <c r="Q166" s="300">
        <v>644</v>
      </c>
      <c r="R166" s="301">
        <v>4</v>
      </c>
      <c r="S166" s="301">
        <v>5</v>
      </c>
      <c r="T166" s="301">
        <v>4</v>
      </c>
      <c r="U166" s="301">
        <v>5</v>
      </c>
      <c r="V166" s="301">
        <v>3</v>
      </c>
      <c r="W166" s="301">
        <v>1</v>
      </c>
      <c r="X166" s="301"/>
      <c r="Y166" s="301"/>
      <c r="Z166" s="301">
        <v>2</v>
      </c>
      <c r="AA166" s="301">
        <v>4</v>
      </c>
      <c r="AG166" s="309"/>
      <c r="AH166" s="286"/>
      <c r="CK166" s="282"/>
      <c r="CP166" s="286"/>
    </row>
    <row r="167" spans="9:94">
      <c r="I167" s="120">
        <v>3</v>
      </c>
      <c r="J167" s="120">
        <v>6</v>
      </c>
      <c r="K167" s="301">
        <v>16</v>
      </c>
      <c r="L167" s="301">
        <v>18</v>
      </c>
      <c r="M167" s="301">
        <v>16</v>
      </c>
      <c r="N167" s="301">
        <v>16</v>
      </c>
      <c r="O167" s="301">
        <v>17</v>
      </c>
      <c r="P167" s="301">
        <v>16</v>
      </c>
      <c r="Q167" s="300">
        <v>645</v>
      </c>
      <c r="R167" s="301">
        <v>5</v>
      </c>
      <c r="S167" s="301">
        <v>4</v>
      </c>
      <c r="T167" s="301">
        <v>5</v>
      </c>
      <c r="U167" s="301">
        <v>2</v>
      </c>
      <c r="V167" s="301">
        <v>4</v>
      </c>
      <c r="W167" s="301">
        <v>5</v>
      </c>
      <c r="X167" s="301"/>
      <c r="Y167" s="301"/>
      <c r="Z167" s="301">
        <v>3</v>
      </c>
      <c r="AA167" s="301">
        <v>3</v>
      </c>
      <c r="AG167" s="283"/>
      <c r="AH167" s="286"/>
      <c r="CK167" s="282"/>
      <c r="CP167" s="286"/>
    </row>
    <row r="168" spans="9:94">
      <c r="I168" s="301">
        <v>2</v>
      </c>
      <c r="J168" s="301">
        <v>5</v>
      </c>
      <c r="K168" s="301">
        <v>15</v>
      </c>
      <c r="L168" s="301">
        <v>16</v>
      </c>
      <c r="M168" s="301">
        <v>19</v>
      </c>
      <c r="N168" s="301">
        <v>16</v>
      </c>
      <c r="O168" s="301">
        <v>15</v>
      </c>
      <c r="P168" s="301">
        <v>14</v>
      </c>
      <c r="Q168" s="300">
        <v>646</v>
      </c>
      <c r="R168" s="301">
        <v>3</v>
      </c>
      <c r="S168" s="301">
        <v>4</v>
      </c>
      <c r="T168" s="301">
        <v>5</v>
      </c>
      <c r="U168" s="301">
        <v>5</v>
      </c>
      <c r="V168" s="301">
        <v>5</v>
      </c>
      <c r="W168" s="301">
        <v>5</v>
      </c>
      <c r="X168" s="301"/>
      <c r="Y168" s="301"/>
      <c r="Z168" s="301">
        <v>4</v>
      </c>
      <c r="AA168" s="301">
        <v>2</v>
      </c>
      <c r="AG168" s="309"/>
      <c r="AH168" s="286"/>
      <c r="CK168" s="282"/>
      <c r="CP168" s="286"/>
    </row>
    <row r="169" spans="9:94">
      <c r="I169" s="301">
        <v>4</v>
      </c>
      <c r="J169" s="301">
        <v>6</v>
      </c>
      <c r="K169" s="301">
        <v>17</v>
      </c>
      <c r="L169" s="301">
        <v>17</v>
      </c>
      <c r="M169" s="301">
        <v>19</v>
      </c>
      <c r="N169" s="301">
        <v>20</v>
      </c>
      <c r="O169" s="301">
        <v>18</v>
      </c>
      <c r="P169" s="301">
        <v>18</v>
      </c>
      <c r="Q169" s="300">
        <v>647</v>
      </c>
      <c r="R169" s="301">
        <v>4</v>
      </c>
      <c r="S169" s="301">
        <v>5</v>
      </c>
      <c r="T169" s="301">
        <v>6</v>
      </c>
      <c r="U169" s="301">
        <v>5</v>
      </c>
      <c r="V169" s="301">
        <v>4</v>
      </c>
      <c r="W169" s="301">
        <v>5</v>
      </c>
      <c r="X169" s="301"/>
      <c r="Y169" s="301"/>
      <c r="Z169" s="301">
        <v>4</v>
      </c>
      <c r="AA169" s="301">
        <v>2</v>
      </c>
      <c r="AG169" s="283"/>
      <c r="AH169" s="286"/>
      <c r="CK169" s="282"/>
      <c r="CP169" s="286"/>
    </row>
    <row r="170" spans="9:94">
      <c r="I170" s="301">
        <v>4</v>
      </c>
      <c r="J170" s="301">
        <v>4</v>
      </c>
      <c r="K170" s="301">
        <v>19</v>
      </c>
      <c r="L170" s="301">
        <v>14</v>
      </c>
      <c r="M170" s="301">
        <v>16</v>
      </c>
      <c r="N170" s="301">
        <v>19</v>
      </c>
      <c r="O170" s="301">
        <v>14</v>
      </c>
      <c r="P170" s="301">
        <v>16</v>
      </c>
      <c r="Q170" s="300">
        <v>648</v>
      </c>
      <c r="R170" s="301">
        <v>6</v>
      </c>
      <c r="S170" s="301">
        <v>3</v>
      </c>
      <c r="T170" s="301">
        <v>5</v>
      </c>
      <c r="U170" s="301">
        <v>6</v>
      </c>
      <c r="V170" s="301">
        <v>3</v>
      </c>
      <c r="W170" s="301">
        <v>6</v>
      </c>
      <c r="X170" s="301"/>
      <c r="Y170" s="301"/>
      <c r="Z170" s="301">
        <v>4</v>
      </c>
      <c r="AA170" s="301">
        <v>2</v>
      </c>
      <c r="AG170" s="309"/>
      <c r="AH170" s="286"/>
      <c r="CK170" s="282"/>
      <c r="CP170" s="286"/>
    </row>
    <row r="171" spans="9:94">
      <c r="I171" s="301">
        <v>5</v>
      </c>
      <c r="J171" s="301">
        <v>5</v>
      </c>
      <c r="K171" s="301">
        <v>18</v>
      </c>
      <c r="L171" s="301">
        <v>20</v>
      </c>
      <c r="M171" s="301">
        <v>16</v>
      </c>
      <c r="N171" s="301">
        <v>18</v>
      </c>
      <c r="O171" s="301">
        <v>16</v>
      </c>
      <c r="P171" s="301">
        <v>17</v>
      </c>
      <c r="Q171" s="300">
        <v>649</v>
      </c>
      <c r="R171" s="301">
        <v>6</v>
      </c>
      <c r="S171" s="301">
        <v>6</v>
      </c>
      <c r="T171" s="301">
        <v>5</v>
      </c>
      <c r="U171" s="301">
        <v>5</v>
      </c>
      <c r="V171" s="301">
        <v>5</v>
      </c>
      <c r="W171" s="301">
        <v>4</v>
      </c>
      <c r="X171" s="301"/>
      <c r="Y171" s="301"/>
      <c r="Z171" s="301">
        <v>5</v>
      </c>
      <c r="AA171" s="301">
        <v>1</v>
      </c>
      <c r="AG171" s="317"/>
      <c r="AH171" s="286"/>
      <c r="CK171" s="282"/>
      <c r="CP171" s="286"/>
    </row>
    <row r="172" spans="9:94">
      <c r="I172" s="301">
        <v>4</v>
      </c>
      <c r="J172" s="301">
        <v>5</v>
      </c>
      <c r="K172" s="301">
        <v>18</v>
      </c>
      <c r="L172" s="301">
        <v>18</v>
      </c>
      <c r="M172" s="301">
        <v>16</v>
      </c>
      <c r="N172" s="301">
        <v>16</v>
      </c>
      <c r="O172" s="301">
        <v>15</v>
      </c>
      <c r="P172" s="301">
        <v>16</v>
      </c>
      <c r="Q172" s="300">
        <v>650</v>
      </c>
      <c r="R172" s="301">
        <v>6</v>
      </c>
      <c r="S172" s="301">
        <v>6</v>
      </c>
      <c r="T172" s="301">
        <v>5</v>
      </c>
      <c r="U172" s="301">
        <v>4</v>
      </c>
      <c r="V172" s="301">
        <v>2</v>
      </c>
      <c r="W172" s="301">
        <v>5</v>
      </c>
      <c r="X172" s="301"/>
      <c r="Y172" s="301"/>
      <c r="Z172" s="301">
        <v>4</v>
      </c>
      <c r="AA172" s="301">
        <v>2</v>
      </c>
      <c r="AG172" s="317"/>
      <c r="AH172" s="286"/>
      <c r="CK172" s="282"/>
      <c r="CP172" s="286"/>
    </row>
    <row r="173" spans="9:94">
      <c r="I173" s="301">
        <v>2</v>
      </c>
      <c r="J173" s="301">
        <v>4</v>
      </c>
      <c r="K173" s="301">
        <v>16</v>
      </c>
      <c r="L173" s="301">
        <v>19</v>
      </c>
      <c r="M173" s="301">
        <v>16</v>
      </c>
      <c r="N173" s="301">
        <v>15</v>
      </c>
      <c r="O173" s="301">
        <v>15</v>
      </c>
      <c r="P173" s="301">
        <v>17</v>
      </c>
      <c r="Q173" s="300">
        <v>651</v>
      </c>
      <c r="R173" s="301">
        <v>4</v>
      </c>
      <c r="S173" s="301">
        <v>4</v>
      </c>
      <c r="T173" s="301">
        <v>5</v>
      </c>
      <c r="U173" s="301">
        <v>5</v>
      </c>
      <c r="V173" s="301">
        <v>6</v>
      </c>
      <c r="W173" s="301">
        <v>6</v>
      </c>
      <c r="X173" s="301"/>
      <c r="Y173" s="301"/>
      <c r="Z173" s="301">
        <v>4</v>
      </c>
      <c r="AA173" s="301">
        <v>2</v>
      </c>
      <c r="AG173" s="318"/>
      <c r="AH173" s="286"/>
      <c r="CK173" s="282"/>
      <c r="CP173" s="286"/>
    </row>
    <row r="174" spans="9:94">
      <c r="I174" s="301">
        <v>6</v>
      </c>
      <c r="J174" s="301">
        <v>6</v>
      </c>
      <c r="K174" s="301">
        <v>17</v>
      </c>
      <c r="L174" s="301">
        <v>18</v>
      </c>
      <c r="M174" s="301">
        <v>17</v>
      </c>
      <c r="N174" s="301">
        <v>16</v>
      </c>
      <c r="O174" s="301">
        <v>17</v>
      </c>
      <c r="P174" s="301">
        <v>17</v>
      </c>
      <c r="Q174" s="300">
        <v>652</v>
      </c>
      <c r="R174" s="301">
        <v>5</v>
      </c>
      <c r="S174" s="301">
        <v>5</v>
      </c>
      <c r="T174" s="301">
        <v>6</v>
      </c>
      <c r="U174" s="301">
        <v>5</v>
      </c>
      <c r="V174" s="120">
        <v>5</v>
      </c>
      <c r="W174" s="301">
        <v>6</v>
      </c>
      <c r="X174" s="301"/>
      <c r="Y174" s="301"/>
      <c r="Z174" s="301">
        <v>6</v>
      </c>
      <c r="AA174" s="301">
        <v>0</v>
      </c>
      <c r="AG174" s="317"/>
      <c r="AH174" s="286"/>
      <c r="CK174" s="282"/>
      <c r="CP174" s="286"/>
    </row>
    <row r="175" spans="9:94">
      <c r="I175" s="301">
        <v>5</v>
      </c>
      <c r="J175" s="301">
        <v>5</v>
      </c>
      <c r="K175" s="301">
        <v>18</v>
      </c>
      <c r="L175" s="301">
        <v>17</v>
      </c>
      <c r="M175" s="301">
        <v>16</v>
      </c>
      <c r="N175" s="301">
        <v>14</v>
      </c>
      <c r="O175" s="301">
        <v>16</v>
      </c>
      <c r="P175" s="301">
        <v>19</v>
      </c>
      <c r="Q175" s="300">
        <v>653</v>
      </c>
      <c r="R175" s="301">
        <v>6</v>
      </c>
      <c r="S175" s="301">
        <v>5</v>
      </c>
      <c r="T175" s="301">
        <v>6</v>
      </c>
      <c r="U175" s="301">
        <v>6</v>
      </c>
      <c r="V175" s="301">
        <v>5</v>
      </c>
      <c r="W175" s="301">
        <v>6</v>
      </c>
      <c r="X175" s="301"/>
      <c r="Y175" s="301"/>
      <c r="Z175" s="301">
        <v>6</v>
      </c>
      <c r="AA175" s="301">
        <v>0</v>
      </c>
      <c r="AG175" s="317"/>
      <c r="AH175" s="286"/>
      <c r="CK175" s="282"/>
      <c r="CP175" s="286"/>
    </row>
    <row r="176" spans="9:94">
      <c r="I176" s="301">
        <v>1</v>
      </c>
      <c r="J176" s="301">
        <v>3</v>
      </c>
      <c r="K176" s="301">
        <v>16</v>
      </c>
      <c r="L176" s="301">
        <v>18</v>
      </c>
      <c r="M176" s="301">
        <v>15</v>
      </c>
      <c r="N176" s="301">
        <v>14</v>
      </c>
      <c r="O176" s="301">
        <v>12</v>
      </c>
      <c r="P176" s="301">
        <v>18</v>
      </c>
      <c r="Q176" s="300">
        <v>654</v>
      </c>
      <c r="R176" s="301">
        <v>4</v>
      </c>
      <c r="S176" s="301">
        <v>4</v>
      </c>
      <c r="T176" s="301">
        <v>5</v>
      </c>
      <c r="U176" s="301">
        <v>3</v>
      </c>
      <c r="V176" s="301">
        <v>4</v>
      </c>
      <c r="W176" s="301">
        <v>5</v>
      </c>
      <c r="X176" s="301"/>
      <c r="Y176" s="301"/>
      <c r="Z176" s="301">
        <v>2</v>
      </c>
      <c r="AA176" s="301">
        <v>4</v>
      </c>
      <c r="AG176" s="317"/>
      <c r="AH176" s="286"/>
      <c r="CK176" s="282"/>
      <c r="CN176" s="286"/>
    </row>
    <row r="177" spans="9:92">
      <c r="I177" s="301">
        <v>3</v>
      </c>
      <c r="J177" s="301">
        <v>5</v>
      </c>
      <c r="K177" s="301">
        <v>17</v>
      </c>
      <c r="L177" s="301">
        <v>18</v>
      </c>
      <c r="M177" s="301">
        <v>15</v>
      </c>
      <c r="N177" s="301">
        <v>19</v>
      </c>
      <c r="O177" s="301">
        <v>15</v>
      </c>
      <c r="P177" s="301">
        <v>18</v>
      </c>
      <c r="Q177" s="300">
        <v>655</v>
      </c>
      <c r="R177" s="301">
        <v>5</v>
      </c>
      <c r="S177" s="301">
        <v>4</v>
      </c>
      <c r="T177" s="301">
        <v>5</v>
      </c>
      <c r="U177" s="301">
        <v>6</v>
      </c>
      <c r="V177" s="301">
        <v>5</v>
      </c>
      <c r="W177" s="301">
        <v>6</v>
      </c>
      <c r="X177" s="301"/>
      <c r="Y177" s="301"/>
      <c r="Z177" s="301">
        <v>5</v>
      </c>
      <c r="AA177" s="301">
        <v>1</v>
      </c>
      <c r="AG177" s="283"/>
      <c r="AH177" s="286"/>
      <c r="CK177" s="282"/>
      <c r="CN177" s="286"/>
    </row>
    <row r="178" spans="9:92">
      <c r="I178" s="301">
        <v>3</v>
      </c>
      <c r="J178" s="301">
        <v>4</v>
      </c>
      <c r="K178" s="301">
        <v>19</v>
      </c>
      <c r="L178" s="301">
        <v>17</v>
      </c>
      <c r="M178" s="301">
        <v>18</v>
      </c>
      <c r="N178" s="301">
        <v>16</v>
      </c>
      <c r="O178" s="301">
        <v>13</v>
      </c>
      <c r="P178" s="301">
        <v>14</v>
      </c>
      <c r="Q178" s="300">
        <v>656</v>
      </c>
      <c r="R178" s="301">
        <v>5</v>
      </c>
      <c r="S178" s="301">
        <v>5</v>
      </c>
      <c r="T178" s="301">
        <v>5</v>
      </c>
      <c r="U178" s="301">
        <v>4</v>
      </c>
      <c r="V178" s="301">
        <v>4</v>
      </c>
      <c r="W178" s="301">
        <v>4</v>
      </c>
      <c r="X178" s="301"/>
      <c r="Y178" s="301"/>
      <c r="Z178" s="301">
        <v>3</v>
      </c>
      <c r="AA178" s="301">
        <v>3</v>
      </c>
      <c r="AG178" s="309"/>
      <c r="AH178" s="286"/>
      <c r="CK178" s="282"/>
      <c r="CN178" s="286"/>
    </row>
    <row r="179" spans="9:92">
      <c r="I179" s="301">
        <v>3</v>
      </c>
      <c r="J179" s="301">
        <v>2</v>
      </c>
      <c r="K179" s="301">
        <v>10</v>
      </c>
      <c r="L179" s="301">
        <v>17</v>
      </c>
      <c r="M179" s="301">
        <v>14</v>
      </c>
      <c r="N179" s="301">
        <v>21</v>
      </c>
      <c r="O179" s="301">
        <v>14</v>
      </c>
      <c r="P179" s="301">
        <v>19</v>
      </c>
      <c r="Q179" s="300">
        <v>657</v>
      </c>
      <c r="R179" s="301">
        <v>3</v>
      </c>
      <c r="S179" s="301">
        <v>4</v>
      </c>
      <c r="T179" s="301">
        <v>5</v>
      </c>
      <c r="U179" s="301">
        <v>6</v>
      </c>
      <c r="V179" s="120">
        <v>4</v>
      </c>
      <c r="W179" s="301">
        <v>5</v>
      </c>
      <c r="X179" s="301"/>
      <c r="Y179" s="301"/>
      <c r="Z179" s="301">
        <v>3</v>
      </c>
      <c r="AA179" s="301">
        <v>3</v>
      </c>
      <c r="AG179" s="317"/>
      <c r="AH179" s="286"/>
      <c r="CK179" s="282"/>
      <c r="CN179" s="286"/>
    </row>
    <row r="180" spans="9:92">
      <c r="I180" s="301">
        <v>2</v>
      </c>
      <c r="J180" s="301">
        <v>2</v>
      </c>
      <c r="K180" s="301">
        <v>14</v>
      </c>
      <c r="L180" s="301">
        <v>14</v>
      </c>
      <c r="M180" s="301">
        <v>17</v>
      </c>
      <c r="N180" s="301">
        <v>16</v>
      </c>
      <c r="O180" s="301">
        <v>14</v>
      </c>
      <c r="P180" s="301">
        <v>11</v>
      </c>
      <c r="Q180" s="300">
        <v>658</v>
      </c>
      <c r="R180" s="301">
        <v>5</v>
      </c>
      <c r="S180" s="301">
        <v>6</v>
      </c>
      <c r="T180" s="301">
        <v>5</v>
      </c>
      <c r="U180" s="301">
        <v>5</v>
      </c>
      <c r="V180" s="301">
        <v>4</v>
      </c>
      <c r="W180" s="301">
        <v>4</v>
      </c>
      <c r="X180" s="301"/>
      <c r="Y180" s="301"/>
      <c r="Z180" s="301">
        <v>4</v>
      </c>
      <c r="AA180" s="301">
        <v>2</v>
      </c>
      <c r="AG180" s="317"/>
      <c r="AH180" s="286"/>
      <c r="CK180" s="282"/>
      <c r="CN180" s="286"/>
    </row>
    <row r="181" spans="9:92">
      <c r="I181" s="301">
        <v>3</v>
      </c>
      <c r="J181" s="301">
        <v>4</v>
      </c>
      <c r="K181" s="301">
        <v>15</v>
      </c>
      <c r="L181" s="301">
        <v>19</v>
      </c>
      <c r="M181" s="301">
        <v>14</v>
      </c>
      <c r="N181" s="301">
        <v>16</v>
      </c>
      <c r="O181" s="301">
        <v>16</v>
      </c>
      <c r="P181" s="301">
        <v>16</v>
      </c>
      <c r="Q181" s="300">
        <v>659</v>
      </c>
      <c r="R181" s="301">
        <v>3</v>
      </c>
      <c r="S181" s="301">
        <v>6</v>
      </c>
      <c r="T181" s="301">
        <v>6</v>
      </c>
      <c r="U181" s="301">
        <v>6</v>
      </c>
      <c r="V181" s="301">
        <v>4</v>
      </c>
      <c r="W181" s="301">
        <v>6</v>
      </c>
      <c r="X181" s="301"/>
      <c r="Y181" s="301"/>
      <c r="Z181" s="301">
        <v>4</v>
      </c>
      <c r="AA181" s="301">
        <v>2</v>
      </c>
      <c r="AG181" s="318"/>
      <c r="AH181" s="286"/>
      <c r="CK181" s="282"/>
      <c r="CN181" s="286"/>
    </row>
    <row r="182" spans="9:92">
      <c r="I182" s="301">
        <v>5</v>
      </c>
      <c r="J182" s="301">
        <v>6</v>
      </c>
      <c r="K182" s="301">
        <v>16</v>
      </c>
      <c r="L182" s="301">
        <v>17</v>
      </c>
      <c r="M182" s="301">
        <v>18</v>
      </c>
      <c r="N182" s="301">
        <v>19</v>
      </c>
      <c r="O182" s="301">
        <v>21</v>
      </c>
      <c r="P182" s="301">
        <v>17</v>
      </c>
      <c r="Q182" s="300">
        <v>660</v>
      </c>
      <c r="R182" s="301">
        <v>6</v>
      </c>
      <c r="S182" s="301">
        <v>5</v>
      </c>
      <c r="T182" s="301">
        <v>5</v>
      </c>
      <c r="U182" s="301">
        <v>6</v>
      </c>
      <c r="V182" s="301">
        <v>6</v>
      </c>
      <c r="W182" s="301">
        <v>4</v>
      </c>
      <c r="X182" s="301"/>
      <c r="Y182" s="301"/>
      <c r="Z182" s="301">
        <v>5</v>
      </c>
      <c r="AA182" s="301">
        <v>1</v>
      </c>
      <c r="AG182" s="317"/>
      <c r="AH182" s="286"/>
      <c r="CK182" s="282"/>
      <c r="CN182" s="286"/>
    </row>
    <row r="183" spans="9:92">
      <c r="I183" s="301">
        <v>3</v>
      </c>
      <c r="J183" s="301">
        <v>5</v>
      </c>
      <c r="K183" s="301">
        <v>15</v>
      </c>
      <c r="L183" s="301">
        <v>19</v>
      </c>
      <c r="M183" s="301">
        <v>17</v>
      </c>
      <c r="N183" s="301">
        <v>17</v>
      </c>
      <c r="O183" s="301">
        <v>16</v>
      </c>
      <c r="P183" s="301">
        <v>14</v>
      </c>
      <c r="Q183" s="300">
        <v>661</v>
      </c>
      <c r="R183" s="301">
        <v>5</v>
      </c>
      <c r="S183" s="301">
        <v>5</v>
      </c>
      <c r="T183" s="301">
        <v>4</v>
      </c>
      <c r="U183" s="301">
        <v>5</v>
      </c>
      <c r="V183" s="301">
        <v>5</v>
      </c>
      <c r="W183" s="301">
        <v>4</v>
      </c>
      <c r="X183" s="301"/>
      <c r="Y183" s="301"/>
      <c r="Z183" s="301">
        <v>4</v>
      </c>
      <c r="AA183" s="301">
        <v>2</v>
      </c>
      <c r="AG183" s="317"/>
      <c r="AH183" s="286"/>
      <c r="CK183" s="282"/>
      <c r="CN183" s="286"/>
    </row>
    <row r="184" spans="9:92">
      <c r="I184" s="301">
        <v>5</v>
      </c>
      <c r="J184" s="301">
        <v>5</v>
      </c>
      <c r="K184" s="301">
        <v>18</v>
      </c>
      <c r="L184" s="301">
        <v>19</v>
      </c>
      <c r="M184" s="301">
        <v>18</v>
      </c>
      <c r="N184" s="301">
        <v>15</v>
      </c>
      <c r="O184" s="301">
        <v>19</v>
      </c>
      <c r="P184" s="301">
        <v>16</v>
      </c>
      <c r="Q184" s="300">
        <v>662</v>
      </c>
      <c r="R184" s="301">
        <v>5</v>
      </c>
      <c r="S184" s="301">
        <v>6</v>
      </c>
      <c r="T184" s="301">
        <v>5</v>
      </c>
      <c r="U184" s="301">
        <v>6</v>
      </c>
      <c r="V184" s="301">
        <v>6</v>
      </c>
      <c r="W184" s="301">
        <v>5</v>
      </c>
      <c r="X184" s="301"/>
      <c r="Y184" s="301"/>
      <c r="Z184" s="301">
        <v>6</v>
      </c>
      <c r="AA184" s="301">
        <v>0</v>
      </c>
      <c r="AG184" s="317"/>
      <c r="AH184" s="286"/>
      <c r="CK184" s="282"/>
      <c r="CN184" s="286"/>
    </row>
    <row r="185" spans="9:92">
      <c r="I185" s="301">
        <v>5</v>
      </c>
      <c r="J185" s="301">
        <v>5</v>
      </c>
      <c r="K185" s="301">
        <v>19</v>
      </c>
      <c r="L185" s="301">
        <v>19</v>
      </c>
      <c r="M185" s="301">
        <v>17</v>
      </c>
      <c r="N185" s="301">
        <v>16</v>
      </c>
      <c r="O185" s="301">
        <v>15</v>
      </c>
      <c r="P185" s="301">
        <v>16</v>
      </c>
      <c r="Q185" s="300">
        <v>663</v>
      </c>
      <c r="R185" s="301">
        <v>5</v>
      </c>
      <c r="S185" s="301">
        <v>5</v>
      </c>
      <c r="T185" s="301">
        <v>6</v>
      </c>
      <c r="U185" s="301">
        <v>6</v>
      </c>
      <c r="V185" s="301">
        <v>5</v>
      </c>
      <c r="W185" s="301">
        <v>5</v>
      </c>
      <c r="X185" s="301"/>
      <c r="Y185" s="301"/>
      <c r="Z185" s="301">
        <v>6</v>
      </c>
      <c r="AA185" s="301">
        <v>0</v>
      </c>
      <c r="AG185" s="309"/>
      <c r="AH185" s="286"/>
      <c r="CK185" s="282"/>
      <c r="CN185" s="286"/>
    </row>
    <row r="186" spans="9:92">
      <c r="I186" s="301">
        <v>3</v>
      </c>
      <c r="J186" s="301">
        <v>4</v>
      </c>
      <c r="K186" s="301">
        <v>10</v>
      </c>
      <c r="L186" s="301">
        <v>17</v>
      </c>
      <c r="M186" s="301">
        <v>20</v>
      </c>
      <c r="N186" s="301">
        <v>14</v>
      </c>
      <c r="O186" s="301">
        <v>18</v>
      </c>
      <c r="P186" s="301">
        <v>19</v>
      </c>
      <c r="Q186" s="300">
        <v>664</v>
      </c>
      <c r="R186" s="120">
        <v>5</v>
      </c>
      <c r="S186" s="120">
        <v>4</v>
      </c>
      <c r="T186" s="301">
        <v>6</v>
      </c>
      <c r="U186" s="301">
        <v>5</v>
      </c>
      <c r="V186" s="301">
        <v>5</v>
      </c>
      <c r="W186" s="301">
        <v>5</v>
      </c>
      <c r="X186" s="301"/>
      <c r="Y186" s="301"/>
      <c r="Z186" s="301">
        <v>5</v>
      </c>
      <c r="AA186" s="301">
        <v>1</v>
      </c>
      <c r="AG186" s="309"/>
      <c r="AH186" s="286"/>
      <c r="CK186" s="282"/>
      <c r="CN186" s="286"/>
    </row>
    <row r="187" spans="9:92">
      <c r="I187" s="301">
        <v>6</v>
      </c>
      <c r="J187" s="301">
        <v>6</v>
      </c>
      <c r="K187" s="301">
        <v>19</v>
      </c>
      <c r="L187" s="301">
        <v>18</v>
      </c>
      <c r="M187" s="301">
        <v>16</v>
      </c>
      <c r="N187" s="301">
        <v>16</v>
      </c>
      <c r="O187" s="301">
        <v>16</v>
      </c>
      <c r="P187" s="301">
        <v>19</v>
      </c>
      <c r="Q187" s="300">
        <v>665</v>
      </c>
      <c r="R187" s="301">
        <v>5</v>
      </c>
      <c r="S187" s="301">
        <v>5</v>
      </c>
      <c r="T187" s="301">
        <v>5</v>
      </c>
      <c r="U187" s="301">
        <v>6</v>
      </c>
      <c r="V187" s="301">
        <v>5</v>
      </c>
      <c r="W187" s="301">
        <v>6</v>
      </c>
      <c r="X187" s="301"/>
      <c r="Y187" s="301"/>
      <c r="Z187" s="301">
        <v>6</v>
      </c>
      <c r="AA187" s="301">
        <v>0</v>
      </c>
      <c r="AH187" s="286"/>
      <c r="CK187" s="282"/>
      <c r="CN187" s="286"/>
    </row>
    <row r="188" spans="9:92">
      <c r="I188" s="301">
        <v>3</v>
      </c>
      <c r="J188" s="301">
        <v>4</v>
      </c>
      <c r="K188" s="301">
        <v>15</v>
      </c>
      <c r="L188" s="301">
        <v>17</v>
      </c>
      <c r="M188" s="301">
        <v>18</v>
      </c>
      <c r="N188" s="301">
        <v>15</v>
      </c>
      <c r="O188" s="301">
        <v>16</v>
      </c>
      <c r="P188" s="301">
        <v>16</v>
      </c>
      <c r="Q188" s="300">
        <v>666</v>
      </c>
      <c r="R188" s="301">
        <v>4</v>
      </c>
      <c r="S188" s="301">
        <v>5</v>
      </c>
      <c r="T188" s="301">
        <v>5</v>
      </c>
      <c r="U188" s="301">
        <v>4</v>
      </c>
      <c r="V188" s="301">
        <v>6</v>
      </c>
      <c r="W188" s="301">
        <v>3</v>
      </c>
      <c r="X188" s="301"/>
      <c r="Y188" s="301"/>
      <c r="Z188" s="301">
        <v>3</v>
      </c>
      <c r="AA188" s="301">
        <v>3</v>
      </c>
      <c r="AH188" s="286"/>
      <c r="CK188" s="282"/>
      <c r="CN188" s="286"/>
    </row>
    <row r="189" spans="9:92">
      <c r="I189" s="301">
        <v>4</v>
      </c>
      <c r="J189" s="301">
        <v>6</v>
      </c>
      <c r="K189" s="301">
        <v>20</v>
      </c>
      <c r="L189" s="301">
        <v>17</v>
      </c>
      <c r="M189" s="301">
        <v>18</v>
      </c>
      <c r="N189" s="301">
        <v>16</v>
      </c>
      <c r="O189" s="301">
        <v>17</v>
      </c>
      <c r="P189" s="301">
        <v>18</v>
      </c>
      <c r="Q189" s="300">
        <v>667</v>
      </c>
      <c r="R189" s="301">
        <v>5</v>
      </c>
      <c r="S189" s="301">
        <v>6</v>
      </c>
      <c r="T189" s="301">
        <v>4</v>
      </c>
      <c r="U189" s="301">
        <v>5</v>
      </c>
      <c r="V189" s="301">
        <v>6</v>
      </c>
      <c r="W189" s="301">
        <v>4</v>
      </c>
      <c r="X189" s="301"/>
      <c r="Y189" s="301"/>
      <c r="Z189" s="301">
        <v>4</v>
      </c>
      <c r="AA189" s="301">
        <v>2</v>
      </c>
      <c r="AH189" s="286"/>
      <c r="CK189" s="282"/>
      <c r="CN189" s="286"/>
    </row>
    <row r="190" spans="9:92">
      <c r="I190" s="301">
        <v>5</v>
      </c>
      <c r="J190" s="301">
        <v>6</v>
      </c>
      <c r="K190" s="301">
        <v>19</v>
      </c>
      <c r="L190" s="301">
        <v>17</v>
      </c>
      <c r="M190" s="301">
        <v>20</v>
      </c>
      <c r="N190" s="301">
        <v>17</v>
      </c>
      <c r="O190" s="301">
        <v>18</v>
      </c>
      <c r="P190" s="301">
        <v>17</v>
      </c>
      <c r="Q190" s="300">
        <v>668</v>
      </c>
      <c r="R190" s="301">
        <v>6</v>
      </c>
      <c r="S190" s="301">
        <v>5</v>
      </c>
      <c r="T190" s="301">
        <v>5</v>
      </c>
      <c r="U190" s="301">
        <v>6</v>
      </c>
      <c r="V190" s="301">
        <v>4</v>
      </c>
      <c r="W190" s="301">
        <v>5</v>
      </c>
      <c r="X190" s="301"/>
      <c r="Y190" s="301"/>
      <c r="Z190" s="301">
        <v>5</v>
      </c>
      <c r="AA190" s="301">
        <v>1</v>
      </c>
      <c r="AH190" s="286"/>
      <c r="CK190" s="282"/>
      <c r="CN190" s="286"/>
    </row>
    <row r="191" spans="9:92">
      <c r="I191" s="301">
        <v>4</v>
      </c>
      <c r="J191" s="301">
        <v>5</v>
      </c>
      <c r="K191" s="301">
        <v>18</v>
      </c>
      <c r="L191" s="301">
        <v>17</v>
      </c>
      <c r="M191" s="301">
        <v>16</v>
      </c>
      <c r="N191" s="301">
        <v>15</v>
      </c>
      <c r="O191" s="301">
        <v>21</v>
      </c>
      <c r="P191" s="301">
        <v>16</v>
      </c>
      <c r="Q191" s="300">
        <v>669</v>
      </c>
      <c r="R191" s="301">
        <v>6</v>
      </c>
      <c r="S191" s="301">
        <v>5</v>
      </c>
      <c r="T191" s="301">
        <v>5</v>
      </c>
      <c r="U191" s="301">
        <v>4</v>
      </c>
      <c r="V191" s="301">
        <v>6</v>
      </c>
      <c r="W191" s="301">
        <v>4</v>
      </c>
      <c r="X191" s="301"/>
      <c r="Y191" s="301"/>
      <c r="Z191" s="301">
        <v>4</v>
      </c>
      <c r="AA191" s="301">
        <v>2</v>
      </c>
      <c r="AH191" s="286"/>
      <c r="CK191" s="282"/>
      <c r="CN191" s="286"/>
    </row>
    <row r="192" spans="9:92">
      <c r="I192" s="301">
        <v>2</v>
      </c>
      <c r="J192" s="301">
        <v>5</v>
      </c>
      <c r="K192" s="301">
        <v>16</v>
      </c>
      <c r="L192" s="301">
        <v>17</v>
      </c>
      <c r="M192" s="301">
        <v>16</v>
      </c>
      <c r="N192" s="301">
        <v>17</v>
      </c>
      <c r="O192" s="301">
        <v>14</v>
      </c>
      <c r="P192" s="301">
        <v>16</v>
      </c>
      <c r="Q192" s="300">
        <v>670</v>
      </c>
      <c r="R192" s="301">
        <v>4</v>
      </c>
      <c r="S192" s="301">
        <v>5</v>
      </c>
      <c r="T192" s="301">
        <v>5</v>
      </c>
      <c r="U192" s="301">
        <v>4</v>
      </c>
      <c r="V192" s="301">
        <v>3</v>
      </c>
      <c r="W192" s="301">
        <v>3</v>
      </c>
      <c r="X192" s="301"/>
      <c r="Y192" s="301"/>
      <c r="Z192" s="301">
        <v>2</v>
      </c>
      <c r="AA192" s="301">
        <v>4</v>
      </c>
      <c r="AH192" s="286"/>
      <c r="CK192" s="282"/>
      <c r="CN192" s="286"/>
    </row>
    <row r="193" spans="9:92">
      <c r="I193" s="479">
        <v>3</v>
      </c>
      <c r="J193" s="301">
        <v>5</v>
      </c>
      <c r="K193" s="301">
        <v>17</v>
      </c>
      <c r="L193" s="301">
        <v>19</v>
      </c>
      <c r="M193" s="301">
        <v>15</v>
      </c>
      <c r="N193" s="301">
        <v>17</v>
      </c>
      <c r="O193" s="301">
        <v>16</v>
      </c>
      <c r="P193" s="301">
        <v>16</v>
      </c>
      <c r="Q193" s="300">
        <v>671</v>
      </c>
      <c r="R193" s="301">
        <v>5</v>
      </c>
      <c r="S193" s="301">
        <v>5</v>
      </c>
      <c r="T193" s="301">
        <v>5</v>
      </c>
      <c r="U193" s="301">
        <v>5</v>
      </c>
      <c r="V193" s="301">
        <v>4</v>
      </c>
      <c r="W193" s="301">
        <v>2</v>
      </c>
      <c r="X193" s="301"/>
      <c r="Y193" s="301"/>
      <c r="Z193" s="301">
        <v>4</v>
      </c>
      <c r="AA193" s="301">
        <v>2</v>
      </c>
      <c r="AH193" s="286"/>
      <c r="CK193" s="282"/>
      <c r="CN193" s="286"/>
    </row>
    <row r="194" spans="9:92">
      <c r="I194" s="301">
        <v>2</v>
      </c>
      <c r="J194" s="301">
        <v>3</v>
      </c>
      <c r="K194" s="301">
        <v>18</v>
      </c>
      <c r="L194" s="301">
        <v>17</v>
      </c>
      <c r="M194" s="301">
        <v>15</v>
      </c>
      <c r="N194" s="301">
        <v>16</v>
      </c>
      <c r="O194" s="301">
        <v>15</v>
      </c>
      <c r="P194" s="301">
        <v>15</v>
      </c>
      <c r="Q194" s="300">
        <v>672</v>
      </c>
      <c r="R194" s="301">
        <v>5</v>
      </c>
      <c r="S194" s="301">
        <v>6</v>
      </c>
      <c r="T194" s="301">
        <v>5</v>
      </c>
      <c r="U194" s="301">
        <v>4</v>
      </c>
      <c r="V194" s="301">
        <v>4</v>
      </c>
      <c r="W194" s="301">
        <v>6</v>
      </c>
      <c r="X194" s="301"/>
      <c r="Y194" s="301"/>
      <c r="Z194" s="301">
        <v>4</v>
      </c>
      <c r="AA194" s="301">
        <v>2</v>
      </c>
      <c r="AH194" s="286"/>
      <c r="CK194" s="282"/>
      <c r="CN194" s="286"/>
    </row>
    <row r="195" spans="9:92">
      <c r="I195" s="301">
        <v>2</v>
      </c>
      <c r="J195" s="301">
        <v>4</v>
      </c>
      <c r="K195" s="301">
        <v>16</v>
      </c>
      <c r="L195" s="301">
        <v>17</v>
      </c>
      <c r="M195" s="301">
        <v>18</v>
      </c>
      <c r="N195" s="301">
        <v>15</v>
      </c>
      <c r="O195" s="301">
        <v>19</v>
      </c>
      <c r="P195" s="301">
        <v>15</v>
      </c>
      <c r="Q195" s="300">
        <v>673</v>
      </c>
      <c r="R195" s="301">
        <v>4</v>
      </c>
      <c r="S195" s="301">
        <v>6</v>
      </c>
      <c r="T195" s="301">
        <v>6</v>
      </c>
      <c r="U195" s="301">
        <v>5</v>
      </c>
      <c r="V195" s="301">
        <v>4</v>
      </c>
      <c r="W195" s="301">
        <v>4</v>
      </c>
      <c r="X195" s="301"/>
      <c r="Y195" s="301"/>
      <c r="Z195" s="301">
        <v>3</v>
      </c>
      <c r="AA195" s="301">
        <v>3</v>
      </c>
      <c r="AH195" s="286"/>
      <c r="CK195" s="282"/>
      <c r="CN195" s="286"/>
    </row>
    <row r="196" spans="9:92">
      <c r="I196" s="301">
        <v>2</v>
      </c>
      <c r="J196" s="301">
        <v>6</v>
      </c>
      <c r="K196" s="301">
        <v>18</v>
      </c>
      <c r="L196" s="301">
        <v>18</v>
      </c>
      <c r="M196" s="301">
        <v>17</v>
      </c>
      <c r="N196" s="301">
        <v>16</v>
      </c>
      <c r="O196" s="301">
        <v>16</v>
      </c>
      <c r="P196" s="301">
        <v>17</v>
      </c>
      <c r="Q196" s="300">
        <v>674</v>
      </c>
      <c r="R196" s="301">
        <v>4</v>
      </c>
      <c r="S196" s="301">
        <v>6</v>
      </c>
      <c r="T196" s="301">
        <v>5</v>
      </c>
      <c r="U196" s="301">
        <v>3</v>
      </c>
      <c r="V196" s="301">
        <v>4</v>
      </c>
      <c r="W196" s="301">
        <v>4</v>
      </c>
      <c r="X196" s="301"/>
      <c r="Y196" s="301"/>
      <c r="Z196" s="301">
        <v>2</v>
      </c>
      <c r="AA196" s="301">
        <v>4</v>
      </c>
      <c r="AH196" s="286"/>
      <c r="CK196" s="282"/>
      <c r="CN196" s="286"/>
    </row>
    <row r="197" spans="9:92">
      <c r="I197" s="301">
        <v>5</v>
      </c>
      <c r="J197" s="301">
        <v>5</v>
      </c>
      <c r="K197" s="301">
        <v>20</v>
      </c>
      <c r="L197" s="301">
        <v>20</v>
      </c>
      <c r="M197" s="301">
        <v>17</v>
      </c>
      <c r="N197" s="301">
        <v>20</v>
      </c>
      <c r="O197" s="301">
        <v>15</v>
      </c>
      <c r="P197" s="301">
        <v>17</v>
      </c>
      <c r="Q197" s="300">
        <v>675</v>
      </c>
      <c r="R197" s="301">
        <v>6</v>
      </c>
      <c r="S197" s="301">
        <v>6</v>
      </c>
      <c r="T197" s="301">
        <v>5</v>
      </c>
      <c r="U197" s="301">
        <v>6</v>
      </c>
      <c r="V197" s="301">
        <v>4</v>
      </c>
      <c r="W197" s="301">
        <v>6</v>
      </c>
      <c r="X197" s="301"/>
      <c r="Y197" s="301"/>
      <c r="Z197" s="301">
        <v>5</v>
      </c>
      <c r="AA197" s="301">
        <v>1</v>
      </c>
      <c r="AH197" s="286"/>
      <c r="CK197" s="282"/>
      <c r="CN197" s="286"/>
    </row>
    <row r="198" spans="9:92">
      <c r="I198" s="301">
        <v>6</v>
      </c>
      <c r="J198" s="301">
        <v>6</v>
      </c>
      <c r="K198" s="301">
        <v>20</v>
      </c>
      <c r="L198" s="301">
        <v>20</v>
      </c>
      <c r="M198" s="301">
        <v>19</v>
      </c>
      <c r="N198" s="301">
        <v>19</v>
      </c>
      <c r="O198" s="301">
        <v>18</v>
      </c>
      <c r="P198" s="301">
        <v>17</v>
      </c>
      <c r="Q198" s="300">
        <v>676</v>
      </c>
      <c r="R198" s="301">
        <v>6</v>
      </c>
      <c r="S198" s="301">
        <v>6</v>
      </c>
      <c r="T198" s="301">
        <v>5</v>
      </c>
      <c r="U198" s="301">
        <v>5</v>
      </c>
      <c r="V198" s="301">
        <v>5</v>
      </c>
      <c r="W198" s="301">
        <v>6</v>
      </c>
      <c r="X198" s="301"/>
      <c r="Y198" s="301"/>
      <c r="Z198" s="301">
        <v>6</v>
      </c>
      <c r="AA198" s="301">
        <v>0</v>
      </c>
      <c r="AH198" s="286"/>
      <c r="CK198" s="282"/>
      <c r="CN198" s="286"/>
    </row>
    <row r="199" spans="9:92">
      <c r="I199" s="301">
        <v>4</v>
      </c>
      <c r="J199" s="301">
        <v>4</v>
      </c>
      <c r="K199" s="301">
        <v>17</v>
      </c>
      <c r="L199" s="301">
        <v>19</v>
      </c>
      <c r="M199" s="301">
        <v>19</v>
      </c>
      <c r="N199" s="301">
        <v>17</v>
      </c>
      <c r="O199" s="301">
        <v>13</v>
      </c>
      <c r="P199" s="301">
        <v>14</v>
      </c>
      <c r="Q199" s="300">
        <v>677</v>
      </c>
      <c r="R199" s="301">
        <v>5</v>
      </c>
      <c r="S199" s="301">
        <v>5</v>
      </c>
      <c r="T199" s="301">
        <v>6</v>
      </c>
      <c r="U199" s="301">
        <v>5</v>
      </c>
      <c r="V199" s="301">
        <v>3</v>
      </c>
      <c r="W199" s="301">
        <v>4</v>
      </c>
      <c r="X199" s="301"/>
      <c r="Y199" s="301"/>
      <c r="Z199" s="301">
        <v>4</v>
      </c>
      <c r="AA199" s="301">
        <v>2</v>
      </c>
      <c r="AH199" s="286"/>
      <c r="CK199" s="282"/>
      <c r="CN199" s="286"/>
    </row>
    <row r="200" spans="9:92">
      <c r="I200" s="301">
        <v>5</v>
      </c>
      <c r="J200" s="301">
        <v>6</v>
      </c>
      <c r="K200" s="301">
        <v>18</v>
      </c>
      <c r="L200" s="301">
        <v>17</v>
      </c>
      <c r="M200" s="301">
        <v>19</v>
      </c>
      <c r="N200" s="301">
        <v>17</v>
      </c>
      <c r="O200" s="301">
        <v>16</v>
      </c>
      <c r="P200" s="301">
        <v>16</v>
      </c>
      <c r="Q200" s="300">
        <v>678</v>
      </c>
      <c r="R200" s="301">
        <v>6</v>
      </c>
      <c r="S200" s="301">
        <v>5</v>
      </c>
      <c r="T200" s="301">
        <v>5</v>
      </c>
      <c r="U200" s="301">
        <v>5</v>
      </c>
      <c r="V200" s="301">
        <v>5</v>
      </c>
      <c r="W200" s="301">
        <v>4</v>
      </c>
      <c r="X200" s="301"/>
      <c r="Y200" s="301"/>
      <c r="Z200" s="301">
        <v>5</v>
      </c>
      <c r="AA200" s="301">
        <v>1</v>
      </c>
      <c r="CK200" s="282"/>
      <c r="CN200" s="286"/>
    </row>
    <row r="201" spans="9:92">
      <c r="I201" s="301">
        <v>6</v>
      </c>
      <c r="J201" s="301">
        <v>6</v>
      </c>
      <c r="K201" s="301">
        <v>17</v>
      </c>
      <c r="L201" s="301">
        <v>17</v>
      </c>
      <c r="M201" s="301">
        <v>17</v>
      </c>
      <c r="N201" s="301">
        <v>19</v>
      </c>
      <c r="O201" s="301">
        <v>18</v>
      </c>
      <c r="P201" s="301">
        <v>19</v>
      </c>
      <c r="Q201" s="300">
        <v>679</v>
      </c>
      <c r="R201" s="301">
        <v>5</v>
      </c>
      <c r="S201" s="301">
        <v>6</v>
      </c>
      <c r="T201" s="301">
        <v>5</v>
      </c>
      <c r="U201" s="301">
        <v>6</v>
      </c>
      <c r="V201" s="301">
        <v>6</v>
      </c>
      <c r="W201" s="301">
        <v>5</v>
      </c>
      <c r="X201" s="301"/>
      <c r="Y201" s="301"/>
      <c r="Z201" s="301">
        <v>6</v>
      </c>
      <c r="AA201" s="301">
        <v>0</v>
      </c>
      <c r="CK201" s="282"/>
      <c r="CN201" s="286"/>
    </row>
    <row r="202" spans="9:92">
      <c r="I202" s="301">
        <v>5</v>
      </c>
      <c r="J202" s="301">
        <v>6</v>
      </c>
      <c r="K202" s="301">
        <v>18</v>
      </c>
      <c r="L202" s="301">
        <v>18</v>
      </c>
      <c r="M202" s="301">
        <v>19</v>
      </c>
      <c r="N202" s="301">
        <v>16</v>
      </c>
      <c r="O202" s="301">
        <v>20</v>
      </c>
      <c r="P202" s="301">
        <v>18</v>
      </c>
      <c r="Q202" s="300">
        <v>680</v>
      </c>
      <c r="R202" s="301">
        <v>6</v>
      </c>
      <c r="S202" s="301">
        <v>5</v>
      </c>
      <c r="T202" s="301">
        <v>5</v>
      </c>
      <c r="U202" s="301">
        <v>6</v>
      </c>
      <c r="V202" s="301">
        <v>6</v>
      </c>
      <c r="W202" s="301">
        <v>4</v>
      </c>
      <c r="X202" s="301"/>
      <c r="Y202" s="301"/>
      <c r="Z202" s="301">
        <v>5</v>
      </c>
      <c r="AA202" s="301">
        <v>1</v>
      </c>
      <c r="CK202" s="282"/>
      <c r="CN202" s="286"/>
    </row>
    <row r="203" spans="9:92">
      <c r="I203" s="301">
        <v>4</v>
      </c>
      <c r="J203" s="301">
        <v>4</v>
      </c>
      <c r="K203" s="301">
        <v>19</v>
      </c>
      <c r="L203" s="301">
        <v>19</v>
      </c>
      <c r="M203" s="301">
        <v>14</v>
      </c>
      <c r="N203" s="301">
        <v>16</v>
      </c>
      <c r="O203" s="301">
        <v>17</v>
      </c>
      <c r="P203" s="301">
        <v>14</v>
      </c>
      <c r="Q203" s="300">
        <v>681</v>
      </c>
      <c r="R203" s="301">
        <v>5</v>
      </c>
      <c r="S203" s="301">
        <v>5</v>
      </c>
      <c r="T203" s="301">
        <v>4</v>
      </c>
      <c r="U203" s="301">
        <v>6</v>
      </c>
      <c r="V203" s="301">
        <v>6</v>
      </c>
      <c r="W203" s="301">
        <v>4</v>
      </c>
      <c r="X203" s="301"/>
      <c r="Y203" s="301"/>
      <c r="Z203" s="301">
        <v>4</v>
      </c>
      <c r="AA203" s="301">
        <v>2</v>
      </c>
      <c r="AH203" s="317"/>
      <c r="AI203" s="317"/>
      <c r="CK203" s="282"/>
      <c r="CN203" s="286"/>
    </row>
    <row r="204" spans="9:92">
      <c r="I204" s="301">
        <v>3</v>
      </c>
      <c r="J204" s="301">
        <v>3</v>
      </c>
      <c r="K204" s="301">
        <v>20</v>
      </c>
      <c r="L204" s="301">
        <v>16</v>
      </c>
      <c r="M204" s="301">
        <v>14</v>
      </c>
      <c r="N204" s="301">
        <v>13</v>
      </c>
      <c r="O204" s="301">
        <v>15</v>
      </c>
      <c r="P204" s="301">
        <v>17</v>
      </c>
      <c r="Q204" s="300">
        <v>682</v>
      </c>
      <c r="R204" s="301">
        <v>6</v>
      </c>
      <c r="S204" s="301">
        <v>5</v>
      </c>
      <c r="T204" s="301">
        <v>4</v>
      </c>
      <c r="U204" s="301">
        <v>3</v>
      </c>
      <c r="V204" s="301">
        <v>4</v>
      </c>
      <c r="W204" s="301">
        <v>6</v>
      </c>
      <c r="X204" s="301"/>
      <c r="Y204" s="301"/>
      <c r="Z204" s="301">
        <v>3</v>
      </c>
      <c r="AA204" s="301">
        <v>3</v>
      </c>
      <c r="AH204" s="317"/>
      <c r="AI204" s="317"/>
      <c r="CK204" s="282"/>
      <c r="CN204" s="286"/>
    </row>
    <row r="205" spans="9:92">
      <c r="I205" s="301">
        <v>3</v>
      </c>
      <c r="J205" s="301">
        <v>5</v>
      </c>
      <c r="K205" s="301">
        <v>16</v>
      </c>
      <c r="L205" s="301">
        <v>18</v>
      </c>
      <c r="M205" s="301">
        <v>16</v>
      </c>
      <c r="N205" s="301">
        <v>14</v>
      </c>
      <c r="O205" s="301">
        <v>16</v>
      </c>
      <c r="P205" s="301">
        <v>16</v>
      </c>
      <c r="Q205" s="300">
        <v>683</v>
      </c>
      <c r="R205" s="301">
        <v>3</v>
      </c>
      <c r="S205" s="301">
        <v>6</v>
      </c>
      <c r="T205" s="301">
        <v>4</v>
      </c>
      <c r="U205" s="301">
        <v>5</v>
      </c>
      <c r="V205" s="301">
        <v>5</v>
      </c>
      <c r="W205" s="301">
        <v>5</v>
      </c>
      <c r="X205" s="301"/>
      <c r="Y205" s="301"/>
      <c r="Z205" s="301">
        <v>4</v>
      </c>
      <c r="AA205" s="301">
        <v>2</v>
      </c>
      <c r="AH205" s="318"/>
      <c r="AI205" s="318"/>
      <c r="CK205" s="282"/>
      <c r="CN205" s="286"/>
    </row>
    <row r="206" spans="9:92">
      <c r="I206" s="301">
        <v>3</v>
      </c>
      <c r="J206" s="301">
        <v>4</v>
      </c>
      <c r="K206" s="301">
        <v>18</v>
      </c>
      <c r="L206" s="301">
        <v>15</v>
      </c>
      <c r="M206" s="301">
        <v>18</v>
      </c>
      <c r="N206" s="301">
        <v>19</v>
      </c>
      <c r="O206" s="301">
        <v>15</v>
      </c>
      <c r="P206" s="301">
        <v>19</v>
      </c>
      <c r="Q206" s="300">
        <v>684</v>
      </c>
      <c r="R206" s="301">
        <v>4</v>
      </c>
      <c r="S206" s="301">
        <v>5</v>
      </c>
      <c r="T206" s="301">
        <v>6</v>
      </c>
      <c r="U206" s="301">
        <v>5</v>
      </c>
      <c r="V206" s="301">
        <v>4</v>
      </c>
      <c r="W206" s="301">
        <v>6</v>
      </c>
      <c r="X206" s="301"/>
      <c r="Y206" s="301"/>
      <c r="Z206" s="301">
        <v>4</v>
      </c>
      <c r="AA206" s="301">
        <v>2</v>
      </c>
      <c r="AH206" s="317"/>
      <c r="AI206" s="317"/>
      <c r="CK206" s="282"/>
      <c r="CN206" s="286"/>
    </row>
    <row r="207" spans="9:92">
      <c r="I207" s="301">
        <v>4</v>
      </c>
      <c r="J207" s="301">
        <v>5</v>
      </c>
      <c r="K207" s="301">
        <v>16</v>
      </c>
      <c r="L207" s="301">
        <v>17</v>
      </c>
      <c r="M207" s="301">
        <v>18</v>
      </c>
      <c r="N207" s="301">
        <v>16</v>
      </c>
      <c r="O207" s="301">
        <v>15</v>
      </c>
      <c r="P207" s="301">
        <v>17</v>
      </c>
      <c r="Q207" s="300">
        <v>685</v>
      </c>
      <c r="R207" s="301">
        <v>3</v>
      </c>
      <c r="S207" s="301">
        <v>5</v>
      </c>
      <c r="T207" s="301">
        <v>5</v>
      </c>
      <c r="U207" s="301">
        <v>5</v>
      </c>
      <c r="V207" s="301">
        <v>5</v>
      </c>
      <c r="W207" s="301">
        <v>6</v>
      </c>
      <c r="X207" s="301"/>
      <c r="Y207" s="301"/>
      <c r="Z207" s="301">
        <v>5</v>
      </c>
      <c r="AA207" s="301">
        <v>1</v>
      </c>
      <c r="AH207" s="317"/>
      <c r="AI207" s="317"/>
      <c r="CK207" s="282"/>
      <c r="CN207" s="286"/>
    </row>
    <row r="208" spans="9:92">
      <c r="I208" s="301">
        <v>4</v>
      </c>
      <c r="J208" s="301">
        <v>5</v>
      </c>
      <c r="K208" s="301">
        <v>16</v>
      </c>
      <c r="L208" s="301">
        <v>18</v>
      </c>
      <c r="M208" s="301">
        <v>18</v>
      </c>
      <c r="N208" s="301">
        <v>19</v>
      </c>
      <c r="O208" s="301">
        <v>14</v>
      </c>
      <c r="P208" s="301">
        <v>18</v>
      </c>
      <c r="Q208" s="300">
        <v>686</v>
      </c>
      <c r="R208" s="301">
        <v>4</v>
      </c>
      <c r="S208" s="301">
        <v>5</v>
      </c>
      <c r="T208" s="301">
        <v>6</v>
      </c>
      <c r="U208" s="301">
        <v>6</v>
      </c>
      <c r="V208" s="301">
        <v>3</v>
      </c>
      <c r="W208" s="301">
        <v>6</v>
      </c>
      <c r="X208" s="301"/>
      <c r="Y208" s="301"/>
      <c r="Z208" s="301">
        <v>4</v>
      </c>
      <c r="AA208" s="301">
        <v>2</v>
      </c>
      <c r="AH208" s="317"/>
      <c r="AI208" s="317"/>
      <c r="CK208" s="282"/>
      <c r="CN208" s="286"/>
    </row>
    <row r="209" spans="9:92">
      <c r="I209" s="301">
        <v>4</v>
      </c>
      <c r="J209" s="301">
        <v>5</v>
      </c>
      <c r="K209" s="301">
        <v>16</v>
      </c>
      <c r="L209" s="301">
        <v>19</v>
      </c>
      <c r="M209" s="301">
        <v>20</v>
      </c>
      <c r="N209" s="301">
        <v>19</v>
      </c>
      <c r="O209" s="301">
        <v>17</v>
      </c>
      <c r="P209" s="301">
        <v>15</v>
      </c>
      <c r="Q209" s="300">
        <v>687</v>
      </c>
      <c r="R209" s="301">
        <v>2</v>
      </c>
      <c r="S209" s="301">
        <v>5</v>
      </c>
      <c r="T209" s="301">
        <v>6</v>
      </c>
      <c r="U209" s="301">
        <v>5</v>
      </c>
      <c r="V209" s="301">
        <v>6</v>
      </c>
      <c r="W209" s="301">
        <v>3</v>
      </c>
      <c r="X209" s="301"/>
      <c r="Y209" s="301"/>
      <c r="Z209" s="301">
        <v>4</v>
      </c>
      <c r="AA209" s="301">
        <v>2</v>
      </c>
      <c r="AH209" s="317"/>
      <c r="AI209" s="317"/>
      <c r="CK209" s="282"/>
      <c r="CN209" s="286"/>
    </row>
    <row r="210" spans="9:92">
      <c r="I210" s="301">
        <v>3</v>
      </c>
      <c r="J210" s="301">
        <v>5</v>
      </c>
      <c r="K210" s="301">
        <v>18</v>
      </c>
      <c r="L210" s="301">
        <v>18</v>
      </c>
      <c r="M210" s="301">
        <v>17</v>
      </c>
      <c r="N210" s="301">
        <v>16</v>
      </c>
      <c r="O210" s="301">
        <v>18</v>
      </c>
      <c r="P210" s="301">
        <v>15</v>
      </c>
      <c r="Q210" s="300">
        <v>688</v>
      </c>
      <c r="R210" s="301">
        <v>6</v>
      </c>
      <c r="S210" s="301">
        <v>5</v>
      </c>
      <c r="T210" s="301">
        <v>5</v>
      </c>
      <c r="U210" s="301">
        <v>4</v>
      </c>
      <c r="V210" s="301">
        <v>4</v>
      </c>
      <c r="W210" s="301">
        <v>6</v>
      </c>
      <c r="X210" s="301"/>
      <c r="Y210" s="301"/>
      <c r="Z210" s="301">
        <v>4</v>
      </c>
      <c r="AA210" s="301">
        <v>2</v>
      </c>
      <c r="AH210" s="317"/>
      <c r="AI210" s="317"/>
      <c r="CK210" s="282"/>
      <c r="CN210" s="286"/>
    </row>
    <row r="211" spans="9:92">
      <c r="I211" s="301">
        <v>2</v>
      </c>
      <c r="J211" s="301">
        <v>3</v>
      </c>
      <c r="K211" s="301">
        <v>15</v>
      </c>
      <c r="L211" s="301">
        <v>17</v>
      </c>
      <c r="M211" s="301">
        <v>19</v>
      </c>
      <c r="N211" s="301">
        <v>15</v>
      </c>
      <c r="O211" s="301">
        <v>15</v>
      </c>
      <c r="P211" s="301">
        <v>16</v>
      </c>
      <c r="Q211" s="300">
        <v>689</v>
      </c>
      <c r="R211" s="301">
        <v>4</v>
      </c>
      <c r="S211" s="301">
        <v>3</v>
      </c>
      <c r="T211" s="301">
        <v>5</v>
      </c>
      <c r="U211" s="301">
        <v>5</v>
      </c>
      <c r="V211" s="301">
        <v>4</v>
      </c>
      <c r="W211" s="301">
        <v>6</v>
      </c>
      <c r="X211" s="301"/>
      <c r="Y211" s="301"/>
      <c r="Z211" s="301">
        <v>3</v>
      </c>
      <c r="AA211" s="301">
        <v>3</v>
      </c>
      <c r="AH211" s="283"/>
      <c r="AI211" s="283"/>
    </row>
    <row r="212" spans="9:92">
      <c r="I212" s="301">
        <v>4</v>
      </c>
      <c r="J212" s="301">
        <v>4</v>
      </c>
      <c r="K212" s="301">
        <v>18</v>
      </c>
      <c r="L212" s="301">
        <v>13</v>
      </c>
      <c r="M212" s="301">
        <v>14</v>
      </c>
      <c r="N212" s="301">
        <v>18</v>
      </c>
      <c r="O212" s="301">
        <v>17</v>
      </c>
      <c r="P212" s="301">
        <v>18</v>
      </c>
      <c r="Q212" s="300">
        <v>690</v>
      </c>
      <c r="R212" s="301">
        <v>5</v>
      </c>
      <c r="S212" s="301">
        <v>3</v>
      </c>
      <c r="T212" s="301">
        <v>5</v>
      </c>
      <c r="U212" s="301">
        <v>5</v>
      </c>
      <c r="V212" s="301">
        <v>6</v>
      </c>
      <c r="W212" s="301">
        <v>5</v>
      </c>
      <c r="X212" s="301"/>
      <c r="Y212" s="301"/>
      <c r="Z212" s="301">
        <v>5</v>
      </c>
      <c r="AA212" s="301">
        <v>1</v>
      </c>
      <c r="AI212" s="283"/>
    </row>
    <row r="213" spans="9:92">
      <c r="I213" s="301">
        <v>2</v>
      </c>
      <c r="J213" s="301">
        <v>5</v>
      </c>
      <c r="K213" s="301">
        <v>18</v>
      </c>
      <c r="L213" s="301">
        <v>15</v>
      </c>
      <c r="M213" s="301">
        <v>14</v>
      </c>
      <c r="N213" s="301">
        <v>16</v>
      </c>
      <c r="O213" s="301">
        <v>17</v>
      </c>
      <c r="P213" s="301">
        <v>16</v>
      </c>
      <c r="Q213" s="300">
        <v>691</v>
      </c>
      <c r="R213" s="301">
        <v>5</v>
      </c>
      <c r="S213" s="301">
        <v>4</v>
      </c>
      <c r="T213" s="301">
        <v>5</v>
      </c>
      <c r="U213" s="301">
        <v>6</v>
      </c>
      <c r="V213" s="301">
        <v>4</v>
      </c>
      <c r="W213" s="301">
        <v>4</v>
      </c>
      <c r="X213" s="301"/>
      <c r="Y213" s="301"/>
      <c r="Z213" s="301">
        <v>3</v>
      </c>
      <c r="AA213" s="301">
        <v>3</v>
      </c>
      <c r="AI213" s="283"/>
    </row>
    <row r="214" spans="9:92">
      <c r="I214" s="301">
        <v>5</v>
      </c>
      <c r="J214" s="301">
        <v>6</v>
      </c>
      <c r="K214" s="301">
        <v>17</v>
      </c>
      <c r="L214" s="301">
        <v>17</v>
      </c>
      <c r="M214" s="301">
        <v>20</v>
      </c>
      <c r="N214" s="301">
        <v>18</v>
      </c>
      <c r="O214" s="301">
        <v>18</v>
      </c>
      <c r="P214" s="301">
        <v>16</v>
      </c>
      <c r="Q214" s="300">
        <v>692</v>
      </c>
      <c r="R214" s="301">
        <v>5</v>
      </c>
      <c r="S214" s="301">
        <v>5</v>
      </c>
      <c r="T214" s="301">
        <v>5</v>
      </c>
      <c r="U214" s="301">
        <v>5</v>
      </c>
      <c r="V214" s="301">
        <v>4</v>
      </c>
      <c r="W214" s="301">
        <v>5</v>
      </c>
      <c r="X214" s="301"/>
      <c r="Y214" s="301"/>
      <c r="Z214" s="301">
        <v>5</v>
      </c>
      <c r="AA214" s="301">
        <v>1</v>
      </c>
      <c r="AI214" s="283"/>
    </row>
    <row r="215" spans="9:92">
      <c r="I215" s="301">
        <v>4</v>
      </c>
      <c r="J215" s="301">
        <v>4</v>
      </c>
      <c r="K215" s="301">
        <v>17</v>
      </c>
      <c r="L215" s="301">
        <v>12</v>
      </c>
      <c r="M215" s="301">
        <v>18</v>
      </c>
      <c r="N215" s="301">
        <v>18</v>
      </c>
      <c r="O215" s="301">
        <v>18</v>
      </c>
      <c r="P215" s="301">
        <v>14</v>
      </c>
      <c r="Q215" s="300">
        <v>693</v>
      </c>
      <c r="R215" s="301">
        <v>6</v>
      </c>
      <c r="S215" s="301">
        <v>3</v>
      </c>
      <c r="T215" s="301">
        <v>5</v>
      </c>
      <c r="U215" s="301">
        <v>6</v>
      </c>
      <c r="V215" s="301">
        <v>6</v>
      </c>
      <c r="W215" s="301">
        <v>5</v>
      </c>
      <c r="X215" s="301"/>
      <c r="Y215" s="301"/>
      <c r="Z215" s="301">
        <v>5</v>
      </c>
      <c r="AA215" s="301">
        <v>1</v>
      </c>
      <c r="AH215" s="309"/>
    </row>
    <row r="216" spans="9:92">
      <c r="I216" s="301">
        <v>2</v>
      </c>
      <c r="J216" s="301">
        <v>5</v>
      </c>
      <c r="K216" s="301">
        <v>15</v>
      </c>
      <c r="L216" s="301">
        <v>18</v>
      </c>
      <c r="M216" s="301">
        <v>16</v>
      </c>
      <c r="N216" s="301">
        <v>16</v>
      </c>
      <c r="O216" s="301">
        <v>14</v>
      </c>
      <c r="P216" s="301">
        <v>17</v>
      </c>
      <c r="Q216" s="300">
        <v>694</v>
      </c>
      <c r="R216" s="301">
        <v>4</v>
      </c>
      <c r="S216" s="301">
        <v>6</v>
      </c>
      <c r="T216" s="301">
        <v>4</v>
      </c>
      <c r="U216" s="301">
        <v>6</v>
      </c>
      <c r="V216" s="301">
        <v>3</v>
      </c>
      <c r="W216" s="301">
        <v>4</v>
      </c>
      <c r="X216" s="301"/>
      <c r="Y216" s="301"/>
      <c r="Z216" s="301">
        <v>2</v>
      </c>
      <c r="AA216" s="301">
        <v>4</v>
      </c>
      <c r="AH216" s="309"/>
    </row>
    <row r="217" spans="9:92">
      <c r="I217" s="301">
        <v>5</v>
      </c>
      <c r="J217" s="301">
        <v>6</v>
      </c>
      <c r="K217" s="301">
        <v>15</v>
      </c>
      <c r="L217" s="301">
        <v>18</v>
      </c>
      <c r="M217" s="301">
        <v>20</v>
      </c>
      <c r="N217" s="301">
        <v>15</v>
      </c>
      <c r="O217" s="301">
        <v>17</v>
      </c>
      <c r="P217" s="301">
        <v>19</v>
      </c>
      <c r="Q217" s="300">
        <v>695</v>
      </c>
      <c r="R217" s="301">
        <v>5</v>
      </c>
      <c r="S217" s="301">
        <v>5</v>
      </c>
      <c r="T217" s="301">
        <v>6</v>
      </c>
      <c r="U217" s="301">
        <v>3</v>
      </c>
      <c r="V217" s="301">
        <v>4</v>
      </c>
      <c r="W217" s="301">
        <v>6</v>
      </c>
      <c r="X217" s="301"/>
      <c r="Y217" s="301"/>
      <c r="Z217" s="301">
        <v>4</v>
      </c>
      <c r="AA217" s="301">
        <v>2</v>
      </c>
      <c r="AH217" s="309"/>
    </row>
    <row r="218" spans="9:92">
      <c r="I218" s="301">
        <v>5</v>
      </c>
      <c r="J218" s="301">
        <v>5</v>
      </c>
      <c r="K218" s="301">
        <v>16</v>
      </c>
      <c r="L218" s="301">
        <v>14</v>
      </c>
      <c r="M218" s="301">
        <v>19</v>
      </c>
      <c r="N218" s="301">
        <v>17</v>
      </c>
      <c r="O218" s="301">
        <v>18</v>
      </c>
      <c r="P218" s="301">
        <v>16</v>
      </c>
      <c r="Q218" s="300">
        <v>696</v>
      </c>
      <c r="R218" s="301">
        <v>5</v>
      </c>
      <c r="S218" s="301">
        <v>3</v>
      </c>
      <c r="T218" s="301">
        <v>5</v>
      </c>
      <c r="U218" s="301">
        <v>5</v>
      </c>
      <c r="V218" s="301">
        <v>5</v>
      </c>
      <c r="W218" s="301">
        <v>6</v>
      </c>
      <c r="X218" s="301"/>
      <c r="Y218" s="301"/>
      <c r="Z218" s="301">
        <v>5</v>
      </c>
      <c r="AA218" s="301">
        <v>1</v>
      </c>
    </row>
    <row r="219" spans="9:92">
      <c r="I219" s="301">
        <v>2</v>
      </c>
      <c r="J219" s="301">
        <v>6</v>
      </c>
      <c r="K219" s="301">
        <v>19</v>
      </c>
      <c r="L219" s="301">
        <v>18</v>
      </c>
      <c r="M219" s="301">
        <v>19</v>
      </c>
      <c r="N219" s="301">
        <v>16</v>
      </c>
      <c r="O219" s="301">
        <v>16</v>
      </c>
      <c r="P219" s="301">
        <v>18</v>
      </c>
      <c r="Q219" s="300">
        <v>697</v>
      </c>
      <c r="R219" s="301">
        <v>6</v>
      </c>
      <c r="S219" s="301">
        <v>4</v>
      </c>
      <c r="T219" s="301">
        <v>6</v>
      </c>
      <c r="U219" s="301">
        <v>4</v>
      </c>
      <c r="V219" s="301">
        <v>3</v>
      </c>
      <c r="W219" s="301">
        <v>4</v>
      </c>
      <c r="X219" s="301"/>
      <c r="Y219" s="301"/>
      <c r="Z219" s="301">
        <v>2</v>
      </c>
      <c r="AA219" s="301">
        <v>4</v>
      </c>
    </row>
    <row r="220" spans="9:92">
      <c r="I220" s="301">
        <v>3</v>
      </c>
      <c r="J220" s="301">
        <v>6</v>
      </c>
      <c r="K220" s="301">
        <v>18</v>
      </c>
      <c r="L220" s="301">
        <v>17</v>
      </c>
      <c r="M220" s="301">
        <v>20</v>
      </c>
      <c r="N220" s="301">
        <v>15</v>
      </c>
      <c r="O220" s="301">
        <v>16</v>
      </c>
      <c r="P220" s="301">
        <v>17</v>
      </c>
      <c r="Q220" s="300">
        <v>698</v>
      </c>
      <c r="R220" s="301">
        <v>5</v>
      </c>
      <c r="S220" s="301">
        <v>4</v>
      </c>
      <c r="T220" s="301">
        <v>6</v>
      </c>
      <c r="U220" s="301">
        <v>5</v>
      </c>
      <c r="V220" s="301">
        <v>3</v>
      </c>
      <c r="W220" s="301">
        <v>4</v>
      </c>
      <c r="X220" s="301"/>
      <c r="Y220" s="301"/>
      <c r="Z220" s="301">
        <v>3</v>
      </c>
      <c r="AA220" s="301">
        <v>3</v>
      </c>
    </row>
    <row r="221" spans="9:92">
      <c r="I221" s="301">
        <v>5</v>
      </c>
      <c r="J221" s="301">
        <v>6</v>
      </c>
      <c r="K221" s="301">
        <v>15</v>
      </c>
      <c r="L221" s="301">
        <v>17</v>
      </c>
      <c r="M221" s="301">
        <v>19</v>
      </c>
      <c r="N221" s="301">
        <v>19</v>
      </c>
      <c r="O221" s="301">
        <v>15</v>
      </c>
      <c r="P221" s="301">
        <v>20</v>
      </c>
      <c r="Q221" s="300">
        <v>699</v>
      </c>
      <c r="R221" s="301">
        <v>6</v>
      </c>
      <c r="S221" s="301">
        <v>3</v>
      </c>
      <c r="T221" s="301">
        <v>6</v>
      </c>
      <c r="U221" s="301">
        <v>5</v>
      </c>
      <c r="V221" s="301">
        <v>5</v>
      </c>
      <c r="W221" s="301">
        <v>6</v>
      </c>
      <c r="X221" s="301"/>
      <c r="Y221" s="301"/>
      <c r="Z221" s="301">
        <v>5</v>
      </c>
      <c r="AA221" s="301">
        <v>1</v>
      </c>
    </row>
    <row r="222" spans="9:92">
      <c r="I222" s="479">
        <v>3</v>
      </c>
      <c r="J222" s="479">
        <v>5</v>
      </c>
      <c r="K222" s="479">
        <v>16</v>
      </c>
      <c r="L222" s="479">
        <v>17</v>
      </c>
      <c r="M222" s="479">
        <v>18</v>
      </c>
      <c r="N222" s="479">
        <v>19</v>
      </c>
      <c r="O222" s="479">
        <v>13</v>
      </c>
      <c r="P222" s="479">
        <v>19</v>
      </c>
      <c r="Q222" s="300">
        <v>700</v>
      </c>
      <c r="R222" s="479">
        <v>3</v>
      </c>
      <c r="S222" s="479">
        <v>5</v>
      </c>
      <c r="T222" s="479">
        <v>4</v>
      </c>
      <c r="U222" s="479">
        <v>5</v>
      </c>
      <c r="V222" s="479">
        <v>3</v>
      </c>
      <c r="W222" s="479">
        <v>6</v>
      </c>
      <c r="X222" s="479"/>
      <c r="Y222" s="479"/>
      <c r="Z222" s="479">
        <v>3</v>
      </c>
      <c r="AA222" s="479">
        <v>3</v>
      </c>
    </row>
    <row r="223" spans="9:92">
      <c r="I223" s="479">
        <v>5</v>
      </c>
      <c r="J223" s="479">
        <v>6</v>
      </c>
      <c r="K223" s="479">
        <v>18</v>
      </c>
      <c r="L223" s="479">
        <v>17</v>
      </c>
      <c r="M223" s="479">
        <v>19</v>
      </c>
      <c r="N223" s="479">
        <v>19</v>
      </c>
      <c r="O223" s="479">
        <v>15</v>
      </c>
      <c r="P223" s="479">
        <v>20</v>
      </c>
      <c r="Q223" s="300">
        <v>701</v>
      </c>
      <c r="R223" s="479">
        <v>5</v>
      </c>
      <c r="S223" s="479">
        <v>3</v>
      </c>
      <c r="T223" s="479">
        <v>5</v>
      </c>
      <c r="U223" s="479">
        <v>5</v>
      </c>
      <c r="V223" s="479">
        <v>5</v>
      </c>
      <c r="W223" s="479">
        <v>6</v>
      </c>
      <c r="X223" s="479"/>
      <c r="Y223" s="479"/>
      <c r="Z223" s="479">
        <v>5</v>
      </c>
      <c r="AA223" s="479">
        <v>1</v>
      </c>
    </row>
    <row r="224" spans="9:92">
      <c r="I224" s="479">
        <v>4</v>
      </c>
      <c r="J224" s="479">
        <v>6</v>
      </c>
      <c r="K224" s="479">
        <v>18</v>
      </c>
      <c r="L224" s="479">
        <v>20</v>
      </c>
      <c r="M224" s="479">
        <v>19</v>
      </c>
      <c r="N224" s="479">
        <v>15</v>
      </c>
      <c r="O224" s="479">
        <v>19</v>
      </c>
      <c r="P224" s="479">
        <v>18</v>
      </c>
      <c r="Q224" s="300">
        <v>702</v>
      </c>
      <c r="R224" s="479">
        <v>5</v>
      </c>
      <c r="S224" s="479">
        <v>6</v>
      </c>
      <c r="T224" s="479">
        <v>6</v>
      </c>
      <c r="U224" s="479">
        <v>3</v>
      </c>
      <c r="V224" s="479">
        <v>6</v>
      </c>
      <c r="W224" s="479">
        <v>4</v>
      </c>
      <c r="X224" s="479"/>
      <c r="Y224" s="479"/>
      <c r="Z224" s="479">
        <v>4</v>
      </c>
      <c r="AA224" s="479">
        <v>2</v>
      </c>
    </row>
    <row r="225" spans="9:27">
      <c r="I225" s="479">
        <v>3</v>
      </c>
      <c r="J225" s="479">
        <v>6</v>
      </c>
      <c r="K225" s="479">
        <v>16</v>
      </c>
      <c r="L225" s="479">
        <v>17</v>
      </c>
      <c r="M225" s="479">
        <v>19</v>
      </c>
      <c r="N225" s="479">
        <v>16</v>
      </c>
      <c r="O225" s="479">
        <v>16</v>
      </c>
      <c r="P225" s="479">
        <v>18</v>
      </c>
      <c r="Q225" s="300">
        <v>703</v>
      </c>
      <c r="R225" s="479">
        <v>3</v>
      </c>
      <c r="S225" s="479">
        <v>3</v>
      </c>
      <c r="T225" s="479">
        <v>6</v>
      </c>
      <c r="U225" s="479">
        <v>5</v>
      </c>
      <c r="V225" s="479">
        <v>4</v>
      </c>
      <c r="W225" s="479">
        <v>5</v>
      </c>
      <c r="X225" s="479"/>
      <c r="Y225" s="479"/>
      <c r="Z225" s="479">
        <v>3</v>
      </c>
      <c r="AA225" s="479">
        <v>3</v>
      </c>
    </row>
    <row r="226" spans="9:27">
      <c r="I226" s="479">
        <v>3</v>
      </c>
      <c r="J226" s="479">
        <v>6</v>
      </c>
      <c r="K226" s="479">
        <v>15</v>
      </c>
      <c r="L226" s="479">
        <v>17</v>
      </c>
      <c r="M226" s="479">
        <v>19</v>
      </c>
      <c r="N226" s="479">
        <v>17</v>
      </c>
      <c r="O226" s="479">
        <v>16</v>
      </c>
      <c r="P226" s="479">
        <v>15</v>
      </c>
      <c r="Q226" s="300">
        <v>704</v>
      </c>
      <c r="R226" s="479">
        <v>4</v>
      </c>
      <c r="S226" s="479">
        <v>6</v>
      </c>
      <c r="T226" s="479">
        <v>6</v>
      </c>
      <c r="U226" s="479">
        <v>4</v>
      </c>
      <c r="V226" s="479">
        <v>5</v>
      </c>
      <c r="W226" s="479">
        <v>3</v>
      </c>
      <c r="X226" s="479"/>
      <c r="Y226" s="479"/>
      <c r="Z226" s="479">
        <v>3</v>
      </c>
      <c r="AA226" s="479">
        <v>3</v>
      </c>
    </row>
    <row r="227" spans="9:27">
      <c r="I227" s="479">
        <v>1</v>
      </c>
      <c r="J227" s="479">
        <v>4</v>
      </c>
      <c r="K227" s="479">
        <v>16</v>
      </c>
      <c r="L227" s="479">
        <v>12</v>
      </c>
      <c r="M227" s="479">
        <v>17</v>
      </c>
      <c r="N227" s="479">
        <v>17</v>
      </c>
      <c r="O227" s="479">
        <v>17</v>
      </c>
      <c r="P227" s="479">
        <v>14</v>
      </c>
      <c r="Q227" s="300">
        <v>705</v>
      </c>
      <c r="R227" s="479">
        <v>4</v>
      </c>
      <c r="S227" s="479">
        <v>4</v>
      </c>
      <c r="T227" s="479">
        <v>5</v>
      </c>
      <c r="U227" s="479">
        <v>4</v>
      </c>
      <c r="V227" s="479">
        <v>4</v>
      </c>
      <c r="W227" s="479">
        <v>3</v>
      </c>
      <c r="X227" s="479"/>
      <c r="Y227" s="479"/>
      <c r="Z227" s="479">
        <v>1</v>
      </c>
      <c r="AA227" s="479">
        <v>5</v>
      </c>
    </row>
    <row r="228" spans="9:27">
      <c r="I228" s="479">
        <v>2</v>
      </c>
      <c r="J228" s="479">
        <v>4</v>
      </c>
      <c r="K228" s="479">
        <v>19</v>
      </c>
      <c r="L228" s="479">
        <v>18</v>
      </c>
      <c r="M228" s="479">
        <v>11</v>
      </c>
      <c r="N228" s="479">
        <v>16</v>
      </c>
      <c r="O228" s="479">
        <v>17</v>
      </c>
      <c r="P228" s="479">
        <v>13</v>
      </c>
      <c r="Q228" s="300">
        <v>706</v>
      </c>
      <c r="R228" s="479">
        <v>6</v>
      </c>
      <c r="S228" s="479">
        <v>6</v>
      </c>
      <c r="T228" s="479">
        <v>3</v>
      </c>
      <c r="U228" s="479">
        <v>4</v>
      </c>
      <c r="V228" s="479">
        <v>4</v>
      </c>
      <c r="W228" s="479">
        <v>3</v>
      </c>
      <c r="X228" s="479"/>
      <c r="Y228" s="479"/>
      <c r="Z228" s="479">
        <v>2</v>
      </c>
      <c r="AA228" s="479">
        <v>4</v>
      </c>
    </row>
    <row r="229" spans="9:27">
      <c r="I229" s="479">
        <v>3</v>
      </c>
      <c r="J229" s="479">
        <v>6</v>
      </c>
      <c r="K229" s="479">
        <v>17</v>
      </c>
      <c r="L229" s="479">
        <v>18</v>
      </c>
      <c r="M229" s="479">
        <v>16</v>
      </c>
      <c r="N229" s="479">
        <v>15</v>
      </c>
      <c r="O229" s="479">
        <v>17</v>
      </c>
      <c r="P229" s="479">
        <v>18</v>
      </c>
      <c r="Q229" s="300">
        <v>707</v>
      </c>
      <c r="R229" s="479">
        <v>4</v>
      </c>
      <c r="S229" s="479">
        <v>5</v>
      </c>
      <c r="T229" s="479">
        <v>5</v>
      </c>
      <c r="U229" s="479">
        <v>5</v>
      </c>
      <c r="V229" s="479">
        <v>4</v>
      </c>
      <c r="W229" s="479">
        <v>4</v>
      </c>
      <c r="X229" s="479"/>
      <c r="Y229" s="479"/>
      <c r="Z229" s="479">
        <v>3</v>
      </c>
      <c r="AA229" s="479">
        <v>3</v>
      </c>
    </row>
    <row r="230" spans="9:27">
      <c r="I230" s="479">
        <v>3</v>
      </c>
      <c r="J230" s="479">
        <v>5</v>
      </c>
      <c r="K230" s="479">
        <v>17</v>
      </c>
      <c r="L230" s="479">
        <v>15</v>
      </c>
      <c r="M230" s="479">
        <v>19</v>
      </c>
      <c r="N230" s="479">
        <v>17</v>
      </c>
      <c r="O230" s="479">
        <v>15</v>
      </c>
      <c r="P230" s="479">
        <v>12</v>
      </c>
      <c r="Q230" s="300">
        <v>708</v>
      </c>
      <c r="R230" s="479">
        <v>4</v>
      </c>
      <c r="S230" s="479">
        <v>5</v>
      </c>
      <c r="T230" s="479">
        <v>5</v>
      </c>
      <c r="U230" s="479">
        <v>5</v>
      </c>
      <c r="V230" s="479">
        <v>2</v>
      </c>
      <c r="W230" s="479">
        <v>3</v>
      </c>
      <c r="X230" s="479"/>
      <c r="Y230" s="479"/>
      <c r="Z230" s="479">
        <v>3</v>
      </c>
      <c r="AA230" s="479">
        <v>3</v>
      </c>
    </row>
    <row r="231" spans="9:27">
      <c r="I231" s="479">
        <v>3</v>
      </c>
      <c r="J231" s="479">
        <v>5</v>
      </c>
      <c r="K231" s="479">
        <v>15</v>
      </c>
      <c r="L231" s="479">
        <v>16</v>
      </c>
      <c r="M231" s="479">
        <v>13</v>
      </c>
      <c r="N231" s="479">
        <v>17</v>
      </c>
      <c r="O231" s="479">
        <v>17</v>
      </c>
      <c r="P231" s="479">
        <v>18</v>
      </c>
      <c r="Q231" s="300">
        <v>709</v>
      </c>
      <c r="R231" s="479">
        <v>5</v>
      </c>
      <c r="S231" s="479">
        <v>4</v>
      </c>
      <c r="T231" s="479">
        <v>3</v>
      </c>
      <c r="U231" s="479">
        <v>5</v>
      </c>
      <c r="V231" s="479">
        <v>4</v>
      </c>
      <c r="W231" s="479">
        <v>5</v>
      </c>
      <c r="X231" s="479"/>
      <c r="Y231" s="479"/>
      <c r="Z231" s="479">
        <v>3</v>
      </c>
      <c r="AA231" s="479">
        <v>3</v>
      </c>
    </row>
    <row r="232" spans="9:27">
      <c r="I232" s="479">
        <v>3</v>
      </c>
      <c r="J232" s="479">
        <v>5</v>
      </c>
      <c r="K232" s="479">
        <v>19</v>
      </c>
      <c r="L232" s="479">
        <v>18</v>
      </c>
      <c r="M232" s="479">
        <v>16</v>
      </c>
      <c r="N232" s="479">
        <v>18</v>
      </c>
      <c r="O232" s="479">
        <v>15</v>
      </c>
      <c r="P232" s="479">
        <v>14</v>
      </c>
      <c r="Q232" s="300">
        <v>710</v>
      </c>
      <c r="R232" s="479">
        <v>5</v>
      </c>
      <c r="S232" s="479">
        <v>4</v>
      </c>
      <c r="T232" s="479">
        <v>5</v>
      </c>
      <c r="U232" s="479">
        <v>5</v>
      </c>
      <c r="V232" s="479">
        <v>3</v>
      </c>
      <c r="W232" s="479">
        <v>4</v>
      </c>
      <c r="X232" s="479"/>
      <c r="Y232" s="479"/>
      <c r="Z232" s="479">
        <v>3</v>
      </c>
      <c r="AA232" s="479">
        <v>3</v>
      </c>
    </row>
    <row r="233" spans="9:27">
      <c r="I233" s="479">
        <v>2</v>
      </c>
      <c r="J233" s="479">
        <v>2</v>
      </c>
      <c r="K233" s="479">
        <v>17</v>
      </c>
      <c r="L233" s="479">
        <v>14</v>
      </c>
      <c r="M233" s="479">
        <v>14</v>
      </c>
      <c r="N233" s="479">
        <v>14</v>
      </c>
      <c r="O233" s="479">
        <v>16</v>
      </c>
      <c r="P233" s="479">
        <v>13</v>
      </c>
      <c r="Q233" s="300">
        <v>711</v>
      </c>
      <c r="R233" s="479">
        <v>6</v>
      </c>
      <c r="S233" s="479">
        <v>3</v>
      </c>
      <c r="T233" s="479">
        <v>4</v>
      </c>
      <c r="U233" s="479">
        <v>6</v>
      </c>
      <c r="V233" s="479">
        <v>5</v>
      </c>
      <c r="W233" s="479">
        <v>3</v>
      </c>
      <c r="X233" s="479"/>
      <c r="Y233" s="479"/>
      <c r="Z233" s="479">
        <v>3</v>
      </c>
      <c r="AA233" s="479">
        <v>3</v>
      </c>
    </row>
    <row r="234" spans="9:27">
      <c r="I234" s="479">
        <v>2</v>
      </c>
      <c r="J234" s="479">
        <v>2</v>
      </c>
      <c r="K234" s="479">
        <v>18</v>
      </c>
      <c r="L234" s="479">
        <v>14</v>
      </c>
      <c r="M234" s="479">
        <v>13</v>
      </c>
      <c r="N234" s="479">
        <v>21</v>
      </c>
      <c r="O234" s="479">
        <v>14</v>
      </c>
      <c r="P234" s="479">
        <v>13</v>
      </c>
      <c r="Q234" s="300">
        <v>712</v>
      </c>
      <c r="R234" s="479">
        <v>5</v>
      </c>
      <c r="S234" s="479">
        <v>3</v>
      </c>
      <c r="T234" s="479">
        <v>4</v>
      </c>
      <c r="U234" s="479">
        <v>6</v>
      </c>
      <c r="V234" s="479">
        <v>4</v>
      </c>
      <c r="W234" s="479">
        <v>3</v>
      </c>
      <c r="X234" s="479"/>
      <c r="Y234" s="479"/>
      <c r="Z234" s="479">
        <v>2</v>
      </c>
      <c r="AA234" s="479">
        <v>4</v>
      </c>
    </row>
    <row r="235" spans="9:27">
      <c r="I235" s="479">
        <v>4</v>
      </c>
      <c r="J235" s="479">
        <v>5</v>
      </c>
      <c r="K235" s="479">
        <v>17</v>
      </c>
      <c r="L235" s="479">
        <v>15</v>
      </c>
      <c r="M235" s="479">
        <v>14</v>
      </c>
      <c r="N235" s="479">
        <v>15</v>
      </c>
      <c r="O235" s="479">
        <v>17</v>
      </c>
      <c r="P235" s="479">
        <v>18</v>
      </c>
      <c r="Q235" s="300">
        <v>713</v>
      </c>
      <c r="R235" s="479">
        <v>6</v>
      </c>
      <c r="S235" s="479">
        <v>6</v>
      </c>
      <c r="T235" s="479">
        <v>5</v>
      </c>
      <c r="U235" s="479">
        <v>3</v>
      </c>
      <c r="V235" s="479">
        <v>5</v>
      </c>
      <c r="W235" s="479">
        <v>5</v>
      </c>
      <c r="X235" s="479"/>
      <c r="Y235" s="479"/>
      <c r="Z235" s="479">
        <v>5</v>
      </c>
      <c r="AA235" s="479">
        <v>1</v>
      </c>
    </row>
    <row r="236" spans="9:27">
      <c r="I236" s="479">
        <v>1</v>
      </c>
      <c r="J236" s="479">
        <v>5</v>
      </c>
      <c r="K236" s="479">
        <v>14</v>
      </c>
      <c r="L236" s="479">
        <v>17</v>
      </c>
      <c r="M236" s="479">
        <v>15</v>
      </c>
      <c r="N236" s="479">
        <v>15</v>
      </c>
      <c r="O236" s="479">
        <v>16</v>
      </c>
      <c r="P236" s="479">
        <v>18</v>
      </c>
      <c r="Q236" s="300">
        <v>714</v>
      </c>
      <c r="R236" s="479">
        <v>4</v>
      </c>
      <c r="S236" s="479">
        <v>4</v>
      </c>
      <c r="T236" s="479">
        <v>2</v>
      </c>
      <c r="U236" s="479">
        <v>4</v>
      </c>
      <c r="V236" s="479">
        <v>4</v>
      </c>
      <c r="W236" s="479">
        <v>5</v>
      </c>
      <c r="X236" s="479"/>
      <c r="Y236" s="479"/>
      <c r="Z236" s="479">
        <v>1</v>
      </c>
      <c r="AA236" s="479">
        <v>5</v>
      </c>
    </row>
    <row r="237" spans="9:27">
      <c r="I237" s="479">
        <v>1</v>
      </c>
      <c r="J237" s="479">
        <v>5</v>
      </c>
      <c r="K237" s="479">
        <v>17</v>
      </c>
      <c r="L237" s="479">
        <v>17</v>
      </c>
      <c r="M237" s="479">
        <v>14</v>
      </c>
      <c r="N237" s="479">
        <v>16</v>
      </c>
      <c r="O237" s="479">
        <v>17</v>
      </c>
      <c r="P237" s="479">
        <v>17</v>
      </c>
      <c r="Q237" s="300">
        <v>715</v>
      </c>
      <c r="R237" s="479">
        <v>6</v>
      </c>
      <c r="S237" s="479">
        <v>4</v>
      </c>
      <c r="T237" s="479">
        <v>3</v>
      </c>
      <c r="U237" s="479">
        <v>4</v>
      </c>
      <c r="V237" s="479">
        <v>4</v>
      </c>
      <c r="W237" s="479">
        <v>4</v>
      </c>
      <c r="X237" s="479"/>
      <c r="Y237" s="479"/>
      <c r="Z237" s="479">
        <v>1</v>
      </c>
      <c r="AA237" s="479">
        <v>5</v>
      </c>
    </row>
    <row r="238" spans="9:27">
      <c r="I238" s="479">
        <v>5</v>
      </c>
      <c r="J238" s="479">
        <v>5</v>
      </c>
      <c r="K238" s="479">
        <v>17</v>
      </c>
      <c r="L238" s="479">
        <v>15</v>
      </c>
      <c r="M238" s="479">
        <v>20</v>
      </c>
      <c r="N238" s="479">
        <v>19</v>
      </c>
      <c r="O238" s="479">
        <v>16</v>
      </c>
      <c r="P238" s="479">
        <v>12</v>
      </c>
      <c r="Q238" s="300">
        <v>716</v>
      </c>
      <c r="R238" s="479">
        <v>6</v>
      </c>
      <c r="S238" s="479">
        <v>5</v>
      </c>
      <c r="T238" s="479">
        <v>5</v>
      </c>
      <c r="U238" s="479">
        <v>6</v>
      </c>
      <c r="V238" s="479">
        <v>5</v>
      </c>
      <c r="W238" s="479">
        <v>3</v>
      </c>
      <c r="X238" s="479"/>
      <c r="Y238" s="479"/>
      <c r="Z238" s="479">
        <v>5</v>
      </c>
      <c r="AA238" s="479">
        <v>1</v>
      </c>
    </row>
    <row r="239" spans="9:27">
      <c r="I239" s="479">
        <v>4</v>
      </c>
      <c r="J239" s="479">
        <v>5</v>
      </c>
      <c r="K239" s="479">
        <v>16</v>
      </c>
      <c r="L239" s="479">
        <v>18</v>
      </c>
      <c r="M239" s="479">
        <v>18</v>
      </c>
      <c r="N239" s="479">
        <v>16</v>
      </c>
      <c r="O239" s="479">
        <v>14</v>
      </c>
      <c r="P239" s="479">
        <v>18</v>
      </c>
      <c r="Q239" s="300">
        <v>717</v>
      </c>
      <c r="R239" s="479">
        <v>5</v>
      </c>
      <c r="S239" s="479">
        <v>5</v>
      </c>
      <c r="T239" s="479">
        <v>5</v>
      </c>
      <c r="U239" s="479">
        <v>4</v>
      </c>
      <c r="V239" s="479">
        <v>4</v>
      </c>
      <c r="W239" s="479">
        <v>5</v>
      </c>
      <c r="X239" s="479"/>
      <c r="Y239" s="479"/>
      <c r="Z239" s="479">
        <v>4</v>
      </c>
      <c r="AA239" s="479">
        <v>2</v>
      </c>
    </row>
    <row r="240" spans="9:27">
      <c r="I240" s="479">
        <v>3</v>
      </c>
      <c r="J240" s="479">
        <v>5</v>
      </c>
      <c r="K240" s="479">
        <v>19</v>
      </c>
      <c r="L240" s="479">
        <v>17</v>
      </c>
      <c r="M240" s="479">
        <v>14</v>
      </c>
      <c r="N240" s="479">
        <v>18</v>
      </c>
      <c r="O240" s="479">
        <v>18</v>
      </c>
      <c r="P240" s="479">
        <v>15</v>
      </c>
      <c r="Q240" s="300">
        <v>718</v>
      </c>
      <c r="R240" s="479">
        <v>6</v>
      </c>
      <c r="S240" s="479">
        <v>4</v>
      </c>
      <c r="T240" s="479">
        <v>5</v>
      </c>
      <c r="U240" s="479">
        <v>6</v>
      </c>
      <c r="V240" s="479">
        <v>5</v>
      </c>
      <c r="W240" s="479">
        <v>3</v>
      </c>
      <c r="X240" s="479"/>
      <c r="Y240" s="479"/>
      <c r="Z240" s="479">
        <v>3</v>
      </c>
      <c r="AA240" s="479">
        <v>3</v>
      </c>
    </row>
    <row r="241" spans="9:27">
      <c r="I241" s="479">
        <v>4</v>
      </c>
      <c r="J241" s="479">
        <v>5</v>
      </c>
      <c r="K241" s="479">
        <v>19</v>
      </c>
      <c r="L241" s="479">
        <v>19</v>
      </c>
      <c r="M241" s="479">
        <v>18</v>
      </c>
      <c r="N241" s="479">
        <v>19</v>
      </c>
      <c r="O241" s="479">
        <v>14</v>
      </c>
      <c r="P241" s="479">
        <v>16</v>
      </c>
      <c r="Q241" s="300">
        <v>719</v>
      </c>
      <c r="R241" s="479">
        <v>6</v>
      </c>
      <c r="S241" s="479">
        <v>6</v>
      </c>
      <c r="T241" s="479">
        <v>3</v>
      </c>
      <c r="U241" s="479">
        <v>6</v>
      </c>
      <c r="V241" s="479">
        <v>5</v>
      </c>
      <c r="W241" s="479">
        <v>5</v>
      </c>
      <c r="X241" s="479"/>
      <c r="Y241" s="479"/>
      <c r="Z241" s="479">
        <v>5</v>
      </c>
      <c r="AA241" s="479">
        <v>1</v>
      </c>
    </row>
    <row r="242" spans="9:27">
      <c r="I242" s="479">
        <v>3</v>
      </c>
      <c r="J242" s="479">
        <v>3</v>
      </c>
      <c r="K242" s="479">
        <v>14</v>
      </c>
      <c r="L242" s="479">
        <v>14</v>
      </c>
      <c r="M242" s="479">
        <v>16</v>
      </c>
      <c r="N242" s="479">
        <v>12</v>
      </c>
      <c r="O242" s="479">
        <v>16</v>
      </c>
      <c r="P242" s="479">
        <v>16</v>
      </c>
      <c r="Q242" s="300">
        <v>720</v>
      </c>
      <c r="R242" s="479">
        <v>5</v>
      </c>
      <c r="S242" s="479">
        <v>3</v>
      </c>
      <c r="T242" s="479">
        <v>5</v>
      </c>
      <c r="U242" s="479">
        <v>4</v>
      </c>
      <c r="V242" s="479">
        <v>6</v>
      </c>
      <c r="W242" s="479">
        <v>5</v>
      </c>
      <c r="X242" s="479"/>
      <c r="Y242" s="479"/>
      <c r="Z242" s="479">
        <v>4</v>
      </c>
      <c r="AA242" s="479">
        <v>2</v>
      </c>
    </row>
    <row r="243" spans="9:27">
      <c r="I243" s="479">
        <v>6</v>
      </c>
      <c r="J243" s="479">
        <v>6</v>
      </c>
      <c r="K243" s="479">
        <v>15</v>
      </c>
      <c r="L243" s="479">
        <v>15</v>
      </c>
      <c r="M243" s="479">
        <v>18</v>
      </c>
      <c r="N243" s="479">
        <v>16</v>
      </c>
      <c r="O243" s="479">
        <v>17</v>
      </c>
      <c r="P243" s="479">
        <v>17</v>
      </c>
      <c r="Q243" s="300">
        <v>721</v>
      </c>
      <c r="R243" s="479">
        <v>5</v>
      </c>
      <c r="S243" s="479">
        <v>5</v>
      </c>
      <c r="T243" s="479">
        <v>6</v>
      </c>
      <c r="U243" s="479">
        <v>5</v>
      </c>
      <c r="V243" s="479">
        <v>5</v>
      </c>
      <c r="W243" s="479">
        <v>6</v>
      </c>
      <c r="X243" s="479"/>
      <c r="Y243" s="479"/>
      <c r="Z243" s="479">
        <v>6</v>
      </c>
      <c r="AA243" s="479">
        <v>0</v>
      </c>
    </row>
    <row r="244" spans="9:27">
      <c r="I244" s="479">
        <v>1</v>
      </c>
      <c r="J244" s="479">
        <v>2</v>
      </c>
      <c r="K244" s="479">
        <v>14</v>
      </c>
      <c r="L244" s="479">
        <v>16</v>
      </c>
      <c r="M244" s="479">
        <v>13</v>
      </c>
      <c r="N244" s="479">
        <v>13</v>
      </c>
      <c r="O244" s="479">
        <v>13</v>
      </c>
      <c r="P244" s="479">
        <v>17</v>
      </c>
      <c r="Q244" s="300">
        <v>722</v>
      </c>
      <c r="R244" s="479">
        <v>5</v>
      </c>
      <c r="S244" s="479">
        <v>3</v>
      </c>
      <c r="T244" s="479">
        <v>4</v>
      </c>
      <c r="U244" s="479">
        <v>4</v>
      </c>
      <c r="V244" s="479">
        <v>2</v>
      </c>
      <c r="W244" s="479">
        <v>5</v>
      </c>
      <c r="X244" s="479"/>
      <c r="Y244" s="479"/>
      <c r="Z244" s="479">
        <v>2</v>
      </c>
      <c r="AA244" s="479">
        <v>4</v>
      </c>
    </row>
    <row r="245" spans="9:27">
      <c r="R245" s="609"/>
      <c r="S245" s="609"/>
      <c r="T245" s="609"/>
      <c r="U245" s="609"/>
      <c r="V245" s="609"/>
      <c r="W245" s="609"/>
    </row>
    <row r="246" spans="9:27">
      <c r="R246" s="609"/>
      <c r="S246" s="609"/>
      <c r="T246" s="609"/>
      <c r="U246" s="609"/>
      <c r="V246" s="609"/>
      <c r="W246" s="609"/>
    </row>
  </sheetData>
  <sortState ref="BF16:BF60">
    <sortCondition ref="BF60"/>
  </sortState>
  <mergeCells count="1">
    <mergeCell ref="BC15:BD15"/>
  </mergeCells>
  <phoneticPr fontId="2" type="noConversion"/>
  <conditionalFormatting sqref="E30:F31">
    <cfRule type="cellIs" dxfId="380" priority="941" operator="greaterThan">
      <formula>45</formula>
    </cfRule>
  </conditionalFormatting>
  <conditionalFormatting sqref="BP14:BP15 BJ135:BL135 BL107:BN107">
    <cfRule type="cellIs" dxfId="379" priority="938" operator="lessThan">
      <formula>0</formula>
    </cfRule>
    <cfRule type="cellIs" dxfId="378" priority="939" operator="greaterThan">
      <formula>45</formula>
    </cfRule>
  </conditionalFormatting>
  <conditionalFormatting sqref="AD70 BP103:BP136 BD16:BD60">
    <cfRule type="cellIs" dxfId="377" priority="913" operator="greaterThan">
      <formula>4</formula>
    </cfRule>
    <cfRule type="cellIs" dxfId="376" priority="914" operator="greaterThan">
      <formula>5</formula>
    </cfRule>
  </conditionalFormatting>
  <conditionalFormatting sqref="AE44:AE50 AE53:AE59 AE62:AE68 AE72:AE78">
    <cfRule type="cellIs" dxfId="375" priority="888" operator="greaterThan">
      <formula>0.05</formula>
    </cfRule>
  </conditionalFormatting>
  <conditionalFormatting sqref="BJ17:BQ30">
    <cfRule type="cellIs" dxfId="374" priority="881" operator="equal">
      <formula>34</formula>
    </cfRule>
    <cfRule type="cellIs" dxfId="373" priority="882" operator="equal">
      <formula>32</formula>
    </cfRule>
    <cfRule type="cellIs" dxfId="372" priority="883" operator="equal">
      <formula>28</formula>
    </cfRule>
    <cfRule type="cellIs" dxfId="371" priority="884" operator="equal">
      <formula>26</formula>
    </cfRule>
    <cfRule type="cellIs" dxfId="370" priority="885" operator="equal">
      <formula>13</formula>
    </cfRule>
    <cfRule type="cellIs" dxfId="369" priority="886" operator="equal">
      <formula>8</formula>
    </cfRule>
  </conditionalFormatting>
  <conditionalFormatting sqref="BI129 BJ136:BK136">
    <cfRule type="cellIs" dxfId="368" priority="845" operator="equal">
      <formula>44</formula>
    </cfRule>
    <cfRule type="cellIs" dxfId="367" priority="846" operator="equal">
      <formula>34</formula>
    </cfRule>
    <cfRule type="cellIs" dxfId="366" priority="847" operator="equal">
      <formula>31</formula>
    </cfRule>
    <cfRule type="cellIs" dxfId="365" priority="848" operator="equal">
      <formula>26</formula>
    </cfRule>
    <cfRule type="cellIs" dxfId="364" priority="849" operator="equal">
      <formula>18</formula>
    </cfRule>
    <cfRule type="cellIs" dxfId="363" priority="850" operator="equal">
      <formula>13</formula>
    </cfRule>
  </conditionalFormatting>
  <conditionalFormatting sqref="BJ57:BS58 BO56:BS56 S78:W78">
    <cfRule type="cellIs" dxfId="362" priority="543" operator="equal">
      <formula>35</formula>
    </cfRule>
    <cfRule type="cellIs" dxfId="361" priority="544" operator="equal">
      <formula>34</formula>
    </cfRule>
    <cfRule type="cellIs" dxfId="360" priority="545" operator="equal">
      <formula>27</formula>
    </cfRule>
    <cfRule type="cellIs" dxfId="359" priority="546" operator="equal">
      <formula>25</formula>
    </cfRule>
    <cfRule type="cellIs" dxfId="358" priority="547" operator="equal">
      <formula>24</formula>
    </cfRule>
    <cfRule type="cellIs" dxfId="357" priority="548" operator="equal">
      <formula>4</formula>
    </cfRule>
  </conditionalFormatting>
  <conditionalFormatting sqref="R44:W74">
    <cfRule type="cellIs" dxfId="356" priority="453" operator="lessThan">
      <formula>4.5</formula>
    </cfRule>
  </conditionalFormatting>
  <conditionalFormatting sqref="AG61:BA61 CG64 CD35">
    <cfRule type="cellIs" dxfId="355" priority="276" operator="equal">
      <formula>45</formula>
    </cfRule>
    <cfRule type="cellIs" dxfId="354" priority="277" operator="equal">
      <formula>42</formula>
    </cfRule>
    <cfRule type="cellIs" dxfId="353" priority="278" operator="equal">
      <formula>37</formula>
    </cfRule>
    <cfRule type="cellIs" dxfId="352" priority="279" operator="equal">
      <formula>18</formula>
    </cfRule>
    <cfRule type="cellIs" dxfId="351" priority="280" operator="equal">
      <formula>7</formula>
    </cfRule>
    <cfRule type="cellIs" dxfId="350" priority="281" operator="equal">
      <formula>5</formula>
    </cfRule>
  </conditionalFormatting>
  <conditionalFormatting sqref="BB16:BB60 CD64">
    <cfRule type="cellIs" dxfId="349" priority="258" operator="equal">
      <formula>31</formula>
    </cfRule>
    <cfRule type="cellIs" dxfId="348" priority="259" operator="equal">
      <formula>20</formula>
    </cfRule>
    <cfRule type="cellIs" dxfId="347" priority="260" operator="equal">
      <formula>17</formula>
    </cfRule>
    <cfRule type="cellIs" dxfId="346" priority="261" operator="equal">
      <formula>13</formula>
    </cfRule>
    <cfRule type="cellIs" dxfId="345" priority="262" operator="equal">
      <formula>11</formula>
    </cfRule>
    <cfRule type="cellIs" dxfId="344" priority="263" operator="equal">
      <formula>4</formula>
    </cfRule>
  </conditionalFormatting>
  <conditionalFormatting sqref="BE16:BE60">
    <cfRule type="cellIs" dxfId="343" priority="227" operator="greaterThan">
      <formula>14.5</formula>
    </cfRule>
  </conditionalFormatting>
  <conditionalFormatting sqref="CG35">
    <cfRule type="cellIs" dxfId="342" priority="125" operator="equal">
      <formula>45</formula>
    </cfRule>
    <cfRule type="cellIs" dxfId="341" priority="126" operator="equal">
      <formula>29</formula>
    </cfRule>
    <cfRule type="cellIs" dxfId="340" priority="127" operator="equal">
      <formula>23</formula>
    </cfRule>
    <cfRule type="cellIs" dxfId="339" priority="128" operator="equal">
      <formula>20</formula>
    </cfRule>
    <cfRule type="cellIs" dxfId="338" priority="129" operator="equal">
      <formula>4</formula>
    </cfRule>
    <cfRule type="cellIs" dxfId="337" priority="130" operator="equal">
      <formula>1</formula>
    </cfRule>
  </conditionalFormatting>
  <conditionalFormatting sqref="CF35">
    <cfRule type="cellIs" dxfId="336" priority="113" operator="equal">
      <formula>32</formula>
    </cfRule>
    <cfRule type="cellIs" dxfId="335" priority="114" operator="equal">
      <formula>31</formula>
    </cfRule>
    <cfRule type="cellIs" dxfId="334" priority="115" operator="equal">
      <formula>17</formula>
    </cfRule>
    <cfRule type="cellIs" dxfId="333" priority="116" operator="equal">
      <formula>16</formula>
    </cfRule>
    <cfRule type="cellIs" dxfId="332" priority="117" operator="equal">
      <formula>10</formula>
    </cfRule>
    <cfRule type="cellIs" dxfId="331" priority="118" operator="equal">
      <formula>5</formula>
    </cfRule>
  </conditionalFormatting>
  <conditionalFormatting sqref="CF64 CE35">
    <cfRule type="cellIs" dxfId="330" priority="107" operator="equal">
      <formula>34</formula>
    </cfRule>
    <cfRule type="cellIs" dxfId="329" priority="108" operator="equal">
      <formula>27</formula>
    </cfRule>
    <cfRule type="cellIs" dxfId="328" priority="109" operator="equal">
      <formula>26</formula>
    </cfRule>
    <cfRule type="cellIs" dxfId="327" priority="110" operator="equal">
      <formula>25</formula>
    </cfRule>
    <cfRule type="cellIs" dxfId="326" priority="111" operator="equal">
      <formula>19</formula>
    </cfRule>
    <cfRule type="cellIs" dxfId="325" priority="112" operator="equal">
      <formula>14</formula>
    </cfRule>
  </conditionalFormatting>
  <conditionalFormatting sqref="CE64">
    <cfRule type="cellIs" dxfId="324" priority="95" operator="equal">
      <formula>45</formula>
    </cfRule>
    <cfRule type="cellIs" dxfId="323" priority="96" operator="equal">
      <formula>40</formula>
    </cfRule>
    <cfRule type="cellIs" dxfId="322" priority="97" operator="equal">
      <formula>27</formula>
    </cfRule>
    <cfRule type="cellIs" dxfId="321" priority="98" operator="equal">
      <formula>18</formula>
    </cfRule>
    <cfRule type="cellIs" dxfId="320" priority="99" operator="equal">
      <formula>10</formula>
    </cfRule>
    <cfRule type="cellIs" dxfId="319" priority="100" operator="equal">
      <formula>4</formula>
    </cfRule>
  </conditionalFormatting>
  <conditionalFormatting sqref="AK151:AK161">
    <cfRule type="cellIs" dxfId="318" priority="2" operator="greaterThan">
      <formula>0.04</formula>
    </cfRule>
  </conditionalFormatting>
  <conditionalFormatting sqref="R78:W217">
    <cfRule type="cellIs" dxfId="317" priority="1" operator="lessThan">
      <formula>5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I167"/>
  <sheetViews>
    <sheetView zoomScale="60" zoomScaleNormal="60" workbookViewId="0">
      <selection activeCell="B5" sqref="B5"/>
    </sheetView>
  </sheetViews>
  <sheetFormatPr defaultRowHeight="16.5"/>
  <cols>
    <col min="1" max="16384" width="9" style="226"/>
  </cols>
  <sheetData>
    <row r="2" spans="2:35">
      <c r="B2" s="226" t="s">
        <v>396</v>
      </c>
      <c r="P2" s="226" t="s">
        <v>397</v>
      </c>
    </row>
    <row r="4" spans="2:35">
      <c r="B4" s="226">
        <v>723</v>
      </c>
      <c r="G4" s="226">
        <v>743</v>
      </c>
      <c r="J4" s="210">
        <v>0</v>
      </c>
      <c r="K4" s="210">
        <f>COUNTIF(H4:H184,J4)</f>
        <v>0</v>
      </c>
      <c r="L4" s="443">
        <f>K4/K11</f>
        <v>0</v>
      </c>
      <c r="M4" s="225">
        <f>RANK(L4,L4:L10)</f>
        <v>7</v>
      </c>
      <c r="P4" s="226" t="s">
        <v>398</v>
      </c>
      <c r="S4" s="226" t="s">
        <v>399</v>
      </c>
      <c r="V4" s="210">
        <v>0</v>
      </c>
      <c r="W4" s="210">
        <f>COUNTIF(T4:T182,V4)</f>
        <v>2</v>
      </c>
      <c r="X4" s="443">
        <f>W4/W11</f>
        <v>1.3513513513513514E-2</v>
      </c>
      <c r="Y4" s="225">
        <f>RANK(X4,X4:X10)</f>
        <v>6</v>
      </c>
      <c r="AA4" s="226" t="s">
        <v>465</v>
      </c>
      <c r="AC4" s="226" t="s">
        <v>109</v>
      </c>
      <c r="AF4" s="210">
        <v>0</v>
      </c>
      <c r="AG4" s="210">
        <f>COUNTIF(AD4:AD191,AF4)</f>
        <v>0</v>
      </c>
      <c r="AH4" s="443">
        <f>AG4/AG11</f>
        <v>0</v>
      </c>
      <c r="AI4" s="225">
        <f>RANK(AH4,AH4:AH10)</f>
        <v>6</v>
      </c>
    </row>
    <row r="5" spans="2:35" ht="20.25">
      <c r="B5" s="513"/>
      <c r="G5" s="226">
        <v>742</v>
      </c>
      <c r="J5" s="210">
        <v>1</v>
      </c>
      <c r="K5" s="210">
        <f>COUNTIF(H4:H184,J5)</f>
        <v>4</v>
      </c>
      <c r="L5" s="443">
        <f>K5/K11</f>
        <v>3.1746031746031744E-2</v>
      </c>
      <c r="M5" s="225">
        <f>RANK(L5,L4:L10)</f>
        <v>6</v>
      </c>
      <c r="S5" s="226">
        <v>734</v>
      </c>
      <c r="V5" s="210">
        <v>1</v>
      </c>
      <c r="W5" s="210">
        <f>COUNTIF(T4:T182,V5)</f>
        <v>10</v>
      </c>
      <c r="X5" s="443">
        <f>W5/W11</f>
        <v>6.7567567567567571E-2</v>
      </c>
      <c r="Y5" s="225">
        <f>RANK(X5,X4:X10)</f>
        <v>5</v>
      </c>
      <c r="AC5" s="226">
        <v>0</v>
      </c>
      <c r="AF5" s="210">
        <v>1</v>
      </c>
      <c r="AG5" s="210">
        <f>COUNTIF(AD4:AD191,AF5)</f>
        <v>14</v>
      </c>
      <c r="AH5" s="443">
        <f>AG5/AG11</f>
        <v>0.22950819672131148</v>
      </c>
      <c r="AI5" s="225">
        <f>RANK(AH5,AH4:AH10)</f>
        <v>2</v>
      </c>
    </row>
    <row r="6" spans="2:35" ht="20.25">
      <c r="B6" s="513"/>
      <c r="G6" s="226">
        <v>741</v>
      </c>
      <c r="J6" s="210">
        <v>2</v>
      </c>
      <c r="K6" s="210">
        <f>COUNTIF(H4:H184,J6)</f>
        <v>7</v>
      </c>
      <c r="L6" s="443">
        <f>K6/K11</f>
        <v>5.5555555555555552E-2</v>
      </c>
      <c r="M6" s="225">
        <f>RANK(L6,L4:L10)</f>
        <v>5</v>
      </c>
      <c r="O6" s="438"/>
      <c r="P6" s="539"/>
      <c r="Q6" s="265"/>
      <c r="S6" s="226">
        <v>733</v>
      </c>
      <c r="V6" s="210">
        <v>2</v>
      </c>
      <c r="W6" s="210">
        <f>COUNTIF(T4:T182,V6)</f>
        <v>32</v>
      </c>
      <c r="X6" s="443">
        <f>W6/W11</f>
        <v>0.21621621621621623</v>
      </c>
      <c r="Y6" s="225">
        <f>RANK(X6,X4:X10)</f>
        <v>2</v>
      </c>
      <c r="AA6" s="539"/>
      <c r="AC6" s="226">
        <v>744</v>
      </c>
      <c r="AF6" s="210">
        <v>2</v>
      </c>
      <c r="AG6" s="210">
        <f>COUNTIF(AD4:AD191,AF6)</f>
        <v>14</v>
      </c>
      <c r="AH6" s="443">
        <f>AG6/AG11</f>
        <v>0.22950819672131148</v>
      </c>
      <c r="AI6" s="225">
        <f>RANK(AH6,AH4:AH10)</f>
        <v>2</v>
      </c>
    </row>
    <row r="7" spans="2:35" ht="20.25">
      <c r="B7" s="513"/>
      <c r="D7" s="352"/>
      <c r="G7" s="226">
        <v>740</v>
      </c>
      <c r="J7" s="210">
        <v>3</v>
      </c>
      <c r="K7" s="210">
        <f>COUNTIF(H4:H184,J7)</f>
        <v>16</v>
      </c>
      <c r="L7" s="443">
        <f>K7/K11</f>
        <v>0.12698412698412698</v>
      </c>
      <c r="M7" s="225">
        <f>RANK(L7,L4:L10)</f>
        <v>4</v>
      </c>
      <c r="O7" s="438"/>
      <c r="P7" s="539"/>
      <c r="Q7" s="265"/>
      <c r="S7" s="226">
        <v>732</v>
      </c>
      <c r="V7" s="210">
        <v>3</v>
      </c>
      <c r="W7" s="210">
        <f>COUNTIF(T4:T182,V7)</f>
        <v>52</v>
      </c>
      <c r="X7" s="443">
        <f>W7/W11</f>
        <v>0.35135135135135137</v>
      </c>
      <c r="Y7" s="225">
        <f>RANK(X7,X4:X10)</f>
        <v>1</v>
      </c>
      <c r="AA7" s="539"/>
      <c r="AC7" s="226">
        <v>743</v>
      </c>
      <c r="AF7" s="210">
        <v>3</v>
      </c>
      <c r="AG7" s="210">
        <f>COUNTIF(AD4:AD191,AF7)</f>
        <v>19</v>
      </c>
      <c r="AH7" s="443">
        <f>AG7/AG11</f>
        <v>0.31147540983606559</v>
      </c>
      <c r="AI7" s="225">
        <f>RANK(AH7,AH4:AH10)</f>
        <v>1</v>
      </c>
    </row>
    <row r="8" spans="2:35" ht="20.25">
      <c r="B8" s="513"/>
      <c r="D8" s="352"/>
      <c r="G8" s="226">
        <v>739</v>
      </c>
      <c r="J8" s="210">
        <v>4</v>
      </c>
      <c r="K8" s="210">
        <f>COUNTIF(H4:H184,J8)</f>
        <v>43</v>
      </c>
      <c r="L8" s="443">
        <f>K8/K11</f>
        <v>0.34126984126984128</v>
      </c>
      <c r="M8" s="225">
        <f>RANK(L8,L4:L10)</f>
        <v>1</v>
      </c>
      <c r="O8" s="438"/>
      <c r="P8" s="539"/>
      <c r="Q8" s="265"/>
      <c r="S8" s="226">
        <v>731</v>
      </c>
      <c r="V8" s="210">
        <v>4</v>
      </c>
      <c r="W8" s="210">
        <f>COUNTIF(T4:T182,V8)</f>
        <v>32</v>
      </c>
      <c r="X8" s="443">
        <f>W8/W11</f>
        <v>0.21621621621621623</v>
      </c>
      <c r="Y8" s="225">
        <f>RANK(X8,X4:X10)</f>
        <v>2</v>
      </c>
      <c r="AA8" s="539"/>
      <c r="AC8" s="226">
        <v>742</v>
      </c>
      <c r="AF8" s="210">
        <v>4</v>
      </c>
      <c r="AG8" s="210">
        <f>COUNTIF(AD4:AD191,AF8)</f>
        <v>9</v>
      </c>
      <c r="AH8" s="443">
        <f>AG8/AG11</f>
        <v>0.14754098360655737</v>
      </c>
      <c r="AI8" s="225">
        <f>RANK(AH8,AH4:AH10)</f>
        <v>4</v>
      </c>
    </row>
    <row r="9" spans="2:35" ht="20.25">
      <c r="B9" s="513"/>
      <c r="D9" s="352"/>
      <c r="G9" s="226">
        <v>738</v>
      </c>
      <c r="J9" s="210">
        <v>5</v>
      </c>
      <c r="K9" s="210">
        <f>COUNTIF(H4:H184,J9)</f>
        <v>38</v>
      </c>
      <c r="L9" s="443">
        <f>K9/K11</f>
        <v>0.30158730158730157</v>
      </c>
      <c r="M9" s="225">
        <f>RANK(L9,L4:L10)</f>
        <v>2</v>
      </c>
      <c r="O9" s="438"/>
      <c r="P9" s="539"/>
      <c r="Q9" s="265"/>
      <c r="S9" s="226">
        <v>730</v>
      </c>
      <c r="V9" s="210">
        <v>5</v>
      </c>
      <c r="W9" s="210">
        <f>COUNTIF(T4:T182,V9)</f>
        <v>18</v>
      </c>
      <c r="X9" s="443">
        <f>W9/W11</f>
        <v>0.12162162162162163</v>
      </c>
      <c r="Y9" s="225">
        <f>RANK(X9,X4:X10)</f>
        <v>4</v>
      </c>
      <c r="AA9" s="539"/>
      <c r="AC9" s="226">
        <v>741</v>
      </c>
      <c r="AF9" s="210">
        <v>5</v>
      </c>
      <c r="AG9" s="210">
        <f>COUNTIF(AD4:AD191,AF9)</f>
        <v>5</v>
      </c>
      <c r="AH9" s="443">
        <f>AG9/AG11</f>
        <v>8.1967213114754092E-2</v>
      </c>
      <c r="AI9" s="225">
        <f>RANK(AH9,AH4:AH10)</f>
        <v>5</v>
      </c>
    </row>
    <row r="10" spans="2:35" ht="20.25">
      <c r="B10" s="513"/>
      <c r="D10" s="352"/>
      <c r="G10" s="226">
        <v>737</v>
      </c>
      <c r="J10" s="210">
        <v>6</v>
      </c>
      <c r="K10" s="210">
        <f>COUNTIF(H4:H184,J10)</f>
        <v>18</v>
      </c>
      <c r="L10" s="443">
        <f>K10/K11</f>
        <v>0.14285714285714285</v>
      </c>
      <c r="M10" s="225">
        <f>RANK(L10,L4:L10)</f>
        <v>3</v>
      </c>
      <c r="O10" s="438"/>
      <c r="P10" s="539"/>
      <c r="Q10" s="265"/>
      <c r="S10" s="226">
        <v>729</v>
      </c>
      <c r="V10" s="210">
        <v>6</v>
      </c>
      <c r="W10" s="210">
        <f>COUNTIF(T4:T182,V10)</f>
        <v>2</v>
      </c>
      <c r="X10" s="443">
        <f>W10/W11</f>
        <v>1.3513513513513514E-2</v>
      </c>
      <c r="Y10" s="225">
        <f>RANK(X10,X4:X10)</f>
        <v>6</v>
      </c>
      <c r="AA10" s="539"/>
      <c r="AC10" s="226">
        <v>740</v>
      </c>
      <c r="AF10" s="210">
        <v>6</v>
      </c>
      <c r="AG10" s="210">
        <f>COUNTIF(AD4:AD191,AF10)</f>
        <v>0</v>
      </c>
      <c r="AH10" s="443">
        <f>AG10/AG11</f>
        <v>0</v>
      </c>
      <c r="AI10" s="225">
        <f>RANK(AH10,AH4:AH10)</f>
        <v>6</v>
      </c>
    </row>
    <row r="11" spans="2:35" ht="20.25">
      <c r="B11" s="513"/>
      <c r="D11" s="352"/>
      <c r="G11" s="226">
        <v>736</v>
      </c>
      <c r="J11" s="210"/>
      <c r="K11" s="210">
        <f>SUM(K4:K10)</f>
        <v>126</v>
      </c>
      <c r="L11" s="217">
        <f>SUM(L4:L10)</f>
        <v>1</v>
      </c>
      <c r="M11" s="225"/>
      <c r="O11" s="438"/>
      <c r="P11" s="539"/>
      <c r="Q11" s="265"/>
      <c r="S11" s="226">
        <v>728</v>
      </c>
      <c r="V11" s="210"/>
      <c r="W11" s="210">
        <f>SUM(W4:W10)</f>
        <v>148</v>
      </c>
      <c r="X11" s="217">
        <f>SUM(X4:X10)</f>
        <v>1</v>
      </c>
      <c r="Y11" s="225"/>
      <c r="AA11" s="539"/>
      <c r="AC11" s="226">
        <v>739</v>
      </c>
      <c r="AF11" s="210"/>
      <c r="AG11" s="210">
        <f>SUM(AG4:AG10)</f>
        <v>61</v>
      </c>
      <c r="AH11" s="217">
        <f>SUM(AH4:AH10)</f>
        <v>0.99999999999999989</v>
      </c>
      <c r="AI11" s="225"/>
    </row>
    <row r="12" spans="2:35" ht="20.25">
      <c r="B12" s="513"/>
      <c r="D12" s="352"/>
      <c r="G12" s="226">
        <v>735</v>
      </c>
      <c r="O12" s="438"/>
      <c r="P12" s="539"/>
      <c r="Q12" s="265"/>
      <c r="S12" s="226">
        <v>727</v>
      </c>
      <c r="AA12" s="539"/>
      <c r="AC12" s="226">
        <v>738</v>
      </c>
    </row>
    <row r="13" spans="2:35" ht="20.25">
      <c r="B13" s="513"/>
      <c r="D13" s="352"/>
      <c r="G13" s="226">
        <v>734</v>
      </c>
      <c r="O13" s="438"/>
      <c r="P13" s="539"/>
      <c r="Q13" s="265"/>
      <c r="S13" s="226">
        <v>726</v>
      </c>
      <c r="AA13" s="539"/>
      <c r="AC13" s="226">
        <v>737</v>
      </c>
    </row>
    <row r="14" spans="2:35" ht="20.25">
      <c r="B14" s="513"/>
      <c r="D14" s="352"/>
      <c r="G14" s="226">
        <v>733</v>
      </c>
      <c r="O14" s="438"/>
      <c r="P14" s="539"/>
      <c r="Q14" s="265"/>
      <c r="S14" s="226">
        <v>725</v>
      </c>
      <c r="AA14" s="539"/>
      <c r="AC14" s="226">
        <v>736</v>
      </c>
    </row>
    <row r="15" spans="2:35" ht="20.25">
      <c r="B15" s="513"/>
      <c r="D15" s="352"/>
      <c r="G15" s="226">
        <v>732</v>
      </c>
      <c r="O15" s="438"/>
      <c r="P15" s="539"/>
      <c r="Q15" s="265"/>
      <c r="S15" s="226">
        <v>724</v>
      </c>
      <c r="AA15" s="539"/>
      <c r="AC15" s="226">
        <v>735</v>
      </c>
    </row>
    <row r="16" spans="2:35" ht="20.25">
      <c r="B16" s="513"/>
      <c r="D16" s="352"/>
      <c r="G16" s="226">
        <v>731</v>
      </c>
      <c r="O16" s="438"/>
      <c r="P16" s="539"/>
      <c r="Q16" s="265"/>
      <c r="S16" s="226">
        <v>723</v>
      </c>
      <c r="AA16" s="539"/>
      <c r="AC16" s="226">
        <v>734</v>
      </c>
    </row>
    <row r="17" spans="2:31" ht="20.25">
      <c r="B17" s="513"/>
      <c r="D17" s="352"/>
      <c r="G17" s="226">
        <v>730</v>
      </c>
      <c r="O17" s="438"/>
      <c r="P17" s="539"/>
      <c r="Q17" s="265"/>
      <c r="S17" s="226">
        <v>722</v>
      </c>
      <c r="T17" s="226">
        <v>2</v>
      </c>
      <c r="U17" s="226">
        <v>25</v>
      </c>
      <c r="AA17" s="539"/>
      <c r="AC17" s="226">
        <v>733</v>
      </c>
    </row>
    <row r="18" spans="2:31" ht="20.25">
      <c r="B18" s="513"/>
      <c r="D18" s="352"/>
      <c r="G18" s="226">
        <v>729</v>
      </c>
      <c r="O18" s="438"/>
      <c r="P18" s="539"/>
      <c r="Q18" s="265"/>
      <c r="S18" s="226">
        <v>721</v>
      </c>
      <c r="T18" s="226">
        <v>3</v>
      </c>
      <c r="U18" s="226">
        <v>25</v>
      </c>
      <c r="AA18" s="539"/>
      <c r="AC18" s="226">
        <v>732</v>
      </c>
    </row>
    <row r="19" spans="2:31" ht="20.25">
      <c r="B19" s="513"/>
      <c r="D19" s="352"/>
      <c r="G19" s="226">
        <v>728</v>
      </c>
      <c r="O19" s="438"/>
      <c r="P19" s="539"/>
      <c r="Q19" s="265"/>
      <c r="S19" s="226">
        <v>720</v>
      </c>
      <c r="T19" s="226">
        <v>3</v>
      </c>
      <c r="U19" s="226">
        <v>25</v>
      </c>
      <c r="AA19" s="539"/>
      <c r="AC19" s="226">
        <v>731</v>
      </c>
    </row>
    <row r="20" spans="2:31" ht="20.25">
      <c r="B20" s="513"/>
      <c r="D20" s="352"/>
      <c r="G20" s="226">
        <v>727</v>
      </c>
      <c r="O20" s="438"/>
      <c r="P20" s="539"/>
      <c r="Q20" s="265"/>
      <c r="S20" s="226">
        <v>719</v>
      </c>
      <c r="T20" s="226">
        <v>4</v>
      </c>
      <c r="U20" s="226">
        <v>27</v>
      </c>
      <c r="AA20" s="539"/>
      <c r="AC20" s="226">
        <v>730</v>
      </c>
    </row>
    <row r="21" spans="2:31" ht="20.25">
      <c r="B21" s="513"/>
      <c r="D21" s="352"/>
      <c r="G21" s="226">
        <v>726</v>
      </c>
      <c r="O21" s="438"/>
      <c r="P21" s="539"/>
      <c r="Q21" s="265"/>
      <c r="S21" s="226">
        <v>718</v>
      </c>
      <c r="T21" s="226">
        <v>4</v>
      </c>
      <c r="U21" s="226">
        <v>25</v>
      </c>
      <c r="AA21" s="539"/>
      <c r="AC21" s="226">
        <v>729</v>
      </c>
    </row>
    <row r="22" spans="2:31" ht="20.25">
      <c r="B22" s="513"/>
      <c r="D22" s="352"/>
      <c r="G22" s="226">
        <v>725</v>
      </c>
      <c r="O22" s="438"/>
      <c r="P22" s="539"/>
      <c r="Q22" s="265"/>
      <c r="S22" s="226">
        <v>717</v>
      </c>
      <c r="T22" s="226">
        <v>2</v>
      </c>
      <c r="U22" s="226">
        <v>24</v>
      </c>
      <c r="AA22" s="498"/>
      <c r="AC22" s="226">
        <v>728</v>
      </c>
    </row>
    <row r="23" spans="2:31" ht="20.25">
      <c r="B23" s="513"/>
      <c r="D23" s="352"/>
      <c r="G23" s="226">
        <v>724</v>
      </c>
      <c r="O23" s="438"/>
      <c r="P23" s="539"/>
      <c r="Q23" s="265"/>
      <c r="S23" s="226">
        <v>716</v>
      </c>
      <c r="T23" s="226">
        <v>1</v>
      </c>
      <c r="U23" s="226">
        <v>23</v>
      </c>
      <c r="AA23" s="539"/>
      <c r="AC23" s="226">
        <v>727</v>
      </c>
    </row>
    <row r="24" spans="2:31" ht="20.25">
      <c r="B24" s="513"/>
      <c r="D24" s="352"/>
      <c r="G24" s="226">
        <v>723</v>
      </c>
      <c r="O24" s="438"/>
      <c r="P24" s="539"/>
      <c r="Q24" s="265"/>
      <c r="S24" s="226">
        <v>715</v>
      </c>
      <c r="T24" s="226">
        <v>3</v>
      </c>
      <c r="U24" s="226">
        <v>22</v>
      </c>
      <c r="AA24" s="498"/>
      <c r="AC24" s="226">
        <v>726</v>
      </c>
    </row>
    <row r="25" spans="2:31" ht="20.25">
      <c r="B25" s="513"/>
      <c r="D25" s="352"/>
      <c r="G25" s="226">
        <v>722</v>
      </c>
      <c r="H25" s="226">
        <v>1</v>
      </c>
      <c r="I25" s="226">
        <v>30</v>
      </c>
      <c r="O25" s="438"/>
      <c r="P25" s="539"/>
      <c r="Q25" s="265"/>
      <c r="S25" s="226">
        <v>714</v>
      </c>
      <c r="T25" s="226">
        <v>3</v>
      </c>
      <c r="U25" s="226">
        <v>23</v>
      </c>
      <c r="AA25" s="513"/>
      <c r="AC25" s="226">
        <v>725</v>
      </c>
    </row>
    <row r="26" spans="2:31" ht="20.25">
      <c r="B26" s="513"/>
      <c r="D26" s="352"/>
      <c r="G26" s="226">
        <v>721</v>
      </c>
      <c r="H26" s="226">
        <v>6</v>
      </c>
      <c r="I26" s="226">
        <v>30</v>
      </c>
      <c r="O26" s="438"/>
      <c r="P26" s="539"/>
      <c r="Q26" s="265"/>
      <c r="S26" s="226">
        <v>713</v>
      </c>
      <c r="T26" s="226">
        <v>2</v>
      </c>
      <c r="U26" s="226">
        <v>20</v>
      </c>
      <c r="AA26" s="539"/>
      <c r="AC26" s="226">
        <v>724</v>
      </c>
    </row>
    <row r="27" spans="2:31" ht="20.25">
      <c r="B27" s="513"/>
      <c r="D27" s="352"/>
      <c r="G27" s="226">
        <v>720</v>
      </c>
      <c r="H27" s="226">
        <v>3</v>
      </c>
      <c r="I27" s="226">
        <v>30</v>
      </c>
      <c r="O27" s="438"/>
      <c r="P27" s="539"/>
      <c r="Q27" s="265"/>
      <c r="S27" s="226">
        <v>712</v>
      </c>
      <c r="T27" s="226">
        <v>3</v>
      </c>
      <c r="U27" s="226">
        <v>18</v>
      </c>
      <c r="AA27" s="513"/>
      <c r="AC27" s="226">
        <v>723</v>
      </c>
    </row>
    <row r="28" spans="2:31" ht="20.25">
      <c r="B28" s="513"/>
      <c r="D28" s="352"/>
      <c r="G28" s="226">
        <v>719</v>
      </c>
      <c r="H28" s="226">
        <v>4</v>
      </c>
      <c r="I28" s="226">
        <v>32</v>
      </c>
      <c r="O28" s="438"/>
      <c r="P28" s="498"/>
      <c r="Q28" s="265"/>
      <c r="S28" s="226">
        <v>711</v>
      </c>
      <c r="T28" s="226">
        <v>2</v>
      </c>
      <c r="U28" s="226">
        <v>20</v>
      </c>
      <c r="AA28" s="513"/>
      <c r="AC28" s="226">
        <v>722</v>
      </c>
      <c r="AD28" s="226">
        <v>1</v>
      </c>
      <c r="AE28" s="226">
        <v>18</v>
      </c>
    </row>
    <row r="29" spans="2:31" ht="20.25">
      <c r="B29" s="513"/>
      <c r="D29" s="352"/>
      <c r="G29" s="226">
        <v>718</v>
      </c>
      <c r="H29" s="226">
        <v>5</v>
      </c>
      <c r="I29" s="226">
        <v>31</v>
      </c>
      <c r="O29" s="438"/>
      <c r="P29" s="498"/>
      <c r="Q29" s="265"/>
      <c r="S29" s="226">
        <v>710</v>
      </c>
      <c r="T29" s="226">
        <v>1</v>
      </c>
      <c r="U29" s="226">
        <v>18</v>
      </c>
      <c r="AA29" s="513"/>
      <c r="AC29" s="226">
        <v>721</v>
      </c>
      <c r="AD29" s="226">
        <v>3</v>
      </c>
      <c r="AE29" s="226">
        <v>19</v>
      </c>
    </row>
    <row r="30" spans="2:31" ht="20.25">
      <c r="B30" s="513"/>
      <c r="D30" s="340"/>
      <c r="G30" s="226">
        <v>717</v>
      </c>
      <c r="H30" s="226">
        <v>3</v>
      </c>
      <c r="I30" s="226">
        <v>30</v>
      </c>
      <c r="O30" s="438"/>
      <c r="P30" s="539"/>
      <c r="Q30" s="265"/>
      <c r="S30" s="226">
        <v>709</v>
      </c>
      <c r="T30" s="226">
        <v>2</v>
      </c>
      <c r="U30" s="226">
        <v>18</v>
      </c>
      <c r="AA30" s="513"/>
      <c r="AC30" s="226">
        <v>720</v>
      </c>
      <c r="AD30" s="226">
        <v>1</v>
      </c>
      <c r="AE30" s="226">
        <v>18</v>
      </c>
    </row>
    <row r="31" spans="2:31" ht="20.25">
      <c r="B31" s="513"/>
      <c r="D31" s="340"/>
      <c r="G31" s="226">
        <v>716</v>
      </c>
      <c r="H31" s="226">
        <v>5</v>
      </c>
      <c r="I31" s="226">
        <v>31</v>
      </c>
      <c r="O31" s="438"/>
      <c r="P31" s="498"/>
      <c r="Q31" s="265"/>
      <c r="S31" s="226">
        <v>708</v>
      </c>
      <c r="T31" s="226">
        <v>2</v>
      </c>
      <c r="U31" s="226">
        <v>17</v>
      </c>
      <c r="AA31" s="513"/>
      <c r="AC31" s="226">
        <v>719</v>
      </c>
      <c r="AD31" s="226">
        <v>3</v>
      </c>
      <c r="AE31" s="226">
        <v>20</v>
      </c>
    </row>
    <row r="32" spans="2:31" ht="20.25">
      <c r="B32" s="513"/>
      <c r="D32" s="340"/>
      <c r="G32" s="226">
        <v>715</v>
      </c>
      <c r="H32" s="226">
        <v>4</v>
      </c>
      <c r="I32" s="226">
        <v>30</v>
      </c>
      <c r="O32" s="438"/>
      <c r="P32" s="498"/>
      <c r="Q32" s="265"/>
      <c r="S32" s="226">
        <v>707</v>
      </c>
      <c r="T32" s="226">
        <v>4</v>
      </c>
      <c r="U32" s="226">
        <v>16</v>
      </c>
      <c r="AA32" s="513"/>
      <c r="AC32" s="226">
        <v>718</v>
      </c>
      <c r="AD32" s="226">
        <v>3</v>
      </c>
      <c r="AE32" s="226">
        <v>19</v>
      </c>
    </row>
    <row r="33" spans="2:31" ht="20.25">
      <c r="B33" s="513"/>
      <c r="D33" s="340"/>
      <c r="G33" s="226">
        <v>714</v>
      </c>
      <c r="H33" s="226">
        <v>3</v>
      </c>
      <c r="I33" s="226">
        <v>29</v>
      </c>
      <c r="O33" s="438"/>
      <c r="P33" s="498"/>
      <c r="Q33" s="265"/>
      <c r="S33" s="226">
        <v>706</v>
      </c>
      <c r="T33" s="226">
        <v>2</v>
      </c>
      <c r="U33" s="226">
        <v>22</v>
      </c>
      <c r="AA33" s="513"/>
      <c r="AC33" s="226">
        <v>717</v>
      </c>
      <c r="AD33" s="226">
        <v>2</v>
      </c>
      <c r="AE33" s="226">
        <v>18</v>
      </c>
    </row>
    <row r="34" spans="2:31" ht="20.25">
      <c r="B34" s="513"/>
      <c r="D34" s="340"/>
      <c r="G34" s="226">
        <v>713</v>
      </c>
      <c r="H34" s="226">
        <v>5</v>
      </c>
      <c r="I34" s="226">
        <v>27</v>
      </c>
      <c r="O34" s="438"/>
      <c r="P34" s="498"/>
      <c r="S34" s="226">
        <v>705</v>
      </c>
      <c r="T34" s="226">
        <v>1</v>
      </c>
      <c r="U34" s="226">
        <v>19</v>
      </c>
      <c r="AA34" s="513"/>
      <c r="AC34" s="226">
        <v>716</v>
      </c>
      <c r="AD34" s="226">
        <v>1</v>
      </c>
      <c r="AE34" s="226">
        <v>18</v>
      </c>
    </row>
    <row r="35" spans="2:31" ht="20.25">
      <c r="B35" s="513"/>
      <c r="D35" s="340"/>
      <c r="G35" s="226">
        <v>712</v>
      </c>
      <c r="H35" s="226">
        <v>2</v>
      </c>
      <c r="I35" s="226">
        <v>28</v>
      </c>
      <c r="O35" s="438"/>
      <c r="P35" s="498"/>
      <c r="S35" s="226">
        <v>704</v>
      </c>
      <c r="T35" s="226">
        <v>3</v>
      </c>
      <c r="U35" s="226">
        <v>19</v>
      </c>
      <c r="AA35" s="513"/>
      <c r="AC35" s="226">
        <v>715</v>
      </c>
      <c r="AD35" s="226">
        <v>3</v>
      </c>
      <c r="AE35" s="226">
        <v>17</v>
      </c>
    </row>
    <row r="36" spans="2:31" ht="20.25">
      <c r="B36" s="513"/>
      <c r="D36" s="340"/>
      <c r="G36" s="226">
        <v>711</v>
      </c>
      <c r="H36" s="226">
        <v>2</v>
      </c>
      <c r="I36" s="226">
        <v>28</v>
      </c>
      <c r="O36" s="438"/>
      <c r="P36" s="498"/>
      <c r="S36" s="226">
        <v>703</v>
      </c>
      <c r="T36" s="226">
        <v>1</v>
      </c>
      <c r="U36" s="226">
        <v>19</v>
      </c>
      <c r="AA36" s="513"/>
      <c r="AC36" s="226">
        <v>714</v>
      </c>
      <c r="AD36" s="226">
        <v>2</v>
      </c>
      <c r="AE36" s="226">
        <v>17</v>
      </c>
    </row>
    <row r="37" spans="2:31" ht="20.25">
      <c r="B37" s="542"/>
      <c r="D37" s="340"/>
      <c r="G37" s="226">
        <v>710</v>
      </c>
      <c r="H37" s="226">
        <v>1</v>
      </c>
      <c r="I37" s="226">
        <v>24</v>
      </c>
      <c r="O37" s="438"/>
      <c r="P37" s="539"/>
      <c r="S37" s="226">
        <v>702</v>
      </c>
      <c r="T37" s="226">
        <v>4</v>
      </c>
      <c r="U37" s="226">
        <v>25</v>
      </c>
      <c r="AA37" s="513"/>
      <c r="AC37" s="226">
        <v>713</v>
      </c>
      <c r="AD37" s="226">
        <v>1</v>
      </c>
      <c r="AE37" s="226">
        <v>14</v>
      </c>
    </row>
    <row r="38" spans="2:31" ht="20.25">
      <c r="B38" s="513"/>
      <c r="D38" s="340"/>
      <c r="G38" s="226">
        <v>709</v>
      </c>
      <c r="H38" s="226">
        <v>4</v>
      </c>
      <c r="I38" s="226">
        <v>30</v>
      </c>
      <c r="O38" s="438"/>
      <c r="P38" s="498"/>
      <c r="S38" s="226">
        <v>701</v>
      </c>
      <c r="T38" s="226">
        <v>3</v>
      </c>
      <c r="U38" s="226">
        <v>25</v>
      </c>
      <c r="AA38" s="513"/>
      <c r="AC38" s="226">
        <v>712</v>
      </c>
      <c r="AD38" s="226">
        <v>2</v>
      </c>
      <c r="AE38" s="226">
        <v>13</v>
      </c>
    </row>
    <row r="39" spans="2:31" ht="20.25">
      <c r="B39" s="542"/>
      <c r="D39" s="340"/>
      <c r="G39" s="226">
        <v>708</v>
      </c>
      <c r="H39" s="226">
        <v>4</v>
      </c>
      <c r="I39" s="226">
        <v>28</v>
      </c>
      <c r="O39" s="438"/>
      <c r="P39" s="498"/>
      <c r="S39" s="226">
        <v>700</v>
      </c>
      <c r="T39" s="226">
        <v>1</v>
      </c>
      <c r="U39" s="226">
        <v>24</v>
      </c>
      <c r="AA39" s="513"/>
      <c r="AC39" s="226">
        <v>711</v>
      </c>
      <c r="AD39" s="226">
        <v>1</v>
      </c>
      <c r="AE39" s="226">
        <v>16</v>
      </c>
    </row>
    <row r="40" spans="2:31" ht="20.25">
      <c r="B40" s="542"/>
      <c r="D40" s="352"/>
      <c r="G40" s="226">
        <v>707</v>
      </c>
      <c r="H40" s="226">
        <v>4</v>
      </c>
      <c r="I40" s="226">
        <v>26</v>
      </c>
      <c r="O40" s="438"/>
      <c r="P40" s="539"/>
      <c r="S40" s="226">
        <v>699</v>
      </c>
      <c r="T40" s="226">
        <v>3</v>
      </c>
      <c r="U40" s="226">
        <v>23</v>
      </c>
      <c r="AA40" s="539"/>
      <c r="AC40" s="226">
        <v>710</v>
      </c>
      <c r="AD40" s="226">
        <v>1</v>
      </c>
      <c r="AE40" s="226">
        <v>15</v>
      </c>
    </row>
    <row r="41" spans="2:31" ht="20.25">
      <c r="B41" s="542"/>
      <c r="D41" s="340"/>
      <c r="G41" s="226">
        <v>706</v>
      </c>
      <c r="H41" s="226">
        <v>2</v>
      </c>
      <c r="I41" s="226">
        <v>31</v>
      </c>
      <c r="O41" s="438"/>
      <c r="P41" s="498"/>
      <c r="S41" s="226">
        <v>698</v>
      </c>
      <c r="T41" s="226">
        <v>4</v>
      </c>
      <c r="U41" s="226">
        <v>26</v>
      </c>
      <c r="AA41" s="539"/>
      <c r="AC41" s="226">
        <v>709</v>
      </c>
      <c r="AD41" s="226">
        <v>2</v>
      </c>
      <c r="AE41" s="226">
        <v>16</v>
      </c>
    </row>
    <row r="42" spans="2:31" ht="20.25">
      <c r="B42" s="542"/>
      <c r="D42" s="340"/>
      <c r="G42" s="226">
        <v>705</v>
      </c>
      <c r="H42" s="226">
        <v>2</v>
      </c>
      <c r="I42" s="226">
        <v>29</v>
      </c>
      <c r="O42" s="438"/>
      <c r="P42" s="498"/>
      <c r="S42" s="226">
        <v>697</v>
      </c>
      <c r="T42" s="226">
        <v>5</v>
      </c>
      <c r="U42" s="226">
        <v>26</v>
      </c>
      <c r="AA42" s="513"/>
      <c r="AC42" s="226">
        <v>708</v>
      </c>
      <c r="AD42" s="226">
        <v>2</v>
      </c>
      <c r="AE42" s="226">
        <v>15</v>
      </c>
    </row>
    <row r="43" spans="2:31" ht="20.25">
      <c r="B43" s="542"/>
      <c r="D43" s="340"/>
      <c r="G43" s="226">
        <v>704</v>
      </c>
      <c r="H43" s="226">
        <v>5</v>
      </c>
      <c r="I43" s="226">
        <v>31</v>
      </c>
      <c r="O43" s="438"/>
      <c r="P43" s="539"/>
      <c r="S43" s="226">
        <v>696</v>
      </c>
      <c r="T43" s="226">
        <v>4</v>
      </c>
      <c r="U43" s="226">
        <v>25</v>
      </c>
      <c r="AA43" s="513"/>
      <c r="AC43" s="226">
        <v>707</v>
      </c>
      <c r="AD43" s="226">
        <v>4</v>
      </c>
      <c r="AE43" s="226">
        <v>14</v>
      </c>
    </row>
    <row r="44" spans="2:31" ht="20.25">
      <c r="B44" s="542"/>
      <c r="D44" s="340"/>
      <c r="G44" s="226">
        <v>703</v>
      </c>
      <c r="H44" s="226">
        <v>3</v>
      </c>
      <c r="I44" s="226">
        <v>30</v>
      </c>
      <c r="O44" s="438"/>
      <c r="P44" s="498"/>
      <c r="S44" s="226">
        <v>695</v>
      </c>
      <c r="T44" s="226">
        <v>2</v>
      </c>
      <c r="U44" s="226">
        <v>22</v>
      </c>
      <c r="AA44" s="539"/>
      <c r="AC44" s="226">
        <v>706</v>
      </c>
      <c r="AD44" s="226">
        <v>1</v>
      </c>
      <c r="AE44" s="226">
        <v>21</v>
      </c>
    </row>
    <row r="45" spans="2:31" ht="20.25">
      <c r="B45" s="542"/>
      <c r="D45" s="340"/>
      <c r="G45" s="226">
        <v>702</v>
      </c>
      <c r="H45" s="226">
        <v>6</v>
      </c>
      <c r="I45" s="226">
        <v>35</v>
      </c>
      <c r="O45" s="438"/>
      <c r="P45" s="498"/>
      <c r="S45" s="226">
        <v>694</v>
      </c>
      <c r="T45" s="226">
        <v>6</v>
      </c>
      <c r="U45" s="226">
        <v>22</v>
      </c>
      <c r="AA45" s="539"/>
      <c r="AC45" s="226">
        <v>705</v>
      </c>
      <c r="AD45" s="226">
        <v>1</v>
      </c>
      <c r="AE45" s="226">
        <v>19</v>
      </c>
    </row>
    <row r="46" spans="2:31" ht="20.25">
      <c r="B46" s="542"/>
      <c r="D46" s="340"/>
      <c r="G46" s="226">
        <v>701</v>
      </c>
      <c r="H46" s="226">
        <v>6</v>
      </c>
      <c r="I46" s="226">
        <v>37</v>
      </c>
      <c r="O46" s="438"/>
      <c r="P46" s="498"/>
      <c r="S46" s="226">
        <v>693</v>
      </c>
      <c r="T46" s="226">
        <v>3</v>
      </c>
      <c r="U46" s="226">
        <v>22</v>
      </c>
      <c r="AA46" s="513"/>
      <c r="AC46" s="226">
        <v>704</v>
      </c>
      <c r="AD46" s="226">
        <v>3</v>
      </c>
      <c r="AE46" s="226">
        <v>19</v>
      </c>
    </row>
    <row r="47" spans="2:31" ht="20.25">
      <c r="B47" s="542"/>
      <c r="D47" s="340"/>
      <c r="G47" s="226">
        <v>700</v>
      </c>
      <c r="H47" s="226">
        <v>4</v>
      </c>
      <c r="I47" s="226">
        <v>37</v>
      </c>
      <c r="O47" s="438"/>
      <c r="P47" s="539"/>
      <c r="S47" s="226">
        <v>692</v>
      </c>
      <c r="T47" s="226">
        <v>2</v>
      </c>
      <c r="U47" s="226">
        <v>23</v>
      </c>
      <c r="AA47" s="513"/>
      <c r="AC47" s="226">
        <v>703</v>
      </c>
      <c r="AD47" s="226">
        <v>1</v>
      </c>
      <c r="AE47" s="226">
        <v>18</v>
      </c>
    </row>
    <row r="48" spans="2:31" ht="20.25">
      <c r="B48" s="542"/>
      <c r="D48" s="340"/>
      <c r="G48" s="226">
        <v>699</v>
      </c>
      <c r="H48" s="226">
        <v>5</v>
      </c>
      <c r="I48" s="226">
        <v>35</v>
      </c>
      <c r="O48" s="438"/>
      <c r="P48" s="498"/>
      <c r="S48" s="226">
        <v>691</v>
      </c>
      <c r="T48" s="226">
        <v>5</v>
      </c>
      <c r="U48" s="226">
        <v>26</v>
      </c>
      <c r="AA48" s="513"/>
      <c r="AC48" s="226">
        <v>702</v>
      </c>
      <c r="AD48" s="226">
        <v>4</v>
      </c>
      <c r="AE48" s="226">
        <v>23</v>
      </c>
    </row>
    <row r="49" spans="2:31" ht="20.25">
      <c r="B49" s="542"/>
      <c r="D49" s="340"/>
      <c r="G49" s="226">
        <v>698</v>
      </c>
      <c r="H49" s="226">
        <v>4</v>
      </c>
      <c r="I49" s="226">
        <v>34</v>
      </c>
      <c r="O49" s="438"/>
      <c r="P49" s="539"/>
      <c r="S49" s="226">
        <v>690</v>
      </c>
      <c r="T49" s="226">
        <v>4</v>
      </c>
      <c r="U49" s="226">
        <v>25</v>
      </c>
      <c r="AA49" s="513"/>
      <c r="AC49" s="226">
        <v>701</v>
      </c>
      <c r="AD49" s="226">
        <v>3</v>
      </c>
      <c r="AE49" s="226">
        <v>25</v>
      </c>
    </row>
    <row r="50" spans="2:31" ht="20.25">
      <c r="B50" s="513"/>
      <c r="D50" s="352"/>
      <c r="G50" s="226">
        <v>697</v>
      </c>
      <c r="H50" s="226">
        <v>5</v>
      </c>
      <c r="I50" s="226">
        <v>33</v>
      </c>
      <c r="O50" s="438"/>
      <c r="P50" s="498"/>
      <c r="S50" s="226">
        <v>689</v>
      </c>
      <c r="T50" s="226">
        <v>2</v>
      </c>
      <c r="U50" s="226">
        <v>25</v>
      </c>
      <c r="AA50" s="513"/>
      <c r="AC50" s="226">
        <v>700</v>
      </c>
      <c r="AD50" s="226">
        <v>1</v>
      </c>
      <c r="AE50" s="226">
        <v>24</v>
      </c>
    </row>
    <row r="51" spans="2:31" ht="20.25">
      <c r="B51" s="542"/>
      <c r="D51" s="340"/>
      <c r="G51" s="226">
        <v>696</v>
      </c>
      <c r="H51" s="226">
        <v>4</v>
      </c>
      <c r="I51" s="226">
        <v>33</v>
      </c>
      <c r="O51" s="438"/>
      <c r="P51" s="498"/>
      <c r="S51" s="226">
        <v>688</v>
      </c>
      <c r="T51" s="226">
        <v>3</v>
      </c>
      <c r="U51" s="226">
        <v>24</v>
      </c>
      <c r="AA51" s="513"/>
      <c r="AC51" s="226">
        <v>699</v>
      </c>
      <c r="AD51" s="226">
        <v>3</v>
      </c>
      <c r="AE51" s="226">
        <v>23</v>
      </c>
    </row>
    <row r="52" spans="2:31" ht="20.25">
      <c r="B52" s="542"/>
      <c r="D52" s="340"/>
      <c r="G52" s="226">
        <v>695</v>
      </c>
      <c r="H52" s="226">
        <v>4</v>
      </c>
      <c r="I52" s="226">
        <v>32</v>
      </c>
      <c r="O52" s="438"/>
      <c r="P52" s="539"/>
      <c r="S52" s="226">
        <v>687</v>
      </c>
      <c r="T52" s="226">
        <v>3</v>
      </c>
      <c r="U52" s="226">
        <v>24</v>
      </c>
      <c r="AA52" s="539"/>
      <c r="AC52" s="226">
        <v>698</v>
      </c>
      <c r="AD52" s="226">
        <v>4</v>
      </c>
      <c r="AE52" s="226">
        <v>24</v>
      </c>
    </row>
    <row r="53" spans="2:31" ht="20.25">
      <c r="B53" s="542"/>
      <c r="D53" s="340"/>
      <c r="G53" s="226">
        <v>694</v>
      </c>
      <c r="H53" s="226">
        <v>5</v>
      </c>
      <c r="I53" s="226">
        <v>34</v>
      </c>
      <c r="O53" s="438"/>
      <c r="P53" s="539"/>
      <c r="S53" s="226">
        <v>686</v>
      </c>
      <c r="T53" s="226">
        <v>6</v>
      </c>
      <c r="U53" s="226">
        <v>27</v>
      </c>
      <c r="AA53" s="513"/>
      <c r="AC53" s="226">
        <v>697</v>
      </c>
      <c r="AD53" s="226">
        <v>5</v>
      </c>
      <c r="AE53" s="226">
        <v>24</v>
      </c>
    </row>
    <row r="54" spans="2:31" ht="20.25">
      <c r="B54" s="542"/>
      <c r="D54" s="340"/>
      <c r="G54" s="226">
        <v>693</v>
      </c>
      <c r="H54" s="226">
        <v>4</v>
      </c>
      <c r="I54" s="226">
        <v>36</v>
      </c>
      <c r="O54" s="438"/>
      <c r="P54" s="498"/>
      <c r="S54" s="226">
        <v>685</v>
      </c>
      <c r="T54" s="226">
        <v>4</v>
      </c>
      <c r="U54" s="226">
        <v>25</v>
      </c>
      <c r="AA54" s="513"/>
      <c r="AC54" s="226">
        <v>696</v>
      </c>
      <c r="AD54" s="226">
        <v>3</v>
      </c>
      <c r="AE54" s="226">
        <v>22</v>
      </c>
    </row>
    <row r="55" spans="2:31" ht="20.25">
      <c r="B55" s="513"/>
      <c r="D55" s="340"/>
      <c r="G55" s="226">
        <v>692</v>
      </c>
      <c r="H55" s="226">
        <v>6</v>
      </c>
      <c r="I55" s="226">
        <v>34</v>
      </c>
      <c r="O55" s="438"/>
      <c r="P55" s="498"/>
      <c r="S55" s="226">
        <v>684</v>
      </c>
      <c r="T55" s="226">
        <v>5</v>
      </c>
      <c r="U55" s="226">
        <v>26</v>
      </c>
      <c r="AA55" s="513"/>
      <c r="AC55" s="226">
        <v>695</v>
      </c>
      <c r="AD55" s="226">
        <v>2</v>
      </c>
      <c r="AE55" s="226">
        <v>19</v>
      </c>
    </row>
    <row r="56" spans="2:31" ht="20.25">
      <c r="B56" s="542"/>
      <c r="D56" s="340"/>
      <c r="G56" s="226">
        <v>691</v>
      </c>
      <c r="H56" s="226">
        <v>5</v>
      </c>
      <c r="I56" s="226">
        <v>34</v>
      </c>
      <c r="O56" s="438"/>
      <c r="P56" s="498"/>
      <c r="S56" s="226">
        <v>683</v>
      </c>
      <c r="T56" s="226">
        <v>3</v>
      </c>
      <c r="U56" s="226">
        <v>27</v>
      </c>
      <c r="AA56" s="498"/>
      <c r="AC56" s="226">
        <v>694</v>
      </c>
      <c r="AD56" s="226">
        <v>5</v>
      </c>
      <c r="AE56" s="226">
        <v>20</v>
      </c>
    </row>
    <row r="57" spans="2:31" ht="20.25">
      <c r="B57" s="542"/>
      <c r="D57" s="340"/>
      <c r="G57" s="226">
        <v>690</v>
      </c>
      <c r="H57" s="226">
        <v>4</v>
      </c>
      <c r="I57" s="226">
        <v>34</v>
      </c>
      <c r="O57" s="438"/>
      <c r="P57" s="498"/>
      <c r="S57" s="226">
        <v>682</v>
      </c>
      <c r="T57" s="226">
        <v>4</v>
      </c>
      <c r="U57" s="226">
        <v>28</v>
      </c>
      <c r="AA57" s="513"/>
      <c r="AC57" s="226">
        <v>693</v>
      </c>
      <c r="AD57" s="226">
        <v>3</v>
      </c>
      <c r="AE57" s="226">
        <v>22</v>
      </c>
    </row>
    <row r="58" spans="2:31" ht="20.25">
      <c r="B58" s="542"/>
      <c r="D58" s="352"/>
      <c r="G58" s="226">
        <v>689</v>
      </c>
      <c r="H58" s="226">
        <v>3</v>
      </c>
      <c r="I58" s="226">
        <v>29</v>
      </c>
      <c r="O58" s="438"/>
      <c r="P58" s="539"/>
      <c r="S58" s="226">
        <v>681</v>
      </c>
      <c r="T58" s="226">
        <v>3</v>
      </c>
      <c r="U58" s="226">
        <v>28</v>
      </c>
      <c r="AA58" s="513"/>
      <c r="AC58" s="226">
        <v>692</v>
      </c>
      <c r="AD58" s="226">
        <v>2</v>
      </c>
      <c r="AE58" s="226">
        <v>20</v>
      </c>
    </row>
    <row r="59" spans="2:31" ht="20.25">
      <c r="B59" s="542"/>
      <c r="D59" s="352"/>
      <c r="G59" s="226">
        <v>688</v>
      </c>
      <c r="H59" s="226">
        <v>4</v>
      </c>
      <c r="I59" s="226">
        <v>28</v>
      </c>
      <c r="O59" s="438"/>
      <c r="P59" s="539"/>
      <c r="S59" s="226">
        <v>680</v>
      </c>
      <c r="T59" s="226">
        <v>1</v>
      </c>
      <c r="U59" s="226">
        <v>26</v>
      </c>
      <c r="AA59" s="513"/>
      <c r="AC59" s="226">
        <v>691</v>
      </c>
      <c r="AD59" s="226">
        <v>4</v>
      </c>
      <c r="AE59" s="226">
        <v>23</v>
      </c>
    </row>
    <row r="60" spans="2:31" ht="20.25">
      <c r="B60" s="542"/>
      <c r="D60" s="340"/>
      <c r="G60" s="226">
        <v>687</v>
      </c>
      <c r="H60" s="226">
        <v>5</v>
      </c>
      <c r="I60" s="226">
        <v>29</v>
      </c>
      <c r="O60" s="438"/>
      <c r="P60" s="539"/>
      <c r="S60" s="226">
        <v>679</v>
      </c>
      <c r="T60" s="226">
        <v>5</v>
      </c>
      <c r="U60" s="226">
        <v>25</v>
      </c>
      <c r="AA60" s="513"/>
      <c r="AC60" s="226">
        <v>690</v>
      </c>
      <c r="AD60" s="226">
        <v>3</v>
      </c>
      <c r="AE60" s="226">
        <v>22</v>
      </c>
    </row>
    <row r="61" spans="2:31" ht="20.25">
      <c r="B61" s="513"/>
      <c r="D61" s="352"/>
      <c r="G61" s="226">
        <v>686</v>
      </c>
      <c r="H61" s="226">
        <v>5</v>
      </c>
      <c r="I61" s="226">
        <v>30</v>
      </c>
      <c r="O61" s="438"/>
      <c r="P61" s="498"/>
      <c r="S61" s="226">
        <v>678</v>
      </c>
      <c r="T61" s="226">
        <v>5</v>
      </c>
      <c r="U61" s="226">
        <v>28</v>
      </c>
      <c r="AA61" s="513"/>
      <c r="AC61" s="226">
        <v>689</v>
      </c>
      <c r="AD61" s="226">
        <v>1</v>
      </c>
      <c r="AE61" s="226">
        <v>18</v>
      </c>
    </row>
    <row r="62" spans="2:31" ht="20.25">
      <c r="B62" s="542"/>
      <c r="D62" s="340"/>
      <c r="G62" s="226">
        <v>685</v>
      </c>
      <c r="H62" s="226">
        <v>5</v>
      </c>
      <c r="I62" s="226">
        <v>30</v>
      </c>
      <c r="O62" s="438"/>
      <c r="P62" s="539"/>
      <c r="S62" s="226">
        <v>677</v>
      </c>
      <c r="T62" s="226">
        <v>3</v>
      </c>
      <c r="U62" s="226">
        <v>28</v>
      </c>
      <c r="AA62" s="542"/>
      <c r="AC62" s="226">
        <v>688</v>
      </c>
      <c r="AD62" s="226">
        <v>3</v>
      </c>
      <c r="AE62" s="226">
        <v>18</v>
      </c>
    </row>
    <row r="63" spans="2:31" ht="20.25">
      <c r="B63" s="542"/>
      <c r="D63" s="340"/>
      <c r="G63" s="226">
        <v>684</v>
      </c>
      <c r="H63" s="226">
        <v>4</v>
      </c>
      <c r="I63" s="226">
        <v>30</v>
      </c>
      <c r="O63" s="438"/>
      <c r="P63" s="498"/>
      <c r="S63" s="226">
        <v>676</v>
      </c>
      <c r="T63" s="226">
        <v>3</v>
      </c>
      <c r="U63" s="226">
        <v>26</v>
      </c>
      <c r="AA63" s="498"/>
      <c r="AC63" s="226">
        <v>687</v>
      </c>
      <c r="AD63" s="226">
        <v>3</v>
      </c>
      <c r="AE63" s="226">
        <v>19</v>
      </c>
    </row>
    <row r="64" spans="2:31" ht="20.25">
      <c r="B64" s="542"/>
      <c r="D64" s="352"/>
      <c r="G64" s="226">
        <v>683</v>
      </c>
      <c r="H64" s="226">
        <v>5</v>
      </c>
      <c r="I64" s="226">
        <v>33</v>
      </c>
      <c r="O64" s="438"/>
      <c r="P64" s="498"/>
      <c r="S64" s="226">
        <v>675</v>
      </c>
      <c r="T64" s="226">
        <v>3</v>
      </c>
      <c r="U64" s="226">
        <v>27</v>
      </c>
      <c r="AA64" s="498"/>
      <c r="AC64" s="226">
        <v>686</v>
      </c>
      <c r="AD64" s="226">
        <v>5</v>
      </c>
      <c r="AE64" s="226">
        <v>22</v>
      </c>
    </row>
    <row r="65" spans="2:31" ht="20.25">
      <c r="B65" s="542"/>
      <c r="D65" s="340"/>
      <c r="G65" s="226">
        <v>682</v>
      </c>
      <c r="H65" s="226">
        <v>2</v>
      </c>
      <c r="I65" s="226">
        <v>29</v>
      </c>
      <c r="O65" s="438"/>
      <c r="P65" s="498"/>
      <c r="S65" s="226">
        <v>674</v>
      </c>
      <c r="T65" s="226">
        <v>4</v>
      </c>
      <c r="U65" s="226">
        <v>26</v>
      </c>
      <c r="AA65" s="491"/>
      <c r="AC65" s="226">
        <v>685</v>
      </c>
      <c r="AD65" s="226">
        <v>4</v>
      </c>
      <c r="AE65" s="226">
        <v>20</v>
      </c>
    </row>
    <row r="66" spans="2:31" ht="20.25">
      <c r="B66" s="542"/>
      <c r="D66" s="340"/>
      <c r="G66" s="226">
        <v>681</v>
      </c>
      <c r="H66" s="226">
        <v>4</v>
      </c>
      <c r="I66" s="226">
        <v>30</v>
      </c>
      <c r="O66" s="438"/>
      <c r="P66" s="539"/>
      <c r="S66" s="226">
        <v>673</v>
      </c>
      <c r="T66" s="226">
        <v>4</v>
      </c>
      <c r="U66" s="226">
        <v>26</v>
      </c>
      <c r="AA66" s="139"/>
      <c r="AC66" s="226">
        <v>684</v>
      </c>
      <c r="AD66" s="226">
        <v>3</v>
      </c>
      <c r="AE66" s="226">
        <v>18</v>
      </c>
    </row>
    <row r="67" spans="2:31" ht="20.25">
      <c r="B67" s="542"/>
      <c r="D67" s="340"/>
      <c r="G67" s="226">
        <v>680</v>
      </c>
      <c r="H67" s="226">
        <v>5</v>
      </c>
      <c r="I67" s="226">
        <v>30</v>
      </c>
      <c r="O67" s="438"/>
      <c r="P67" s="498"/>
      <c r="S67" s="226">
        <v>672</v>
      </c>
      <c r="T67" s="226">
        <v>2</v>
      </c>
      <c r="U67" s="226">
        <v>27</v>
      </c>
      <c r="AA67" s="488"/>
      <c r="AC67" s="226">
        <v>683</v>
      </c>
      <c r="AD67" s="226">
        <v>2</v>
      </c>
      <c r="AE67" s="226">
        <v>21</v>
      </c>
    </row>
    <row r="68" spans="2:31" ht="20.25">
      <c r="B68" s="542"/>
      <c r="D68" s="340"/>
      <c r="G68" s="226">
        <v>679</v>
      </c>
      <c r="H68" s="226">
        <v>5</v>
      </c>
      <c r="I68" s="226">
        <v>30</v>
      </c>
      <c r="O68" s="438"/>
      <c r="P68" s="498"/>
      <c r="S68" s="226">
        <v>671</v>
      </c>
      <c r="T68" s="226">
        <v>1</v>
      </c>
      <c r="U68" s="226">
        <v>24</v>
      </c>
      <c r="AA68" s="487"/>
      <c r="AC68" s="226">
        <v>682</v>
      </c>
      <c r="AD68" s="226">
        <v>2</v>
      </c>
      <c r="AE68" s="226">
        <v>22</v>
      </c>
    </row>
    <row r="69" spans="2:31" ht="20.25">
      <c r="B69" s="542"/>
      <c r="G69" s="226">
        <v>678</v>
      </c>
      <c r="H69" s="226">
        <v>6</v>
      </c>
      <c r="I69" s="226">
        <v>33</v>
      </c>
      <c r="O69" s="438"/>
      <c r="P69" s="498"/>
      <c r="S69" s="226">
        <v>670</v>
      </c>
      <c r="T69" s="226">
        <v>2</v>
      </c>
      <c r="U69" s="226">
        <v>21</v>
      </c>
      <c r="AC69" s="226">
        <v>681</v>
      </c>
      <c r="AD69" s="226">
        <v>1</v>
      </c>
      <c r="AE69" s="226">
        <v>21</v>
      </c>
    </row>
    <row r="70" spans="2:31" ht="20.25">
      <c r="B70" s="542"/>
      <c r="G70" s="226">
        <v>677</v>
      </c>
      <c r="H70" s="226">
        <v>4</v>
      </c>
      <c r="I70" s="226">
        <v>35</v>
      </c>
      <c r="O70" s="438"/>
      <c r="P70" s="539"/>
      <c r="S70" s="226">
        <v>669</v>
      </c>
      <c r="T70" s="226">
        <v>4</v>
      </c>
      <c r="U70" s="226">
        <v>22</v>
      </c>
      <c r="AC70" s="226">
        <v>680</v>
      </c>
      <c r="AD70" s="226">
        <v>1</v>
      </c>
      <c r="AE70" s="226">
        <v>19</v>
      </c>
    </row>
    <row r="71" spans="2:31" ht="20.25">
      <c r="B71" s="542"/>
      <c r="G71" s="226">
        <v>676</v>
      </c>
      <c r="H71" s="226">
        <v>4</v>
      </c>
      <c r="I71" s="226">
        <v>30</v>
      </c>
      <c r="O71" s="139"/>
      <c r="P71" s="498"/>
      <c r="S71" s="226">
        <v>668</v>
      </c>
      <c r="T71" s="226">
        <v>3</v>
      </c>
      <c r="U71" s="226">
        <v>23</v>
      </c>
      <c r="AC71" s="226">
        <v>679</v>
      </c>
      <c r="AD71" s="226">
        <v>5</v>
      </c>
      <c r="AE71" s="226">
        <v>20</v>
      </c>
    </row>
    <row r="72" spans="2:31" ht="20.25">
      <c r="B72" s="542"/>
      <c r="G72" s="226">
        <v>675</v>
      </c>
      <c r="H72" s="226">
        <v>4</v>
      </c>
      <c r="I72" s="226">
        <v>32</v>
      </c>
      <c r="O72" s="434"/>
      <c r="P72" s="498"/>
      <c r="S72" s="226">
        <v>667</v>
      </c>
      <c r="T72" s="226">
        <v>4</v>
      </c>
      <c r="U72" s="226">
        <v>23</v>
      </c>
      <c r="AC72" s="226">
        <v>678</v>
      </c>
      <c r="AD72" s="226">
        <v>5</v>
      </c>
      <c r="AE72" s="226">
        <v>23</v>
      </c>
    </row>
    <row r="73" spans="2:31" ht="20.25">
      <c r="B73" s="513"/>
      <c r="G73" s="226">
        <v>674</v>
      </c>
      <c r="H73" s="226">
        <v>6</v>
      </c>
      <c r="I73" s="226">
        <v>31</v>
      </c>
      <c r="O73" s="434"/>
      <c r="P73" s="539"/>
      <c r="S73" s="226">
        <v>666</v>
      </c>
      <c r="T73" s="226">
        <v>5</v>
      </c>
      <c r="U73" s="226">
        <v>24</v>
      </c>
      <c r="AC73" s="226">
        <v>677</v>
      </c>
      <c r="AD73" s="226">
        <v>2</v>
      </c>
      <c r="AE73" s="226">
        <v>24</v>
      </c>
    </row>
    <row r="74" spans="2:31" ht="20.25">
      <c r="B74" s="542"/>
      <c r="G74" s="226">
        <v>673</v>
      </c>
      <c r="H74" s="226">
        <v>4</v>
      </c>
      <c r="I74" s="226">
        <v>29</v>
      </c>
      <c r="O74" s="423"/>
      <c r="P74" s="539"/>
      <c r="S74" s="226">
        <v>665</v>
      </c>
      <c r="T74" s="226">
        <v>3</v>
      </c>
      <c r="U74" s="226">
        <v>22</v>
      </c>
      <c r="AC74" s="226">
        <v>676</v>
      </c>
      <c r="AD74" s="226">
        <v>3</v>
      </c>
      <c r="AE74" s="226">
        <v>20</v>
      </c>
    </row>
    <row r="75" spans="2:31" ht="20.25">
      <c r="B75" s="542"/>
      <c r="G75" s="226">
        <v>672</v>
      </c>
      <c r="H75" s="226">
        <v>2</v>
      </c>
      <c r="I75" s="226">
        <v>27</v>
      </c>
      <c r="O75" s="423"/>
      <c r="P75" s="556"/>
      <c r="S75" s="226">
        <v>664</v>
      </c>
      <c r="T75" s="226">
        <v>3</v>
      </c>
      <c r="U75" s="226">
        <v>24</v>
      </c>
      <c r="AC75" s="226">
        <v>675</v>
      </c>
      <c r="AD75" s="226">
        <v>2</v>
      </c>
      <c r="AE75" s="226">
        <v>24</v>
      </c>
    </row>
    <row r="76" spans="2:31" ht="20.25">
      <c r="B76" s="542"/>
      <c r="G76" s="226">
        <v>671</v>
      </c>
      <c r="H76" s="226">
        <v>3</v>
      </c>
      <c r="I76" s="226">
        <v>30</v>
      </c>
      <c r="O76" s="415"/>
      <c r="P76" s="556"/>
      <c r="S76" s="226">
        <v>663</v>
      </c>
      <c r="T76" s="226">
        <v>4</v>
      </c>
      <c r="U76" s="226">
        <v>23</v>
      </c>
      <c r="AC76" s="226">
        <v>674</v>
      </c>
      <c r="AD76" s="226">
        <v>4</v>
      </c>
      <c r="AE76" s="226">
        <v>21</v>
      </c>
    </row>
    <row r="77" spans="2:31" ht="20.25">
      <c r="B77" s="542"/>
      <c r="G77" s="226">
        <v>670</v>
      </c>
      <c r="H77" s="226">
        <v>4</v>
      </c>
      <c r="I77" s="226">
        <v>29</v>
      </c>
      <c r="O77" s="415"/>
      <c r="P77" s="556"/>
      <c r="S77" s="226">
        <v>662</v>
      </c>
      <c r="T77" s="226">
        <v>2</v>
      </c>
      <c r="U77" s="226">
        <v>22</v>
      </c>
      <c r="AC77" s="226">
        <v>673</v>
      </c>
      <c r="AD77" s="226">
        <v>3</v>
      </c>
      <c r="AE77" s="226">
        <v>19</v>
      </c>
    </row>
    <row r="78" spans="2:31" ht="20.25">
      <c r="B78" s="542"/>
      <c r="G78" s="226">
        <v>669</v>
      </c>
      <c r="H78" s="226">
        <v>5</v>
      </c>
      <c r="I78" s="226">
        <v>32</v>
      </c>
      <c r="O78" s="260"/>
      <c r="S78" s="226">
        <v>661</v>
      </c>
      <c r="T78" s="226">
        <v>3</v>
      </c>
      <c r="U78" s="226">
        <v>21</v>
      </c>
      <c r="AC78" s="226">
        <v>672</v>
      </c>
      <c r="AD78" s="226">
        <v>2</v>
      </c>
      <c r="AE78" s="226">
        <v>21</v>
      </c>
    </row>
    <row r="79" spans="2:31" ht="20.25">
      <c r="B79" s="542"/>
      <c r="G79" s="226">
        <v>668</v>
      </c>
      <c r="H79" s="226">
        <v>5</v>
      </c>
      <c r="I79" s="226">
        <v>33</v>
      </c>
      <c r="O79" s="279"/>
      <c r="S79" s="226">
        <v>660</v>
      </c>
      <c r="T79" s="226">
        <v>4</v>
      </c>
      <c r="U79" s="226">
        <v>21</v>
      </c>
      <c r="AC79" s="226">
        <v>671</v>
      </c>
      <c r="AD79" s="226">
        <v>1</v>
      </c>
      <c r="AE79" s="226">
        <v>21</v>
      </c>
    </row>
    <row r="80" spans="2:31" ht="20.25">
      <c r="B80" s="542"/>
      <c r="G80" s="226">
        <v>667</v>
      </c>
      <c r="H80" s="226">
        <v>6</v>
      </c>
      <c r="I80" s="226">
        <v>35</v>
      </c>
      <c r="O80" s="260"/>
      <c r="S80" s="226">
        <v>659</v>
      </c>
      <c r="T80" s="226">
        <v>3</v>
      </c>
      <c r="U80" s="226">
        <v>21</v>
      </c>
      <c r="AC80" s="226">
        <v>670</v>
      </c>
      <c r="AD80" s="226">
        <v>2</v>
      </c>
      <c r="AE80" s="226">
        <v>20</v>
      </c>
    </row>
    <row r="81" spans="2:31" ht="20.25">
      <c r="B81" s="542"/>
      <c r="G81" s="226">
        <v>666</v>
      </c>
      <c r="H81" s="226">
        <v>4</v>
      </c>
      <c r="I81" s="226">
        <v>32</v>
      </c>
      <c r="O81" s="377"/>
      <c r="S81" s="226">
        <v>658</v>
      </c>
      <c r="T81" s="226">
        <v>0</v>
      </c>
      <c r="U81" s="226">
        <v>19</v>
      </c>
      <c r="AC81" s="226">
        <v>669</v>
      </c>
      <c r="AD81" s="226">
        <v>4</v>
      </c>
      <c r="AE81" s="226">
        <v>19</v>
      </c>
    </row>
    <row r="82" spans="2:31" ht="20.25">
      <c r="B82" s="542"/>
      <c r="G82" s="226">
        <v>665</v>
      </c>
      <c r="H82" s="226">
        <v>5</v>
      </c>
      <c r="I82" s="226">
        <v>34</v>
      </c>
      <c r="O82" s="377"/>
      <c r="S82" s="226">
        <v>657</v>
      </c>
      <c r="T82" s="226">
        <v>4</v>
      </c>
      <c r="U82" s="226">
        <v>20</v>
      </c>
      <c r="AC82" s="226">
        <v>668</v>
      </c>
      <c r="AD82" s="226">
        <v>3</v>
      </c>
      <c r="AE82" s="226">
        <v>21</v>
      </c>
    </row>
    <row r="83" spans="2:31" ht="20.25">
      <c r="B83" s="513"/>
      <c r="G83" s="226">
        <v>664</v>
      </c>
      <c r="H83" s="226">
        <v>4</v>
      </c>
      <c r="I83" s="226">
        <v>33</v>
      </c>
      <c r="O83" s="377"/>
      <c r="S83" s="226">
        <v>656</v>
      </c>
      <c r="T83" s="226">
        <v>4</v>
      </c>
      <c r="U83" s="226">
        <v>20</v>
      </c>
      <c r="AC83" s="226">
        <v>667</v>
      </c>
      <c r="AD83" s="226">
        <v>4</v>
      </c>
      <c r="AE83" s="226">
        <v>22</v>
      </c>
    </row>
    <row r="84" spans="2:31" ht="20.25">
      <c r="B84" s="513"/>
      <c r="G84" s="226">
        <v>663</v>
      </c>
      <c r="H84" s="226">
        <v>5</v>
      </c>
      <c r="I84" s="226">
        <v>32</v>
      </c>
      <c r="O84" s="377"/>
      <c r="S84" s="226">
        <v>655</v>
      </c>
      <c r="T84" s="226">
        <v>5</v>
      </c>
      <c r="U84" s="226">
        <v>21</v>
      </c>
      <c r="AC84" s="226">
        <v>666</v>
      </c>
      <c r="AD84" s="226">
        <v>3</v>
      </c>
      <c r="AE84" s="226">
        <v>20</v>
      </c>
    </row>
    <row r="85" spans="2:31" ht="20.25">
      <c r="B85" s="513"/>
      <c r="G85" s="226">
        <v>662</v>
      </c>
      <c r="H85" s="226">
        <v>5</v>
      </c>
      <c r="I85" s="226">
        <v>28</v>
      </c>
      <c r="O85" s="377"/>
      <c r="S85" s="226">
        <v>654</v>
      </c>
      <c r="T85" s="226">
        <v>3</v>
      </c>
      <c r="U85" s="226">
        <v>22</v>
      </c>
      <c r="AC85" s="226">
        <v>665</v>
      </c>
      <c r="AD85" s="226">
        <v>3</v>
      </c>
      <c r="AE85" s="226">
        <v>21</v>
      </c>
    </row>
    <row r="86" spans="2:31" ht="20.25">
      <c r="B86" s="513"/>
      <c r="G86" s="226">
        <v>661</v>
      </c>
      <c r="H86" s="226">
        <v>3</v>
      </c>
      <c r="I86" s="226">
        <v>27</v>
      </c>
      <c r="O86" s="377"/>
      <c r="S86" s="226">
        <v>653</v>
      </c>
      <c r="T86" s="226">
        <v>3</v>
      </c>
      <c r="U86" s="226">
        <v>21</v>
      </c>
      <c r="AC86" s="226">
        <v>664</v>
      </c>
      <c r="AD86" s="226">
        <v>3</v>
      </c>
      <c r="AE86" s="226">
        <v>20</v>
      </c>
    </row>
    <row r="87" spans="2:31" ht="20.25">
      <c r="B87" s="513"/>
      <c r="G87" s="226">
        <v>660</v>
      </c>
      <c r="H87" s="226">
        <v>6</v>
      </c>
      <c r="I87" s="226">
        <v>27</v>
      </c>
      <c r="O87" s="377"/>
      <c r="S87" s="226">
        <v>652</v>
      </c>
      <c r="T87" s="226">
        <v>3</v>
      </c>
      <c r="U87" s="226">
        <v>23</v>
      </c>
      <c r="AC87" s="226">
        <v>663</v>
      </c>
      <c r="AD87" s="226">
        <v>4</v>
      </c>
      <c r="AE87" s="226">
        <v>20</v>
      </c>
    </row>
    <row r="88" spans="2:31" ht="20.25">
      <c r="B88" s="522"/>
      <c r="G88" s="226">
        <v>659</v>
      </c>
      <c r="H88" s="226">
        <v>3</v>
      </c>
      <c r="I88" s="226">
        <v>27</v>
      </c>
      <c r="O88" s="377"/>
      <c r="S88" s="226">
        <v>651</v>
      </c>
      <c r="T88" s="226">
        <v>2</v>
      </c>
      <c r="U88" s="226">
        <v>23</v>
      </c>
      <c r="AC88" s="226">
        <v>662</v>
      </c>
      <c r="AD88" s="226">
        <v>2</v>
      </c>
      <c r="AE88" s="226">
        <v>17</v>
      </c>
    </row>
    <row r="89" spans="2:31" ht="20.25">
      <c r="B89" s="542"/>
      <c r="G89" s="226">
        <v>658</v>
      </c>
      <c r="H89" s="226">
        <v>1</v>
      </c>
      <c r="I89" s="226">
        <v>27</v>
      </c>
      <c r="O89" s="377"/>
      <c r="S89" s="226">
        <v>650</v>
      </c>
      <c r="T89" s="226">
        <v>5</v>
      </c>
      <c r="U89" s="226">
        <v>24</v>
      </c>
    </row>
    <row r="90" spans="2:31" ht="20.25">
      <c r="B90" s="542"/>
      <c r="G90" s="226">
        <v>657</v>
      </c>
      <c r="H90" s="226">
        <v>3</v>
      </c>
      <c r="I90" s="226">
        <v>27</v>
      </c>
      <c r="O90" s="377"/>
      <c r="S90" s="226">
        <v>649</v>
      </c>
      <c r="T90" s="226">
        <v>2</v>
      </c>
      <c r="U90" s="226">
        <v>27</v>
      </c>
    </row>
    <row r="91" spans="2:31" ht="20.25">
      <c r="B91" s="552"/>
      <c r="G91" s="226">
        <v>656</v>
      </c>
      <c r="H91" s="226">
        <v>3</v>
      </c>
      <c r="I91" s="226">
        <v>25</v>
      </c>
      <c r="O91" s="377"/>
      <c r="S91" s="226">
        <v>648</v>
      </c>
      <c r="T91" s="226">
        <v>3</v>
      </c>
      <c r="U91" s="226">
        <v>27</v>
      </c>
    </row>
    <row r="92" spans="2:31" ht="20.25">
      <c r="B92" s="553"/>
      <c r="G92" s="226">
        <v>655</v>
      </c>
      <c r="H92" s="226">
        <v>4</v>
      </c>
      <c r="I92" s="226">
        <v>27</v>
      </c>
      <c r="O92" s="377"/>
      <c r="S92" s="226">
        <v>647</v>
      </c>
      <c r="T92" s="226">
        <v>2</v>
      </c>
      <c r="U92" s="226">
        <v>27</v>
      </c>
    </row>
    <row r="93" spans="2:31" ht="20.25">
      <c r="B93" s="553"/>
      <c r="G93" s="226">
        <v>654</v>
      </c>
      <c r="H93" s="226">
        <v>3</v>
      </c>
      <c r="I93" s="226">
        <v>30</v>
      </c>
      <c r="O93" s="377"/>
      <c r="S93" s="226">
        <v>646</v>
      </c>
      <c r="T93" s="226">
        <v>2</v>
      </c>
      <c r="U93" s="226">
        <v>28</v>
      </c>
    </row>
    <row r="94" spans="2:31" ht="20.25">
      <c r="B94" s="553"/>
      <c r="G94" s="226">
        <v>653</v>
      </c>
      <c r="H94" s="226">
        <v>5</v>
      </c>
      <c r="I94" s="226">
        <v>32</v>
      </c>
      <c r="O94" s="377"/>
      <c r="S94" s="226">
        <v>645</v>
      </c>
      <c r="T94" s="226">
        <v>3</v>
      </c>
      <c r="U94" s="226">
        <v>28</v>
      </c>
    </row>
    <row r="95" spans="2:31" ht="20.25">
      <c r="B95" s="553"/>
      <c r="G95" s="226">
        <v>652</v>
      </c>
      <c r="H95" s="226">
        <v>6</v>
      </c>
      <c r="I95" s="226">
        <v>32</v>
      </c>
      <c r="O95" s="377"/>
      <c r="S95" s="226">
        <v>644</v>
      </c>
      <c r="T95" s="226">
        <v>2</v>
      </c>
      <c r="U95" s="226">
        <v>27</v>
      </c>
    </row>
    <row r="96" spans="2:31" ht="20.25">
      <c r="B96" s="553"/>
      <c r="G96" s="226">
        <v>651</v>
      </c>
      <c r="H96" s="226">
        <v>3</v>
      </c>
      <c r="I96" s="226">
        <v>31</v>
      </c>
      <c r="O96" s="377"/>
      <c r="S96" s="226">
        <v>643</v>
      </c>
      <c r="T96" s="226">
        <v>3</v>
      </c>
      <c r="U96" s="226">
        <v>28</v>
      </c>
    </row>
    <row r="97" spans="2:21" ht="20.25">
      <c r="B97" s="553"/>
      <c r="G97" s="226">
        <v>650</v>
      </c>
      <c r="H97" s="226">
        <v>5</v>
      </c>
      <c r="I97" s="226">
        <v>31</v>
      </c>
      <c r="O97" s="377"/>
      <c r="S97" s="226">
        <v>642</v>
      </c>
      <c r="T97" s="226">
        <v>5</v>
      </c>
      <c r="U97" s="226">
        <v>28</v>
      </c>
    </row>
    <row r="98" spans="2:21" ht="20.25">
      <c r="B98" s="553"/>
      <c r="G98" s="226">
        <v>649</v>
      </c>
      <c r="H98" s="226">
        <v>5</v>
      </c>
      <c r="I98" s="226">
        <v>33</v>
      </c>
      <c r="O98" s="377"/>
      <c r="S98" s="226">
        <v>641</v>
      </c>
      <c r="T98" s="226">
        <v>3</v>
      </c>
      <c r="U98" s="226">
        <v>27</v>
      </c>
    </row>
    <row r="99" spans="2:21" ht="20.25">
      <c r="B99" s="553"/>
      <c r="G99" s="226">
        <v>648</v>
      </c>
      <c r="H99" s="226">
        <v>4</v>
      </c>
      <c r="I99" s="226">
        <v>30</v>
      </c>
      <c r="S99" s="226">
        <v>640</v>
      </c>
      <c r="T99" s="226">
        <v>2</v>
      </c>
      <c r="U99" s="226">
        <v>26</v>
      </c>
    </row>
    <row r="100" spans="2:21" ht="20.25">
      <c r="B100" s="553"/>
      <c r="G100" s="226">
        <v>647</v>
      </c>
      <c r="H100" s="226">
        <v>5</v>
      </c>
      <c r="I100" s="226">
        <v>31</v>
      </c>
      <c r="S100" s="226">
        <v>639</v>
      </c>
      <c r="T100" s="226">
        <v>1</v>
      </c>
      <c r="U100" s="226">
        <v>25</v>
      </c>
    </row>
    <row r="101" spans="2:21" ht="20.25">
      <c r="B101" s="553"/>
      <c r="G101" s="226">
        <v>646</v>
      </c>
      <c r="H101" s="226">
        <v>3</v>
      </c>
      <c r="I101" s="226">
        <v>32</v>
      </c>
      <c r="S101" s="226">
        <v>638</v>
      </c>
      <c r="T101" s="226">
        <v>3</v>
      </c>
      <c r="U101" s="226">
        <v>26</v>
      </c>
    </row>
    <row r="102" spans="2:21" ht="20.25">
      <c r="B102" s="553"/>
      <c r="G102" s="226">
        <v>645</v>
      </c>
      <c r="H102" s="226">
        <v>6</v>
      </c>
      <c r="I102" s="226">
        <v>32</v>
      </c>
      <c r="S102" s="226">
        <v>637</v>
      </c>
      <c r="T102" s="226">
        <v>2</v>
      </c>
      <c r="U102" s="226">
        <v>26</v>
      </c>
    </row>
    <row r="103" spans="2:21" ht="20.25">
      <c r="B103" s="553"/>
      <c r="G103" s="226">
        <v>644</v>
      </c>
      <c r="H103" s="226">
        <v>4</v>
      </c>
      <c r="I103" s="226">
        <v>30</v>
      </c>
      <c r="S103" s="226">
        <v>636</v>
      </c>
      <c r="T103" s="226">
        <v>3</v>
      </c>
      <c r="U103" s="226">
        <v>26</v>
      </c>
    </row>
    <row r="104" spans="2:21" ht="20.25">
      <c r="B104" s="553"/>
      <c r="G104" s="226">
        <v>643</v>
      </c>
      <c r="H104" s="226">
        <v>4</v>
      </c>
      <c r="I104" s="226">
        <v>31</v>
      </c>
      <c r="S104" s="226">
        <v>635</v>
      </c>
      <c r="T104" s="226">
        <v>5</v>
      </c>
      <c r="U104" s="226">
        <v>26</v>
      </c>
    </row>
    <row r="105" spans="2:21" ht="20.25">
      <c r="B105" s="553"/>
      <c r="G105" s="226">
        <v>642</v>
      </c>
      <c r="H105" s="226">
        <v>4</v>
      </c>
      <c r="I105" s="226">
        <v>33</v>
      </c>
      <c r="S105" s="226">
        <v>634</v>
      </c>
      <c r="T105" s="226">
        <v>4</v>
      </c>
      <c r="U105" s="226">
        <v>24</v>
      </c>
    </row>
    <row r="106" spans="2:21" ht="20.25">
      <c r="B106" s="553"/>
      <c r="G106" s="226">
        <v>641</v>
      </c>
      <c r="H106" s="226">
        <v>5</v>
      </c>
      <c r="I106" s="226">
        <v>38</v>
      </c>
      <c r="S106" s="226">
        <v>633</v>
      </c>
      <c r="T106" s="226">
        <v>4</v>
      </c>
      <c r="U106" s="226">
        <v>24</v>
      </c>
    </row>
    <row r="107" spans="2:21" ht="20.25">
      <c r="B107" s="553"/>
      <c r="G107" s="226">
        <v>640</v>
      </c>
      <c r="H107" s="226">
        <v>6</v>
      </c>
      <c r="I107" s="226">
        <v>38</v>
      </c>
      <c r="S107" s="226">
        <v>632</v>
      </c>
      <c r="T107" s="226">
        <v>2</v>
      </c>
      <c r="U107" s="226">
        <v>25</v>
      </c>
    </row>
    <row r="108" spans="2:21" ht="20.25">
      <c r="B108" s="553"/>
      <c r="G108" s="226">
        <v>639</v>
      </c>
      <c r="H108" s="226">
        <v>6</v>
      </c>
      <c r="I108" s="226">
        <v>38</v>
      </c>
      <c r="S108" s="226">
        <v>631</v>
      </c>
      <c r="T108" s="226">
        <v>4</v>
      </c>
      <c r="U108" s="226">
        <v>24</v>
      </c>
    </row>
    <row r="109" spans="2:21" ht="20.25">
      <c r="B109" s="553"/>
      <c r="G109" s="226">
        <v>638</v>
      </c>
      <c r="H109" s="226">
        <v>5</v>
      </c>
      <c r="I109" s="226">
        <v>39</v>
      </c>
      <c r="S109" s="226">
        <v>630</v>
      </c>
      <c r="T109" s="226">
        <v>4</v>
      </c>
      <c r="U109" s="226">
        <v>23</v>
      </c>
    </row>
    <row r="110" spans="2:21" ht="20.25">
      <c r="B110" s="553"/>
      <c r="G110" s="226">
        <v>637</v>
      </c>
      <c r="H110" s="226">
        <v>5</v>
      </c>
      <c r="I110" s="226">
        <v>41</v>
      </c>
      <c r="S110" s="226">
        <v>629</v>
      </c>
      <c r="T110" s="226">
        <v>3</v>
      </c>
      <c r="U110" s="226">
        <v>26</v>
      </c>
    </row>
    <row r="111" spans="2:21" ht="20.25">
      <c r="B111" s="553"/>
      <c r="G111" s="226">
        <v>636</v>
      </c>
      <c r="H111" s="226">
        <v>6</v>
      </c>
      <c r="I111" s="226">
        <v>40</v>
      </c>
      <c r="S111" s="226">
        <v>628</v>
      </c>
      <c r="T111" s="226">
        <v>3</v>
      </c>
      <c r="U111" s="226">
        <v>25</v>
      </c>
    </row>
    <row r="112" spans="2:21" ht="20.25">
      <c r="B112" s="553"/>
      <c r="G112" s="226">
        <v>635</v>
      </c>
      <c r="H112" s="226">
        <v>5</v>
      </c>
      <c r="I112" s="226">
        <v>40</v>
      </c>
      <c r="S112" s="226">
        <v>627</v>
      </c>
      <c r="T112" s="226">
        <v>3</v>
      </c>
      <c r="U112" s="226">
        <v>26</v>
      </c>
    </row>
    <row r="113" spans="2:21" ht="20.25">
      <c r="B113" s="553"/>
      <c r="G113" s="226">
        <v>634</v>
      </c>
      <c r="H113" s="226">
        <v>4</v>
      </c>
      <c r="I113" s="226">
        <v>37</v>
      </c>
      <c r="S113" s="226">
        <v>626</v>
      </c>
      <c r="T113" s="226">
        <v>4</v>
      </c>
      <c r="U113" s="226">
        <v>25</v>
      </c>
    </row>
    <row r="114" spans="2:21" ht="20.25">
      <c r="B114" s="553"/>
      <c r="G114" s="226">
        <v>633</v>
      </c>
      <c r="H114" s="226">
        <v>6</v>
      </c>
      <c r="I114" s="226">
        <v>38</v>
      </c>
      <c r="S114" s="226">
        <v>625</v>
      </c>
      <c r="T114" s="226">
        <v>2</v>
      </c>
      <c r="U114" s="226">
        <v>23</v>
      </c>
    </row>
    <row r="115" spans="2:21" ht="20.25">
      <c r="B115" s="553"/>
      <c r="G115" s="226">
        <v>632</v>
      </c>
      <c r="H115" s="226">
        <v>5</v>
      </c>
      <c r="I115" s="226">
        <v>32</v>
      </c>
      <c r="S115" s="226">
        <v>624</v>
      </c>
      <c r="T115" s="226">
        <v>5</v>
      </c>
      <c r="U115" s="226">
        <v>23</v>
      </c>
    </row>
    <row r="116" spans="2:21" ht="20.25">
      <c r="B116" s="553"/>
      <c r="G116" s="226">
        <v>631</v>
      </c>
      <c r="H116" s="226">
        <v>6</v>
      </c>
      <c r="I116" s="226">
        <v>38</v>
      </c>
      <c r="S116" s="226">
        <v>623</v>
      </c>
      <c r="T116" s="226">
        <v>2</v>
      </c>
      <c r="U116" s="226">
        <v>21</v>
      </c>
    </row>
    <row r="117" spans="2:21" ht="20.25">
      <c r="B117" s="553"/>
      <c r="G117" s="226">
        <v>630</v>
      </c>
      <c r="H117" s="226">
        <v>6</v>
      </c>
      <c r="I117" s="226">
        <v>38</v>
      </c>
      <c r="S117" s="226">
        <v>622</v>
      </c>
      <c r="T117" s="226">
        <v>0</v>
      </c>
      <c r="U117" s="226">
        <v>22</v>
      </c>
    </row>
    <row r="118" spans="2:21" ht="20.25">
      <c r="B118" s="553"/>
      <c r="G118" s="226">
        <v>629</v>
      </c>
      <c r="H118" s="226">
        <v>4</v>
      </c>
      <c r="I118" s="226">
        <v>34</v>
      </c>
      <c r="S118" s="226">
        <v>621</v>
      </c>
      <c r="T118" s="226">
        <v>2</v>
      </c>
      <c r="U118" s="226">
        <v>25</v>
      </c>
    </row>
    <row r="119" spans="2:21" ht="20.25">
      <c r="B119" s="553"/>
      <c r="G119" s="226">
        <v>628</v>
      </c>
      <c r="H119" s="226">
        <v>5</v>
      </c>
      <c r="I119" s="226">
        <v>35</v>
      </c>
      <c r="S119" s="226">
        <v>620</v>
      </c>
      <c r="T119" s="226">
        <v>3</v>
      </c>
      <c r="U119" s="226">
        <v>24</v>
      </c>
    </row>
    <row r="120" spans="2:21" ht="20.25">
      <c r="B120" s="553"/>
      <c r="G120" s="226">
        <v>627</v>
      </c>
      <c r="H120" s="226">
        <v>3</v>
      </c>
      <c r="I120" s="226">
        <v>34</v>
      </c>
      <c r="S120" s="226">
        <v>619</v>
      </c>
      <c r="T120" s="226">
        <v>3</v>
      </c>
      <c r="U120" s="226">
        <v>23</v>
      </c>
    </row>
    <row r="121" spans="2:21" ht="20.25">
      <c r="B121" s="553"/>
      <c r="G121" s="226">
        <v>626</v>
      </c>
      <c r="H121" s="226">
        <v>4</v>
      </c>
      <c r="I121" s="226">
        <v>35</v>
      </c>
      <c r="S121" s="226">
        <v>618</v>
      </c>
      <c r="T121" s="226">
        <v>2</v>
      </c>
      <c r="U121" s="226">
        <v>23</v>
      </c>
    </row>
    <row r="122" spans="2:21" ht="20.25">
      <c r="B122" s="553"/>
      <c r="G122" s="226">
        <v>625</v>
      </c>
      <c r="H122" s="226">
        <v>5</v>
      </c>
      <c r="I122" s="226">
        <v>35</v>
      </c>
      <c r="S122" s="226">
        <v>617</v>
      </c>
      <c r="T122" s="226">
        <v>4</v>
      </c>
      <c r="U122" s="226">
        <v>21</v>
      </c>
    </row>
    <row r="123" spans="2:21" ht="20.25">
      <c r="B123" s="553"/>
      <c r="G123" s="226">
        <v>624</v>
      </c>
      <c r="H123" s="226">
        <v>5</v>
      </c>
      <c r="I123" s="226">
        <v>31</v>
      </c>
      <c r="S123" s="226">
        <v>616</v>
      </c>
      <c r="T123" s="226">
        <v>2</v>
      </c>
      <c r="U123" s="226">
        <v>19</v>
      </c>
    </row>
    <row r="124" spans="2:21" ht="20.25">
      <c r="B124" s="553"/>
      <c r="G124" s="226">
        <v>623</v>
      </c>
      <c r="H124" s="226">
        <v>4</v>
      </c>
      <c r="I124" s="226">
        <v>29</v>
      </c>
      <c r="S124" s="226">
        <v>615</v>
      </c>
      <c r="T124" s="226">
        <v>2</v>
      </c>
      <c r="U124" s="226">
        <v>19</v>
      </c>
    </row>
    <row r="125" spans="2:21" ht="20.25">
      <c r="B125" s="553"/>
      <c r="G125" s="226">
        <v>622</v>
      </c>
      <c r="H125" s="226">
        <v>4</v>
      </c>
      <c r="I125" s="226">
        <v>30</v>
      </c>
      <c r="S125" s="226">
        <v>614</v>
      </c>
      <c r="T125" s="226">
        <v>5</v>
      </c>
      <c r="U125" s="226">
        <v>20</v>
      </c>
    </row>
    <row r="126" spans="2:21">
      <c r="G126" s="226">
        <v>621</v>
      </c>
      <c r="H126" s="226">
        <v>5</v>
      </c>
      <c r="I126" s="226">
        <v>29</v>
      </c>
      <c r="S126" s="226">
        <v>613</v>
      </c>
      <c r="T126" s="226">
        <v>3</v>
      </c>
      <c r="U126" s="226">
        <v>23</v>
      </c>
    </row>
    <row r="127" spans="2:21">
      <c r="G127" s="226">
        <v>620</v>
      </c>
      <c r="H127" s="226">
        <v>4</v>
      </c>
      <c r="I127" s="226">
        <v>29</v>
      </c>
      <c r="S127" s="226">
        <v>612</v>
      </c>
      <c r="T127" s="226">
        <v>2</v>
      </c>
      <c r="U127" s="226">
        <v>23</v>
      </c>
    </row>
    <row r="128" spans="2:21">
      <c r="G128" s="226">
        <v>619</v>
      </c>
      <c r="H128" s="226">
        <v>4</v>
      </c>
      <c r="I128" s="226">
        <v>27</v>
      </c>
      <c r="S128" s="226">
        <v>611</v>
      </c>
      <c r="T128" s="226">
        <v>4</v>
      </c>
      <c r="U128" s="226">
        <v>24</v>
      </c>
    </row>
    <row r="129" spans="7:21">
      <c r="G129" s="226">
        <v>618</v>
      </c>
      <c r="H129" s="226">
        <v>1</v>
      </c>
      <c r="I129" s="226">
        <v>26</v>
      </c>
      <c r="S129" s="226">
        <v>610</v>
      </c>
      <c r="T129" s="226">
        <v>2</v>
      </c>
      <c r="U129" s="226">
        <v>25</v>
      </c>
    </row>
    <row r="130" spans="7:21">
      <c r="G130" s="226">
        <v>617</v>
      </c>
      <c r="H130" s="226">
        <v>4</v>
      </c>
      <c r="I130" s="226">
        <v>24</v>
      </c>
      <c r="S130" s="226">
        <v>609</v>
      </c>
      <c r="T130" s="226">
        <v>5</v>
      </c>
      <c r="U130" s="226">
        <v>24</v>
      </c>
    </row>
    <row r="131" spans="7:21">
      <c r="G131" s="226">
        <v>616</v>
      </c>
      <c r="H131" s="226">
        <v>4</v>
      </c>
      <c r="I131" s="226">
        <v>25</v>
      </c>
      <c r="S131" s="226">
        <v>608</v>
      </c>
      <c r="T131" s="226">
        <v>3</v>
      </c>
    </row>
    <row r="132" spans="7:21">
      <c r="G132" s="226">
        <v>615</v>
      </c>
      <c r="H132" s="226">
        <v>4</v>
      </c>
      <c r="I132" s="226">
        <v>26</v>
      </c>
      <c r="S132" s="226">
        <v>607</v>
      </c>
      <c r="T132" s="226">
        <v>3</v>
      </c>
      <c r="U132" s="226">
        <v>26</v>
      </c>
    </row>
    <row r="133" spans="7:21">
      <c r="G133" s="226">
        <v>614</v>
      </c>
      <c r="H133" s="226">
        <v>4</v>
      </c>
      <c r="I133" s="226">
        <v>28</v>
      </c>
      <c r="S133" s="226">
        <v>606</v>
      </c>
      <c r="T133" s="226">
        <v>3</v>
      </c>
      <c r="U133" s="226">
        <v>25</v>
      </c>
    </row>
    <row r="134" spans="7:21">
      <c r="G134" s="226">
        <v>613</v>
      </c>
      <c r="H134" s="226">
        <v>3</v>
      </c>
      <c r="I134" s="226">
        <v>31</v>
      </c>
      <c r="S134" s="226">
        <v>605</v>
      </c>
      <c r="T134" s="226">
        <v>2</v>
      </c>
      <c r="U134" s="226">
        <v>23</v>
      </c>
    </row>
    <row r="135" spans="7:21">
      <c r="G135" s="226">
        <v>612</v>
      </c>
      <c r="H135" s="226">
        <v>6</v>
      </c>
      <c r="I135" s="226">
        <v>33</v>
      </c>
      <c r="S135" s="226">
        <v>604</v>
      </c>
      <c r="T135" s="226">
        <v>3</v>
      </c>
    </row>
    <row r="136" spans="7:21">
      <c r="G136" s="226">
        <v>611</v>
      </c>
      <c r="H136" s="226">
        <v>5</v>
      </c>
      <c r="I136" s="226">
        <v>33</v>
      </c>
      <c r="S136" s="226">
        <v>603</v>
      </c>
      <c r="T136" s="226">
        <v>4</v>
      </c>
    </row>
    <row r="137" spans="7:21">
      <c r="G137" s="226">
        <v>610</v>
      </c>
      <c r="H137" s="226">
        <v>4</v>
      </c>
      <c r="I137" s="226">
        <v>34</v>
      </c>
      <c r="S137" s="226">
        <v>602</v>
      </c>
      <c r="T137" s="226">
        <v>3</v>
      </c>
    </row>
    <row r="138" spans="7:21">
      <c r="G138" s="226">
        <v>609</v>
      </c>
      <c r="H138" s="226">
        <v>6</v>
      </c>
      <c r="I138" s="226">
        <v>35</v>
      </c>
      <c r="S138" s="226">
        <v>601</v>
      </c>
      <c r="T138" s="226">
        <v>3</v>
      </c>
      <c r="U138" s="226">
        <v>24</v>
      </c>
    </row>
    <row r="139" spans="7:21">
      <c r="G139" s="226">
        <v>608</v>
      </c>
      <c r="H139" s="226">
        <v>5</v>
      </c>
      <c r="I139" s="226">
        <v>33</v>
      </c>
      <c r="S139" s="226">
        <v>600</v>
      </c>
      <c r="T139" s="226">
        <v>2</v>
      </c>
      <c r="U139" s="226">
        <v>21</v>
      </c>
    </row>
    <row r="140" spans="7:21">
      <c r="G140" s="226">
        <v>607</v>
      </c>
      <c r="H140" s="226">
        <v>5</v>
      </c>
      <c r="S140" s="226">
        <v>599</v>
      </c>
      <c r="T140" s="226">
        <v>3</v>
      </c>
    </row>
    <row r="141" spans="7:21">
      <c r="G141" s="226">
        <v>606</v>
      </c>
      <c r="H141" s="226">
        <v>4</v>
      </c>
      <c r="S141" s="226">
        <v>598</v>
      </c>
      <c r="T141" s="226">
        <v>5</v>
      </c>
      <c r="U141" s="226">
        <v>23</v>
      </c>
    </row>
    <row r="142" spans="7:21">
      <c r="G142" s="226">
        <v>605</v>
      </c>
      <c r="H142" s="226">
        <v>4</v>
      </c>
      <c r="S142" s="226">
        <v>597</v>
      </c>
      <c r="T142" s="226">
        <v>5</v>
      </c>
      <c r="U142" s="226">
        <v>23</v>
      </c>
    </row>
    <row r="143" spans="7:21">
      <c r="G143" s="226">
        <v>604</v>
      </c>
      <c r="H143" s="226">
        <v>4</v>
      </c>
      <c r="S143" s="226">
        <v>596</v>
      </c>
      <c r="T143" s="226">
        <v>3</v>
      </c>
      <c r="U143" s="226">
        <v>20</v>
      </c>
    </row>
    <row r="144" spans="7:21">
      <c r="G144" s="226">
        <v>603</v>
      </c>
      <c r="H144" s="226">
        <v>5</v>
      </c>
      <c r="S144" s="226">
        <v>595</v>
      </c>
      <c r="T144" s="226">
        <v>3</v>
      </c>
      <c r="U144" s="226">
        <v>21</v>
      </c>
    </row>
    <row r="145" spans="7:21">
      <c r="G145" s="226">
        <v>602</v>
      </c>
      <c r="H145" s="226">
        <v>4</v>
      </c>
      <c r="S145" s="226">
        <v>594</v>
      </c>
      <c r="T145" s="226">
        <v>5</v>
      </c>
      <c r="U145" s="226">
        <v>21</v>
      </c>
    </row>
    <row r="146" spans="7:21">
      <c r="G146" s="226">
        <v>601</v>
      </c>
      <c r="H146" s="226">
        <v>2</v>
      </c>
      <c r="S146" s="226">
        <v>593</v>
      </c>
      <c r="T146" s="226">
        <v>3</v>
      </c>
      <c r="U146" s="226">
        <v>21</v>
      </c>
    </row>
    <row r="147" spans="7:21">
      <c r="G147" s="226">
        <v>600</v>
      </c>
      <c r="H147" s="226">
        <v>3</v>
      </c>
      <c r="S147" s="226">
        <v>592</v>
      </c>
      <c r="T147" s="226">
        <v>4</v>
      </c>
      <c r="U147" s="226">
        <v>24</v>
      </c>
    </row>
    <row r="148" spans="7:21">
      <c r="G148" s="226">
        <v>599</v>
      </c>
      <c r="H148" s="226">
        <v>5</v>
      </c>
      <c r="S148" s="226">
        <v>591</v>
      </c>
      <c r="T148" s="226">
        <v>3</v>
      </c>
      <c r="U148" s="226">
        <v>23</v>
      </c>
    </row>
    <row r="149" spans="7:21">
      <c r="G149" s="226">
        <v>598</v>
      </c>
      <c r="H149" s="226">
        <v>5</v>
      </c>
      <c r="S149" s="226">
        <v>590</v>
      </c>
      <c r="T149" s="226">
        <v>1</v>
      </c>
      <c r="U149" s="226">
        <v>22</v>
      </c>
    </row>
    <row r="150" spans="7:21">
      <c r="G150" s="226">
        <v>597</v>
      </c>
      <c r="H150" s="226">
        <v>4</v>
      </c>
      <c r="S150" s="226">
        <v>589</v>
      </c>
      <c r="T150" s="226">
        <v>3</v>
      </c>
      <c r="U150" s="226">
        <v>22</v>
      </c>
    </row>
    <row r="151" spans="7:21">
      <c r="S151" s="226">
        <v>588</v>
      </c>
      <c r="T151" s="226">
        <v>3</v>
      </c>
      <c r="U151" s="226">
        <v>22</v>
      </c>
    </row>
    <row r="152" spans="7:21">
      <c r="S152" s="226">
        <v>587</v>
      </c>
      <c r="T152" s="226">
        <v>3</v>
      </c>
      <c r="U152" s="226">
        <v>22</v>
      </c>
    </row>
    <row r="153" spans="7:21">
      <c r="S153" s="226">
        <v>586</v>
      </c>
      <c r="T153" s="226">
        <v>4</v>
      </c>
      <c r="U153" s="226">
        <v>23</v>
      </c>
    </row>
    <row r="154" spans="7:21">
      <c r="S154" s="226">
        <v>585</v>
      </c>
      <c r="T154" s="226">
        <v>2</v>
      </c>
      <c r="U154" s="226">
        <v>24</v>
      </c>
    </row>
    <row r="155" spans="7:21">
      <c r="S155" s="226">
        <v>584</v>
      </c>
      <c r="T155" s="226">
        <v>1</v>
      </c>
      <c r="U155" s="226">
        <v>24</v>
      </c>
    </row>
    <row r="156" spans="7:21">
      <c r="S156" s="226">
        <v>583</v>
      </c>
      <c r="T156" s="226">
        <v>5</v>
      </c>
      <c r="U156" s="226">
        <v>26</v>
      </c>
    </row>
    <row r="157" spans="7:21">
      <c r="S157" s="226">
        <v>582</v>
      </c>
      <c r="T157" s="226">
        <v>4</v>
      </c>
      <c r="U157" s="226">
        <v>27</v>
      </c>
    </row>
    <row r="158" spans="7:21">
      <c r="S158" s="226">
        <v>581</v>
      </c>
      <c r="T158" s="226">
        <v>5</v>
      </c>
      <c r="U158" s="226">
        <v>27</v>
      </c>
    </row>
    <row r="159" spans="7:21">
      <c r="S159" s="226">
        <v>580</v>
      </c>
      <c r="T159" s="226">
        <v>3</v>
      </c>
      <c r="U159" s="226">
        <v>26</v>
      </c>
    </row>
    <row r="160" spans="7:21">
      <c r="S160" s="226">
        <v>579</v>
      </c>
      <c r="T160" s="226">
        <v>3</v>
      </c>
      <c r="U160" s="226">
        <v>25</v>
      </c>
    </row>
    <row r="161" spans="19:21">
      <c r="S161" s="226">
        <v>578</v>
      </c>
      <c r="T161" s="226">
        <v>4</v>
      </c>
      <c r="U161" s="226">
        <v>26</v>
      </c>
    </row>
    <row r="162" spans="19:21">
      <c r="S162" s="226">
        <v>577</v>
      </c>
      <c r="T162" s="226">
        <v>4</v>
      </c>
      <c r="U162" s="226">
        <v>27</v>
      </c>
    </row>
    <row r="163" spans="19:21">
      <c r="S163" s="226">
        <v>576</v>
      </c>
      <c r="T163" s="226">
        <v>4</v>
      </c>
      <c r="U163" s="226">
        <v>27</v>
      </c>
    </row>
    <row r="164" spans="19:21">
      <c r="S164" s="226">
        <v>575</v>
      </c>
      <c r="T164" s="226">
        <v>4</v>
      </c>
      <c r="U164" s="226">
        <v>26</v>
      </c>
    </row>
    <row r="165" spans="19:21">
      <c r="S165" s="226">
        <v>574</v>
      </c>
    </row>
    <row r="166" spans="19:21">
      <c r="S166" s="226">
        <v>573</v>
      </c>
    </row>
    <row r="167" spans="19:21">
      <c r="S167" s="226">
        <v>572</v>
      </c>
    </row>
  </sheetData>
  <autoFilter ref="I2:AE167"/>
  <sortState ref="AA7:AA84">
    <sortCondition ref="AA7"/>
  </sortState>
  <phoneticPr fontId="2" type="noConversion"/>
  <conditionalFormatting sqref="L4:L10">
    <cfRule type="cellIs" dxfId="316" priority="3" operator="greaterThan">
      <formula>0.09</formula>
    </cfRule>
  </conditionalFormatting>
  <conditionalFormatting sqref="X4:X10">
    <cfRule type="cellIs" dxfId="315" priority="2" operator="greaterThan">
      <formula>0.09</formula>
    </cfRule>
  </conditionalFormatting>
  <conditionalFormatting sqref="AH4:AH10">
    <cfRule type="cellIs" dxfId="314" priority="1" operator="greaterThan">
      <formula>0.09</formula>
    </cfRule>
  </conditionalFormatting>
  <pageMargins left="0.7" right="0.7" top="0.75" bottom="0.75" header="0.3" footer="0.3"/>
  <pageSetup paperSize="9" orientation="portrait" horizontalDpi="4294967293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6:BF160"/>
  <sheetViews>
    <sheetView topLeftCell="A25" zoomScale="60" zoomScaleNormal="60" workbookViewId="0">
      <selection activeCell="O7" sqref="O7:R36"/>
    </sheetView>
  </sheetViews>
  <sheetFormatPr defaultRowHeight="16.5"/>
  <cols>
    <col min="1" max="1" width="5.75" style="216" bestFit="1" customWidth="1"/>
    <col min="2" max="2" width="5.625" style="216"/>
    <col min="3" max="7" width="5.75" style="216" bestFit="1" customWidth="1"/>
    <col min="8" max="14" width="5.625" style="216"/>
    <col min="15" max="18" width="5.75" style="216" bestFit="1" customWidth="1"/>
    <col min="19" max="19" width="5.625" style="216"/>
    <col min="20" max="21" width="5.75" style="216" bestFit="1" customWidth="1"/>
    <col min="22" max="23" width="5.625" style="216"/>
    <col min="24" max="25" width="5.75" style="216" bestFit="1" customWidth="1"/>
    <col min="26" max="26" width="6.875" style="216" bestFit="1" customWidth="1"/>
    <col min="27" max="27" width="5.625" style="216"/>
    <col min="28" max="29" width="5.75" style="216" bestFit="1" customWidth="1"/>
    <col min="30" max="30" width="6.875" style="216" bestFit="1" customWidth="1"/>
    <col min="31" max="31" width="5.625" style="216"/>
    <col min="32" max="33" width="5.75" style="216" bestFit="1" customWidth="1"/>
    <col min="34" max="34" width="6.875" style="216" bestFit="1" customWidth="1"/>
    <col min="35" max="35" width="5.625" style="216"/>
    <col min="36" max="37" width="5.75" style="216" bestFit="1" customWidth="1"/>
    <col min="38" max="38" width="6.875" style="216" bestFit="1" customWidth="1"/>
    <col min="39" max="39" width="5.625" style="216"/>
    <col min="40" max="41" width="5.75" style="216" bestFit="1" customWidth="1"/>
    <col min="42" max="42" width="6.875" style="216" bestFit="1" customWidth="1"/>
    <col min="43" max="43" width="5.625" style="216"/>
    <col min="44" max="45" width="5.75" style="216" bestFit="1" customWidth="1"/>
    <col min="46" max="46" width="6.875" style="216" bestFit="1" customWidth="1"/>
    <col min="47" max="16384" width="9" style="216"/>
  </cols>
  <sheetData>
    <row r="6" spans="1:32">
      <c r="H6" s="210" t="s">
        <v>400</v>
      </c>
      <c r="I6" s="210" t="s">
        <v>401</v>
      </c>
      <c r="J6" s="210" t="s">
        <v>402</v>
      </c>
      <c r="K6" s="210" t="s">
        <v>403</v>
      </c>
      <c r="L6" s="210" t="s">
        <v>404</v>
      </c>
      <c r="M6" s="210" t="s">
        <v>405</v>
      </c>
      <c r="O6" s="227" t="s">
        <v>406</v>
      </c>
      <c r="P6" s="227" t="s">
        <v>407</v>
      </c>
      <c r="Q6" s="227" t="s">
        <v>408</v>
      </c>
      <c r="R6" s="227" t="s">
        <v>409</v>
      </c>
    </row>
    <row r="7" spans="1:32">
      <c r="A7" s="210">
        <v>569</v>
      </c>
      <c r="B7" s="211">
        <v>3</v>
      </c>
      <c r="C7" s="212">
        <v>6</v>
      </c>
      <c r="D7" s="212">
        <v>13</v>
      </c>
      <c r="E7" s="212">
        <v>23</v>
      </c>
      <c r="F7" s="212">
        <v>24</v>
      </c>
      <c r="G7" s="213">
        <v>35</v>
      </c>
      <c r="H7" s="209">
        <v>0</v>
      </c>
      <c r="I7" s="209">
        <v>2</v>
      </c>
      <c r="J7" s="209">
        <v>2</v>
      </c>
      <c r="K7" s="209">
        <v>2</v>
      </c>
      <c r="L7" s="209">
        <v>0</v>
      </c>
      <c r="M7" s="209">
        <f>H7+I7</f>
        <v>2</v>
      </c>
      <c r="O7" s="581"/>
      <c r="P7" s="585"/>
      <c r="Q7" s="592"/>
      <c r="R7" s="593"/>
      <c r="S7" s="439"/>
      <c r="T7" s="214">
        <v>1</v>
      </c>
      <c r="U7" s="216">
        <f>COUNTIF(O7:R41,T7)</f>
        <v>0</v>
      </c>
      <c r="Z7" s="216">
        <v>668</v>
      </c>
      <c r="AA7" s="216">
        <v>1</v>
      </c>
      <c r="AB7" s="216">
        <v>2</v>
      </c>
      <c r="AC7" s="216">
        <v>2</v>
      </c>
      <c r="AD7" s="216">
        <v>2</v>
      </c>
      <c r="AE7" s="216">
        <v>2</v>
      </c>
      <c r="AF7" s="216">
        <v>0</v>
      </c>
    </row>
    <row r="8" spans="1:32">
      <c r="A8" s="210">
        <v>570</v>
      </c>
      <c r="B8" s="211">
        <v>1</v>
      </c>
      <c r="C8" s="212">
        <v>12</v>
      </c>
      <c r="D8" s="212">
        <v>26</v>
      </c>
      <c r="E8" s="212">
        <v>27</v>
      </c>
      <c r="F8" s="212">
        <v>29</v>
      </c>
      <c r="G8" s="213">
        <v>33</v>
      </c>
      <c r="H8" s="209">
        <v>3</v>
      </c>
      <c r="I8" s="209">
        <v>1</v>
      </c>
      <c r="J8" s="209">
        <v>1</v>
      </c>
      <c r="K8" s="209">
        <v>0</v>
      </c>
      <c r="L8" s="209">
        <v>1</v>
      </c>
      <c r="M8" s="209">
        <f t="shared" ref="M8:M60" si="0">H8+I8</f>
        <v>4</v>
      </c>
      <c r="O8" s="583"/>
      <c r="P8" s="587"/>
      <c r="Q8" s="589"/>
      <c r="R8" s="593"/>
      <c r="S8" s="439"/>
      <c r="T8" s="214">
        <v>2</v>
      </c>
      <c r="U8" s="216">
        <f>COUNTIF(O7:R41,T8)</f>
        <v>0</v>
      </c>
      <c r="Z8" s="216">
        <v>669</v>
      </c>
    </row>
    <row r="9" spans="1:32">
      <c r="A9" s="210">
        <v>571</v>
      </c>
      <c r="B9" s="211">
        <v>11</v>
      </c>
      <c r="C9" s="212">
        <v>18</v>
      </c>
      <c r="D9" s="212">
        <v>21</v>
      </c>
      <c r="E9" s="212">
        <v>26</v>
      </c>
      <c r="F9" s="212">
        <v>38</v>
      </c>
      <c r="G9" s="213">
        <v>43</v>
      </c>
      <c r="H9" s="209">
        <v>2</v>
      </c>
      <c r="I9" s="209">
        <v>0</v>
      </c>
      <c r="J9" s="209">
        <v>1</v>
      </c>
      <c r="K9" s="209">
        <v>1</v>
      </c>
      <c r="L9" s="209">
        <v>2</v>
      </c>
      <c r="M9" s="209">
        <f t="shared" si="0"/>
        <v>2</v>
      </c>
      <c r="O9" s="583"/>
      <c r="P9" s="587"/>
      <c r="Q9" s="591"/>
      <c r="R9" s="593"/>
      <c r="S9" s="439"/>
      <c r="T9" s="214">
        <v>3</v>
      </c>
      <c r="U9" s="216">
        <f>COUNTIF(O7:R41,T9)</f>
        <v>0</v>
      </c>
      <c r="Z9" s="320">
        <v>670</v>
      </c>
    </row>
    <row r="10" spans="1:32">
      <c r="A10" s="210">
        <v>572</v>
      </c>
      <c r="B10" s="211">
        <v>3</v>
      </c>
      <c r="C10" s="212">
        <v>13</v>
      </c>
      <c r="D10" s="212">
        <v>18</v>
      </c>
      <c r="E10" s="212">
        <v>33</v>
      </c>
      <c r="F10" s="212">
        <v>37</v>
      </c>
      <c r="G10" s="213">
        <v>45</v>
      </c>
      <c r="H10" s="209">
        <v>1</v>
      </c>
      <c r="I10" s="209">
        <v>1</v>
      </c>
      <c r="J10" s="209">
        <v>4</v>
      </c>
      <c r="K10" s="209">
        <v>0</v>
      </c>
      <c r="L10" s="209">
        <v>0</v>
      </c>
      <c r="M10" s="209">
        <f t="shared" si="0"/>
        <v>2</v>
      </c>
      <c r="O10" s="584"/>
      <c r="P10" s="588"/>
      <c r="Q10" s="591"/>
      <c r="R10" s="593"/>
      <c r="S10" s="439"/>
      <c r="T10" s="214">
        <v>4</v>
      </c>
      <c r="U10" s="216">
        <f>COUNTIF(O7:R41,T10)</f>
        <v>0</v>
      </c>
      <c r="Z10" s="320">
        <v>671</v>
      </c>
    </row>
    <row r="11" spans="1:32">
      <c r="A11" s="210">
        <v>573</v>
      </c>
      <c r="B11" s="211">
        <v>2</v>
      </c>
      <c r="C11" s="212">
        <v>4</v>
      </c>
      <c r="D11" s="212">
        <v>20</v>
      </c>
      <c r="E11" s="212">
        <v>34</v>
      </c>
      <c r="F11" s="212">
        <v>35</v>
      </c>
      <c r="G11" s="213">
        <v>43</v>
      </c>
      <c r="H11" s="209">
        <v>2</v>
      </c>
      <c r="I11" s="209">
        <v>2</v>
      </c>
      <c r="J11" s="209">
        <v>0</v>
      </c>
      <c r="K11" s="209">
        <v>1</v>
      </c>
      <c r="L11" s="209">
        <v>1</v>
      </c>
      <c r="M11" s="209">
        <f t="shared" si="0"/>
        <v>4</v>
      </c>
      <c r="O11" s="581"/>
      <c r="P11" s="586"/>
      <c r="Q11" s="592"/>
      <c r="R11" s="593"/>
      <c r="S11" s="439"/>
      <c r="T11" s="214">
        <v>5</v>
      </c>
      <c r="U11" s="216">
        <f>COUNTIF(O7:R41,T11)</f>
        <v>0</v>
      </c>
      <c r="Z11" s="320">
        <v>672</v>
      </c>
    </row>
    <row r="12" spans="1:32">
      <c r="A12" s="210">
        <v>574</v>
      </c>
      <c r="B12" s="211">
        <v>14</v>
      </c>
      <c r="C12" s="212">
        <v>15</v>
      </c>
      <c r="D12" s="212">
        <v>16</v>
      </c>
      <c r="E12" s="212">
        <v>19</v>
      </c>
      <c r="F12" s="212">
        <v>25</v>
      </c>
      <c r="G12" s="213">
        <v>43</v>
      </c>
      <c r="H12" s="209">
        <v>1</v>
      </c>
      <c r="I12" s="209">
        <v>2</v>
      </c>
      <c r="J12" s="209">
        <v>0</v>
      </c>
      <c r="K12" s="209">
        <v>1</v>
      </c>
      <c r="L12" s="209">
        <v>2</v>
      </c>
      <c r="M12" s="209">
        <f t="shared" si="0"/>
        <v>3</v>
      </c>
      <c r="O12" s="584"/>
      <c r="P12" s="588"/>
      <c r="Q12" s="590"/>
      <c r="R12" s="593"/>
      <c r="S12" s="439"/>
      <c r="T12" s="214">
        <v>6</v>
      </c>
      <c r="U12" s="216">
        <f>COUNTIF(O7:R41,T12)</f>
        <v>0</v>
      </c>
      <c r="Z12" s="320">
        <v>673</v>
      </c>
    </row>
    <row r="13" spans="1:32">
      <c r="A13" s="210">
        <v>575</v>
      </c>
      <c r="B13" s="211">
        <v>2</v>
      </c>
      <c r="C13" s="212">
        <v>8</v>
      </c>
      <c r="D13" s="212">
        <v>20</v>
      </c>
      <c r="E13" s="212">
        <v>30</v>
      </c>
      <c r="F13" s="212">
        <v>33</v>
      </c>
      <c r="G13" s="213">
        <v>34</v>
      </c>
      <c r="H13" s="209">
        <v>3</v>
      </c>
      <c r="I13" s="209">
        <v>0</v>
      </c>
      <c r="J13" s="209">
        <v>1</v>
      </c>
      <c r="K13" s="209">
        <v>1</v>
      </c>
      <c r="L13" s="209">
        <v>1</v>
      </c>
      <c r="M13" s="209">
        <f t="shared" si="0"/>
        <v>3</v>
      </c>
      <c r="O13" s="582"/>
      <c r="P13" s="587"/>
      <c r="Q13" s="591"/>
      <c r="R13" s="593"/>
      <c r="S13" s="439"/>
      <c r="T13" s="214">
        <v>7</v>
      </c>
      <c r="U13" s="216">
        <f>COUNTIF(O7:R41,T13)</f>
        <v>0</v>
      </c>
      <c r="Z13" s="320">
        <v>674</v>
      </c>
    </row>
    <row r="14" spans="1:32">
      <c r="A14" s="210">
        <v>576</v>
      </c>
      <c r="B14" s="211">
        <v>10</v>
      </c>
      <c r="C14" s="212">
        <v>11</v>
      </c>
      <c r="D14" s="212">
        <v>15</v>
      </c>
      <c r="E14" s="212">
        <v>25</v>
      </c>
      <c r="F14" s="212">
        <v>35</v>
      </c>
      <c r="G14" s="213">
        <v>41</v>
      </c>
      <c r="H14" s="209">
        <v>3</v>
      </c>
      <c r="I14" s="209">
        <v>1</v>
      </c>
      <c r="J14" s="209">
        <v>1</v>
      </c>
      <c r="K14" s="209">
        <v>1</v>
      </c>
      <c r="L14" s="209">
        <v>0</v>
      </c>
      <c r="M14" s="209">
        <f t="shared" si="0"/>
        <v>4</v>
      </c>
      <c r="O14" s="584"/>
      <c r="P14" s="586"/>
      <c r="Q14" s="590"/>
      <c r="R14" s="593"/>
      <c r="S14" s="439"/>
      <c r="T14" s="214">
        <v>8</v>
      </c>
      <c r="U14" s="216">
        <f>COUNTIF(O7:R41,T14)</f>
        <v>0</v>
      </c>
      <c r="Z14" s="320">
        <v>675</v>
      </c>
    </row>
    <row r="15" spans="1:32">
      <c r="A15" s="210">
        <v>577</v>
      </c>
      <c r="B15" s="211">
        <v>16</v>
      </c>
      <c r="C15" s="212">
        <v>17</v>
      </c>
      <c r="D15" s="212">
        <v>22</v>
      </c>
      <c r="E15" s="212">
        <v>31</v>
      </c>
      <c r="F15" s="212">
        <v>34</v>
      </c>
      <c r="G15" s="213">
        <v>37</v>
      </c>
      <c r="H15" s="209">
        <v>1</v>
      </c>
      <c r="I15" s="209">
        <v>3</v>
      </c>
      <c r="J15" s="209">
        <v>1</v>
      </c>
      <c r="K15" s="209">
        <v>0</v>
      </c>
      <c r="L15" s="209">
        <v>1</v>
      </c>
      <c r="M15" s="209">
        <f t="shared" si="0"/>
        <v>4</v>
      </c>
      <c r="O15" s="583"/>
      <c r="P15" s="588"/>
      <c r="Q15" s="592"/>
      <c r="R15" s="593"/>
      <c r="S15" s="439"/>
      <c r="T15" s="214">
        <v>9</v>
      </c>
      <c r="U15" s="216">
        <f>COUNTIF(O7:R41,T15)</f>
        <v>0</v>
      </c>
      <c r="Z15" s="320">
        <v>676</v>
      </c>
    </row>
    <row r="16" spans="1:32">
      <c r="A16" s="210">
        <v>578</v>
      </c>
      <c r="B16" s="211">
        <v>5</v>
      </c>
      <c r="C16" s="212">
        <v>12</v>
      </c>
      <c r="D16" s="212">
        <v>14</v>
      </c>
      <c r="E16" s="212">
        <v>32</v>
      </c>
      <c r="F16" s="212">
        <v>34</v>
      </c>
      <c r="G16" s="213">
        <v>42</v>
      </c>
      <c r="H16" s="209">
        <v>2</v>
      </c>
      <c r="I16" s="209">
        <v>1</v>
      </c>
      <c r="J16" s="209">
        <v>2</v>
      </c>
      <c r="K16" s="209">
        <v>0</v>
      </c>
      <c r="L16" s="209">
        <v>1</v>
      </c>
      <c r="M16" s="209">
        <f t="shared" si="0"/>
        <v>3</v>
      </c>
      <c r="O16" s="582"/>
      <c r="P16" s="587"/>
      <c r="Q16" s="589"/>
      <c r="R16" s="593"/>
      <c r="S16" s="439"/>
      <c r="T16" s="214">
        <v>10</v>
      </c>
      <c r="U16" s="216">
        <f>COUNTIF(O7:R41,T16)</f>
        <v>0</v>
      </c>
      <c r="Z16" s="320">
        <v>677</v>
      </c>
    </row>
    <row r="17" spans="1:46">
      <c r="A17" s="210">
        <v>579</v>
      </c>
      <c r="B17" s="211">
        <v>5</v>
      </c>
      <c r="C17" s="212">
        <v>7</v>
      </c>
      <c r="D17" s="212">
        <v>20</v>
      </c>
      <c r="E17" s="212">
        <v>22</v>
      </c>
      <c r="F17" s="212">
        <v>37</v>
      </c>
      <c r="G17" s="213">
        <v>42</v>
      </c>
      <c r="H17" s="209">
        <v>3</v>
      </c>
      <c r="I17" s="209">
        <v>1</v>
      </c>
      <c r="J17" s="209">
        <v>0</v>
      </c>
      <c r="K17" s="209">
        <v>1</v>
      </c>
      <c r="L17" s="209">
        <v>1</v>
      </c>
      <c r="M17" s="209">
        <f t="shared" si="0"/>
        <v>4</v>
      </c>
      <c r="O17" s="581"/>
      <c r="P17" s="585"/>
      <c r="Q17" s="589"/>
      <c r="R17" s="593"/>
      <c r="S17" s="439"/>
      <c r="T17" s="214">
        <v>11</v>
      </c>
      <c r="U17" s="216">
        <f>COUNTIF(O7:R41,T17)</f>
        <v>0</v>
      </c>
      <c r="Z17" s="320">
        <v>678</v>
      </c>
    </row>
    <row r="18" spans="1:46">
      <c r="A18" s="210">
        <v>580</v>
      </c>
      <c r="B18" s="211">
        <v>5</v>
      </c>
      <c r="C18" s="212">
        <v>7</v>
      </c>
      <c r="D18" s="212">
        <v>9</v>
      </c>
      <c r="E18" s="212">
        <v>11</v>
      </c>
      <c r="F18" s="212">
        <v>32</v>
      </c>
      <c r="G18" s="213">
        <v>35</v>
      </c>
      <c r="H18" s="209">
        <v>3</v>
      </c>
      <c r="I18" s="209">
        <v>1</v>
      </c>
      <c r="J18" s="209">
        <v>0</v>
      </c>
      <c r="K18" s="209">
        <v>1</v>
      </c>
      <c r="L18" s="209">
        <v>1</v>
      </c>
      <c r="M18" s="209">
        <f t="shared" si="0"/>
        <v>4</v>
      </c>
      <c r="O18" s="584"/>
      <c r="P18" s="585"/>
      <c r="Q18" s="590"/>
      <c r="R18" s="593"/>
      <c r="S18" s="439"/>
      <c r="T18" s="214">
        <v>12</v>
      </c>
      <c r="U18" s="216">
        <f>COUNTIF(O7:R41,T18)</f>
        <v>0</v>
      </c>
      <c r="Z18" s="320">
        <v>679</v>
      </c>
    </row>
    <row r="19" spans="1:46">
      <c r="A19" s="210">
        <v>581</v>
      </c>
      <c r="B19" s="211">
        <v>3</v>
      </c>
      <c r="C19" s="212">
        <v>5</v>
      </c>
      <c r="D19" s="212">
        <v>14</v>
      </c>
      <c r="E19" s="212">
        <v>20</v>
      </c>
      <c r="F19" s="212">
        <v>42</v>
      </c>
      <c r="G19" s="213">
        <v>44</v>
      </c>
      <c r="H19" s="209">
        <v>4</v>
      </c>
      <c r="I19" s="209">
        <v>0</v>
      </c>
      <c r="J19" s="209">
        <v>1</v>
      </c>
      <c r="K19" s="209">
        <v>0</v>
      </c>
      <c r="L19" s="209">
        <v>1</v>
      </c>
      <c r="M19" s="209">
        <f t="shared" si="0"/>
        <v>4</v>
      </c>
      <c r="O19" s="581"/>
      <c r="P19" s="588"/>
      <c r="Q19" s="592"/>
      <c r="R19" s="593"/>
      <c r="S19" s="439"/>
      <c r="T19" s="214">
        <v>13</v>
      </c>
      <c r="U19" s="216">
        <f>COUNTIF(O7:R41,T19)</f>
        <v>0</v>
      </c>
      <c r="Z19" s="320">
        <v>680</v>
      </c>
    </row>
    <row r="20" spans="1:46">
      <c r="A20" s="210">
        <v>582</v>
      </c>
      <c r="B20" s="211">
        <v>2</v>
      </c>
      <c r="C20" s="212">
        <v>12</v>
      </c>
      <c r="D20" s="212">
        <v>14</v>
      </c>
      <c r="E20" s="212">
        <v>33</v>
      </c>
      <c r="F20" s="212">
        <v>40</v>
      </c>
      <c r="G20" s="213">
        <v>41</v>
      </c>
      <c r="H20" s="209">
        <v>1</v>
      </c>
      <c r="I20" s="209">
        <v>4</v>
      </c>
      <c r="J20" s="209">
        <v>1</v>
      </c>
      <c r="K20" s="209">
        <v>0</v>
      </c>
      <c r="L20" s="209">
        <v>0</v>
      </c>
      <c r="M20" s="209">
        <f t="shared" si="0"/>
        <v>5</v>
      </c>
      <c r="O20" s="581"/>
      <c r="P20" s="586"/>
      <c r="Q20" s="590"/>
      <c r="R20" s="593"/>
      <c r="S20" s="439"/>
      <c r="T20" s="214">
        <v>14</v>
      </c>
      <c r="U20" s="216">
        <f>COUNTIF(O7:R41,T20)</f>
        <v>0</v>
      </c>
      <c r="Z20" s="320">
        <v>681</v>
      </c>
    </row>
    <row r="21" spans="1:46">
      <c r="A21" s="210">
        <v>583</v>
      </c>
      <c r="B21" s="211">
        <v>8</v>
      </c>
      <c r="C21" s="212">
        <v>17</v>
      </c>
      <c r="D21" s="212">
        <v>27</v>
      </c>
      <c r="E21" s="212">
        <v>33</v>
      </c>
      <c r="F21" s="212">
        <v>40</v>
      </c>
      <c r="G21" s="213">
        <v>44</v>
      </c>
      <c r="H21" s="209">
        <v>2</v>
      </c>
      <c r="I21" s="209">
        <v>2</v>
      </c>
      <c r="J21" s="209">
        <v>1</v>
      </c>
      <c r="K21" s="209">
        <v>1</v>
      </c>
      <c r="L21" s="209">
        <v>0</v>
      </c>
      <c r="M21" s="209">
        <f t="shared" si="0"/>
        <v>4</v>
      </c>
      <c r="O21" s="581"/>
      <c r="P21" s="588"/>
      <c r="Q21" s="590"/>
      <c r="R21" s="593"/>
      <c r="S21" s="439"/>
      <c r="T21" s="214">
        <v>15</v>
      </c>
      <c r="U21" s="216">
        <f>COUNTIF(O7:R41,T21)</f>
        <v>0</v>
      </c>
      <c r="Z21" s="320">
        <v>682</v>
      </c>
    </row>
    <row r="22" spans="1:46">
      <c r="A22" s="210">
        <v>584</v>
      </c>
      <c r="B22" s="211">
        <v>7</v>
      </c>
      <c r="C22" s="212">
        <v>18</v>
      </c>
      <c r="D22" s="212">
        <v>30</v>
      </c>
      <c r="E22" s="212">
        <v>39</v>
      </c>
      <c r="F22" s="212">
        <v>40</v>
      </c>
      <c r="G22" s="213">
        <v>41</v>
      </c>
      <c r="H22" s="209">
        <v>1</v>
      </c>
      <c r="I22" s="209">
        <v>1</v>
      </c>
      <c r="J22" s="209">
        <v>1</v>
      </c>
      <c r="K22" s="209">
        <v>2</v>
      </c>
      <c r="L22" s="209">
        <v>1</v>
      </c>
      <c r="M22" s="209">
        <f t="shared" si="0"/>
        <v>2</v>
      </c>
      <c r="O22" s="584"/>
      <c r="P22" s="586"/>
      <c r="Q22" s="590"/>
      <c r="R22" s="593"/>
      <c r="S22" s="439"/>
      <c r="T22" s="214">
        <v>16</v>
      </c>
      <c r="U22" s="216">
        <f>COUNTIF(O7:R41,T22)</f>
        <v>0</v>
      </c>
      <c r="Z22" s="320">
        <v>683</v>
      </c>
    </row>
    <row r="23" spans="1:46">
      <c r="A23" s="210">
        <v>585</v>
      </c>
      <c r="B23" s="211">
        <v>6</v>
      </c>
      <c r="C23" s="212">
        <v>7</v>
      </c>
      <c r="D23" s="212">
        <v>10</v>
      </c>
      <c r="E23" s="212">
        <v>16</v>
      </c>
      <c r="F23" s="212">
        <v>38</v>
      </c>
      <c r="G23" s="213">
        <v>41</v>
      </c>
      <c r="H23" s="209">
        <v>1</v>
      </c>
      <c r="I23" s="209">
        <v>2</v>
      </c>
      <c r="J23" s="209">
        <v>1</v>
      </c>
      <c r="K23" s="209">
        <v>1</v>
      </c>
      <c r="L23" s="209">
        <v>1</v>
      </c>
      <c r="M23" s="209">
        <f t="shared" si="0"/>
        <v>3</v>
      </c>
      <c r="O23" s="583"/>
      <c r="P23" s="586"/>
      <c r="Q23" s="592"/>
      <c r="R23" s="593"/>
      <c r="S23" s="439"/>
      <c r="T23" s="214">
        <v>17</v>
      </c>
      <c r="U23" s="216">
        <f>COUNTIF(O7:R41,T23)</f>
        <v>0</v>
      </c>
      <c r="Z23" s="320">
        <v>684</v>
      </c>
      <c r="AA23" s="216">
        <v>1</v>
      </c>
      <c r="AB23" s="216">
        <v>3</v>
      </c>
      <c r="AC23" s="216">
        <v>2</v>
      </c>
      <c r="AD23" s="216">
        <v>4</v>
      </c>
      <c r="AE23" s="216">
        <v>3</v>
      </c>
      <c r="AF23" s="216">
        <v>1</v>
      </c>
    </row>
    <row r="24" spans="1:46">
      <c r="A24" s="210">
        <v>586</v>
      </c>
      <c r="B24" s="211">
        <v>2</v>
      </c>
      <c r="C24" s="212">
        <v>7</v>
      </c>
      <c r="D24" s="212">
        <v>12</v>
      </c>
      <c r="E24" s="212">
        <v>15</v>
      </c>
      <c r="F24" s="212">
        <v>21</v>
      </c>
      <c r="G24" s="213">
        <v>34</v>
      </c>
      <c r="H24" s="209">
        <v>3</v>
      </c>
      <c r="I24" s="209">
        <v>1</v>
      </c>
      <c r="J24" s="209">
        <v>0</v>
      </c>
      <c r="K24" s="209">
        <v>1</v>
      </c>
      <c r="L24" s="209">
        <v>1</v>
      </c>
      <c r="M24" s="209">
        <f t="shared" si="0"/>
        <v>4</v>
      </c>
      <c r="O24" s="583"/>
      <c r="P24" s="586"/>
      <c r="Q24" s="590"/>
      <c r="R24" s="593"/>
      <c r="S24" s="439"/>
      <c r="T24" s="214">
        <v>18</v>
      </c>
      <c r="U24" s="216">
        <f>COUNTIF(O7:R41,T24)</f>
        <v>0</v>
      </c>
      <c r="Z24" s="320">
        <v>685</v>
      </c>
    </row>
    <row r="25" spans="1:46">
      <c r="A25" s="210">
        <v>587</v>
      </c>
      <c r="B25" s="211">
        <v>14</v>
      </c>
      <c r="C25" s="212">
        <v>21</v>
      </c>
      <c r="D25" s="212">
        <v>29</v>
      </c>
      <c r="E25" s="212">
        <v>31</v>
      </c>
      <c r="F25" s="212">
        <v>32</v>
      </c>
      <c r="G25" s="213">
        <v>37</v>
      </c>
      <c r="H25" s="209">
        <v>1</v>
      </c>
      <c r="I25" s="209">
        <v>1</v>
      </c>
      <c r="J25" s="209">
        <v>2</v>
      </c>
      <c r="K25" s="209">
        <v>1</v>
      </c>
      <c r="L25" s="209">
        <v>1</v>
      </c>
      <c r="M25" s="209">
        <f t="shared" si="0"/>
        <v>2</v>
      </c>
      <c r="O25" s="583"/>
      <c r="P25" s="588"/>
      <c r="Q25" s="592"/>
      <c r="R25" s="593"/>
      <c r="S25" s="439"/>
      <c r="T25" s="214">
        <v>19</v>
      </c>
      <c r="U25" s="216">
        <f>COUNTIF(O7:R41,T25)</f>
        <v>0</v>
      </c>
      <c r="Z25" s="320">
        <v>686</v>
      </c>
      <c r="AA25" s="216">
        <v>4</v>
      </c>
      <c r="AB25" s="216">
        <v>4</v>
      </c>
      <c r="AC25" s="216">
        <v>4</v>
      </c>
      <c r="AD25" s="216">
        <v>4</v>
      </c>
      <c r="AE25" s="216">
        <v>4</v>
      </c>
      <c r="AF25" s="216">
        <v>4</v>
      </c>
    </row>
    <row r="26" spans="1:46">
      <c r="A26" s="210">
        <v>588</v>
      </c>
      <c r="B26" s="211">
        <v>2</v>
      </c>
      <c r="C26" s="212">
        <v>8</v>
      </c>
      <c r="D26" s="212">
        <v>15</v>
      </c>
      <c r="E26" s="212">
        <v>22</v>
      </c>
      <c r="F26" s="212">
        <v>25</v>
      </c>
      <c r="G26" s="213">
        <v>41</v>
      </c>
      <c r="H26" s="209">
        <v>1</v>
      </c>
      <c r="I26" s="209">
        <v>3</v>
      </c>
      <c r="J26" s="209">
        <v>1</v>
      </c>
      <c r="K26" s="209">
        <v>0</v>
      </c>
      <c r="L26" s="209">
        <v>1</v>
      </c>
      <c r="M26" s="209">
        <f t="shared" si="0"/>
        <v>4</v>
      </c>
      <c r="O26" s="584"/>
      <c r="P26" s="588"/>
      <c r="Q26" s="590"/>
      <c r="R26" s="593"/>
      <c r="S26" s="439"/>
      <c r="T26" s="214">
        <v>20</v>
      </c>
      <c r="U26" s="216">
        <f>COUNTIF(O7:R41,T26)</f>
        <v>0</v>
      </c>
      <c r="Z26" s="320">
        <v>687</v>
      </c>
    </row>
    <row r="27" spans="1:46">
      <c r="A27" s="210">
        <v>589</v>
      </c>
      <c r="B27" s="211">
        <v>6</v>
      </c>
      <c r="C27" s="212">
        <v>8</v>
      </c>
      <c r="D27" s="212">
        <v>28</v>
      </c>
      <c r="E27" s="212">
        <v>33</v>
      </c>
      <c r="F27" s="212">
        <v>38</v>
      </c>
      <c r="G27" s="213">
        <v>39</v>
      </c>
      <c r="H27" s="209">
        <v>0</v>
      </c>
      <c r="I27" s="209">
        <v>3</v>
      </c>
      <c r="J27" s="209">
        <v>1</v>
      </c>
      <c r="K27" s="209">
        <v>1</v>
      </c>
      <c r="L27" s="209">
        <v>1</v>
      </c>
      <c r="M27" s="209">
        <f t="shared" si="0"/>
        <v>3</v>
      </c>
      <c r="O27" s="584"/>
      <c r="P27" s="585"/>
      <c r="Q27" s="589"/>
      <c r="R27" s="593"/>
      <c r="S27" s="440"/>
      <c r="T27" s="214">
        <v>21</v>
      </c>
      <c r="U27" s="216">
        <f>COUNTIF(O7:R41,T27)</f>
        <v>0</v>
      </c>
    </row>
    <row r="28" spans="1:46">
      <c r="A28" s="210">
        <v>590</v>
      </c>
      <c r="B28" s="211">
        <v>20</v>
      </c>
      <c r="C28" s="212">
        <v>30</v>
      </c>
      <c r="D28" s="212">
        <v>36</v>
      </c>
      <c r="E28" s="212">
        <v>38</v>
      </c>
      <c r="F28" s="212">
        <v>41</v>
      </c>
      <c r="G28" s="213">
        <v>45</v>
      </c>
      <c r="H28" s="209">
        <v>0</v>
      </c>
      <c r="I28" s="209">
        <v>3</v>
      </c>
      <c r="J28" s="209">
        <v>0</v>
      </c>
      <c r="K28" s="209">
        <v>2</v>
      </c>
      <c r="L28" s="209">
        <v>1</v>
      </c>
      <c r="M28" s="209">
        <f t="shared" si="0"/>
        <v>3</v>
      </c>
      <c r="O28" s="581"/>
      <c r="P28" s="586"/>
      <c r="Q28" s="591"/>
      <c r="R28" s="593"/>
      <c r="S28" s="439"/>
      <c r="T28" s="214">
        <v>22</v>
      </c>
      <c r="U28" s="216">
        <f>COUNTIF(O7:R41,T28)</f>
        <v>0</v>
      </c>
    </row>
    <row r="29" spans="1:46">
      <c r="A29" s="210">
        <v>591</v>
      </c>
      <c r="B29" s="211">
        <v>8</v>
      </c>
      <c r="C29" s="212">
        <v>13</v>
      </c>
      <c r="D29" s="212">
        <v>14</v>
      </c>
      <c r="E29" s="212">
        <v>30</v>
      </c>
      <c r="F29" s="212">
        <v>38</v>
      </c>
      <c r="G29" s="213">
        <v>39</v>
      </c>
      <c r="H29" s="209">
        <v>2</v>
      </c>
      <c r="I29" s="209">
        <v>3</v>
      </c>
      <c r="J29" s="209">
        <v>0</v>
      </c>
      <c r="K29" s="209">
        <v>1</v>
      </c>
      <c r="L29" s="209">
        <v>0</v>
      </c>
      <c r="M29" s="209">
        <f t="shared" si="0"/>
        <v>5</v>
      </c>
      <c r="O29" s="582"/>
      <c r="P29" s="585"/>
      <c r="Q29" s="590"/>
      <c r="R29" s="571"/>
      <c r="S29" s="440"/>
      <c r="T29" s="214">
        <v>23</v>
      </c>
      <c r="U29" s="216">
        <f>COUNTIF(O7:R41,T29)</f>
        <v>0</v>
      </c>
    </row>
    <row r="30" spans="1:46">
      <c r="A30" s="210">
        <v>592</v>
      </c>
      <c r="B30" s="211">
        <v>2</v>
      </c>
      <c r="C30" s="212">
        <v>5</v>
      </c>
      <c r="D30" s="212">
        <v>6</v>
      </c>
      <c r="E30" s="212">
        <v>13</v>
      </c>
      <c r="F30" s="212">
        <v>28</v>
      </c>
      <c r="G30" s="213">
        <v>44</v>
      </c>
      <c r="H30" s="209">
        <v>2</v>
      </c>
      <c r="I30" s="209">
        <v>2</v>
      </c>
      <c r="J30" s="209">
        <v>0</v>
      </c>
      <c r="K30" s="209">
        <v>2</v>
      </c>
      <c r="L30" s="209">
        <v>0</v>
      </c>
      <c r="M30" s="209">
        <f t="shared" si="0"/>
        <v>4</v>
      </c>
      <c r="O30" s="581"/>
      <c r="P30" s="587"/>
      <c r="Q30" s="590"/>
      <c r="R30" s="571"/>
      <c r="T30" s="214">
        <v>24</v>
      </c>
      <c r="U30" s="216">
        <f>COUNTIF(O7:R41,T30)</f>
        <v>0</v>
      </c>
    </row>
    <row r="31" spans="1:46">
      <c r="A31" s="210">
        <v>593</v>
      </c>
      <c r="B31" s="211">
        <v>9</v>
      </c>
      <c r="C31" s="212">
        <v>10</v>
      </c>
      <c r="D31" s="212">
        <v>13</v>
      </c>
      <c r="E31" s="212">
        <v>24</v>
      </c>
      <c r="F31" s="212">
        <v>33</v>
      </c>
      <c r="G31" s="213">
        <v>38</v>
      </c>
      <c r="H31" s="209">
        <v>2</v>
      </c>
      <c r="I31" s="209">
        <v>1</v>
      </c>
      <c r="J31" s="209">
        <v>0</v>
      </c>
      <c r="K31" s="209">
        <v>1</v>
      </c>
      <c r="L31" s="209">
        <v>2</v>
      </c>
      <c r="M31" s="209">
        <f t="shared" si="0"/>
        <v>3</v>
      </c>
      <c r="O31" s="583"/>
      <c r="P31" s="586"/>
      <c r="Q31" s="589"/>
      <c r="R31" s="570"/>
      <c r="T31" s="214">
        <v>25</v>
      </c>
      <c r="U31" s="216">
        <f>COUNTIF(O7:R41,T31)</f>
        <v>0</v>
      </c>
      <c r="X31" s="216" t="s">
        <v>410</v>
      </c>
      <c r="AB31" s="216" t="s">
        <v>411</v>
      </c>
      <c r="AF31" s="216" t="s">
        <v>412</v>
      </c>
      <c r="AJ31" s="216" t="s">
        <v>413</v>
      </c>
      <c r="AN31" s="216" t="s">
        <v>414</v>
      </c>
      <c r="AR31" s="216" t="s">
        <v>415</v>
      </c>
    </row>
    <row r="32" spans="1:46">
      <c r="A32" s="210">
        <v>594</v>
      </c>
      <c r="B32" s="211">
        <v>2</v>
      </c>
      <c r="C32" s="212">
        <v>8</v>
      </c>
      <c r="D32" s="212">
        <v>13</v>
      </c>
      <c r="E32" s="212">
        <v>25</v>
      </c>
      <c r="F32" s="212">
        <v>28</v>
      </c>
      <c r="G32" s="213">
        <v>37</v>
      </c>
      <c r="H32" s="209">
        <v>3</v>
      </c>
      <c r="I32" s="209">
        <v>3</v>
      </c>
      <c r="J32" s="209">
        <v>0</v>
      </c>
      <c r="K32" s="209">
        <v>0</v>
      </c>
      <c r="L32" s="209">
        <v>0</v>
      </c>
      <c r="M32" s="209">
        <f t="shared" si="0"/>
        <v>6</v>
      </c>
      <c r="O32" s="581"/>
      <c r="P32" s="586"/>
      <c r="Q32" s="589"/>
      <c r="R32" s="418"/>
      <c r="T32" s="214">
        <v>26</v>
      </c>
      <c r="U32" s="216">
        <f>COUNTIF(O7:R41,T32)</f>
        <v>0</v>
      </c>
      <c r="X32" s="210">
        <v>0</v>
      </c>
      <c r="Y32" s="210">
        <f>COUNTIF(H7:H200,X32)</f>
        <v>15</v>
      </c>
      <c r="Z32" s="443">
        <f>Y32/Y39</f>
        <v>9.7402597402597407E-2</v>
      </c>
      <c r="AB32" s="210">
        <v>0</v>
      </c>
      <c r="AC32" s="210">
        <f>COUNTIF(I7:I200,AB32)</f>
        <v>21</v>
      </c>
      <c r="AD32" s="443">
        <f>AC32/AC39</f>
        <v>0.13636363636363635</v>
      </c>
      <c r="AF32" s="210">
        <v>0</v>
      </c>
      <c r="AG32" s="210">
        <f>COUNTIF(J7:J200,AF32)</f>
        <v>49</v>
      </c>
      <c r="AH32" s="443">
        <f>AG32/AG39</f>
        <v>0.31818181818181818</v>
      </c>
      <c r="AJ32" s="210">
        <v>0</v>
      </c>
      <c r="AK32" s="210">
        <f>COUNTIF(K7:K200,AJ32)</f>
        <v>48</v>
      </c>
      <c r="AL32" s="443">
        <f>AK32/AK39</f>
        <v>0.31168831168831168</v>
      </c>
      <c r="AN32" s="210">
        <v>0</v>
      </c>
      <c r="AO32" s="210">
        <f>COUNTIF(L7:L200,AN32)</f>
        <v>71</v>
      </c>
      <c r="AP32" s="443">
        <f>AO32/AO39</f>
        <v>0.46103896103896103</v>
      </c>
      <c r="AR32" s="210">
        <v>0</v>
      </c>
      <c r="AS32" s="210">
        <f>COUNTIF(M7:M200,AR32)</f>
        <v>2</v>
      </c>
      <c r="AT32" s="443">
        <f>AS32/AS39</f>
        <v>1.2987012987012988E-2</v>
      </c>
    </row>
    <row r="33" spans="1:46">
      <c r="A33" s="210">
        <v>595</v>
      </c>
      <c r="B33" s="211">
        <v>8</v>
      </c>
      <c r="C33" s="212">
        <v>24</v>
      </c>
      <c r="D33" s="212">
        <v>28</v>
      </c>
      <c r="E33" s="212">
        <v>35</v>
      </c>
      <c r="F33" s="212">
        <v>38</v>
      </c>
      <c r="G33" s="213">
        <v>40</v>
      </c>
      <c r="H33" s="209">
        <v>1</v>
      </c>
      <c r="I33" s="209">
        <v>3</v>
      </c>
      <c r="J33" s="209">
        <v>2</v>
      </c>
      <c r="K33" s="209">
        <v>0</v>
      </c>
      <c r="L33" s="209">
        <v>0</v>
      </c>
      <c r="M33" s="209">
        <f t="shared" si="0"/>
        <v>4</v>
      </c>
      <c r="O33" s="584"/>
      <c r="P33" s="585"/>
      <c r="Q33" s="589"/>
      <c r="R33" s="365"/>
      <c r="T33" s="214">
        <v>27</v>
      </c>
      <c r="U33" s="216">
        <f>COUNTIF(O7:R41,T33)</f>
        <v>0</v>
      </c>
      <c r="X33" s="210">
        <v>1</v>
      </c>
      <c r="Y33" s="210">
        <f>COUNTIF(H7:H200,X33)</f>
        <v>62</v>
      </c>
      <c r="Z33" s="443">
        <f>Y33/Y39</f>
        <v>0.40259740259740262</v>
      </c>
      <c r="AB33" s="210">
        <v>1</v>
      </c>
      <c r="AC33" s="210">
        <f>COUNTIF(I7:I200,AB33)</f>
        <v>61</v>
      </c>
      <c r="AD33" s="443">
        <f>AC33/AC39</f>
        <v>0.39610389610389612</v>
      </c>
      <c r="AF33" s="210">
        <v>1</v>
      </c>
      <c r="AG33" s="210">
        <f>COUNTIF(J7:J200,AF33)</f>
        <v>61</v>
      </c>
      <c r="AH33" s="443">
        <f>AG33/AG39</f>
        <v>0.39610389610389612</v>
      </c>
      <c r="AJ33" s="210">
        <v>1</v>
      </c>
      <c r="AK33" s="210">
        <f>COUNTIF(K7:K200,AJ33)</f>
        <v>63</v>
      </c>
      <c r="AL33" s="443">
        <f>AK33/AK39</f>
        <v>0.40909090909090912</v>
      </c>
      <c r="AN33" s="210">
        <v>1</v>
      </c>
      <c r="AO33" s="210">
        <f>COUNTIF(L7:L200,AN33)</f>
        <v>61</v>
      </c>
      <c r="AP33" s="443">
        <f>AO33/AO39</f>
        <v>0.39610389610389612</v>
      </c>
      <c r="AR33" s="210">
        <v>1</v>
      </c>
      <c r="AS33" s="210">
        <f>COUNTIF(M7:M200,AR33)</f>
        <v>8</v>
      </c>
      <c r="AT33" s="443">
        <f>AS33/AS39</f>
        <v>5.1948051948051951E-2</v>
      </c>
    </row>
    <row r="34" spans="1:46">
      <c r="A34" s="210">
        <v>596</v>
      </c>
      <c r="B34" s="211">
        <v>3</v>
      </c>
      <c r="C34" s="212">
        <v>4</v>
      </c>
      <c r="D34" s="212">
        <v>12</v>
      </c>
      <c r="E34" s="212">
        <v>14</v>
      </c>
      <c r="F34" s="212">
        <v>25</v>
      </c>
      <c r="G34" s="213">
        <v>43</v>
      </c>
      <c r="H34" s="209">
        <v>2</v>
      </c>
      <c r="I34" s="209">
        <v>1</v>
      </c>
      <c r="J34" s="209">
        <v>2</v>
      </c>
      <c r="K34" s="209">
        <v>1</v>
      </c>
      <c r="L34" s="209">
        <v>0</v>
      </c>
      <c r="M34" s="209">
        <f t="shared" si="0"/>
        <v>3</v>
      </c>
      <c r="O34" s="582"/>
      <c r="P34" s="532"/>
      <c r="Q34" s="540"/>
      <c r="R34" s="228"/>
      <c r="T34" s="214">
        <v>28</v>
      </c>
      <c r="U34" s="216">
        <f>COUNTIF(O7:R41,T34)</f>
        <v>0</v>
      </c>
      <c r="X34" s="210">
        <v>2</v>
      </c>
      <c r="Y34" s="210">
        <f>COUNTIF(H7:H200,X34)</f>
        <v>50</v>
      </c>
      <c r="Z34" s="443">
        <f>Y34/Y39</f>
        <v>0.32467532467532467</v>
      </c>
      <c r="AB34" s="210">
        <v>2</v>
      </c>
      <c r="AC34" s="210">
        <f>COUNTIF(I7:I200,AB34)</f>
        <v>40</v>
      </c>
      <c r="AD34" s="443">
        <f>AC34/AC39</f>
        <v>0.25974025974025972</v>
      </c>
      <c r="AF34" s="210">
        <v>2</v>
      </c>
      <c r="AG34" s="210">
        <f>COUNTIF(J7:J200,AF34)</f>
        <v>35</v>
      </c>
      <c r="AH34" s="443">
        <f>AG34/AG39</f>
        <v>0.22727272727272727</v>
      </c>
      <c r="AJ34" s="210">
        <v>2</v>
      </c>
      <c r="AK34" s="210">
        <f>COUNTIF(K7:K200,AJ34)</f>
        <v>33</v>
      </c>
      <c r="AL34" s="443">
        <f>AK34/AK39</f>
        <v>0.21428571428571427</v>
      </c>
      <c r="AN34" s="210">
        <v>2</v>
      </c>
      <c r="AO34" s="210">
        <f>COUNTIF(L7:L200,AN34)</f>
        <v>20</v>
      </c>
      <c r="AP34" s="443">
        <f>AO34/AO39</f>
        <v>0.12987012987012986</v>
      </c>
      <c r="AR34" s="210">
        <v>2</v>
      </c>
      <c r="AS34" s="210">
        <f>COUNTIF(M7:M200,AR34)</f>
        <v>30</v>
      </c>
      <c r="AT34" s="443">
        <f>AS34/AS39</f>
        <v>0.19480519480519481</v>
      </c>
    </row>
    <row r="35" spans="1:46">
      <c r="A35" s="210">
        <v>597</v>
      </c>
      <c r="B35" s="211">
        <v>8</v>
      </c>
      <c r="C35" s="212">
        <v>10</v>
      </c>
      <c r="D35" s="212">
        <v>23</v>
      </c>
      <c r="E35" s="212">
        <v>24</v>
      </c>
      <c r="F35" s="212">
        <v>35</v>
      </c>
      <c r="G35" s="213">
        <v>43</v>
      </c>
      <c r="H35" s="209">
        <v>1</v>
      </c>
      <c r="I35" s="209">
        <v>3</v>
      </c>
      <c r="J35" s="209">
        <v>1</v>
      </c>
      <c r="K35" s="209">
        <v>0</v>
      </c>
      <c r="L35" s="209">
        <v>1</v>
      </c>
      <c r="M35" s="209">
        <f t="shared" si="0"/>
        <v>4</v>
      </c>
      <c r="O35" s="563"/>
      <c r="P35" s="531"/>
      <c r="Q35" s="533"/>
      <c r="R35" s="228"/>
      <c r="T35" s="214">
        <v>29</v>
      </c>
      <c r="U35" s="216">
        <f>COUNTIF(O7:R41,T35)</f>
        <v>0</v>
      </c>
      <c r="X35" s="210">
        <v>3</v>
      </c>
      <c r="Y35" s="210">
        <f>COUNTIF(H7:H200,X35)</f>
        <v>19</v>
      </c>
      <c r="Z35" s="443">
        <f>Y35/Y39</f>
        <v>0.12337662337662338</v>
      </c>
      <c r="AB35" s="210">
        <v>3</v>
      </c>
      <c r="AC35" s="210">
        <f>COUNTIF(I7:I200,AB35)</f>
        <v>25</v>
      </c>
      <c r="AD35" s="443">
        <f>AC35/AC39</f>
        <v>0.16233766233766234</v>
      </c>
      <c r="AF35" s="210">
        <v>3</v>
      </c>
      <c r="AG35" s="210">
        <f>COUNTIF(J7:J200,AF35)</f>
        <v>7</v>
      </c>
      <c r="AH35" s="443">
        <f>AG35/AG39</f>
        <v>4.5454545454545456E-2</v>
      </c>
      <c r="AJ35" s="210">
        <v>3</v>
      </c>
      <c r="AK35" s="210">
        <f>COUNTIF(K7:K200,AJ35)</f>
        <v>9</v>
      </c>
      <c r="AL35" s="443">
        <f>AK35/AK39</f>
        <v>5.844155844155844E-2</v>
      </c>
      <c r="AN35" s="210">
        <v>3</v>
      </c>
      <c r="AO35" s="210">
        <f>COUNTIF(L7:L200,AN35)</f>
        <v>2</v>
      </c>
      <c r="AP35" s="443">
        <f>AO35/AO39</f>
        <v>1.2987012987012988E-2</v>
      </c>
      <c r="AR35" s="210">
        <v>3</v>
      </c>
      <c r="AS35" s="210">
        <f>COUNTIF(M7:M200,AR35)</f>
        <v>49</v>
      </c>
      <c r="AT35" s="443">
        <f>AS35/AS39</f>
        <v>0.31818181818181818</v>
      </c>
    </row>
    <row r="36" spans="1:46">
      <c r="A36" s="210">
        <v>598</v>
      </c>
      <c r="B36" s="211">
        <v>4</v>
      </c>
      <c r="C36" s="212">
        <v>12</v>
      </c>
      <c r="D36" s="212">
        <v>24</v>
      </c>
      <c r="E36" s="212">
        <v>33</v>
      </c>
      <c r="F36" s="212">
        <v>38</v>
      </c>
      <c r="G36" s="213">
        <v>45</v>
      </c>
      <c r="H36" s="209">
        <v>3</v>
      </c>
      <c r="I36" s="209">
        <v>1</v>
      </c>
      <c r="J36" s="209">
        <v>1</v>
      </c>
      <c r="K36" s="209">
        <v>1</v>
      </c>
      <c r="L36" s="209">
        <v>0</v>
      </c>
      <c r="M36" s="209">
        <f t="shared" si="0"/>
        <v>4</v>
      </c>
      <c r="O36" s="562"/>
      <c r="P36" s="531"/>
      <c r="Q36" s="517"/>
      <c r="R36" s="228"/>
      <c r="T36" s="214">
        <v>30</v>
      </c>
      <c r="U36" s="216">
        <f>COUNTIF(O7:R41,T36)</f>
        <v>0</v>
      </c>
      <c r="X36" s="210">
        <v>4</v>
      </c>
      <c r="Y36" s="210">
        <f>COUNTIF(H7:H200,X36)</f>
        <v>7</v>
      </c>
      <c r="Z36" s="443">
        <f>Y36/Y39</f>
        <v>4.5454545454545456E-2</v>
      </c>
      <c r="AB36" s="210">
        <v>4</v>
      </c>
      <c r="AC36" s="210">
        <f>COUNTIF(I7:I200,AB36)</f>
        <v>7</v>
      </c>
      <c r="AD36" s="443">
        <f>AC36/AC39</f>
        <v>4.5454545454545456E-2</v>
      </c>
      <c r="AF36" s="210">
        <v>4</v>
      </c>
      <c r="AG36" s="210">
        <f>COUNTIF(J7:J200,AF36)</f>
        <v>2</v>
      </c>
      <c r="AH36" s="443">
        <f>AG36/AG39</f>
        <v>1.2987012987012988E-2</v>
      </c>
      <c r="AJ36" s="210">
        <v>4</v>
      </c>
      <c r="AK36" s="210">
        <f>COUNTIF(K7:K200,AJ36)</f>
        <v>1</v>
      </c>
      <c r="AL36" s="443">
        <f>AK36/AK39</f>
        <v>6.4935064935064939E-3</v>
      </c>
      <c r="AN36" s="210">
        <v>4</v>
      </c>
      <c r="AO36" s="210">
        <f>COUNTIF(L7:L200,AN36)</f>
        <v>0</v>
      </c>
      <c r="AP36" s="443">
        <f>AO36/AO39</f>
        <v>0</v>
      </c>
      <c r="AR36" s="210">
        <v>4</v>
      </c>
      <c r="AS36" s="210">
        <f>COUNTIF(M7:M200,AR36)</f>
        <v>46</v>
      </c>
      <c r="AT36" s="443">
        <f>AS36/AS39</f>
        <v>0.29870129870129869</v>
      </c>
    </row>
    <row r="37" spans="1:46">
      <c r="A37" s="210">
        <v>599</v>
      </c>
      <c r="B37" s="211">
        <v>5</v>
      </c>
      <c r="C37" s="212">
        <v>12</v>
      </c>
      <c r="D37" s="212">
        <v>17</v>
      </c>
      <c r="E37" s="212">
        <v>29</v>
      </c>
      <c r="F37" s="212">
        <v>34</v>
      </c>
      <c r="G37" s="213">
        <v>35</v>
      </c>
      <c r="H37" s="209">
        <v>2</v>
      </c>
      <c r="I37" s="209">
        <v>2</v>
      </c>
      <c r="J37" s="209">
        <v>1</v>
      </c>
      <c r="K37" s="209">
        <v>0</v>
      </c>
      <c r="L37" s="209">
        <v>1</v>
      </c>
      <c r="M37" s="209">
        <f t="shared" si="0"/>
        <v>4</v>
      </c>
      <c r="O37" s="561"/>
      <c r="P37" s="514"/>
      <c r="Q37" s="517"/>
      <c r="R37" s="228"/>
      <c r="T37" s="214">
        <v>31</v>
      </c>
      <c r="U37" s="216">
        <f>COUNTIF(O7:R41,T37)</f>
        <v>0</v>
      </c>
      <c r="X37" s="210">
        <v>5</v>
      </c>
      <c r="Y37" s="210">
        <f>COUNTIF(H7:H200,X37)</f>
        <v>0</v>
      </c>
      <c r="Z37" s="443">
        <f>Y37/Y39</f>
        <v>0</v>
      </c>
      <c r="AB37" s="210">
        <v>5</v>
      </c>
      <c r="AC37" s="210">
        <f>COUNTIF(I7:I200,AB37)</f>
        <v>0</v>
      </c>
      <c r="AD37" s="443">
        <f>AC37/AC39</f>
        <v>0</v>
      </c>
      <c r="AF37" s="210">
        <v>5</v>
      </c>
      <c r="AG37" s="210">
        <f>COUNTIF(J7:J200,AF37)</f>
        <v>0</v>
      </c>
      <c r="AH37" s="443">
        <f>AG37/AG39</f>
        <v>0</v>
      </c>
      <c r="AJ37" s="210">
        <v>5</v>
      </c>
      <c r="AK37" s="210">
        <f>COUNTIF(K7:K200,AJ37)</f>
        <v>0</v>
      </c>
      <c r="AL37" s="443">
        <f>AK37/AK39</f>
        <v>0</v>
      </c>
      <c r="AN37" s="210">
        <v>5</v>
      </c>
      <c r="AO37" s="210">
        <f>COUNTIF(L7:L200,AN37)</f>
        <v>0</v>
      </c>
      <c r="AP37" s="443">
        <f>AO37/AO39</f>
        <v>0</v>
      </c>
      <c r="AR37" s="210">
        <v>5</v>
      </c>
      <c r="AS37" s="210">
        <f>COUNTIF(M7:M200,AR37)</f>
        <v>16</v>
      </c>
      <c r="AT37" s="443">
        <f>AS37/AS39</f>
        <v>0.1038961038961039</v>
      </c>
    </row>
    <row r="38" spans="1:46">
      <c r="A38" s="210">
        <v>600</v>
      </c>
      <c r="B38" s="211">
        <v>5</v>
      </c>
      <c r="C38" s="212">
        <v>11</v>
      </c>
      <c r="D38" s="212">
        <v>14</v>
      </c>
      <c r="E38" s="212">
        <v>27</v>
      </c>
      <c r="F38" s="212">
        <v>29</v>
      </c>
      <c r="G38" s="213">
        <v>36</v>
      </c>
      <c r="H38" s="209">
        <v>2</v>
      </c>
      <c r="I38" s="209">
        <v>0</v>
      </c>
      <c r="J38" s="209">
        <v>0</v>
      </c>
      <c r="K38" s="209">
        <v>3</v>
      </c>
      <c r="L38" s="209">
        <v>1</v>
      </c>
      <c r="M38" s="209">
        <f t="shared" si="0"/>
        <v>2</v>
      </c>
      <c r="O38" s="228"/>
      <c r="P38" s="507"/>
      <c r="Q38" s="508"/>
      <c r="R38" s="228"/>
      <c r="T38" s="214">
        <v>32</v>
      </c>
      <c r="U38" s="216">
        <f>COUNTIF(O7:R41,T38)</f>
        <v>0</v>
      </c>
      <c r="X38" s="210">
        <v>6</v>
      </c>
      <c r="Y38" s="210">
        <f>COUNTIF(H7:H200,X38)</f>
        <v>1</v>
      </c>
      <c r="Z38" s="443">
        <f>Y38/Y39</f>
        <v>6.4935064935064939E-3</v>
      </c>
      <c r="AB38" s="210">
        <v>6</v>
      </c>
      <c r="AC38" s="210">
        <f>COUNTIF(I7:I200,AB38)</f>
        <v>0</v>
      </c>
      <c r="AD38" s="443">
        <f>AC38/AC39</f>
        <v>0</v>
      </c>
      <c r="AF38" s="210">
        <v>6</v>
      </c>
      <c r="AG38" s="210">
        <f>COUNTIF(J7:J200,AF38)</f>
        <v>0</v>
      </c>
      <c r="AH38" s="443">
        <f>AG38/AG39</f>
        <v>0</v>
      </c>
      <c r="AJ38" s="210">
        <v>6</v>
      </c>
      <c r="AK38" s="210">
        <f>COUNTIF(K7:K200,AJ38)</f>
        <v>0</v>
      </c>
      <c r="AL38" s="443">
        <f>AK38/AK39</f>
        <v>0</v>
      </c>
      <c r="AN38" s="210">
        <v>6</v>
      </c>
      <c r="AO38" s="210">
        <f>COUNTIF(L7:L200,AN38)</f>
        <v>0</v>
      </c>
      <c r="AP38" s="443">
        <f>AO38/AO39</f>
        <v>0</v>
      </c>
      <c r="AR38" s="210">
        <v>6</v>
      </c>
      <c r="AS38" s="210">
        <f>COUNTIF(M7:M200,AR38)</f>
        <v>3</v>
      </c>
      <c r="AT38" s="443">
        <f>AS38/AS39</f>
        <v>1.948051948051948E-2</v>
      </c>
    </row>
    <row r="39" spans="1:46">
      <c r="A39" s="210">
        <v>601</v>
      </c>
      <c r="B39" s="211">
        <v>2</v>
      </c>
      <c r="C39" s="212">
        <v>16</v>
      </c>
      <c r="D39" s="212">
        <v>19</v>
      </c>
      <c r="E39" s="212">
        <v>31</v>
      </c>
      <c r="F39" s="212">
        <v>34</v>
      </c>
      <c r="G39" s="213">
        <v>35</v>
      </c>
      <c r="H39" s="209">
        <v>1</v>
      </c>
      <c r="I39" s="209">
        <v>2</v>
      </c>
      <c r="J39" s="209">
        <v>0</v>
      </c>
      <c r="K39" s="209">
        <v>2</v>
      </c>
      <c r="L39" s="209">
        <v>1</v>
      </c>
      <c r="M39" s="209">
        <f t="shared" si="0"/>
        <v>3</v>
      </c>
      <c r="O39" s="228"/>
      <c r="P39" s="368"/>
      <c r="Q39" s="228"/>
      <c r="R39" s="228"/>
      <c r="T39" s="214">
        <v>33</v>
      </c>
      <c r="U39" s="216">
        <f>COUNTIF(O7:R41,T39)</f>
        <v>0</v>
      </c>
      <c r="X39" s="210"/>
      <c r="Y39" s="210">
        <f>SUM(Y32:Y38)</f>
        <v>154</v>
      </c>
      <c r="Z39" s="217">
        <f>SUM(Z32:Z38)</f>
        <v>0.99999999999999989</v>
      </c>
      <c r="AB39" s="210"/>
      <c r="AC39" s="210">
        <f>SUM(AC32:AC38)</f>
        <v>154</v>
      </c>
      <c r="AD39" s="217">
        <f>SUM(AD32:AD38)</f>
        <v>1</v>
      </c>
      <c r="AF39" s="210"/>
      <c r="AG39" s="210">
        <f>SUM(AG32:AG38)</f>
        <v>154</v>
      </c>
      <c r="AH39" s="217">
        <f>SUM(AH32:AH38)</f>
        <v>1</v>
      </c>
      <c r="AJ39" s="210"/>
      <c r="AK39" s="210">
        <f>SUM(AK32:AK38)</f>
        <v>154</v>
      </c>
      <c r="AL39" s="217">
        <f>SUM(AL32:AL38)</f>
        <v>0.99999999999999989</v>
      </c>
      <c r="AN39" s="210"/>
      <c r="AO39" s="210">
        <f>SUM(AO32:AO38)</f>
        <v>154</v>
      </c>
      <c r="AP39" s="217">
        <f>SUM(AP32:AP38)</f>
        <v>1</v>
      </c>
      <c r="AR39" s="210"/>
      <c r="AS39" s="210">
        <f>SUM(AS32:AS38)</f>
        <v>154</v>
      </c>
      <c r="AT39" s="217">
        <f>SUM(AT32:AT38)</f>
        <v>1</v>
      </c>
    </row>
    <row r="40" spans="1:46">
      <c r="A40" s="210">
        <v>602</v>
      </c>
      <c r="B40" s="211">
        <v>13</v>
      </c>
      <c r="C40" s="212">
        <v>14</v>
      </c>
      <c r="D40" s="212">
        <v>22</v>
      </c>
      <c r="E40" s="212">
        <v>27</v>
      </c>
      <c r="F40" s="212">
        <v>30</v>
      </c>
      <c r="G40" s="213">
        <v>38</v>
      </c>
      <c r="H40" s="209">
        <v>1</v>
      </c>
      <c r="I40" s="209">
        <v>3</v>
      </c>
      <c r="J40" s="209">
        <v>2</v>
      </c>
      <c r="K40" s="209">
        <v>0</v>
      </c>
      <c r="L40" s="209">
        <v>0</v>
      </c>
      <c r="M40" s="209">
        <f t="shared" si="0"/>
        <v>4</v>
      </c>
      <c r="O40" s="228"/>
      <c r="P40" s="228"/>
      <c r="Q40" s="228"/>
      <c r="R40" s="228"/>
      <c r="T40" s="214">
        <v>34</v>
      </c>
      <c r="U40" s="216">
        <f>COUNTIF(O7:R41,T40)</f>
        <v>0</v>
      </c>
    </row>
    <row r="41" spans="1:46">
      <c r="A41" s="210">
        <v>603</v>
      </c>
      <c r="B41" s="211">
        <v>2</v>
      </c>
      <c r="C41" s="212">
        <v>19</v>
      </c>
      <c r="D41" s="212">
        <v>25</v>
      </c>
      <c r="E41" s="212">
        <v>26</v>
      </c>
      <c r="F41" s="212">
        <v>27</v>
      </c>
      <c r="G41" s="213">
        <v>43</v>
      </c>
      <c r="H41" s="209">
        <v>2</v>
      </c>
      <c r="I41" s="209">
        <v>1</v>
      </c>
      <c r="J41" s="209">
        <v>1</v>
      </c>
      <c r="K41" s="209">
        <v>2</v>
      </c>
      <c r="L41" s="209">
        <v>0</v>
      </c>
      <c r="M41" s="209">
        <f t="shared" si="0"/>
        <v>3</v>
      </c>
      <c r="O41" s="228"/>
      <c r="P41" s="228"/>
      <c r="Q41" s="228"/>
      <c r="R41" s="228"/>
      <c r="T41" s="214">
        <v>35</v>
      </c>
      <c r="U41" s="216">
        <f>COUNTIF(O7:R41,T41)</f>
        <v>0</v>
      </c>
    </row>
    <row r="42" spans="1:46">
      <c r="A42" s="210">
        <v>604</v>
      </c>
      <c r="B42" s="211">
        <v>2</v>
      </c>
      <c r="C42" s="212">
        <v>6</v>
      </c>
      <c r="D42" s="212">
        <v>18</v>
      </c>
      <c r="E42" s="212">
        <v>21</v>
      </c>
      <c r="F42" s="212">
        <v>33</v>
      </c>
      <c r="G42" s="213">
        <v>34</v>
      </c>
      <c r="H42" s="209">
        <v>2</v>
      </c>
      <c r="I42" s="209">
        <v>1</v>
      </c>
      <c r="J42" s="209">
        <v>0</v>
      </c>
      <c r="K42" s="209">
        <v>1</v>
      </c>
      <c r="L42" s="209">
        <v>2</v>
      </c>
      <c r="M42" s="209">
        <f t="shared" si="0"/>
        <v>3</v>
      </c>
      <c r="T42" s="214">
        <v>36</v>
      </c>
      <c r="U42" s="216">
        <f>COUNTIF(O7:R41,T42)</f>
        <v>0</v>
      </c>
    </row>
    <row r="43" spans="1:46">
      <c r="A43" s="210">
        <v>605</v>
      </c>
      <c r="B43" s="211">
        <v>1</v>
      </c>
      <c r="C43" s="212">
        <v>2</v>
      </c>
      <c r="D43" s="212">
        <v>7</v>
      </c>
      <c r="E43" s="212">
        <v>9</v>
      </c>
      <c r="F43" s="212">
        <v>10</v>
      </c>
      <c r="G43" s="213">
        <v>38</v>
      </c>
      <c r="H43" s="209">
        <v>1</v>
      </c>
      <c r="I43" s="209">
        <v>1</v>
      </c>
      <c r="J43" s="209">
        <v>2</v>
      </c>
      <c r="K43" s="209">
        <v>1</v>
      </c>
      <c r="L43" s="209">
        <v>1</v>
      </c>
      <c r="M43" s="209">
        <f t="shared" si="0"/>
        <v>2</v>
      </c>
      <c r="T43" s="214">
        <v>37</v>
      </c>
      <c r="U43" s="216">
        <f>COUNTIF(O7:R41,T43)</f>
        <v>0</v>
      </c>
    </row>
    <row r="44" spans="1:46">
      <c r="A44" s="210">
        <v>606</v>
      </c>
      <c r="B44" s="211">
        <v>1</v>
      </c>
      <c r="C44" s="212">
        <v>5</v>
      </c>
      <c r="D44" s="212">
        <v>6</v>
      </c>
      <c r="E44" s="212">
        <v>14</v>
      </c>
      <c r="F44" s="212">
        <v>20</v>
      </c>
      <c r="G44" s="213">
        <v>39</v>
      </c>
      <c r="H44" s="209">
        <v>1</v>
      </c>
      <c r="I44" s="209">
        <v>2</v>
      </c>
      <c r="J44" s="209">
        <v>2</v>
      </c>
      <c r="K44" s="209">
        <v>1</v>
      </c>
      <c r="L44" s="209">
        <v>0</v>
      </c>
      <c r="M44" s="209">
        <f t="shared" si="0"/>
        <v>3</v>
      </c>
      <c r="T44" s="214">
        <v>38</v>
      </c>
      <c r="U44" s="216">
        <f>COUNTIF(O7:R41,T44)</f>
        <v>0</v>
      </c>
    </row>
    <row r="45" spans="1:46">
      <c r="A45" s="210">
        <v>607</v>
      </c>
      <c r="B45" s="211">
        <v>8</v>
      </c>
      <c r="C45" s="212">
        <v>14</v>
      </c>
      <c r="D45" s="212">
        <v>23</v>
      </c>
      <c r="E45" s="212">
        <v>36</v>
      </c>
      <c r="F45" s="212">
        <v>38</v>
      </c>
      <c r="G45" s="213">
        <v>39</v>
      </c>
      <c r="H45" s="209">
        <v>2</v>
      </c>
      <c r="I45" s="209">
        <v>2</v>
      </c>
      <c r="J45" s="209">
        <v>0</v>
      </c>
      <c r="K45" s="209">
        <v>0</v>
      </c>
      <c r="L45" s="209">
        <v>2</v>
      </c>
      <c r="M45" s="209">
        <f t="shared" si="0"/>
        <v>4</v>
      </c>
      <c r="T45" s="214">
        <v>39</v>
      </c>
      <c r="U45" s="216">
        <f>COUNTIF(O7:R41,T45)</f>
        <v>0</v>
      </c>
    </row>
    <row r="46" spans="1:46">
      <c r="A46" s="210">
        <v>608</v>
      </c>
      <c r="B46" s="211">
        <v>4</v>
      </c>
      <c r="C46" s="212">
        <v>8</v>
      </c>
      <c r="D46" s="212">
        <v>18</v>
      </c>
      <c r="E46" s="212">
        <v>19</v>
      </c>
      <c r="F46" s="212">
        <v>39</v>
      </c>
      <c r="G46" s="213">
        <v>44</v>
      </c>
      <c r="H46" s="209">
        <v>2</v>
      </c>
      <c r="I46" s="209">
        <v>0</v>
      </c>
      <c r="J46" s="209">
        <v>1</v>
      </c>
      <c r="K46" s="209">
        <v>3</v>
      </c>
      <c r="L46" s="209">
        <v>0</v>
      </c>
      <c r="M46" s="209">
        <f t="shared" si="0"/>
        <v>2</v>
      </c>
      <c r="T46" s="214">
        <v>40</v>
      </c>
      <c r="U46" s="216">
        <f>COUNTIF(O7:R41,T46)</f>
        <v>0</v>
      </c>
    </row>
    <row r="47" spans="1:46">
      <c r="A47" s="210">
        <v>609</v>
      </c>
      <c r="B47" s="211">
        <v>4</v>
      </c>
      <c r="C47" s="212">
        <v>8</v>
      </c>
      <c r="D47" s="212">
        <v>27</v>
      </c>
      <c r="E47" s="212">
        <v>34</v>
      </c>
      <c r="F47" s="212">
        <v>39</v>
      </c>
      <c r="G47" s="213">
        <v>40</v>
      </c>
      <c r="H47" s="209">
        <v>4</v>
      </c>
      <c r="I47" s="209">
        <v>1</v>
      </c>
      <c r="J47" s="209">
        <v>1</v>
      </c>
      <c r="K47" s="209">
        <v>0</v>
      </c>
      <c r="L47" s="209">
        <v>0</v>
      </c>
      <c r="M47" s="209">
        <f t="shared" si="0"/>
        <v>5</v>
      </c>
      <c r="T47" s="214">
        <v>41</v>
      </c>
      <c r="U47" s="216">
        <f>COUNTIF(O7:R41,T47)</f>
        <v>0</v>
      </c>
    </row>
    <row r="48" spans="1:46">
      <c r="A48" s="210">
        <v>610</v>
      </c>
      <c r="B48" s="211">
        <v>14</v>
      </c>
      <c r="C48" s="212">
        <v>18</v>
      </c>
      <c r="D48" s="212">
        <v>20</v>
      </c>
      <c r="E48" s="212">
        <v>23</v>
      </c>
      <c r="F48" s="212">
        <v>28</v>
      </c>
      <c r="G48" s="213">
        <v>36</v>
      </c>
      <c r="H48" s="209">
        <v>1</v>
      </c>
      <c r="I48" s="209">
        <v>1</v>
      </c>
      <c r="J48" s="209">
        <v>3</v>
      </c>
      <c r="K48" s="209">
        <v>1</v>
      </c>
      <c r="L48" s="209">
        <v>0</v>
      </c>
      <c r="M48" s="209">
        <f t="shared" si="0"/>
        <v>2</v>
      </c>
      <c r="T48" s="214">
        <v>42</v>
      </c>
      <c r="U48" s="216">
        <f>COUNTIF(O7:R41,T48)</f>
        <v>0</v>
      </c>
    </row>
    <row r="49" spans="1:21">
      <c r="A49" s="210">
        <v>611</v>
      </c>
      <c r="B49" s="211">
        <v>2</v>
      </c>
      <c r="C49" s="212">
        <v>22</v>
      </c>
      <c r="D49" s="212">
        <v>27</v>
      </c>
      <c r="E49" s="212">
        <v>33</v>
      </c>
      <c r="F49" s="212">
        <v>36</v>
      </c>
      <c r="G49" s="213">
        <v>37</v>
      </c>
      <c r="H49" s="209">
        <v>2</v>
      </c>
      <c r="I49" s="209">
        <v>2</v>
      </c>
      <c r="J49" s="209">
        <v>2</v>
      </c>
      <c r="K49" s="209">
        <v>0</v>
      </c>
      <c r="L49" s="209">
        <v>0</v>
      </c>
      <c r="M49" s="209">
        <f t="shared" si="0"/>
        <v>4</v>
      </c>
      <c r="T49" s="214">
        <v>43</v>
      </c>
      <c r="U49" s="216">
        <f>COUNTIF(O7:R41,T49)</f>
        <v>0</v>
      </c>
    </row>
    <row r="50" spans="1:21">
      <c r="A50" s="210">
        <v>612</v>
      </c>
      <c r="B50" s="211">
        <v>6</v>
      </c>
      <c r="C50" s="212">
        <v>9</v>
      </c>
      <c r="D50" s="212">
        <v>18</v>
      </c>
      <c r="E50" s="212">
        <v>19</v>
      </c>
      <c r="F50" s="212">
        <v>25</v>
      </c>
      <c r="G50" s="213">
        <v>33</v>
      </c>
      <c r="H50" s="209">
        <v>1</v>
      </c>
      <c r="I50" s="209">
        <v>2</v>
      </c>
      <c r="J50" s="209">
        <v>2</v>
      </c>
      <c r="K50" s="209">
        <v>0</v>
      </c>
      <c r="L50" s="209">
        <v>1</v>
      </c>
      <c r="M50" s="209">
        <f t="shared" si="0"/>
        <v>3</v>
      </c>
      <c r="T50" s="214">
        <v>44</v>
      </c>
      <c r="U50" s="216">
        <f>COUNTIF(O7:R41,T50)</f>
        <v>0</v>
      </c>
    </row>
    <row r="51" spans="1:21">
      <c r="A51" s="210">
        <v>613</v>
      </c>
      <c r="B51" s="211">
        <v>7</v>
      </c>
      <c r="C51" s="212">
        <v>8</v>
      </c>
      <c r="D51" s="212">
        <v>11</v>
      </c>
      <c r="E51" s="212">
        <v>16</v>
      </c>
      <c r="F51" s="212">
        <v>41</v>
      </c>
      <c r="G51" s="213">
        <v>44</v>
      </c>
      <c r="H51" s="209">
        <v>1</v>
      </c>
      <c r="I51" s="209">
        <v>0</v>
      </c>
      <c r="J51" s="209">
        <v>1</v>
      </c>
      <c r="K51" s="209">
        <v>2</v>
      </c>
      <c r="L51" s="209">
        <v>2</v>
      </c>
      <c r="M51" s="209">
        <f t="shared" si="0"/>
        <v>1</v>
      </c>
      <c r="T51" s="214">
        <v>45</v>
      </c>
      <c r="U51" s="216">
        <f>COUNTIF(O7:R41,T51)</f>
        <v>0</v>
      </c>
    </row>
    <row r="52" spans="1:21">
      <c r="A52" s="210">
        <v>614</v>
      </c>
      <c r="B52" s="211">
        <v>8</v>
      </c>
      <c r="C52" s="212">
        <v>21</v>
      </c>
      <c r="D52" s="212">
        <v>25</v>
      </c>
      <c r="E52" s="212">
        <v>39</v>
      </c>
      <c r="F52" s="212">
        <v>40</v>
      </c>
      <c r="G52" s="213">
        <v>44</v>
      </c>
      <c r="H52" s="209">
        <v>4</v>
      </c>
      <c r="I52" s="209">
        <v>1</v>
      </c>
      <c r="J52" s="209">
        <v>0</v>
      </c>
      <c r="K52" s="209">
        <v>0</v>
      </c>
      <c r="L52" s="209">
        <v>1</v>
      </c>
      <c r="M52" s="209">
        <f t="shared" si="0"/>
        <v>5</v>
      </c>
    </row>
    <row r="53" spans="1:21">
      <c r="A53" s="210">
        <v>615</v>
      </c>
      <c r="B53" s="211">
        <v>10</v>
      </c>
      <c r="C53" s="212">
        <v>17</v>
      </c>
      <c r="D53" s="212">
        <v>18</v>
      </c>
      <c r="E53" s="212">
        <v>19</v>
      </c>
      <c r="F53" s="212">
        <v>23</v>
      </c>
      <c r="G53" s="213">
        <v>27</v>
      </c>
      <c r="H53" s="209">
        <v>1</v>
      </c>
      <c r="I53" s="209">
        <v>3</v>
      </c>
      <c r="J53" s="209">
        <v>0</v>
      </c>
      <c r="K53" s="209">
        <v>2</v>
      </c>
      <c r="L53" s="209">
        <v>0</v>
      </c>
      <c r="M53" s="209">
        <f t="shared" si="0"/>
        <v>4</v>
      </c>
    </row>
    <row r="54" spans="1:21">
      <c r="A54" s="210">
        <v>616</v>
      </c>
      <c r="B54" s="211">
        <v>5</v>
      </c>
      <c r="C54" s="212">
        <v>13</v>
      </c>
      <c r="D54" s="212">
        <v>18</v>
      </c>
      <c r="E54" s="212">
        <v>23</v>
      </c>
      <c r="F54" s="212">
        <v>40</v>
      </c>
      <c r="G54" s="213">
        <v>45</v>
      </c>
      <c r="H54" s="209">
        <v>1</v>
      </c>
      <c r="I54" s="209">
        <v>4</v>
      </c>
      <c r="J54" s="209">
        <v>0</v>
      </c>
      <c r="K54" s="209">
        <v>0</v>
      </c>
      <c r="L54" s="209">
        <v>1</v>
      </c>
      <c r="M54" s="209">
        <f t="shared" si="0"/>
        <v>5</v>
      </c>
    </row>
    <row r="55" spans="1:21">
      <c r="A55" s="210">
        <v>617</v>
      </c>
      <c r="B55" s="211">
        <v>4</v>
      </c>
      <c r="C55" s="212">
        <v>5</v>
      </c>
      <c r="D55" s="212">
        <v>11</v>
      </c>
      <c r="E55" s="212">
        <v>12</v>
      </c>
      <c r="F55" s="212">
        <v>24</v>
      </c>
      <c r="G55" s="213">
        <v>27</v>
      </c>
      <c r="H55" s="209">
        <v>2</v>
      </c>
      <c r="I55" s="209">
        <v>1</v>
      </c>
      <c r="J55" s="209">
        <v>2</v>
      </c>
      <c r="K55" s="209">
        <v>1</v>
      </c>
      <c r="L55" s="209">
        <v>0</v>
      </c>
      <c r="M55" s="209">
        <f t="shared" si="0"/>
        <v>3</v>
      </c>
    </row>
    <row r="56" spans="1:21">
      <c r="A56" s="210">
        <v>618</v>
      </c>
      <c r="B56" s="211">
        <v>8</v>
      </c>
      <c r="C56" s="212">
        <v>16</v>
      </c>
      <c r="D56" s="212">
        <v>25</v>
      </c>
      <c r="E56" s="212">
        <v>30</v>
      </c>
      <c r="F56" s="212">
        <v>42</v>
      </c>
      <c r="G56" s="213">
        <v>43</v>
      </c>
      <c r="H56" s="209">
        <v>2</v>
      </c>
      <c r="I56" s="209">
        <v>0</v>
      </c>
      <c r="J56" s="209">
        <v>1</v>
      </c>
      <c r="K56" s="209">
        <v>1</v>
      </c>
      <c r="L56" s="209">
        <v>2</v>
      </c>
      <c r="M56" s="209">
        <f t="shared" si="0"/>
        <v>2</v>
      </c>
    </row>
    <row r="57" spans="1:21">
      <c r="A57" s="210">
        <v>619</v>
      </c>
      <c r="B57" s="211">
        <v>6</v>
      </c>
      <c r="C57" s="212">
        <v>8</v>
      </c>
      <c r="D57" s="212">
        <v>13</v>
      </c>
      <c r="E57" s="212">
        <v>30</v>
      </c>
      <c r="F57" s="212">
        <v>35</v>
      </c>
      <c r="G57" s="213">
        <v>40</v>
      </c>
      <c r="H57" s="209">
        <v>3</v>
      </c>
      <c r="I57" s="209">
        <v>1</v>
      </c>
      <c r="J57" s="209">
        <v>2</v>
      </c>
      <c r="K57" s="209">
        <v>0</v>
      </c>
      <c r="L57" s="209">
        <v>0</v>
      </c>
      <c r="M57" s="209">
        <f t="shared" si="0"/>
        <v>4</v>
      </c>
    </row>
    <row r="58" spans="1:21">
      <c r="A58" s="210">
        <v>620</v>
      </c>
      <c r="B58" s="211">
        <v>2</v>
      </c>
      <c r="C58" s="212">
        <v>16</v>
      </c>
      <c r="D58" s="212">
        <v>17</v>
      </c>
      <c r="E58" s="212">
        <v>32</v>
      </c>
      <c r="F58" s="212">
        <v>39</v>
      </c>
      <c r="G58" s="213">
        <v>45</v>
      </c>
      <c r="H58" s="209">
        <v>0</v>
      </c>
      <c r="I58" s="209">
        <v>2</v>
      </c>
      <c r="J58" s="209">
        <v>2</v>
      </c>
      <c r="K58" s="209">
        <v>1</v>
      </c>
      <c r="L58" s="209">
        <v>1</v>
      </c>
      <c r="M58" s="209">
        <f t="shared" si="0"/>
        <v>2</v>
      </c>
    </row>
    <row r="59" spans="1:21">
      <c r="A59" s="210">
        <v>621</v>
      </c>
      <c r="B59" s="211">
        <v>1</v>
      </c>
      <c r="C59" s="212">
        <v>2</v>
      </c>
      <c r="D59" s="212">
        <v>6</v>
      </c>
      <c r="E59" s="212">
        <v>16</v>
      </c>
      <c r="F59" s="212">
        <v>19</v>
      </c>
      <c r="G59" s="213">
        <v>42</v>
      </c>
      <c r="H59" s="209">
        <v>1</v>
      </c>
      <c r="I59" s="209">
        <v>3</v>
      </c>
      <c r="J59" s="209">
        <v>0</v>
      </c>
      <c r="K59" s="209">
        <v>2</v>
      </c>
      <c r="L59" s="209">
        <v>0</v>
      </c>
      <c r="M59" s="209">
        <f t="shared" si="0"/>
        <v>4</v>
      </c>
    </row>
    <row r="60" spans="1:21">
      <c r="A60" s="210">
        <v>622</v>
      </c>
      <c r="B60" s="209">
        <v>9</v>
      </c>
      <c r="C60" s="209">
        <v>15</v>
      </c>
      <c r="D60" s="209">
        <v>16</v>
      </c>
      <c r="E60" s="209">
        <v>21</v>
      </c>
      <c r="F60" s="209">
        <v>28</v>
      </c>
      <c r="G60" s="209">
        <v>34</v>
      </c>
      <c r="H60" s="209">
        <v>0</v>
      </c>
      <c r="I60" s="209">
        <v>1</v>
      </c>
      <c r="J60" s="209">
        <v>2</v>
      </c>
      <c r="K60" s="209">
        <v>2</v>
      </c>
      <c r="L60" s="209">
        <v>1</v>
      </c>
      <c r="M60" s="209">
        <f t="shared" si="0"/>
        <v>1</v>
      </c>
    </row>
    <row r="61" spans="1:21">
      <c r="A61" s="210">
        <v>623</v>
      </c>
      <c r="B61" s="229">
        <v>7</v>
      </c>
      <c r="C61" s="229">
        <v>13</v>
      </c>
      <c r="D61" s="229">
        <v>30</v>
      </c>
      <c r="E61" s="229">
        <v>39</v>
      </c>
      <c r="F61" s="229">
        <v>41</v>
      </c>
      <c r="G61" s="229">
        <v>45</v>
      </c>
      <c r="H61" s="229">
        <v>2</v>
      </c>
      <c r="I61" s="229">
        <v>1</v>
      </c>
      <c r="J61" s="229">
        <v>0</v>
      </c>
      <c r="K61" s="229">
        <v>1</v>
      </c>
      <c r="L61" s="229">
        <v>2</v>
      </c>
      <c r="M61" s="229">
        <f t="shared" ref="M61:M62" si="1">H61+I61</f>
        <v>3</v>
      </c>
    </row>
    <row r="62" spans="1:21">
      <c r="A62" s="210">
        <v>624</v>
      </c>
      <c r="B62" s="210">
        <v>1</v>
      </c>
      <c r="C62" s="210">
        <v>7</v>
      </c>
      <c r="D62" s="210">
        <v>19</v>
      </c>
      <c r="E62" s="210">
        <v>26</v>
      </c>
      <c r="F62" s="210">
        <v>27</v>
      </c>
      <c r="G62" s="210">
        <v>35</v>
      </c>
      <c r="H62" s="210">
        <v>2</v>
      </c>
      <c r="I62" s="210">
        <v>3</v>
      </c>
      <c r="J62" s="210">
        <v>0</v>
      </c>
      <c r="K62" s="210">
        <v>1</v>
      </c>
      <c r="L62" s="210">
        <v>0</v>
      </c>
      <c r="M62" s="210">
        <f t="shared" si="1"/>
        <v>5</v>
      </c>
    </row>
    <row r="63" spans="1:21">
      <c r="A63" s="210">
        <v>625</v>
      </c>
      <c r="B63" s="210">
        <v>3</v>
      </c>
      <c r="C63" s="210">
        <v>6</v>
      </c>
      <c r="D63" s="210">
        <v>7</v>
      </c>
      <c r="E63" s="210">
        <v>20</v>
      </c>
      <c r="F63" s="210">
        <v>21</v>
      </c>
      <c r="G63" s="210">
        <v>39</v>
      </c>
      <c r="H63" s="210">
        <v>2</v>
      </c>
      <c r="I63" s="210">
        <v>2</v>
      </c>
      <c r="J63" s="210">
        <v>0</v>
      </c>
      <c r="K63" s="210">
        <v>2</v>
      </c>
      <c r="L63" s="210">
        <v>0</v>
      </c>
      <c r="M63" s="210">
        <f t="shared" ref="M63:M64" si="2">H63+I63</f>
        <v>4</v>
      </c>
    </row>
    <row r="64" spans="1:21">
      <c r="A64" s="210">
        <v>626</v>
      </c>
      <c r="B64" s="210">
        <v>13</v>
      </c>
      <c r="C64" s="210">
        <v>14</v>
      </c>
      <c r="D64" s="210">
        <v>26</v>
      </c>
      <c r="E64" s="210">
        <v>33</v>
      </c>
      <c r="F64" s="210">
        <v>40</v>
      </c>
      <c r="G64" s="210">
        <v>43</v>
      </c>
      <c r="H64" s="210">
        <v>1</v>
      </c>
      <c r="I64" s="210">
        <v>3</v>
      </c>
      <c r="J64" s="210">
        <v>1</v>
      </c>
      <c r="K64" s="210">
        <v>1</v>
      </c>
      <c r="L64" s="210">
        <v>0</v>
      </c>
      <c r="M64" s="210">
        <f t="shared" si="2"/>
        <v>4</v>
      </c>
    </row>
    <row r="65" spans="1:58">
      <c r="A65" s="210">
        <v>627</v>
      </c>
      <c r="B65" s="210">
        <v>2</v>
      </c>
      <c r="C65" s="210">
        <v>9</v>
      </c>
      <c r="D65" s="210">
        <v>22</v>
      </c>
      <c r="E65" s="210">
        <v>25</v>
      </c>
      <c r="F65" s="210">
        <v>31</v>
      </c>
      <c r="G65" s="210">
        <v>45</v>
      </c>
      <c r="H65" s="210">
        <v>0</v>
      </c>
      <c r="I65" s="210">
        <v>4</v>
      </c>
      <c r="J65" s="210">
        <v>0</v>
      </c>
      <c r="K65" s="210">
        <v>1</v>
      </c>
      <c r="L65" s="210">
        <v>1</v>
      </c>
      <c r="M65" s="210">
        <f t="shared" ref="M65:M66" si="3">H65+I65</f>
        <v>4</v>
      </c>
    </row>
    <row r="66" spans="1:58">
      <c r="A66" s="210">
        <v>628</v>
      </c>
      <c r="B66" s="210">
        <v>1</v>
      </c>
      <c r="C66" s="210">
        <v>7</v>
      </c>
      <c r="D66" s="210">
        <v>12</v>
      </c>
      <c r="E66" s="210">
        <v>15</v>
      </c>
      <c r="F66" s="210">
        <v>23</v>
      </c>
      <c r="G66" s="210">
        <v>42</v>
      </c>
      <c r="H66" s="210">
        <v>1</v>
      </c>
      <c r="I66" s="210">
        <v>1</v>
      </c>
      <c r="J66" s="210">
        <v>1</v>
      </c>
      <c r="K66" s="210">
        <v>2</v>
      </c>
      <c r="L66" s="210">
        <v>1</v>
      </c>
      <c r="M66" s="210">
        <f t="shared" si="3"/>
        <v>2</v>
      </c>
      <c r="R66" s="210">
        <v>19</v>
      </c>
      <c r="S66" s="210">
        <v>28</v>
      </c>
      <c r="T66" s="210">
        <v>31</v>
      </c>
      <c r="U66" s="210">
        <v>38</v>
      </c>
      <c r="V66" s="210">
        <v>43</v>
      </c>
      <c r="W66" s="210">
        <v>44</v>
      </c>
      <c r="Y66" s="210"/>
      <c r="Z66" s="210"/>
      <c r="AA66" s="210"/>
      <c r="AB66" s="210"/>
      <c r="AC66" s="210"/>
      <c r="AD66" s="210"/>
      <c r="AF66" s="210"/>
      <c r="AG66" s="210"/>
      <c r="AH66" s="210"/>
      <c r="AI66" s="210"/>
      <c r="AJ66" s="210"/>
      <c r="AK66" s="210"/>
      <c r="AM66" s="210"/>
      <c r="AN66" s="210"/>
      <c r="AO66" s="210"/>
      <c r="AP66" s="210"/>
      <c r="AQ66" s="210"/>
      <c r="AR66" s="210"/>
      <c r="AT66" s="210"/>
      <c r="AU66" s="210"/>
      <c r="AV66" s="210"/>
      <c r="AW66" s="210"/>
      <c r="AX66" s="210"/>
      <c r="AY66" s="210"/>
      <c r="BA66" s="210"/>
      <c r="BB66" s="210"/>
      <c r="BC66" s="210"/>
      <c r="BD66" s="210"/>
      <c r="BE66" s="210"/>
      <c r="BF66" s="210"/>
    </row>
    <row r="67" spans="1:58">
      <c r="A67" s="210">
        <v>629</v>
      </c>
      <c r="B67" s="210">
        <v>19</v>
      </c>
      <c r="C67" s="210">
        <v>28</v>
      </c>
      <c r="D67" s="210">
        <v>31</v>
      </c>
      <c r="E67" s="210">
        <v>38</v>
      </c>
      <c r="F67" s="210">
        <v>43</v>
      </c>
      <c r="G67" s="210">
        <v>44</v>
      </c>
      <c r="H67" s="210">
        <v>1</v>
      </c>
      <c r="I67" s="210">
        <v>0</v>
      </c>
      <c r="J67" s="210">
        <v>3</v>
      </c>
      <c r="K67" s="210">
        <v>0</v>
      </c>
      <c r="L67" s="210">
        <v>2</v>
      </c>
      <c r="M67" s="210">
        <f t="shared" ref="M67:M68" si="4">H67+I67</f>
        <v>1</v>
      </c>
      <c r="R67" s="210">
        <v>8</v>
      </c>
      <c r="S67" s="210">
        <v>17</v>
      </c>
      <c r="T67" s="210">
        <v>21</v>
      </c>
      <c r="U67" s="210">
        <v>24</v>
      </c>
      <c r="V67" s="210">
        <v>27</v>
      </c>
      <c r="W67" s="210">
        <v>31</v>
      </c>
      <c r="Y67" s="210">
        <v>8</v>
      </c>
      <c r="Z67" s="210">
        <v>17</v>
      </c>
      <c r="AA67" s="210">
        <v>21</v>
      </c>
      <c r="AB67" s="210">
        <v>24</v>
      </c>
      <c r="AC67" s="210">
        <v>27</v>
      </c>
      <c r="AD67" s="210">
        <v>31</v>
      </c>
      <c r="AF67" s="210"/>
      <c r="AG67" s="210"/>
      <c r="AH67" s="210"/>
      <c r="AI67" s="210"/>
      <c r="AJ67" s="210"/>
      <c r="AK67" s="210"/>
      <c r="AM67" s="210"/>
      <c r="AN67" s="210"/>
      <c r="AO67" s="210"/>
      <c r="AP67" s="210"/>
      <c r="AQ67" s="210"/>
      <c r="AR67" s="210"/>
      <c r="AT67" s="210"/>
      <c r="AU67" s="210"/>
      <c r="AV67" s="210"/>
      <c r="AW67" s="210"/>
      <c r="AX67" s="210"/>
      <c r="AY67" s="210"/>
      <c r="BA67" s="210"/>
      <c r="BB67" s="210"/>
      <c r="BC67" s="210"/>
      <c r="BD67" s="210"/>
      <c r="BE67" s="210"/>
      <c r="BF67" s="210"/>
    </row>
    <row r="68" spans="1:58">
      <c r="A68" s="210">
        <v>630</v>
      </c>
      <c r="B68" s="210">
        <v>8</v>
      </c>
      <c r="C68" s="210">
        <v>17</v>
      </c>
      <c r="D68" s="210">
        <v>21</v>
      </c>
      <c r="E68" s="210">
        <v>24</v>
      </c>
      <c r="F68" s="210">
        <v>27</v>
      </c>
      <c r="G68" s="210">
        <v>31</v>
      </c>
      <c r="H68" s="210">
        <v>0</v>
      </c>
      <c r="I68" s="210">
        <v>3</v>
      </c>
      <c r="J68" s="210">
        <v>1</v>
      </c>
      <c r="K68" s="210">
        <v>2</v>
      </c>
      <c r="L68" s="210">
        <v>0</v>
      </c>
      <c r="M68" s="210">
        <f t="shared" si="4"/>
        <v>3</v>
      </c>
      <c r="R68" s="210">
        <f>45-3</f>
        <v>42</v>
      </c>
      <c r="S68" s="218">
        <v>6</v>
      </c>
      <c r="T68" s="210">
        <v>11</v>
      </c>
      <c r="U68" s="210">
        <v>10</v>
      </c>
      <c r="V68" s="210">
        <v>11</v>
      </c>
      <c r="W68" s="210">
        <v>18</v>
      </c>
      <c r="Y68" s="210">
        <v>1</v>
      </c>
      <c r="Z68" s="210">
        <v>2</v>
      </c>
      <c r="AA68" s="210">
        <v>4</v>
      </c>
      <c r="AB68" s="210">
        <v>23</v>
      </c>
      <c r="AC68" s="210">
        <v>31</v>
      </c>
      <c r="AD68" s="210">
        <v>34</v>
      </c>
      <c r="AF68" s="210">
        <v>1</v>
      </c>
      <c r="AG68" s="210">
        <v>2</v>
      </c>
      <c r="AH68" s="210">
        <v>4</v>
      </c>
      <c r="AI68" s="210">
        <v>23</v>
      </c>
      <c r="AJ68" s="210">
        <v>31</v>
      </c>
      <c r="AK68" s="210">
        <v>34</v>
      </c>
      <c r="AM68" s="210"/>
      <c r="AN68" s="210"/>
      <c r="AO68" s="210"/>
      <c r="AP68" s="210"/>
      <c r="AQ68" s="210"/>
      <c r="AR68" s="210"/>
      <c r="AT68" s="210"/>
      <c r="AU68" s="210"/>
      <c r="AV68" s="210"/>
      <c r="AW68" s="210"/>
      <c r="AX68" s="210"/>
      <c r="AY68" s="210"/>
      <c r="BA68" s="210"/>
      <c r="BB68" s="210"/>
      <c r="BC68" s="210"/>
      <c r="BD68" s="210"/>
      <c r="BE68" s="210"/>
      <c r="BF68" s="210"/>
    </row>
    <row r="69" spans="1:58">
      <c r="A69" s="210">
        <v>631</v>
      </c>
      <c r="B69" s="210">
        <v>1</v>
      </c>
      <c r="C69" s="210">
        <v>2</v>
      </c>
      <c r="D69" s="210">
        <v>4</v>
      </c>
      <c r="E69" s="210">
        <v>23</v>
      </c>
      <c r="F69" s="210">
        <v>31</v>
      </c>
      <c r="G69" s="210">
        <v>34</v>
      </c>
      <c r="H69" s="210">
        <v>2</v>
      </c>
      <c r="I69" s="210">
        <v>2</v>
      </c>
      <c r="J69" s="210">
        <v>0</v>
      </c>
      <c r="K69" s="210">
        <v>2</v>
      </c>
      <c r="L69" s="210">
        <v>0</v>
      </c>
      <c r="M69" s="210">
        <f t="shared" ref="M69:M70" si="5">H69+I69</f>
        <v>4</v>
      </c>
      <c r="R69" s="210"/>
      <c r="S69" s="210"/>
      <c r="T69" s="210"/>
      <c r="U69" s="210"/>
      <c r="V69" s="210"/>
      <c r="W69" s="210"/>
      <c r="Y69" s="210">
        <f>45-6</f>
        <v>39</v>
      </c>
      <c r="Z69" s="210">
        <f>45-13</f>
        <v>32</v>
      </c>
      <c r="AA69" s="210">
        <f>45-13</f>
        <v>32</v>
      </c>
      <c r="AB69" s="210">
        <v>22</v>
      </c>
      <c r="AC69" s="210">
        <v>35</v>
      </c>
      <c r="AD69" s="210">
        <v>37</v>
      </c>
      <c r="AF69" s="210">
        <v>15</v>
      </c>
      <c r="AG69" s="210">
        <v>18</v>
      </c>
      <c r="AH69" s="210">
        <v>21</v>
      </c>
      <c r="AI69" s="210">
        <v>32</v>
      </c>
      <c r="AJ69" s="210">
        <v>35</v>
      </c>
      <c r="AK69" s="210">
        <v>44</v>
      </c>
      <c r="AM69" s="210">
        <v>15</v>
      </c>
      <c r="AN69" s="210">
        <v>18</v>
      </c>
      <c r="AO69" s="210">
        <v>21</v>
      </c>
      <c r="AP69" s="210">
        <v>32</v>
      </c>
      <c r="AQ69" s="210">
        <v>35</v>
      </c>
      <c r="AR69" s="210">
        <v>44</v>
      </c>
      <c r="AT69" s="210"/>
      <c r="AU69" s="210"/>
      <c r="AV69" s="210"/>
      <c r="AW69" s="210"/>
      <c r="AX69" s="210"/>
      <c r="AY69" s="210"/>
      <c r="BA69" s="210"/>
      <c r="BB69" s="210"/>
      <c r="BC69" s="210"/>
      <c r="BD69" s="210"/>
      <c r="BE69" s="210"/>
      <c r="BF69" s="210"/>
    </row>
    <row r="70" spans="1:58">
      <c r="A70" s="210">
        <v>632</v>
      </c>
      <c r="B70" s="210">
        <v>15</v>
      </c>
      <c r="C70" s="210">
        <v>18</v>
      </c>
      <c r="D70" s="210">
        <v>21</v>
      </c>
      <c r="E70" s="210">
        <v>32</v>
      </c>
      <c r="F70" s="210">
        <v>35</v>
      </c>
      <c r="G70" s="210">
        <v>44</v>
      </c>
      <c r="H70" s="210">
        <v>1</v>
      </c>
      <c r="I70" s="210">
        <v>3</v>
      </c>
      <c r="J70" s="210">
        <v>1</v>
      </c>
      <c r="K70" s="210">
        <v>0</v>
      </c>
      <c r="L70" s="210">
        <v>1</v>
      </c>
      <c r="M70" s="210">
        <f t="shared" si="5"/>
        <v>4</v>
      </c>
      <c r="R70" s="210"/>
      <c r="S70" s="210"/>
      <c r="T70" s="210"/>
      <c r="U70" s="210"/>
      <c r="V70" s="210"/>
      <c r="W70" s="210"/>
      <c r="Y70" s="210"/>
      <c r="Z70" s="210"/>
      <c r="AA70" s="210"/>
      <c r="AB70" s="210"/>
      <c r="AC70" s="210"/>
      <c r="AD70" s="210"/>
      <c r="AF70" s="210">
        <v>29</v>
      </c>
      <c r="AG70" s="210">
        <v>34</v>
      </c>
      <c r="AH70" s="210">
        <v>38</v>
      </c>
      <c r="AI70" s="210">
        <v>41</v>
      </c>
      <c r="AJ70" s="210">
        <v>39</v>
      </c>
      <c r="AK70" s="210">
        <f>54-45</f>
        <v>9</v>
      </c>
      <c r="AM70" s="210">
        <v>9</v>
      </c>
      <c r="AN70" s="210">
        <v>12</v>
      </c>
      <c r="AO70" s="210">
        <v>19</v>
      </c>
      <c r="AP70" s="210">
        <v>20</v>
      </c>
      <c r="AQ70" s="210">
        <v>39</v>
      </c>
      <c r="AR70" s="210">
        <v>41</v>
      </c>
      <c r="AT70" s="210">
        <v>9</v>
      </c>
      <c r="AU70" s="210">
        <v>12</v>
      </c>
      <c r="AV70" s="210">
        <v>19</v>
      </c>
      <c r="AW70" s="210">
        <v>20</v>
      </c>
      <c r="AX70" s="210">
        <v>39</v>
      </c>
      <c r="AY70" s="210">
        <v>41</v>
      </c>
      <c r="BA70" s="210"/>
      <c r="BB70" s="210"/>
      <c r="BC70" s="210"/>
      <c r="BD70" s="210"/>
      <c r="BE70" s="210"/>
      <c r="BF70" s="210"/>
    </row>
    <row r="71" spans="1:58">
      <c r="A71" s="210">
        <v>633</v>
      </c>
      <c r="B71" s="210">
        <v>9</v>
      </c>
      <c r="C71" s="210">
        <v>12</v>
      </c>
      <c r="D71" s="210">
        <v>19</v>
      </c>
      <c r="E71" s="210">
        <v>20</v>
      </c>
      <c r="F71" s="210">
        <v>39</v>
      </c>
      <c r="G71" s="210">
        <v>41</v>
      </c>
      <c r="H71" s="210">
        <v>1</v>
      </c>
      <c r="I71" s="210">
        <v>2</v>
      </c>
      <c r="J71" s="210">
        <v>1</v>
      </c>
      <c r="K71" s="210">
        <v>1</v>
      </c>
      <c r="L71" s="210">
        <v>1</v>
      </c>
      <c r="M71" s="210">
        <f t="shared" ref="M71:M72" si="6">H71+I71</f>
        <v>3</v>
      </c>
      <c r="R71" s="210"/>
      <c r="S71" s="210"/>
      <c r="T71" s="210"/>
      <c r="U71" s="210"/>
      <c r="V71" s="210"/>
      <c r="W71" s="210"/>
      <c r="Y71" s="210"/>
      <c r="Z71" s="210"/>
      <c r="AA71" s="210"/>
      <c r="AB71" s="210"/>
      <c r="AC71" s="210"/>
      <c r="AD71" s="210"/>
      <c r="AF71" s="210"/>
      <c r="AG71" s="210"/>
      <c r="AH71" s="210"/>
      <c r="AI71" s="210"/>
      <c r="AJ71" s="210"/>
      <c r="AK71" s="210"/>
      <c r="AM71" s="210">
        <v>3</v>
      </c>
      <c r="AN71" s="218">
        <v>6</v>
      </c>
      <c r="AO71" s="210">
        <v>17</v>
      </c>
      <c r="AP71" s="210">
        <v>8</v>
      </c>
      <c r="AQ71" s="210">
        <v>43</v>
      </c>
      <c r="AR71" s="210">
        <v>38</v>
      </c>
      <c r="AT71" s="210">
        <v>4</v>
      </c>
      <c r="AU71" s="210">
        <v>10</v>
      </c>
      <c r="AV71" s="210">
        <v>11</v>
      </c>
      <c r="AW71" s="210">
        <v>12</v>
      </c>
      <c r="AX71" s="210">
        <v>20</v>
      </c>
      <c r="AY71" s="210">
        <v>27</v>
      </c>
      <c r="BA71" s="210">
        <v>4</v>
      </c>
      <c r="BB71" s="210">
        <v>10</v>
      </c>
      <c r="BC71" s="210">
        <v>11</v>
      </c>
      <c r="BD71" s="210">
        <v>12</v>
      </c>
      <c r="BE71" s="210">
        <v>20</v>
      </c>
      <c r="BF71" s="210">
        <v>27</v>
      </c>
    </row>
    <row r="72" spans="1:58">
      <c r="A72" s="210">
        <v>634</v>
      </c>
      <c r="B72" s="210">
        <v>4</v>
      </c>
      <c r="C72" s="210">
        <v>10</v>
      </c>
      <c r="D72" s="210">
        <v>11</v>
      </c>
      <c r="E72" s="210">
        <v>12</v>
      </c>
      <c r="F72" s="210">
        <v>20</v>
      </c>
      <c r="G72" s="210">
        <v>27</v>
      </c>
      <c r="H72" s="210">
        <v>2</v>
      </c>
      <c r="I72" s="210">
        <v>1</v>
      </c>
      <c r="J72" s="210">
        <v>1</v>
      </c>
      <c r="K72" s="210">
        <v>1</v>
      </c>
      <c r="L72" s="210">
        <v>1</v>
      </c>
      <c r="M72" s="210">
        <f t="shared" si="6"/>
        <v>3</v>
      </c>
      <c r="R72" s="210"/>
      <c r="S72" s="210"/>
      <c r="T72" s="210"/>
      <c r="U72" s="210"/>
      <c r="V72" s="210"/>
      <c r="W72" s="210"/>
      <c r="Y72" s="210"/>
      <c r="Z72" s="210"/>
      <c r="AA72" s="210"/>
      <c r="AB72" s="210"/>
      <c r="AC72" s="210"/>
      <c r="AD72" s="210"/>
      <c r="AF72" s="210"/>
      <c r="AG72" s="210"/>
      <c r="AH72" s="210"/>
      <c r="AI72" s="210"/>
      <c r="AJ72" s="210"/>
      <c r="AK72" s="210"/>
      <c r="AM72" s="210"/>
      <c r="AN72" s="210"/>
      <c r="AO72" s="210"/>
      <c r="AP72" s="210"/>
      <c r="AQ72" s="210"/>
      <c r="AR72" s="210"/>
      <c r="AT72" s="210">
        <f>45-1</f>
        <v>44</v>
      </c>
      <c r="AU72" s="210">
        <v>8</v>
      </c>
      <c r="AV72" s="210">
        <v>3</v>
      </c>
      <c r="AW72" s="210">
        <v>4</v>
      </c>
      <c r="AX72" s="210">
        <v>1</v>
      </c>
      <c r="AY72" s="210">
        <v>13</v>
      </c>
      <c r="BA72" s="210">
        <v>11</v>
      </c>
      <c r="BB72" s="210">
        <v>13</v>
      </c>
      <c r="BC72" s="210">
        <v>25</v>
      </c>
      <c r="BD72" s="210">
        <v>26</v>
      </c>
      <c r="BE72" s="210">
        <v>29</v>
      </c>
      <c r="BF72" s="210">
        <v>33</v>
      </c>
    </row>
    <row r="73" spans="1:58">
      <c r="A73" s="210">
        <v>635</v>
      </c>
      <c r="B73" s="210">
        <v>11</v>
      </c>
      <c r="C73" s="210">
        <v>13</v>
      </c>
      <c r="D73" s="210">
        <v>25</v>
      </c>
      <c r="E73" s="210">
        <v>26</v>
      </c>
      <c r="F73" s="210">
        <v>29</v>
      </c>
      <c r="G73" s="210">
        <v>33</v>
      </c>
      <c r="H73" s="210">
        <v>1</v>
      </c>
      <c r="I73" s="210">
        <v>2</v>
      </c>
      <c r="J73" s="210">
        <v>1</v>
      </c>
      <c r="K73" s="210">
        <v>1</v>
      </c>
      <c r="L73" s="210">
        <v>1</v>
      </c>
      <c r="M73" s="210">
        <f t="shared" ref="M73:M74" si="7">H73+I73</f>
        <v>3</v>
      </c>
      <c r="BA73" s="210">
        <v>18</v>
      </c>
      <c r="BB73" s="218">
        <v>16</v>
      </c>
      <c r="BC73" s="210">
        <v>39</v>
      </c>
      <c r="BD73" s="210">
        <v>40</v>
      </c>
      <c r="BE73" s="210">
        <v>38</v>
      </c>
      <c r="BF73" s="210">
        <v>39</v>
      </c>
    </row>
    <row r="74" spans="1:58">
      <c r="A74" s="210">
        <v>636</v>
      </c>
      <c r="B74" s="210">
        <v>6</v>
      </c>
      <c r="C74" s="210">
        <v>7</v>
      </c>
      <c r="D74" s="210">
        <v>15</v>
      </c>
      <c r="E74" s="210">
        <v>16</v>
      </c>
      <c r="F74" s="210">
        <v>20</v>
      </c>
      <c r="G74" s="210">
        <v>31</v>
      </c>
      <c r="H74" s="210">
        <v>2</v>
      </c>
      <c r="I74" s="210">
        <v>2</v>
      </c>
      <c r="J74" s="210">
        <v>2</v>
      </c>
      <c r="K74" s="210">
        <v>0</v>
      </c>
      <c r="L74" s="210">
        <v>0</v>
      </c>
      <c r="M74" s="210">
        <f t="shared" si="7"/>
        <v>4</v>
      </c>
    </row>
    <row r="75" spans="1:58">
      <c r="A75" s="210">
        <v>637</v>
      </c>
      <c r="B75" s="210">
        <v>3</v>
      </c>
      <c r="C75" s="210">
        <v>16</v>
      </c>
      <c r="D75" s="210">
        <v>22</v>
      </c>
      <c r="E75" s="210">
        <v>37</v>
      </c>
      <c r="F75" s="210">
        <v>38</v>
      </c>
      <c r="G75" s="210">
        <v>44</v>
      </c>
      <c r="H75" s="210">
        <v>0</v>
      </c>
      <c r="I75" s="210">
        <v>2</v>
      </c>
      <c r="J75" s="210">
        <v>0</v>
      </c>
      <c r="K75" s="210">
        <v>2</v>
      </c>
      <c r="L75" s="210">
        <v>2</v>
      </c>
      <c r="M75" s="210">
        <f t="shared" ref="M75:M76" si="8">H75+I75</f>
        <v>2</v>
      </c>
      <c r="R75" s="214">
        <v>4</v>
      </c>
      <c r="S75" s="214">
        <v>3</v>
      </c>
      <c r="T75" s="214">
        <v>2</v>
      </c>
      <c r="U75" s="214">
        <v>1</v>
      </c>
      <c r="V75" s="214">
        <v>0</v>
      </c>
    </row>
    <row r="76" spans="1:58">
      <c r="A76" s="210">
        <v>638</v>
      </c>
      <c r="B76" s="210">
        <v>7</v>
      </c>
      <c r="C76" s="210">
        <v>18</v>
      </c>
      <c r="D76" s="210">
        <v>22</v>
      </c>
      <c r="E76" s="210">
        <v>24</v>
      </c>
      <c r="F76" s="210">
        <v>31</v>
      </c>
      <c r="G76" s="210">
        <v>34</v>
      </c>
      <c r="H76" s="210">
        <v>2</v>
      </c>
      <c r="I76" s="210">
        <v>0</v>
      </c>
      <c r="J76" s="210">
        <v>1</v>
      </c>
      <c r="K76" s="210">
        <v>1</v>
      </c>
      <c r="L76" s="210">
        <v>2</v>
      </c>
      <c r="M76" s="210">
        <f t="shared" si="8"/>
        <v>2</v>
      </c>
      <c r="R76" s="244"/>
      <c r="S76" s="244"/>
      <c r="T76" s="244"/>
      <c r="U76" s="244"/>
      <c r="V76" s="244"/>
    </row>
    <row r="77" spans="1:58">
      <c r="A77" s="210">
        <v>639</v>
      </c>
      <c r="B77" s="210">
        <v>6</v>
      </c>
      <c r="C77" s="210">
        <v>15</v>
      </c>
      <c r="D77" s="210">
        <v>22</v>
      </c>
      <c r="E77" s="210">
        <v>23</v>
      </c>
      <c r="F77" s="210">
        <v>25</v>
      </c>
      <c r="G77" s="210">
        <v>32</v>
      </c>
      <c r="H77" s="210">
        <v>1</v>
      </c>
      <c r="I77" s="210">
        <v>2</v>
      </c>
      <c r="J77" s="210">
        <v>2</v>
      </c>
      <c r="K77" s="210">
        <v>1</v>
      </c>
      <c r="L77" s="210">
        <v>0</v>
      </c>
      <c r="M77" s="210">
        <f t="shared" ref="M77" si="9">H77+I77</f>
        <v>3</v>
      </c>
      <c r="R77" s="244"/>
      <c r="S77" s="244"/>
      <c r="T77" s="244"/>
      <c r="U77" s="244"/>
      <c r="V77" s="244"/>
    </row>
    <row r="78" spans="1:58">
      <c r="A78" s="210">
        <v>640</v>
      </c>
      <c r="B78" s="210">
        <v>14</v>
      </c>
      <c r="C78" s="210">
        <v>15</v>
      </c>
      <c r="D78" s="210">
        <v>18</v>
      </c>
      <c r="E78" s="210">
        <v>21</v>
      </c>
      <c r="F78" s="210">
        <v>26</v>
      </c>
      <c r="G78" s="210">
        <v>35</v>
      </c>
      <c r="H78" s="210">
        <v>1</v>
      </c>
      <c r="I78" s="210">
        <v>1</v>
      </c>
      <c r="J78" s="210">
        <v>3</v>
      </c>
      <c r="K78" s="210">
        <v>1</v>
      </c>
      <c r="L78" s="210">
        <v>0</v>
      </c>
      <c r="M78" s="210">
        <f t="shared" ref="M78:M79" si="10">H78+I78</f>
        <v>2</v>
      </c>
      <c r="R78" s="244"/>
      <c r="S78" s="244"/>
      <c r="T78" s="244"/>
      <c r="U78" s="244"/>
      <c r="V78" s="244"/>
    </row>
    <row r="79" spans="1:58">
      <c r="A79" s="210">
        <v>641</v>
      </c>
      <c r="B79" s="210">
        <v>11</v>
      </c>
      <c r="C79" s="210">
        <v>18</v>
      </c>
      <c r="D79" s="210">
        <v>21</v>
      </c>
      <c r="E79" s="210">
        <v>36</v>
      </c>
      <c r="F79" s="210">
        <v>37</v>
      </c>
      <c r="G79" s="210">
        <v>43</v>
      </c>
      <c r="H79" s="210">
        <v>1</v>
      </c>
      <c r="I79" s="210">
        <v>1</v>
      </c>
      <c r="J79" s="210">
        <v>2</v>
      </c>
      <c r="K79" s="210">
        <v>1</v>
      </c>
      <c r="L79" s="210">
        <v>1</v>
      </c>
      <c r="M79" s="210">
        <f t="shared" si="10"/>
        <v>2</v>
      </c>
      <c r="R79" s="244"/>
      <c r="S79" s="244"/>
      <c r="T79" s="244"/>
      <c r="U79" s="244"/>
      <c r="V79" s="244"/>
    </row>
    <row r="80" spans="1:58">
      <c r="A80" s="210">
        <v>642</v>
      </c>
      <c r="B80" s="210">
        <v>8</v>
      </c>
      <c r="C80" s="210">
        <v>17</v>
      </c>
      <c r="D80" s="210">
        <v>18</v>
      </c>
      <c r="E80" s="210">
        <v>24</v>
      </c>
      <c r="F80" s="210">
        <v>39</v>
      </c>
      <c r="G80" s="210">
        <v>45</v>
      </c>
      <c r="H80" s="210">
        <v>2</v>
      </c>
      <c r="I80" s="210">
        <v>1</v>
      </c>
      <c r="J80" s="210">
        <v>1</v>
      </c>
      <c r="K80" s="210">
        <v>2</v>
      </c>
      <c r="L80" s="210">
        <v>0</v>
      </c>
      <c r="M80" s="210">
        <f t="shared" ref="M80:M88" si="11">H80+I80</f>
        <v>3</v>
      </c>
      <c r="R80" s="244"/>
      <c r="S80" s="244"/>
      <c r="T80" s="244"/>
      <c r="U80" s="244"/>
      <c r="V80" s="244"/>
    </row>
    <row r="81" spans="1:22">
      <c r="A81" s="210">
        <v>643</v>
      </c>
      <c r="B81" s="210">
        <v>15</v>
      </c>
      <c r="C81" s="210">
        <v>24</v>
      </c>
      <c r="D81" s="210">
        <v>31</v>
      </c>
      <c r="E81" s="210">
        <v>32</v>
      </c>
      <c r="F81" s="210">
        <v>33</v>
      </c>
      <c r="G81" s="210">
        <v>40</v>
      </c>
      <c r="H81" s="210">
        <v>1</v>
      </c>
      <c r="I81" s="210">
        <v>2</v>
      </c>
      <c r="J81" s="210">
        <v>2</v>
      </c>
      <c r="K81" s="210">
        <v>1</v>
      </c>
      <c r="L81" s="210">
        <v>0</v>
      </c>
      <c r="M81" s="210">
        <f t="shared" si="11"/>
        <v>3</v>
      </c>
      <c r="R81" s="244"/>
      <c r="S81" s="244"/>
      <c r="T81" s="244"/>
      <c r="U81" s="244"/>
      <c r="V81" s="244"/>
    </row>
    <row r="82" spans="1:22">
      <c r="A82" s="210">
        <v>644</v>
      </c>
      <c r="B82" s="210">
        <v>5</v>
      </c>
      <c r="C82" s="210">
        <v>13</v>
      </c>
      <c r="D82" s="210">
        <v>17</v>
      </c>
      <c r="E82" s="210">
        <v>23</v>
      </c>
      <c r="F82" s="210">
        <v>28</v>
      </c>
      <c r="G82" s="210">
        <v>36</v>
      </c>
      <c r="H82" s="210">
        <v>0</v>
      </c>
      <c r="I82" s="210">
        <v>2</v>
      </c>
      <c r="J82" s="210">
        <v>1</v>
      </c>
      <c r="K82" s="210">
        <v>2</v>
      </c>
      <c r="L82" s="210">
        <v>1</v>
      </c>
      <c r="M82" s="210">
        <f t="shared" si="11"/>
        <v>2</v>
      </c>
      <c r="R82" s="244"/>
      <c r="S82" s="244"/>
      <c r="T82" s="244"/>
      <c r="U82" s="244"/>
      <c r="V82" s="244"/>
    </row>
    <row r="83" spans="1:22">
      <c r="A83" s="210">
        <v>645</v>
      </c>
      <c r="B83" s="210">
        <v>1</v>
      </c>
      <c r="C83" s="210">
        <v>4</v>
      </c>
      <c r="D83" s="210">
        <v>16</v>
      </c>
      <c r="E83" s="210">
        <v>26</v>
      </c>
      <c r="F83" s="210">
        <v>40</v>
      </c>
      <c r="G83" s="210">
        <v>41</v>
      </c>
      <c r="H83" s="210">
        <v>2</v>
      </c>
      <c r="I83" s="210">
        <v>1</v>
      </c>
      <c r="J83" s="210">
        <v>1</v>
      </c>
      <c r="K83" s="210">
        <v>1</v>
      </c>
      <c r="L83" s="210">
        <v>1</v>
      </c>
      <c r="M83" s="210">
        <f t="shared" si="11"/>
        <v>3</v>
      </c>
      <c r="R83" s="244"/>
      <c r="S83" s="244"/>
      <c r="T83" s="244"/>
      <c r="U83" s="244"/>
      <c r="V83" s="244"/>
    </row>
    <row r="84" spans="1:22">
      <c r="A84" s="210">
        <v>646</v>
      </c>
      <c r="B84" s="210">
        <v>2</v>
      </c>
      <c r="C84" s="210">
        <v>9</v>
      </c>
      <c r="D84" s="210">
        <v>24</v>
      </c>
      <c r="E84" s="210">
        <v>41</v>
      </c>
      <c r="F84" s="210">
        <v>43</v>
      </c>
      <c r="G84" s="210">
        <v>45</v>
      </c>
      <c r="H84" s="210">
        <v>1</v>
      </c>
      <c r="I84" s="210">
        <v>0</v>
      </c>
      <c r="J84" s="210">
        <v>2</v>
      </c>
      <c r="K84" s="210">
        <v>2</v>
      </c>
      <c r="L84" s="210">
        <v>1</v>
      </c>
      <c r="M84" s="210">
        <f t="shared" si="11"/>
        <v>1</v>
      </c>
      <c r="R84" s="244"/>
      <c r="S84" s="244"/>
      <c r="T84" s="244"/>
      <c r="U84" s="244"/>
      <c r="V84" s="244"/>
    </row>
    <row r="85" spans="1:22">
      <c r="A85" s="210">
        <v>647</v>
      </c>
      <c r="B85" s="210">
        <v>5</v>
      </c>
      <c r="C85" s="210">
        <v>16</v>
      </c>
      <c r="D85" s="210">
        <v>21</v>
      </c>
      <c r="E85" s="210">
        <v>23</v>
      </c>
      <c r="F85" s="210">
        <v>24</v>
      </c>
      <c r="G85" s="210">
        <v>30</v>
      </c>
      <c r="H85" s="210">
        <v>1</v>
      </c>
      <c r="I85" s="210">
        <v>3</v>
      </c>
      <c r="J85" s="210">
        <v>1</v>
      </c>
      <c r="K85" s="210">
        <v>0</v>
      </c>
      <c r="L85" s="210">
        <v>1</v>
      </c>
      <c r="M85" s="210">
        <f t="shared" si="11"/>
        <v>4</v>
      </c>
      <c r="R85" s="244"/>
      <c r="S85" s="244"/>
      <c r="T85" s="244"/>
      <c r="U85" s="244"/>
      <c r="V85" s="244"/>
    </row>
    <row r="86" spans="1:22">
      <c r="A86" s="210">
        <v>648</v>
      </c>
      <c r="B86" s="210">
        <v>13</v>
      </c>
      <c r="C86" s="210">
        <v>19</v>
      </c>
      <c r="D86" s="210">
        <v>28</v>
      </c>
      <c r="E86" s="210">
        <v>37</v>
      </c>
      <c r="F86" s="210">
        <v>38</v>
      </c>
      <c r="G86" s="210">
        <v>43</v>
      </c>
      <c r="H86" s="210">
        <v>2</v>
      </c>
      <c r="I86" s="210">
        <v>0</v>
      </c>
      <c r="J86" s="210">
        <v>1</v>
      </c>
      <c r="K86" s="210">
        <v>3</v>
      </c>
      <c r="L86" s="210">
        <v>0</v>
      </c>
      <c r="M86" s="210">
        <f t="shared" si="11"/>
        <v>2</v>
      </c>
      <c r="R86" s="244"/>
      <c r="S86" s="244"/>
      <c r="T86" s="244"/>
      <c r="U86" s="244"/>
      <c r="V86" s="244"/>
    </row>
    <row r="87" spans="1:22">
      <c r="A87" s="210">
        <v>649</v>
      </c>
      <c r="B87" s="210">
        <v>3</v>
      </c>
      <c r="C87" s="210">
        <v>21</v>
      </c>
      <c r="D87" s="210">
        <v>22</v>
      </c>
      <c r="E87" s="210">
        <v>33</v>
      </c>
      <c r="F87" s="210">
        <v>41</v>
      </c>
      <c r="G87" s="210">
        <v>42</v>
      </c>
      <c r="H87" s="210">
        <v>0</v>
      </c>
      <c r="I87" s="210">
        <v>2</v>
      </c>
      <c r="J87" s="210">
        <v>2</v>
      </c>
      <c r="K87" s="210">
        <v>1</v>
      </c>
      <c r="L87" s="210">
        <v>1</v>
      </c>
      <c r="M87" s="210">
        <f t="shared" si="11"/>
        <v>2</v>
      </c>
      <c r="R87" s="244"/>
      <c r="S87" s="244"/>
      <c r="T87" s="244"/>
      <c r="U87" s="244"/>
      <c r="V87" s="244"/>
    </row>
    <row r="88" spans="1:22">
      <c r="A88" s="210">
        <v>650</v>
      </c>
      <c r="B88" s="210">
        <v>3</v>
      </c>
      <c r="C88" s="210">
        <v>4</v>
      </c>
      <c r="D88" s="210">
        <v>7</v>
      </c>
      <c r="E88" s="210">
        <v>11</v>
      </c>
      <c r="F88" s="210">
        <v>31</v>
      </c>
      <c r="G88" s="210">
        <v>41</v>
      </c>
      <c r="H88" s="210">
        <v>0</v>
      </c>
      <c r="I88" s="210">
        <v>4</v>
      </c>
      <c r="J88" s="210">
        <v>1</v>
      </c>
      <c r="K88" s="210">
        <v>1</v>
      </c>
      <c r="L88" s="210">
        <v>0</v>
      </c>
      <c r="M88" s="210">
        <f t="shared" si="11"/>
        <v>4</v>
      </c>
      <c r="R88" s="244"/>
      <c r="S88" s="244"/>
      <c r="T88" s="244"/>
      <c r="U88" s="244"/>
      <c r="V88" s="244"/>
    </row>
    <row r="89" spans="1:22">
      <c r="A89" s="210">
        <v>651</v>
      </c>
      <c r="B89" s="210">
        <v>11</v>
      </c>
      <c r="C89" s="210">
        <v>12</v>
      </c>
      <c r="D89" s="210">
        <v>16</v>
      </c>
      <c r="E89" s="210">
        <v>26</v>
      </c>
      <c r="F89" s="210">
        <v>29</v>
      </c>
      <c r="G89" s="210">
        <v>44</v>
      </c>
      <c r="H89" s="210">
        <v>1</v>
      </c>
      <c r="I89" s="210">
        <v>3</v>
      </c>
      <c r="J89" s="210">
        <v>0</v>
      </c>
      <c r="K89" s="210">
        <v>0</v>
      </c>
      <c r="L89" s="210">
        <v>2</v>
      </c>
      <c r="M89" s="210">
        <f t="shared" ref="M89:M90" si="12">H89+I89</f>
        <v>4</v>
      </c>
      <c r="R89" s="244"/>
      <c r="S89" s="320"/>
      <c r="T89" s="244"/>
      <c r="U89" s="244"/>
      <c r="V89" s="244"/>
    </row>
    <row r="90" spans="1:22">
      <c r="A90" s="210">
        <v>652</v>
      </c>
      <c r="B90" s="210">
        <v>3</v>
      </c>
      <c r="C90" s="210">
        <v>13</v>
      </c>
      <c r="D90" s="210">
        <v>15</v>
      </c>
      <c r="E90" s="210">
        <v>40</v>
      </c>
      <c r="F90" s="210">
        <v>41</v>
      </c>
      <c r="G90" s="210">
        <v>44</v>
      </c>
      <c r="H90" s="210">
        <v>3</v>
      </c>
      <c r="I90" s="210">
        <v>2</v>
      </c>
      <c r="J90" s="210">
        <v>1</v>
      </c>
      <c r="K90" s="210">
        <v>0</v>
      </c>
      <c r="L90" s="210">
        <v>0</v>
      </c>
      <c r="M90" s="210">
        <f t="shared" si="12"/>
        <v>5</v>
      </c>
    </row>
    <row r="91" spans="1:22">
      <c r="A91" s="210">
        <v>653</v>
      </c>
      <c r="B91" s="210">
        <v>5</v>
      </c>
      <c r="C91" s="210">
        <v>6</v>
      </c>
      <c r="D91" s="210">
        <v>26</v>
      </c>
      <c r="E91" s="210">
        <v>27</v>
      </c>
      <c r="F91" s="210">
        <v>38</v>
      </c>
      <c r="G91" s="210">
        <v>39</v>
      </c>
      <c r="H91" s="210">
        <v>1</v>
      </c>
      <c r="I91" s="210">
        <v>1</v>
      </c>
      <c r="J91" s="210">
        <v>1</v>
      </c>
      <c r="K91" s="210">
        <v>3</v>
      </c>
      <c r="L91" s="210">
        <v>0</v>
      </c>
      <c r="M91" s="210">
        <f t="shared" ref="M91:M92" si="13">H91+I91</f>
        <v>2</v>
      </c>
    </row>
    <row r="92" spans="1:22" hidden="1">
      <c r="A92" s="210">
        <v>654</v>
      </c>
      <c r="B92" s="210">
        <v>16</v>
      </c>
      <c r="C92" s="210">
        <v>21</v>
      </c>
      <c r="D92" s="210">
        <v>26</v>
      </c>
      <c r="E92" s="210">
        <v>31</v>
      </c>
      <c r="F92" s="210">
        <v>36</v>
      </c>
      <c r="G92" s="210">
        <v>43</v>
      </c>
      <c r="H92" s="210">
        <v>2</v>
      </c>
      <c r="I92" s="210">
        <v>3</v>
      </c>
      <c r="J92" s="210">
        <v>0</v>
      </c>
      <c r="K92" s="210">
        <v>0</v>
      </c>
      <c r="L92" s="210">
        <v>1</v>
      </c>
      <c r="M92" s="210">
        <f t="shared" si="13"/>
        <v>5</v>
      </c>
    </row>
    <row r="93" spans="1:22" hidden="1">
      <c r="A93" s="210">
        <v>655</v>
      </c>
      <c r="B93" s="210">
        <v>7</v>
      </c>
      <c r="C93" s="210">
        <v>37</v>
      </c>
      <c r="D93" s="210">
        <v>38</v>
      </c>
      <c r="E93" s="210">
        <v>39</v>
      </c>
      <c r="F93" s="210">
        <v>40</v>
      </c>
      <c r="G93" s="210">
        <v>44</v>
      </c>
      <c r="H93" s="210">
        <v>3</v>
      </c>
      <c r="I93" s="210">
        <v>1</v>
      </c>
      <c r="J93" s="210">
        <v>2</v>
      </c>
      <c r="K93" s="210">
        <v>0</v>
      </c>
      <c r="L93" s="210">
        <v>0</v>
      </c>
      <c r="M93" s="210">
        <f t="shared" ref="M93:M94" si="14">H93+I93</f>
        <v>4</v>
      </c>
    </row>
    <row r="94" spans="1:22" hidden="1">
      <c r="A94" s="210">
        <v>656</v>
      </c>
      <c r="B94" s="210">
        <v>3</v>
      </c>
      <c r="C94" s="210">
        <v>7</v>
      </c>
      <c r="D94" s="210">
        <v>14</v>
      </c>
      <c r="E94" s="210">
        <v>16</v>
      </c>
      <c r="F94" s="210">
        <v>31</v>
      </c>
      <c r="G94" s="210">
        <v>40</v>
      </c>
      <c r="H94" s="210">
        <v>4</v>
      </c>
      <c r="I94" s="210">
        <v>1</v>
      </c>
      <c r="J94" s="210">
        <v>0</v>
      </c>
      <c r="K94" s="210">
        <v>1</v>
      </c>
      <c r="L94" s="210">
        <v>0</v>
      </c>
      <c r="M94" s="210">
        <f t="shared" si="14"/>
        <v>5</v>
      </c>
    </row>
    <row r="95" spans="1:22" hidden="1">
      <c r="A95" s="210">
        <v>657</v>
      </c>
      <c r="B95" s="210">
        <v>10</v>
      </c>
      <c r="C95" s="210">
        <v>14</v>
      </c>
      <c r="D95" s="210">
        <v>19</v>
      </c>
      <c r="E95" s="210">
        <v>39</v>
      </c>
      <c r="F95" s="210">
        <v>40</v>
      </c>
      <c r="G95" s="210">
        <v>43</v>
      </c>
      <c r="H95" s="210">
        <v>3</v>
      </c>
      <c r="I95" s="210">
        <v>0</v>
      </c>
      <c r="J95" s="210">
        <v>1</v>
      </c>
      <c r="K95" s="210">
        <v>0</v>
      </c>
      <c r="L95" s="210">
        <v>2</v>
      </c>
      <c r="M95" s="210">
        <f t="shared" ref="M95:M103" si="15">H95+I95</f>
        <v>3</v>
      </c>
    </row>
    <row r="96" spans="1:22" hidden="1">
      <c r="A96" s="210">
        <v>658</v>
      </c>
      <c r="B96" s="210">
        <v>8</v>
      </c>
      <c r="C96" s="210">
        <v>19</v>
      </c>
      <c r="D96" s="210">
        <v>25</v>
      </c>
      <c r="E96" s="210">
        <v>28</v>
      </c>
      <c r="F96" s="210">
        <v>32</v>
      </c>
      <c r="G96" s="210">
        <v>36</v>
      </c>
      <c r="H96" s="210">
        <v>0</v>
      </c>
      <c r="I96" s="210">
        <v>0</v>
      </c>
      <c r="J96" s="210">
        <v>2</v>
      </c>
      <c r="K96" s="210">
        <v>3</v>
      </c>
      <c r="L96" s="210">
        <v>1</v>
      </c>
      <c r="M96" s="210">
        <f t="shared" si="15"/>
        <v>0</v>
      </c>
    </row>
    <row r="97" spans="1:13" hidden="1">
      <c r="A97" s="210">
        <v>659</v>
      </c>
      <c r="B97" s="210">
        <v>7</v>
      </c>
      <c r="C97" s="210">
        <v>18</v>
      </c>
      <c r="D97" s="210">
        <v>19</v>
      </c>
      <c r="E97" s="210">
        <v>27</v>
      </c>
      <c r="F97" s="210">
        <v>29</v>
      </c>
      <c r="G97" s="210">
        <v>42</v>
      </c>
      <c r="H97" s="210">
        <v>2</v>
      </c>
      <c r="I97" s="210">
        <v>1</v>
      </c>
      <c r="J97" s="210">
        <v>0</v>
      </c>
      <c r="K97" s="210">
        <v>1</v>
      </c>
      <c r="L97" s="210">
        <v>2</v>
      </c>
      <c r="M97" s="210">
        <f t="shared" si="15"/>
        <v>3</v>
      </c>
    </row>
    <row r="98" spans="1:13" hidden="1">
      <c r="A98" s="210">
        <v>660</v>
      </c>
      <c r="B98" s="210">
        <v>4</v>
      </c>
      <c r="C98" s="210">
        <v>9</v>
      </c>
      <c r="D98" s="210">
        <v>23</v>
      </c>
      <c r="E98" s="210">
        <v>33</v>
      </c>
      <c r="F98" s="210">
        <v>39</v>
      </c>
      <c r="G98" s="210">
        <v>44</v>
      </c>
      <c r="H98" s="210">
        <v>2</v>
      </c>
      <c r="I98" s="210">
        <v>1</v>
      </c>
      <c r="J98" s="210">
        <v>1</v>
      </c>
      <c r="K98" s="210">
        <v>1</v>
      </c>
      <c r="L98" s="210">
        <v>1</v>
      </c>
      <c r="M98" s="210">
        <f t="shared" si="15"/>
        <v>3</v>
      </c>
    </row>
    <row r="99" spans="1:13" hidden="1">
      <c r="A99" s="210">
        <v>661</v>
      </c>
      <c r="B99" s="210">
        <v>2</v>
      </c>
      <c r="C99" s="210">
        <v>3</v>
      </c>
      <c r="D99" s="210">
        <v>12</v>
      </c>
      <c r="E99" s="210">
        <v>20</v>
      </c>
      <c r="F99" s="210">
        <v>27</v>
      </c>
      <c r="G99" s="210">
        <v>38</v>
      </c>
      <c r="H99" s="210">
        <v>1</v>
      </c>
      <c r="I99" s="210">
        <v>0</v>
      </c>
      <c r="J99" s="210">
        <v>3</v>
      </c>
      <c r="K99" s="210">
        <v>2</v>
      </c>
      <c r="L99" s="210">
        <v>0</v>
      </c>
      <c r="M99" s="210">
        <f t="shared" si="15"/>
        <v>1</v>
      </c>
    </row>
    <row r="100" spans="1:13" hidden="1">
      <c r="A100" s="210">
        <v>662</v>
      </c>
      <c r="B100" s="210">
        <v>5</v>
      </c>
      <c r="C100" s="210">
        <v>6</v>
      </c>
      <c r="D100" s="210">
        <v>9</v>
      </c>
      <c r="E100" s="210">
        <v>11</v>
      </c>
      <c r="F100" s="210">
        <v>15</v>
      </c>
      <c r="G100" s="210">
        <v>37</v>
      </c>
      <c r="H100" s="210">
        <v>0</v>
      </c>
      <c r="I100" s="210">
        <v>1</v>
      </c>
      <c r="J100" s="210">
        <v>1</v>
      </c>
      <c r="K100" s="210">
        <v>4</v>
      </c>
      <c r="L100" s="210">
        <v>0</v>
      </c>
      <c r="M100" s="210">
        <f t="shared" si="15"/>
        <v>1</v>
      </c>
    </row>
    <row r="101" spans="1:13" hidden="1">
      <c r="A101" s="210">
        <v>663</v>
      </c>
      <c r="B101" s="210">
        <v>3</v>
      </c>
      <c r="C101" s="210">
        <v>5</v>
      </c>
      <c r="D101" s="210">
        <v>8</v>
      </c>
      <c r="E101" s="210">
        <v>19</v>
      </c>
      <c r="F101" s="210">
        <v>38</v>
      </c>
      <c r="G101" s="210">
        <v>42</v>
      </c>
      <c r="H101" s="210">
        <v>3</v>
      </c>
      <c r="I101" s="210">
        <v>1</v>
      </c>
      <c r="J101" s="210">
        <v>1</v>
      </c>
      <c r="K101" s="210">
        <v>1</v>
      </c>
      <c r="L101" s="210">
        <v>0</v>
      </c>
      <c r="M101" s="210">
        <f t="shared" si="15"/>
        <v>4</v>
      </c>
    </row>
    <row r="102" spans="1:13" hidden="1">
      <c r="A102" s="210">
        <v>664</v>
      </c>
      <c r="B102" s="210">
        <v>10</v>
      </c>
      <c r="C102" s="210">
        <v>20</v>
      </c>
      <c r="D102" s="210">
        <v>33</v>
      </c>
      <c r="E102" s="210">
        <v>36</v>
      </c>
      <c r="F102" s="210">
        <v>41</v>
      </c>
      <c r="G102" s="210">
        <v>44</v>
      </c>
      <c r="H102" s="210">
        <v>1</v>
      </c>
      <c r="I102" s="210">
        <v>1</v>
      </c>
      <c r="J102" s="210">
        <v>3</v>
      </c>
      <c r="K102" s="210">
        <v>0</v>
      </c>
      <c r="L102" s="210">
        <v>1</v>
      </c>
      <c r="M102" s="210">
        <f t="shared" si="15"/>
        <v>2</v>
      </c>
    </row>
    <row r="103" spans="1:13" hidden="1">
      <c r="A103" s="210">
        <v>665</v>
      </c>
      <c r="B103" s="210">
        <v>5</v>
      </c>
      <c r="C103" s="210">
        <v>6</v>
      </c>
      <c r="D103" s="210">
        <v>11</v>
      </c>
      <c r="E103" s="210">
        <v>17</v>
      </c>
      <c r="F103" s="210">
        <v>38</v>
      </c>
      <c r="G103" s="210">
        <v>44</v>
      </c>
      <c r="H103" s="210">
        <v>3</v>
      </c>
      <c r="I103" s="210">
        <v>2</v>
      </c>
      <c r="J103" s="210">
        <v>0</v>
      </c>
      <c r="K103" s="210">
        <v>1</v>
      </c>
      <c r="L103" s="210">
        <v>0</v>
      </c>
      <c r="M103" s="210">
        <f t="shared" si="15"/>
        <v>5</v>
      </c>
    </row>
    <row r="104" spans="1:13" hidden="1">
      <c r="A104" s="210">
        <v>666</v>
      </c>
      <c r="B104" s="210">
        <v>2</v>
      </c>
      <c r="C104" s="210">
        <v>4</v>
      </c>
      <c r="D104" s="210">
        <v>6</v>
      </c>
      <c r="E104" s="210">
        <v>11</v>
      </c>
      <c r="F104" s="210">
        <v>17</v>
      </c>
      <c r="G104" s="210">
        <v>28</v>
      </c>
      <c r="H104" s="210">
        <v>2</v>
      </c>
      <c r="I104" s="210">
        <v>1</v>
      </c>
      <c r="J104" s="210">
        <v>2</v>
      </c>
      <c r="K104" s="210">
        <v>0</v>
      </c>
      <c r="L104" s="210">
        <v>1</v>
      </c>
      <c r="M104" s="210">
        <f t="shared" ref="M104:M105" si="16">H104+I104</f>
        <v>3</v>
      </c>
    </row>
    <row r="105" spans="1:13" hidden="1">
      <c r="A105" s="210">
        <v>667</v>
      </c>
      <c r="B105" s="210">
        <v>15</v>
      </c>
      <c r="C105" s="210">
        <v>17</v>
      </c>
      <c r="D105" s="210">
        <v>25</v>
      </c>
      <c r="E105" s="210">
        <v>37</v>
      </c>
      <c r="F105" s="210">
        <v>42</v>
      </c>
      <c r="G105" s="210">
        <v>43</v>
      </c>
      <c r="H105" s="210">
        <v>1</v>
      </c>
      <c r="I105" s="210">
        <v>2</v>
      </c>
      <c r="J105" s="210">
        <v>2</v>
      </c>
      <c r="K105" s="210">
        <v>1</v>
      </c>
      <c r="L105" s="210">
        <v>0</v>
      </c>
      <c r="M105" s="210">
        <f t="shared" si="16"/>
        <v>3</v>
      </c>
    </row>
    <row r="106" spans="1:13" hidden="1">
      <c r="A106" s="210">
        <v>668</v>
      </c>
      <c r="B106" s="210">
        <v>12</v>
      </c>
      <c r="C106" s="210">
        <v>14</v>
      </c>
      <c r="D106" s="210">
        <v>15</v>
      </c>
      <c r="E106" s="210">
        <v>24</v>
      </c>
      <c r="F106" s="210">
        <v>27</v>
      </c>
      <c r="G106" s="210">
        <v>32</v>
      </c>
      <c r="H106" s="210">
        <v>0</v>
      </c>
      <c r="I106" s="210">
        <v>0</v>
      </c>
      <c r="J106" s="210">
        <v>4</v>
      </c>
      <c r="K106" s="210">
        <v>1</v>
      </c>
      <c r="L106" s="210">
        <v>1</v>
      </c>
      <c r="M106" s="210">
        <f t="shared" ref="M106:M107" si="17">H106+I106</f>
        <v>0</v>
      </c>
    </row>
    <row r="107" spans="1:13" hidden="1">
      <c r="A107" s="210">
        <v>669</v>
      </c>
      <c r="B107" s="210">
        <v>7</v>
      </c>
      <c r="C107" s="210">
        <v>8</v>
      </c>
      <c r="D107" s="210">
        <v>20</v>
      </c>
      <c r="E107" s="210">
        <v>29</v>
      </c>
      <c r="F107" s="210">
        <v>33</v>
      </c>
      <c r="G107" s="210">
        <v>38</v>
      </c>
      <c r="H107" s="210">
        <v>2</v>
      </c>
      <c r="I107" s="210">
        <v>2</v>
      </c>
      <c r="J107" s="210">
        <v>1</v>
      </c>
      <c r="K107" s="210">
        <v>0</v>
      </c>
      <c r="L107" s="210">
        <v>1</v>
      </c>
      <c r="M107" s="210">
        <f t="shared" si="17"/>
        <v>4</v>
      </c>
    </row>
    <row r="108" spans="1:13" hidden="1">
      <c r="A108" s="210">
        <v>670</v>
      </c>
      <c r="B108" s="210">
        <v>11</v>
      </c>
      <c r="C108" s="210">
        <v>18</v>
      </c>
      <c r="D108" s="210">
        <v>26</v>
      </c>
      <c r="E108" s="210">
        <v>27</v>
      </c>
      <c r="F108" s="210">
        <v>40</v>
      </c>
      <c r="G108" s="210">
        <v>41</v>
      </c>
      <c r="H108" s="210">
        <v>2</v>
      </c>
      <c r="I108" s="210">
        <v>2</v>
      </c>
      <c r="J108" s="210">
        <v>1</v>
      </c>
      <c r="K108" s="210">
        <v>1</v>
      </c>
      <c r="L108" s="210">
        <v>0</v>
      </c>
      <c r="M108" s="210">
        <f t="shared" ref="M108:M109" si="18">H108+I108</f>
        <v>4</v>
      </c>
    </row>
    <row r="109" spans="1:13" hidden="1">
      <c r="A109" s="210">
        <v>671</v>
      </c>
      <c r="B109" s="210">
        <v>7</v>
      </c>
      <c r="C109" s="210">
        <v>9</v>
      </c>
      <c r="D109" s="210">
        <v>10</v>
      </c>
      <c r="E109" s="210">
        <v>13</v>
      </c>
      <c r="F109" s="210">
        <v>31</v>
      </c>
      <c r="G109" s="210">
        <v>35</v>
      </c>
      <c r="H109" s="210">
        <v>1</v>
      </c>
      <c r="I109" s="210">
        <v>1</v>
      </c>
      <c r="J109" s="210">
        <v>2</v>
      </c>
      <c r="K109" s="210">
        <v>0</v>
      </c>
      <c r="L109" s="210">
        <v>2</v>
      </c>
      <c r="M109" s="210">
        <f t="shared" si="18"/>
        <v>2</v>
      </c>
    </row>
    <row r="110" spans="1:13" hidden="1">
      <c r="A110" s="210">
        <v>672</v>
      </c>
      <c r="B110" s="210">
        <v>8</v>
      </c>
      <c r="C110" s="210">
        <v>21</v>
      </c>
      <c r="D110" s="210">
        <v>28</v>
      </c>
      <c r="E110" s="210">
        <v>31</v>
      </c>
      <c r="F110" s="210">
        <v>36</v>
      </c>
      <c r="G110" s="210">
        <v>45</v>
      </c>
      <c r="H110" s="210">
        <v>1</v>
      </c>
      <c r="I110" s="210">
        <v>1</v>
      </c>
      <c r="J110" s="210">
        <v>0</v>
      </c>
      <c r="K110" s="210">
        <v>1</v>
      </c>
      <c r="L110" s="210">
        <v>3</v>
      </c>
      <c r="M110" s="210">
        <f t="shared" ref="M110:M111" si="19">H110+I110</f>
        <v>2</v>
      </c>
    </row>
    <row r="111" spans="1:13" hidden="1">
      <c r="A111" s="210">
        <v>673</v>
      </c>
      <c r="B111" s="210">
        <v>7</v>
      </c>
      <c r="C111" s="210">
        <v>10</v>
      </c>
      <c r="D111" s="210">
        <v>17</v>
      </c>
      <c r="E111" s="210">
        <v>29</v>
      </c>
      <c r="F111" s="210">
        <v>33</v>
      </c>
      <c r="G111" s="210">
        <v>44</v>
      </c>
      <c r="H111" s="210">
        <v>2</v>
      </c>
      <c r="I111" s="210">
        <v>1</v>
      </c>
      <c r="J111" s="210">
        <v>3</v>
      </c>
      <c r="K111" s="210">
        <v>0</v>
      </c>
      <c r="L111" s="210">
        <v>0</v>
      </c>
      <c r="M111" s="210">
        <f t="shared" si="19"/>
        <v>3</v>
      </c>
    </row>
    <row r="112" spans="1:13" hidden="1">
      <c r="A112" s="210">
        <v>674</v>
      </c>
      <c r="B112" s="210">
        <v>9</v>
      </c>
      <c r="C112" s="210">
        <v>10</v>
      </c>
      <c r="D112" s="210">
        <v>14</v>
      </c>
      <c r="E112" s="210">
        <v>25</v>
      </c>
      <c r="F112" s="210">
        <v>27</v>
      </c>
      <c r="G112" s="210">
        <v>31</v>
      </c>
      <c r="H112" s="210">
        <v>2</v>
      </c>
      <c r="I112" s="210">
        <v>3</v>
      </c>
      <c r="J112" s="210">
        <v>1</v>
      </c>
      <c r="K112" s="210">
        <v>0</v>
      </c>
      <c r="L112" s="210">
        <v>0</v>
      </c>
      <c r="M112" s="210">
        <f t="shared" ref="M112:M113" si="20">H112+I112</f>
        <v>5</v>
      </c>
    </row>
    <row r="113" spans="1:13" hidden="1">
      <c r="A113" s="210">
        <v>675</v>
      </c>
      <c r="B113" s="210">
        <v>1</v>
      </c>
      <c r="C113" s="210">
        <v>8</v>
      </c>
      <c r="D113" s="210">
        <v>11</v>
      </c>
      <c r="E113" s="210">
        <v>15</v>
      </c>
      <c r="F113" s="210">
        <v>18</v>
      </c>
      <c r="G113" s="210">
        <v>45</v>
      </c>
      <c r="H113" s="210">
        <v>3</v>
      </c>
      <c r="I113" s="210">
        <v>0</v>
      </c>
      <c r="J113" s="210">
        <v>1</v>
      </c>
      <c r="K113" s="210">
        <v>1</v>
      </c>
      <c r="L113" s="210">
        <v>1</v>
      </c>
      <c r="M113" s="210">
        <f t="shared" si="20"/>
        <v>3</v>
      </c>
    </row>
    <row r="114" spans="1:13" hidden="1">
      <c r="A114" s="210">
        <v>676</v>
      </c>
      <c r="B114" s="210">
        <v>1</v>
      </c>
      <c r="C114" s="210">
        <v>8</v>
      </c>
      <c r="D114" s="210">
        <v>17</v>
      </c>
      <c r="E114" s="210">
        <v>34</v>
      </c>
      <c r="F114" s="210">
        <v>39</v>
      </c>
      <c r="G114" s="210">
        <v>45</v>
      </c>
      <c r="H114" s="210">
        <v>2</v>
      </c>
      <c r="I114" s="210">
        <v>1</v>
      </c>
      <c r="J114" s="210">
        <v>2</v>
      </c>
      <c r="K114" s="210">
        <v>1</v>
      </c>
      <c r="L114" s="210">
        <v>0</v>
      </c>
      <c r="M114" s="210">
        <f t="shared" ref="M114:M115" si="21">H114+I114</f>
        <v>3</v>
      </c>
    </row>
    <row r="115" spans="1:13" hidden="1">
      <c r="A115" s="210">
        <v>677</v>
      </c>
      <c r="B115" s="210">
        <v>12</v>
      </c>
      <c r="C115" s="210">
        <v>15</v>
      </c>
      <c r="D115" s="210">
        <v>24</v>
      </c>
      <c r="E115" s="210">
        <v>36</v>
      </c>
      <c r="F115" s="210">
        <v>41</v>
      </c>
      <c r="G115" s="210">
        <v>44</v>
      </c>
      <c r="H115" s="210">
        <v>1</v>
      </c>
      <c r="I115" s="210">
        <v>2</v>
      </c>
      <c r="J115" s="210">
        <v>0</v>
      </c>
      <c r="K115" s="210">
        <v>3</v>
      </c>
      <c r="L115" s="210">
        <v>0</v>
      </c>
      <c r="M115" s="210">
        <f t="shared" si="21"/>
        <v>3</v>
      </c>
    </row>
    <row r="116" spans="1:13" hidden="1">
      <c r="A116" s="210">
        <v>678</v>
      </c>
      <c r="B116" s="210">
        <v>4</v>
      </c>
      <c r="C116" s="210">
        <v>5</v>
      </c>
      <c r="D116" s="210">
        <v>6</v>
      </c>
      <c r="E116" s="210">
        <v>12</v>
      </c>
      <c r="F116" s="210">
        <v>25</v>
      </c>
      <c r="G116" s="210">
        <v>37</v>
      </c>
      <c r="H116" s="210">
        <v>1</v>
      </c>
      <c r="I116" s="210">
        <v>4</v>
      </c>
      <c r="J116" s="210">
        <v>0</v>
      </c>
      <c r="K116" s="210">
        <v>1</v>
      </c>
      <c r="L116" s="210">
        <v>0</v>
      </c>
      <c r="M116" s="210">
        <f t="shared" ref="M116:M117" si="22">H116+I116</f>
        <v>5</v>
      </c>
    </row>
    <row r="117" spans="1:13" hidden="1">
      <c r="A117" s="210">
        <v>679</v>
      </c>
      <c r="B117" s="210">
        <v>3</v>
      </c>
      <c r="C117" s="210">
        <v>5</v>
      </c>
      <c r="D117" s="210">
        <v>7</v>
      </c>
      <c r="E117" s="210">
        <v>14</v>
      </c>
      <c r="F117" s="210">
        <v>26</v>
      </c>
      <c r="G117" s="210">
        <v>34</v>
      </c>
      <c r="H117" s="210">
        <v>2</v>
      </c>
      <c r="I117" s="210">
        <v>2</v>
      </c>
      <c r="J117" s="210">
        <v>2</v>
      </c>
      <c r="K117" s="210">
        <v>0</v>
      </c>
      <c r="L117" s="210">
        <v>0</v>
      </c>
      <c r="M117" s="210">
        <f t="shared" si="22"/>
        <v>4</v>
      </c>
    </row>
    <row r="118" spans="1:13" hidden="1">
      <c r="A118" s="210">
        <v>680</v>
      </c>
      <c r="B118" s="210">
        <v>4</v>
      </c>
      <c r="C118" s="210">
        <v>10</v>
      </c>
      <c r="D118" s="210">
        <v>19</v>
      </c>
      <c r="E118" s="210">
        <v>29</v>
      </c>
      <c r="F118" s="210">
        <v>32</v>
      </c>
      <c r="G118" s="210">
        <v>42</v>
      </c>
      <c r="H118" s="210">
        <v>0</v>
      </c>
      <c r="I118" s="210">
        <v>1</v>
      </c>
      <c r="J118" s="210">
        <v>2</v>
      </c>
      <c r="K118" s="210">
        <v>1</v>
      </c>
      <c r="L118" s="210">
        <v>2</v>
      </c>
      <c r="M118" s="210">
        <f t="shared" ref="M118:M120" si="23">H118+I118</f>
        <v>1</v>
      </c>
    </row>
    <row r="119" spans="1:13" hidden="1">
      <c r="A119" s="210">
        <v>681</v>
      </c>
      <c r="B119" s="210">
        <v>21</v>
      </c>
      <c r="C119" s="210">
        <v>24</v>
      </c>
      <c r="D119" s="210">
        <v>27</v>
      </c>
      <c r="E119" s="210">
        <v>29</v>
      </c>
      <c r="F119" s="210">
        <v>43</v>
      </c>
      <c r="G119" s="210">
        <v>44</v>
      </c>
      <c r="H119" s="210">
        <v>1</v>
      </c>
      <c r="I119" s="210">
        <v>3</v>
      </c>
      <c r="J119" s="210">
        <v>1</v>
      </c>
      <c r="K119" s="210">
        <v>0</v>
      </c>
      <c r="L119" s="210">
        <v>1</v>
      </c>
      <c r="M119" s="210">
        <f t="shared" si="23"/>
        <v>4</v>
      </c>
    </row>
    <row r="120" spans="1:13" hidden="1">
      <c r="A120" s="210">
        <v>682</v>
      </c>
      <c r="B120" s="210">
        <v>17</v>
      </c>
      <c r="C120" s="210">
        <v>23</v>
      </c>
      <c r="D120" s="210">
        <v>27</v>
      </c>
      <c r="E120" s="210">
        <v>35</v>
      </c>
      <c r="F120" s="210">
        <v>38</v>
      </c>
      <c r="G120" s="210">
        <v>43</v>
      </c>
      <c r="H120" s="210">
        <v>2</v>
      </c>
      <c r="I120" s="210">
        <v>1</v>
      </c>
      <c r="J120" s="210">
        <v>1</v>
      </c>
      <c r="K120" s="210">
        <v>1</v>
      </c>
      <c r="L120" s="210">
        <v>1</v>
      </c>
      <c r="M120" s="210">
        <f t="shared" si="23"/>
        <v>3</v>
      </c>
    </row>
    <row r="121" spans="1:13" hidden="1">
      <c r="A121" s="210">
        <v>683</v>
      </c>
      <c r="B121" s="210">
        <v>6</v>
      </c>
      <c r="C121" s="210">
        <v>13</v>
      </c>
      <c r="D121" s="210">
        <v>20</v>
      </c>
      <c r="E121" s="210">
        <v>27</v>
      </c>
      <c r="F121" s="210">
        <v>28</v>
      </c>
      <c r="G121" s="210">
        <v>40</v>
      </c>
      <c r="H121" s="210">
        <v>2</v>
      </c>
      <c r="I121" s="210">
        <v>1</v>
      </c>
      <c r="J121" s="210">
        <v>2</v>
      </c>
      <c r="K121" s="210">
        <v>0</v>
      </c>
      <c r="L121" s="210">
        <v>1</v>
      </c>
      <c r="M121" s="210">
        <f t="shared" ref="M121:M122" si="24">H121+I121</f>
        <v>3</v>
      </c>
    </row>
    <row r="122" spans="1:13" hidden="1">
      <c r="A122" s="210">
        <v>684</v>
      </c>
      <c r="B122" s="210">
        <v>1</v>
      </c>
      <c r="C122" s="210">
        <v>11</v>
      </c>
      <c r="D122" s="210">
        <v>15</v>
      </c>
      <c r="E122" s="210">
        <v>17</v>
      </c>
      <c r="F122" s="210">
        <v>25</v>
      </c>
      <c r="G122" s="210">
        <v>39</v>
      </c>
      <c r="H122" s="210">
        <v>1</v>
      </c>
      <c r="I122" s="210">
        <v>2</v>
      </c>
      <c r="J122" s="210">
        <v>1</v>
      </c>
      <c r="K122" s="210">
        <v>2</v>
      </c>
      <c r="L122" s="210">
        <v>0</v>
      </c>
      <c r="M122" s="210">
        <f t="shared" si="24"/>
        <v>3</v>
      </c>
    </row>
    <row r="123" spans="1:13" hidden="1">
      <c r="A123" s="210">
        <v>685</v>
      </c>
      <c r="B123" s="210">
        <v>6</v>
      </c>
      <c r="C123" s="210">
        <v>7</v>
      </c>
      <c r="D123" s="210">
        <v>12</v>
      </c>
      <c r="E123" s="210">
        <v>28</v>
      </c>
      <c r="F123" s="210">
        <v>38</v>
      </c>
      <c r="G123" s="210">
        <v>40</v>
      </c>
      <c r="H123" s="210">
        <v>2</v>
      </c>
      <c r="I123" s="210">
        <v>4</v>
      </c>
      <c r="J123" s="210">
        <v>0</v>
      </c>
      <c r="K123" s="210">
        <v>0</v>
      </c>
      <c r="L123" s="210">
        <v>0</v>
      </c>
      <c r="M123" s="210">
        <f t="shared" ref="M123:M124" si="25">H123+I123</f>
        <v>6</v>
      </c>
    </row>
    <row r="124" spans="1:13" hidden="1">
      <c r="A124" s="210">
        <v>686</v>
      </c>
      <c r="B124" s="210">
        <v>7</v>
      </c>
      <c r="C124" s="210">
        <v>12</v>
      </c>
      <c r="D124" s="210">
        <v>15</v>
      </c>
      <c r="E124" s="210">
        <v>24</v>
      </c>
      <c r="F124" s="210">
        <v>25</v>
      </c>
      <c r="G124" s="210">
        <v>43</v>
      </c>
      <c r="H124" s="210">
        <v>6</v>
      </c>
      <c r="I124" s="210">
        <v>0</v>
      </c>
      <c r="J124" s="210">
        <v>0</v>
      </c>
      <c r="K124" s="210">
        <v>0</v>
      </c>
      <c r="L124" s="210">
        <v>0</v>
      </c>
      <c r="M124" s="210">
        <f t="shared" si="25"/>
        <v>6</v>
      </c>
    </row>
    <row r="125" spans="1:13" hidden="1">
      <c r="A125" s="210">
        <v>687</v>
      </c>
      <c r="B125" s="210">
        <v>1</v>
      </c>
      <c r="C125" s="210">
        <v>8</v>
      </c>
      <c r="D125" s="210">
        <v>10</v>
      </c>
      <c r="E125" s="210">
        <v>18</v>
      </c>
      <c r="F125" s="210">
        <v>24</v>
      </c>
      <c r="G125" s="210">
        <v>42</v>
      </c>
      <c r="H125" s="210">
        <v>1</v>
      </c>
      <c r="I125" s="210">
        <v>3</v>
      </c>
      <c r="J125" s="210">
        <v>2</v>
      </c>
      <c r="K125" s="210">
        <v>0</v>
      </c>
      <c r="L125" s="210">
        <v>0</v>
      </c>
      <c r="M125" s="210">
        <f t="shared" ref="M125:M126" si="26">H125+I125</f>
        <v>4</v>
      </c>
    </row>
    <row r="126" spans="1:13" hidden="1">
      <c r="A126" s="210">
        <v>688</v>
      </c>
      <c r="B126" s="210">
        <v>5</v>
      </c>
      <c r="C126" s="210">
        <v>15</v>
      </c>
      <c r="D126" s="210">
        <v>22</v>
      </c>
      <c r="E126" s="210">
        <v>23</v>
      </c>
      <c r="F126" s="210">
        <v>34</v>
      </c>
      <c r="G126" s="210">
        <v>35</v>
      </c>
      <c r="H126" s="210">
        <v>1</v>
      </c>
      <c r="I126" s="210">
        <v>1</v>
      </c>
      <c r="J126" s="210">
        <v>0</v>
      </c>
      <c r="K126" s="210">
        <v>2</v>
      </c>
      <c r="L126" s="210">
        <v>2</v>
      </c>
      <c r="M126" s="210">
        <f t="shared" si="26"/>
        <v>2</v>
      </c>
    </row>
    <row r="127" spans="1:13" hidden="1">
      <c r="A127" s="210">
        <v>689</v>
      </c>
      <c r="B127" s="210">
        <v>7</v>
      </c>
      <c r="C127" s="210">
        <v>17</v>
      </c>
      <c r="D127" s="210">
        <v>19</v>
      </c>
      <c r="E127" s="210">
        <v>30</v>
      </c>
      <c r="F127" s="210">
        <v>36</v>
      </c>
      <c r="G127" s="210">
        <v>38</v>
      </c>
      <c r="H127" s="210">
        <v>2</v>
      </c>
      <c r="I127" s="210">
        <v>1</v>
      </c>
      <c r="J127" s="210">
        <v>0</v>
      </c>
      <c r="K127" s="210">
        <v>0</v>
      </c>
      <c r="L127" s="210">
        <v>3</v>
      </c>
      <c r="M127" s="210">
        <f t="shared" ref="M127:M128" si="27">H127+I127</f>
        <v>3</v>
      </c>
    </row>
    <row r="128" spans="1:13" hidden="1">
      <c r="A128" s="210">
        <v>690</v>
      </c>
      <c r="B128" s="210">
        <v>24</v>
      </c>
      <c r="C128" s="210">
        <v>25</v>
      </c>
      <c r="D128" s="210">
        <v>33</v>
      </c>
      <c r="E128" s="210">
        <v>34</v>
      </c>
      <c r="F128" s="210">
        <v>38</v>
      </c>
      <c r="G128" s="210">
        <v>39</v>
      </c>
      <c r="H128" s="210">
        <v>3</v>
      </c>
      <c r="I128" s="210">
        <v>1</v>
      </c>
      <c r="J128" s="210">
        <v>0</v>
      </c>
      <c r="K128" s="210">
        <v>2</v>
      </c>
      <c r="L128" s="210">
        <v>0</v>
      </c>
      <c r="M128" s="210">
        <f t="shared" si="27"/>
        <v>4</v>
      </c>
    </row>
    <row r="129" spans="1:13" hidden="1">
      <c r="A129" s="210">
        <v>691</v>
      </c>
      <c r="B129" s="210">
        <v>15</v>
      </c>
      <c r="C129" s="210">
        <v>27</v>
      </c>
      <c r="D129" s="210">
        <v>33</v>
      </c>
      <c r="E129" s="210">
        <v>35</v>
      </c>
      <c r="F129" s="210">
        <v>43</v>
      </c>
      <c r="G129" s="210">
        <v>45</v>
      </c>
      <c r="H129" s="210">
        <v>3</v>
      </c>
      <c r="I129" s="210">
        <v>2</v>
      </c>
      <c r="J129" s="210">
        <v>1</v>
      </c>
      <c r="K129" s="210">
        <v>0</v>
      </c>
      <c r="L129" s="210">
        <v>0</v>
      </c>
      <c r="M129" s="210">
        <f t="shared" ref="M129:M130" si="28">H129+I129</f>
        <v>5</v>
      </c>
    </row>
    <row r="130" spans="1:13">
      <c r="A130" s="210">
        <v>692</v>
      </c>
      <c r="B130" s="210">
        <v>3</v>
      </c>
      <c r="C130" s="210">
        <v>11</v>
      </c>
      <c r="D130" s="210">
        <v>14</v>
      </c>
      <c r="E130" s="210">
        <v>15</v>
      </c>
      <c r="F130" s="210">
        <v>32</v>
      </c>
      <c r="G130" s="210">
        <v>36</v>
      </c>
      <c r="H130" s="210">
        <v>1</v>
      </c>
      <c r="I130" s="210">
        <v>1</v>
      </c>
      <c r="J130" s="210">
        <v>1</v>
      </c>
      <c r="K130" s="210">
        <v>2</v>
      </c>
      <c r="L130" s="210">
        <v>1</v>
      </c>
      <c r="M130" s="210">
        <f t="shared" si="28"/>
        <v>2</v>
      </c>
    </row>
    <row r="131" spans="1:13">
      <c r="A131" s="210">
        <v>693</v>
      </c>
      <c r="B131" s="210">
        <v>1</v>
      </c>
      <c r="C131" s="210">
        <v>6</v>
      </c>
      <c r="D131" s="210">
        <v>11</v>
      </c>
      <c r="E131" s="210">
        <v>28</v>
      </c>
      <c r="F131" s="210">
        <v>34</v>
      </c>
      <c r="G131" s="210">
        <v>42</v>
      </c>
      <c r="H131" s="210">
        <v>2</v>
      </c>
      <c r="I131" s="210">
        <v>1</v>
      </c>
      <c r="J131" s="210">
        <v>3</v>
      </c>
      <c r="K131" s="210">
        <v>0</v>
      </c>
      <c r="L131" s="210">
        <v>0</v>
      </c>
      <c r="M131" s="210">
        <f t="shared" ref="M131:M132" si="29">H131+I131</f>
        <v>3</v>
      </c>
    </row>
    <row r="132" spans="1:13">
      <c r="A132" s="210">
        <v>694</v>
      </c>
      <c r="B132" s="210">
        <v>7</v>
      </c>
      <c r="C132" s="210">
        <v>15</v>
      </c>
      <c r="D132" s="210">
        <v>20</v>
      </c>
      <c r="E132" s="210">
        <v>25</v>
      </c>
      <c r="F132" s="210">
        <v>33</v>
      </c>
      <c r="G132" s="210">
        <v>43</v>
      </c>
      <c r="H132" s="210">
        <v>4</v>
      </c>
      <c r="I132" s="210">
        <v>1</v>
      </c>
      <c r="J132" s="210">
        <v>0</v>
      </c>
      <c r="K132" s="210">
        <v>1</v>
      </c>
      <c r="L132" s="210">
        <v>0</v>
      </c>
      <c r="M132" s="210">
        <f t="shared" si="29"/>
        <v>5</v>
      </c>
    </row>
    <row r="133" spans="1:13">
      <c r="A133" s="210">
        <v>695</v>
      </c>
      <c r="B133" s="210">
        <v>4</v>
      </c>
      <c r="C133" s="210">
        <v>18</v>
      </c>
      <c r="D133" s="210">
        <v>26</v>
      </c>
      <c r="E133" s="210">
        <v>33</v>
      </c>
      <c r="F133" s="210">
        <v>34</v>
      </c>
      <c r="G133" s="210">
        <v>38</v>
      </c>
      <c r="H133" s="210">
        <v>2</v>
      </c>
      <c r="I133" s="210">
        <v>1</v>
      </c>
      <c r="J133" s="210">
        <v>0</v>
      </c>
      <c r="K133" s="210">
        <v>2</v>
      </c>
      <c r="L133" s="210">
        <v>1</v>
      </c>
      <c r="M133" s="210">
        <f t="shared" ref="M133:M136" si="30">H133+I133</f>
        <v>3</v>
      </c>
    </row>
    <row r="134" spans="1:13">
      <c r="A134" s="210">
        <v>696</v>
      </c>
      <c r="B134" s="210">
        <v>1</v>
      </c>
      <c r="C134" s="210">
        <v>7</v>
      </c>
      <c r="D134" s="210">
        <v>16</v>
      </c>
      <c r="E134" s="210">
        <v>18</v>
      </c>
      <c r="F134" s="210">
        <v>34</v>
      </c>
      <c r="G134" s="210">
        <v>38</v>
      </c>
      <c r="H134" s="210">
        <v>4</v>
      </c>
      <c r="I134" s="210">
        <v>0</v>
      </c>
      <c r="J134" s="210">
        <v>1</v>
      </c>
      <c r="K134" s="210">
        <v>0</v>
      </c>
      <c r="L134" s="210">
        <v>1</v>
      </c>
      <c r="M134" s="210">
        <f t="shared" si="30"/>
        <v>4</v>
      </c>
    </row>
    <row r="135" spans="1:13">
      <c r="A135" s="210">
        <v>697</v>
      </c>
      <c r="B135" s="210">
        <v>2</v>
      </c>
      <c r="C135" s="210">
        <v>5</v>
      </c>
      <c r="D135" s="210">
        <v>8</v>
      </c>
      <c r="E135" s="210">
        <v>11</v>
      </c>
      <c r="F135" s="210">
        <v>33</v>
      </c>
      <c r="G135" s="210">
        <v>39</v>
      </c>
      <c r="H135" s="210">
        <v>2</v>
      </c>
      <c r="I135" s="210">
        <v>1</v>
      </c>
      <c r="J135" s="210">
        <v>1</v>
      </c>
      <c r="K135" s="210">
        <v>2</v>
      </c>
      <c r="L135" s="210">
        <v>0</v>
      </c>
      <c r="M135" s="210">
        <f t="shared" si="30"/>
        <v>3</v>
      </c>
    </row>
    <row r="136" spans="1:13">
      <c r="A136" s="210">
        <v>698</v>
      </c>
      <c r="B136" s="210">
        <v>3</v>
      </c>
      <c r="C136" s="210">
        <v>11</v>
      </c>
      <c r="D136" s="210">
        <v>13</v>
      </c>
      <c r="E136" s="210">
        <v>21</v>
      </c>
      <c r="F136" s="210">
        <v>33</v>
      </c>
      <c r="G136" s="210">
        <v>37</v>
      </c>
      <c r="H136" s="210">
        <v>2</v>
      </c>
      <c r="I136" s="210">
        <v>1</v>
      </c>
      <c r="J136" s="210">
        <v>0</v>
      </c>
      <c r="K136" s="210">
        <v>2</v>
      </c>
      <c r="L136" s="210">
        <v>1</v>
      </c>
      <c r="M136" s="210">
        <f t="shared" si="30"/>
        <v>3</v>
      </c>
    </row>
    <row r="137" spans="1:13">
      <c r="A137" s="210">
        <v>699</v>
      </c>
      <c r="B137" s="210">
        <v>4</v>
      </c>
      <c r="C137" s="210">
        <v>5</v>
      </c>
      <c r="D137" s="210">
        <v>8</v>
      </c>
      <c r="E137" s="210">
        <v>16</v>
      </c>
      <c r="F137" s="210">
        <v>21</v>
      </c>
      <c r="G137" s="210">
        <v>29</v>
      </c>
      <c r="H137" s="210">
        <v>1</v>
      </c>
      <c r="I137" s="210">
        <v>2</v>
      </c>
      <c r="J137" s="210">
        <v>1</v>
      </c>
      <c r="K137" s="210">
        <v>1</v>
      </c>
      <c r="L137" s="210">
        <v>1</v>
      </c>
      <c r="M137" s="210">
        <f t="shared" ref="M137:M138" si="31">H137+I137</f>
        <v>3</v>
      </c>
    </row>
    <row r="138" spans="1:13">
      <c r="A138" s="210">
        <v>700</v>
      </c>
      <c r="B138" s="210">
        <v>11</v>
      </c>
      <c r="C138" s="210">
        <v>23</v>
      </c>
      <c r="D138" s="210">
        <v>28</v>
      </c>
      <c r="E138" s="210">
        <v>29</v>
      </c>
      <c r="F138" s="210">
        <v>30</v>
      </c>
      <c r="G138" s="210">
        <v>44</v>
      </c>
      <c r="H138" s="210">
        <v>1</v>
      </c>
      <c r="I138" s="210">
        <v>1</v>
      </c>
      <c r="J138" s="210">
        <v>2</v>
      </c>
      <c r="K138" s="210">
        <v>1</v>
      </c>
      <c r="L138" s="210">
        <v>1</v>
      </c>
      <c r="M138" s="210">
        <f t="shared" si="31"/>
        <v>2</v>
      </c>
    </row>
    <row r="139" spans="1:13">
      <c r="A139" s="210">
        <v>701</v>
      </c>
      <c r="B139" s="210">
        <v>3</v>
      </c>
      <c r="C139" s="210">
        <v>10</v>
      </c>
      <c r="D139" s="210">
        <v>14</v>
      </c>
      <c r="E139" s="210">
        <v>16</v>
      </c>
      <c r="F139" s="210">
        <v>36</v>
      </c>
      <c r="G139" s="210">
        <v>38</v>
      </c>
      <c r="H139" s="210">
        <v>2</v>
      </c>
      <c r="I139" s="210">
        <v>0</v>
      </c>
      <c r="J139" s="210">
        <v>2</v>
      </c>
      <c r="K139" s="210">
        <v>0</v>
      </c>
      <c r="L139" s="210">
        <v>2</v>
      </c>
      <c r="M139" s="210">
        <f t="shared" ref="M139:M140" si="32">H139+I139</f>
        <v>2</v>
      </c>
    </row>
    <row r="140" spans="1:13">
      <c r="A140" s="210">
        <v>702</v>
      </c>
      <c r="B140" s="210">
        <v>3</v>
      </c>
      <c r="C140" s="210">
        <v>13</v>
      </c>
      <c r="D140" s="210">
        <v>16</v>
      </c>
      <c r="E140" s="210">
        <v>24</v>
      </c>
      <c r="F140" s="210">
        <v>26</v>
      </c>
      <c r="G140" s="210">
        <v>29</v>
      </c>
      <c r="H140" s="210">
        <v>2</v>
      </c>
      <c r="I140" s="210">
        <v>1</v>
      </c>
      <c r="J140" s="210">
        <v>2</v>
      </c>
      <c r="K140" s="210">
        <v>1</v>
      </c>
      <c r="L140" s="210">
        <v>0</v>
      </c>
      <c r="M140" s="210">
        <f t="shared" si="32"/>
        <v>3</v>
      </c>
    </row>
    <row r="141" spans="1:13">
      <c r="A141" s="210">
        <v>703</v>
      </c>
      <c r="B141" s="210">
        <v>10</v>
      </c>
      <c r="C141" s="210">
        <v>28</v>
      </c>
      <c r="D141" s="210">
        <v>31</v>
      </c>
      <c r="E141" s="210">
        <v>33</v>
      </c>
      <c r="F141" s="210">
        <v>41</v>
      </c>
      <c r="G141" s="210">
        <v>44</v>
      </c>
      <c r="H141" s="210">
        <v>1</v>
      </c>
      <c r="I141" s="210">
        <v>2</v>
      </c>
      <c r="J141" s="210">
        <v>0</v>
      </c>
      <c r="K141" s="210">
        <v>2</v>
      </c>
      <c r="L141" s="210">
        <v>1</v>
      </c>
      <c r="M141" s="210">
        <f t="shared" ref="M141:M142" si="33">H141+I141</f>
        <v>3</v>
      </c>
    </row>
    <row r="142" spans="1:13">
      <c r="A142" s="210">
        <v>704</v>
      </c>
      <c r="B142" s="210">
        <v>1</v>
      </c>
      <c r="C142" s="210">
        <v>4</v>
      </c>
      <c r="D142" s="210">
        <v>8</v>
      </c>
      <c r="E142" s="210">
        <v>23</v>
      </c>
      <c r="F142" s="210">
        <v>33</v>
      </c>
      <c r="G142" s="210">
        <v>42</v>
      </c>
      <c r="H142" s="210">
        <v>1</v>
      </c>
      <c r="I142" s="210">
        <v>3</v>
      </c>
      <c r="J142" s="210">
        <v>0</v>
      </c>
      <c r="K142" s="210">
        <v>2</v>
      </c>
      <c r="L142" s="210">
        <v>0</v>
      </c>
      <c r="M142" s="210">
        <f t="shared" si="33"/>
        <v>4</v>
      </c>
    </row>
    <row r="143" spans="1:13">
      <c r="A143" s="210">
        <v>705</v>
      </c>
      <c r="B143" s="210">
        <v>1</v>
      </c>
      <c r="C143" s="210">
        <v>6</v>
      </c>
      <c r="D143" s="210">
        <v>17</v>
      </c>
      <c r="E143" s="210">
        <v>22</v>
      </c>
      <c r="F143" s="210">
        <v>28</v>
      </c>
      <c r="G143" s="210">
        <v>45</v>
      </c>
      <c r="H143" s="210">
        <v>1</v>
      </c>
      <c r="I143" s="210">
        <v>1</v>
      </c>
      <c r="J143" s="210">
        <v>1</v>
      </c>
      <c r="K143" s="210">
        <v>2</v>
      </c>
      <c r="L143" s="210">
        <v>1</v>
      </c>
      <c r="M143" s="210">
        <f t="shared" ref="M143:M144" si="34">H143+I143</f>
        <v>2</v>
      </c>
    </row>
    <row r="144" spans="1:13">
      <c r="A144" s="210">
        <v>706</v>
      </c>
      <c r="B144" s="210">
        <v>3</v>
      </c>
      <c r="C144" s="210">
        <v>4</v>
      </c>
      <c r="D144" s="210">
        <v>6</v>
      </c>
      <c r="E144" s="210">
        <v>10</v>
      </c>
      <c r="F144" s="210">
        <v>28</v>
      </c>
      <c r="G144" s="210">
        <v>30</v>
      </c>
      <c r="H144" s="210">
        <v>2</v>
      </c>
      <c r="I144" s="210">
        <v>3</v>
      </c>
      <c r="J144" s="210">
        <v>1</v>
      </c>
      <c r="K144" s="210">
        <v>0</v>
      </c>
      <c r="L144" s="210">
        <v>0</v>
      </c>
      <c r="M144" s="210">
        <f t="shared" si="34"/>
        <v>5</v>
      </c>
    </row>
    <row r="145" spans="1:13">
      <c r="A145" s="210">
        <v>707</v>
      </c>
      <c r="B145" s="210">
        <v>2</v>
      </c>
      <c r="C145" s="210">
        <v>12</v>
      </c>
      <c r="D145" s="210">
        <v>19</v>
      </c>
      <c r="E145" s="210">
        <v>24</v>
      </c>
      <c r="F145" s="210">
        <v>39</v>
      </c>
      <c r="G145" s="210">
        <v>44</v>
      </c>
      <c r="H145" s="210">
        <v>1</v>
      </c>
      <c r="I145" s="210">
        <v>1</v>
      </c>
      <c r="J145" s="210">
        <v>0</v>
      </c>
      <c r="K145" s="210">
        <v>2</v>
      </c>
      <c r="L145" s="210">
        <v>2</v>
      </c>
      <c r="M145" s="210">
        <f t="shared" ref="M145:M146" si="35">H145+I145</f>
        <v>2</v>
      </c>
    </row>
    <row r="146" spans="1:13">
      <c r="A146" s="210">
        <v>708</v>
      </c>
      <c r="B146" s="210">
        <v>2</v>
      </c>
      <c r="C146" s="210">
        <v>10</v>
      </c>
      <c r="D146" s="210">
        <v>16</v>
      </c>
      <c r="E146" s="210">
        <v>19</v>
      </c>
      <c r="F146" s="210">
        <v>34</v>
      </c>
      <c r="G146" s="210">
        <v>45</v>
      </c>
      <c r="H146" s="210">
        <v>1</v>
      </c>
      <c r="I146" s="210">
        <v>3</v>
      </c>
      <c r="J146" s="210">
        <v>1</v>
      </c>
      <c r="K146" s="210">
        <v>1</v>
      </c>
      <c r="L146" s="210">
        <v>0</v>
      </c>
      <c r="M146" s="210">
        <f t="shared" si="35"/>
        <v>4</v>
      </c>
    </row>
    <row r="147" spans="1:13">
      <c r="A147" s="210">
        <v>709</v>
      </c>
      <c r="B147" s="210">
        <v>10</v>
      </c>
      <c r="C147" s="210">
        <v>18</v>
      </c>
      <c r="D147" s="210">
        <v>30</v>
      </c>
      <c r="E147" s="210">
        <v>36</v>
      </c>
      <c r="F147" s="210">
        <v>39</v>
      </c>
      <c r="G147" s="210">
        <v>44</v>
      </c>
      <c r="H147" s="210">
        <v>3</v>
      </c>
      <c r="I147" s="210">
        <v>1</v>
      </c>
      <c r="J147" s="210">
        <v>1</v>
      </c>
      <c r="K147" s="210">
        <v>1</v>
      </c>
      <c r="L147" s="210">
        <v>0</v>
      </c>
      <c r="M147" s="210">
        <f t="shared" ref="M147:M148" si="36">H147+I147</f>
        <v>4</v>
      </c>
    </row>
    <row r="148" spans="1:13">
      <c r="A148" s="210">
        <v>710</v>
      </c>
      <c r="B148" s="210">
        <v>3</v>
      </c>
      <c r="C148" s="210">
        <v>4</v>
      </c>
      <c r="D148" s="210">
        <v>9</v>
      </c>
      <c r="E148" s="210">
        <v>24</v>
      </c>
      <c r="F148" s="210">
        <v>25</v>
      </c>
      <c r="G148" s="210">
        <v>33</v>
      </c>
      <c r="H148" s="210">
        <v>3</v>
      </c>
      <c r="I148" s="210">
        <v>1</v>
      </c>
      <c r="J148" s="210">
        <v>1</v>
      </c>
      <c r="K148" s="210">
        <v>0</v>
      </c>
      <c r="L148" s="210">
        <v>1</v>
      </c>
      <c r="M148" s="210">
        <f t="shared" si="36"/>
        <v>4</v>
      </c>
    </row>
    <row r="149" spans="1:13">
      <c r="A149" s="210">
        <v>711</v>
      </c>
      <c r="B149" s="210">
        <v>11</v>
      </c>
      <c r="C149" s="210">
        <v>15</v>
      </c>
      <c r="D149" s="210">
        <v>24</v>
      </c>
      <c r="E149" s="210">
        <v>35</v>
      </c>
      <c r="F149" s="210">
        <v>37</v>
      </c>
      <c r="G149" s="210">
        <v>45</v>
      </c>
      <c r="H149" s="210">
        <v>1</v>
      </c>
      <c r="I149" s="210">
        <v>4</v>
      </c>
      <c r="J149" s="210">
        <v>0</v>
      </c>
      <c r="K149" s="210">
        <v>1</v>
      </c>
      <c r="L149" s="210">
        <v>0</v>
      </c>
      <c r="M149" s="210">
        <f t="shared" ref="M149:M150" si="37">H149+I149</f>
        <v>5</v>
      </c>
    </row>
    <row r="150" spans="1:13">
      <c r="A150" s="210">
        <v>712</v>
      </c>
      <c r="B150" s="210">
        <v>17</v>
      </c>
      <c r="C150" s="210">
        <v>20</v>
      </c>
      <c r="D150" s="210">
        <v>30</v>
      </c>
      <c r="E150" s="210">
        <v>31</v>
      </c>
      <c r="F150" s="210">
        <v>33</v>
      </c>
      <c r="G150" s="210">
        <v>45</v>
      </c>
      <c r="H150" s="210">
        <v>1</v>
      </c>
      <c r="I150" s="210">
        <v>2</v>
      </c>
      <c r="J150" s="210">
        <v>0</v>
      </c>
      <c r="K150" s="210">
        <v>3</v>
      </c>
      <c r="L150" s="210">
        <v>0</v>
      </c>
      <c r="M150" s="210">
        <f t="shared" si="37"/>
        <v>3</v>
      </c>
    </row>
    <row r="151" spans="1:13">
      <c r="A151" s="210">
        <v>713</v>
      </c>
      <c r="B151" s="210">
        <v>2</v>
      </c>
      <c r="C151" s="210">
        <v>5</v>
      </c>
      <c r="D151" s="210">
        <v>15</v>
      </c>
      <c r="E151" s="210">
        <v>18</v>
      </c>
      <c r="F151" s="210">
        <v>19</v>
      </c>
      <c r="G151" s="210">
        <v>23</v>
      </c>
      <c r="H151" s="210">
        <v>1</v>
      </c>
      <c r="I151" s="210">
        <v>3</v>
      </c>
      <c r="J151" s="210">
        <v>1</v>
      </c>
      <c r="K151" s="210">
        <v>1</v>
      </c>
      <c r="L151" s="210">
        <v>0</v>
      </c>
      <c r="M151" s="210">
        <f t="shared" ref="M151:M152" si="38">H151+I151</f>
        <v>4</v>
      </c>
    </row>
    <row r="152" spans="1:13">
      <c r="A152" s="210">
        <v>714</v>
      </c>
      <c r="B152" s="210">
        <v>1</v>
      </c>
      <c r="C152" s="210">
        <v>7</v>
      </c>
      <c r="D152" s="210">
        <v>22</v>
      </c>
      <c r="E152" s="210">
        <v>33</v>
      </c>
      <c r="F152" s="210">
        <v>37</v>
      </c>
      <c r="G152" s="210">
        <v>40</v>
      </c>
      <c r="H152" s="210">
        <v>1</v>
      </c>
      <c r="I152" s="210">
        <v>2</v>
      </c>
      <c r="J152" s="210">
        <v>0</v>
      </c>
      <c r="K152" s="210">
        <v>2</v>
      </c>
      <c r="L152" s="210">
        <v>1</v>
      </c>
      <c r="M152" s="210">
        <f t="shared" si="38"/>
        <v>3</v>
      </c>
    </row>
    <row r="153" spans="1:13">
      <c r="A153" s="210">
        <v>715</v>
      </c>
      <c r="B153" s="210">
        <v>2</v>
      </c>
      <c r="C153" s="210">
        <v>7</v>
      </c>
      <c r="D153" s="210">
        <v>27</v>
      </c>
      <c r="E153" s="210">
        <v>33</v>
      </c>
      <c r="F153" s="210">
        <v>41</v>
      </c>
      <c r="G153" s="210">
        <v>44</v>
      </c>
      <c r="H153" s="210">
        <v>2</v>
      </c>
      <c r="I153" s="210">
        <v>2</v>
      </c>
      <c r="J153" s="210">
        <v>0</v>
      </c>
      <c r="K153" s="210">
        <v>1</v>
      </c>
      <c r="L153" s="210">
        <v>1</v>
      </c>
      <c r="M153" s="210">
        <f t="shared" ref="M153:M154" si="39">H153+I153</f>
        <v>4</v>
      </c>
    </row>
    <row r="154" spans="1:13">
      <c r="A154" s="210">
        <v>716</v>
      </c>
      <c r="B154" s="210">
        <v>2</v>
      </c>
      <c r="C154" s="210">
        <v>6</v>
      </c>
      <c r="D154" s="210">
        <v>13</v>
      </c>
      <c r="E154" s="210">
        <v>16</v>
      </c>
      <c r="F154" s="210">
        <v>29</v>
      </c>
      <c r="G154" s="210">
        <v>30</v>
      </c>
      <c r="H154" s="210">
        <v>1</v>
      </c>
      <c r="I154" s="210">
        <v>1</v>
      </c>
      <c r="J154" s="210">
        <v>2</v>
      </c>
      <c r="K154" s="210">
        <v>1</v>
      </c>
      <c r="L154" s="210">
        <v>1</v>
      </c>
      <c r="M154" s="210">
        <f t="shared" si="39"/>
        <v>2</v>
      </c>
    </row>
    <row r="155" spans="1:13">
      <c r="A155" s="210">
        <v>717</v>
      </c>
      <c r="B155" s="210">
        <v>2</v>
      </c>
      <c r="C155" s="210">
        <v>11</v>
      </c>
      <c r="D155" s="210">
        <v>19</v>
      </c>
      <c r="E155" s="210">
        <v>25</v>
      </c>
      <c r="F155" s="210">
        <v>28</v>
      </c>
      <c r="G155" s="210">
        <v>32</v>
      </c>
      <c r="H155" s="210">
        <v>1</v>
      </c>
      <c r="I155" s="210">
        <v>2</v>
      </c>
      <c r="J155" s="210">
        <v>1</v>
      </c>
      <c r="K155" s="210">
        <v>1</v>
      </c>
      <c r="L155" s="210">
        <v>1</v>
      </c>
      <c r="M155" s="210">
        <f t="shared" ref="M155:M156" si="40">H155+I155</f>
        <v>3</v>
      </c>
    </row>
    <row r="156" spans="1:13">
      <c r="A156" s="210">
        <v>718</v>
      </c>
      <c r="B156" s="210">
        <v>4</v>
      </c>
      <c r="C156" s="210">
        <v>11</v>
      </c>
      <c r="D156" s="210">
        <v>20</v>
      </c>
      <c r="E156" s="210">
        <v>23</v>
      </c>
      <c r="F156" s="210">
        <v>32</v>
      </c>
      <c r="G156" s="210">
        <v>39</v>
      </c>
      <c r="H156" s="210">
        <v>1</v>
      </c>
      <c r="I156" s="210">
        <v>2</v>
      </c>
      <c r="J156" s="210">
        <v>0</v>
      </c>
      <c r="K156" s="210">
        <v>3</v>
      </c>
      <c r="L156" s="210">
        <v>0</v>
      </c>
      <c r="M156" s="210">
        <f t="shared" si="40"/>
        <v>3</v>
      </c>
    </row>
    <row r="157" spans="1:13">
      <c r="A157" s="210">
        <v>719</v>
      </c>
      <c r="B157" s="210">
        <v>4</v>
      </c>
      <c r="C157" s="210">
        <v>8</v>
      </c>
      <c r="D157" s="210">
        <v>13</v>
      </c>
      <c r="E157" s="210">
        <v>19</v>
      </c>
      <c r="F157" s="210">
        <v>20</v>
      </c>
      <c r="G157" s="210">
        <v>43</v>
      </c>
      <c r="H157" s="210">
        <v>4</v>
      </c>
      <c r="I157" s="210">
        <v>0</v>
      </c>
      <c r="J157" s="210">
        <v>0</v>
      </c>
      <c r="K157" s="210">
        <v>2</v>
      </c>
      <c r="L157" s="210">
        <v>0</v>
      </c>
      <c r="M157" s="210">
        <f t="shared" ref="M157:M158" si="41">H157+I157</f>
        <v>4</v>
      </c>
    </row>
    <row r="158" spans="1:13">
      <c r="A158" s="210">
        <v>720</v>
      </c>
      <c r="B158" s="210">
        <v>1</v>
      </c>
      <c r="C158" s="210">
        <v>12</v>
      </c>
      <c r="D158" s="210">
        <v>29</v>
      </c>
      <c r="E158" s="210">
        <v>34</v>
      </c>
      <c r="F158" s="210">
        <v>36</v>
      </c>
      <c r="G158" s="210">
        <v>37</v>
      </c>
      <c r="H158" s="210">
        <v>2</v>
      </c>
      <c r="I158" s="210">
        <v>1</v>
      </c>
      <c r="J158" s="210">
        <v>1</v>
      </c>
      <c r="K158" s="210">
        <v>0</v>
      </c>
      <c r="L158" s="210">
        <v>2</v>
      </c>
      <c r="M158" s="210">
        <f t="shared" si="41"/>
        <v>3</v>
      </c>
    </row>
    <row r="159" spans="1:13">
      <c r="A159" s="210">
        <v>721</v>
      </c>
      <c r="B159" s="210">
        <v>1</v>
      </c>
      <c r="C159" s="210">
        <v>28</v>
      </c>
      <c r="D159" s="210">
        <v>35</v>
      </c>
      <c r="E159" s="210">
        <v>41</v>
      </c>
      <c r="F159" s="210">
        <v>43</v>
      </c>
      <c r="G159" s="210">
        <v>44</v>
      </c>
      <c r="H159" s="210">
        <v>1</v>
      </c>
      <c r="I159" s="210">
        <v>2</v>
      </c>
      <c r="J159" s="210">
        <v>1</v>
      </c>
      <c r="K159" s="210">
        <v>2</v>
      </c>
      <c r="L159" s="210">
        <v>0</v>
      </c>
      <c r="M159" s="210">
        <f t="shared" ref="M159:M160" si="42">H159+I159</f>
        <v>3</v>
      </c>
    </row>
    <row r="160" spans="1:13">
      <c r="A160" s="210">
        <v>722</v>
      </c>
      <c r="B160" s="210">
        <v>12</v>
      </c>
      <c r="C160" s="210">
        <v>14</v>
      </c>
      <c r="D160" s="210">
        <v>21</v>
      </c>
      <c r="E160" s="210">
        <v>30</v>
      </c>
      <c r="F160" s="210">
        <v>39</v>
      </c>
      <c r="G160" s="210">
        <v>43</v>
      </c>
      <c r="H160" s="210">
        <v>1</v>
      </c>
      <c r="I160" s="210">
        <v>0</v>
      </c>
      <c r="J160" s="210">
        <v>2</v>
      </c>
      <c r="K160" s="210">
        <v>3</v>
      </c>
      <c r="L160" s="210">
        <v>0</v>
      </c>
      <c r="M160" s="210">
        <f t="shared" si="42"/>
        <v>1</v>
      </c>
    </row>
  </sheetData>
  <autoFilter ref="U6:U51"/>
  <phoneticPr fontId="2" type="noConversion"/>
  <conditionalFormatting sqref="Z32:Z38">
    <cfRule type="cellIs" dxfId="313" priority="570" operator="greaterThan">
      <formula>0.05</formula>
    </cfRule>
  </conditionalFormatting>
  <conditionalFormatting sqref="AD32:AD38">
    <cfRule type="cellIs" dxfId="312" priority="569" operator="greaterThan">
      <formula>0.05</formula>
    </cfRule>
  </conditionalFormatting>
  <conditionalFormatting sqref="AH32:AH38">
    <cfRule type="cellIs" dxfId="311" priority="568" operator="greaterThan">
      <formula>0.05</formula>
    </cfRule>
  </conditionalFormatting>
  <conditionalFormatting sqref="AL32:AL38">
    <cfRule type="cellIs" dxfId="310" priority="567" operator="greaterThan">
      <formula>0.05</formula>
    </cfRule>
  </conditionalFormatting>
  <conditionalFormatting sqref="AP32:AP38">
    <cfRule type="cellIs" dxfId="309" priority="566" operator="greaterThan">
      <formula>0.05</formula>
    </cfRule>
  </conditionalFormatting>
  <conditionalFormatting sqref="AT32:AT38">
    <cfRule type="cellIs" dxfId="308" priority="565" operator="greaterThan">
      <formula>0.05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6:BC72"/>
  <sheetViews>
    <sheetView topLeftCell="C5" zoomScale="60" zoomScaleNormal="60" workbookViewId="0">
      <selection activeCell="AL8" sqref="AL8:AM17"/>
    </sheetView>
  </sheetViews>
  <sheetFormatPr defaultRowHeight="16.5"/>
  <cols>
    <col min="46" max="46" width="9" style="243"/>
  </cols>
  <sheetData>
    <row r="6" spans="2:55">
      <c r="D6">
        <v>723</v>
      </c>
    </row>
    <row r="8" spans="2:55">
      <c r="B8" s="219">
        <v>6</v>
      </c>
      <c r="C8" s="636" t="s">
        <v>416</v>
      </c>
      <c r="D8" s="637"/>
      <c r="E8" s="449"/>
      <c r="F8" s="449"/>
      <c r="G8" s="449"/>
      <c r="H8" s="449"/>
      <c r="I8" s="449"/>
      <c r="J8" s="449"/>
      <c r="K8" s="449"/>
      <c r="L8" s="449"/>
      <c r="M8" s="449"/>
      <c r="N8" s="223"/>
      <c r="O8" s="449"/>
      <c r="P8" s="223"/>
      <c r="Q8" s="449"/>
      <c r="R8" s="220"/>
      <c r="S8" s="449"/>
      <c r="T8" s="449"/>
      <c r="U8" s="449"/>
      <c r="V8" s="449"/>
      <c r="W8" s="449"/>
      <c r="X8" s="321"/>
      <c r="Y8" s="449"/>
      <c r="Z8" s="449"/>
      <c r="AA8" s="449"/>
      <c r="AB8" s="449"/>
      <c r="AC8" s="449"/>
      <c r="AD8" s="449"/>
      <c r="AE8" s="449"/>
      <c r="AF8" s="449"/>
      <c r="AG8" s="449"/>
      <c r="AH8" s="449"/>
      <c r="AI8" s="449"/>
      <c r="AJ8" s="449"/>
      <c r="AK8" s="449"/>
      <c r="AL8" s="449"/>
      <c r="AM8" s="449"/>
      <c r="AN8" s="449">
        <v>46</v>
      </c>
      <c r="AO8" s="449">
        <v>46</v>
      </c>
      <c r="AP8" s="449">
        <v>46</v>
      </c>
      <c r="AQ8" s="449">
        <v>46</v>
      </c>
      <c r="AR8" s="449">
        <v>46</v>
      </c>
      <c r="AS8" s="241"/>
      <c r="AT8" s="241"/>
      <c r="AU8" s="241"/>
      <c r="AV8" s="241"/>
      <c r="AW8" s="448">
        <v>2</v>
      </c>
      <c r="AX8" s="448">
        <v>3</v>
      </c>
      <c r="AY8" s="448">
        <v>4</v>
      </c>
      <c r="AZ8" s="448">
        <v>5</v>
      </c>
      <c r="BA8" s="448">
        <v>6</v>
      </c>
      <c r="BB8" s="447"/>
      <c r="BC8" s="447"/>
    </row>
    <row r="9" spans="2:55">
      <c r="B9" s="219">
        <v>7</v>
      </c>
      <c r="C9" s="636" t="s">
        <v>417</v>
      </c>
      <c r="D9" s="637"/>
      <c r="E9" s="449"/>
      <c r="F9" s="449"/>
      <c r="G9" s="449"/>
      <c r="H9" s="449"/>
      <c r="I9" s="449"/>
      <c r="J9" s="220"/>
      <c r="K9" s="449"/>
      <c r="L9" s="449"/>
      <c r="M9" s="449"/>
      <c r="N9" s="449"/>
      <c r="O9" s="449"/>
      <c r="P9" s="220"/>
      <c r="Q9" s="449"/>
      <c r="R9" s="449"/>
      <c r="S9" s="449"/>
      <c r="T9" s="449"/>
      <c r="U9" s="220"/>
      <c r="V9" s="449"/>
      <c r="W9" s="220"/>
      <c r="X9" s="220"/>
      <c r="Y9" s="220"/>
      <c r="Z9" s="449"/>
      <c r="AA9" s="449"/>
      <c r="AB9" s="449"/>
      <c r="AC9" s="449"/>
      <c r="AD9" s="449"/>
      <c r="AE9" s="449"/>
      <c r="AF9" s="449"/>
      <c r="AG9" s="449"/>
      <c r="AH9" s="449"/>
      <c r="AI9" s="449"/>
      <c r="AJ9" s="399"/>
      <c r="AK9" s="449"/>
      <c r="AL9" s="449"/>
      <c r="AM9" s="449"/>
      <c r="AN9" s="449">
        <v>46</v>
      </c>
      <c r="AO9" s="449">
        <v>46</v>
      </c>
      <c r="AP9" s="449">
        <v>46</v>
      </c>
      <c r="AQ9" s="449">
        <v>46</v>
      </c>
      <c r="AR9" s="449">
        <v>46</v>
      </c>
      <c r="AS9" s="449">
        <v>46</v>
      </c>
      <c r="AT9" s="449">
        <v>46</v>
      </c>
      <c r="AU9" s="449">
        <v>46</v>
      </c>
      <c r="AV9" s="399">
        <v>46</v>
      </c>
      <c r="AW9" s="448">
        <v>3</v>
      </c>
      <c r="AX9" s="448">
        <v>4</v>
      </c>
      <c r="AY9" s="448">
        <v>5</v>
      </c>
      <c r="AZ9" s="448">
        <v>6</v>
      </c>
      <c r="BA9" s="210"/>
      <c r="BB9" s="447"/>
      <c r="BC9" s="447"/>
    </row>
    <row r="10" spans="2:55">
      <c r="B10" s="219">
        <v>8</v>
      </c>
      <c r="C10" s="636" t="s">
        <v>427</v>
      </c>
      <c r="D10" s="637"/>
      <c r="E10" s="449"/>
      <c r="F10" s="224"/>
      <c r="G10" s="449"/>
      <c r="H10" s="449"/>
      <c r="I10" s="224"/>
      <c r="J10" s="449"/>
      <c r="K10" s="220"/>
      <c r="L10" s="449"/>
      <c r="M10" s="449"/>
      <c r="N10" s="449"/>
      <c r="O10" s="220"/>
      <c r="P10" s="220"/>
      <c r="Q10" s="220"/>
      <c r="R10" s="449"/>
      <c r="S10" s="220"/>
      <c r="T10" s="449"/>
      <c r="U10" s="220"/>
      <c r="V10" s="449"/>
      <c r="W10" s="220"/>
      <c r="X10" s="449"/>
      <c r="Y10" s="449"/>
      <c r="Z10" s="449"/>
      <c r="AA10" s="220"/>
      <c r="AB10" s="449"/>
      <c r="AC10" s="449"/>
      <c r="AD10" s="449"/>
      <c r="AE10" s="220"/>
      <c r="AF10" s="449"/>
      <c r="AG10" s="449"/>
      <c r="AH10" s="449"/>
      <c r="AI10" s="449"/>
      <c r="AJ10" s="449"/>
      <c r="AK10" s="449"/>
      <c r="AL10" s="449"/>
      <c r="AM10" s="449"/>
      <c r="AN10" s="449">
        <v>46</v>
      </c>
      <c r="AO10" s="449">
        <v>46</v>
      </c>
      <c r="AP10" s="449">
        <v>46</v>
      </c>
      <c r="AQ10" s="449">
        <v>46</v>
      </c>
      <c r="AR10" s="449">
        <v>46</v>
      </c>
      <c r="AS10" s="241"/>
      <c r="AT10" s="241"/>
      <c r="AU10" s="241"/>
      <c r="AV10" s="241"/>
      <c r="AW10" s="448">
        <v>2</v>
      </c>
      <c r="AX10" s="448">
        <v>3</v>
      </c>
      <c r="AY10" s="448">
        <v>4</v>
      </c>
      <c r="AZ10" s="448">
        <v>5</v>
      </c>
      <c r="BA10" s="448">
        <v>6</v>
      </c>
      <c r="BB10" s="448">
        <v>5</v>
      </c>
      <c r="BC10" s="448">
        <v>6</v>
      </c>
    </row>
    <row r="11" spans="2:55">
      <c r="B11" s="219">
        <v>9</v>
      </c>
      <c r="C11" s="636" t="s">
        <v>418</v>
      </c>
      <c r="D11" s="637"/>
      <c r="E11" s="449"/>
      <c r="F11" s="449"/>
      <c r="G11" s="449"/>
      <c r="H11" s="449"/>
      <c r="I11" s="449"/>
      <c r="J11" s="449"/>
      <c r="K11" s="449"/>
      <c r="L11" s="449"/>
      <c r="M11" s="449"/>
      <c r="N11" s="449"/>
      <c r="O11" s="449"/>
      <c r="P11" s="449"/>
      <c r="Q11" s="449"/>
      <c r="R11" s="449"/>
      <c r="S11" s="449"/>
      <c r="T11" s="449"/>
      <c r="U11" s="449"/>
      <c r="V11" s="449"/>
      <c r="W11" s="449"/>
      <c r="X11" s="449"/>
      <c r="Y11" s="448"/>
      <c r="Z11" s="448"/>
      <c r="AA11" s="448"/>
      <c r="AB11" s="448"/>
      <c r="AC11" s="449"/>
      <c r="AD11" s="449"/>
      <c r="AE11" s="449"/>
      <c r="AF11" s="449"/>
      <c r="AG11" s="449"/>
      <c r="AH11" s="449"/>
      <c r="AI11" s="449"/>
      <c r="AJ11" s="449"/>
      <c r="AK11" s="449"/>
      <c r="AL11" s="449"/>
      <c r="AM11" s="449"/>
      <c r="AN11" s="449">
        <v>46</v>
      </c>
      <c r="AO11" s="449">
        <v>46</v>
      </c>
      <c r="AP11" s="449">
        <v>46</v>
      </c>
      <c r="AQ11" s="449">
        <v>46</v>
      </c>
      <c r="AR11" s="449">
        <v>46</v>
      </c>
      <c r="AS11" s="241"/>
      <c r="AT11" s="241"/>
      <c r="AU11" s="241"/>
      <c r="AV11" s="241"/>
      <c r="AW11" s="448">
        <v>1</v>
      </c>
      <c r="AX11" s="448">
        <v>2</v>
      </c>
      <c r="AY11" s="448">
        <v>3</v>
      </c>
      <c r="AZ11" s="448">
        <v>4</v>
      </c>
      <c r="BA11" s="448">
        <v>5</v>
      </c>
      <c r="BB11" s="448">
        <v>2</v>
      </c>
      <c r="BC11" s="447"/>
    </row>
    <row r="12" spans="2:55">
      <c r="B12" s="219">
        <v>10</v>
      </c>
      <c r="C12" s="636" t="s">
        <v>467</v>
      </c>
      <c r="D12" s="637"/>
      <c r="E12" s="449"/>
      <c r="F12" s="449"/>
      <c r="G12" s="449"/>
      <c r="H12" s="449"/>
      <c r="I12" s="449"/>
      <c r="J12" s="449"/>
      <c r="K12" s="449"/>
      <c r="L12" s="449"/>
      <c r="M12" s="449"/>
      <c r="N12" s="220"/>
      <c r="O12" s="449"/>
      <c r="P12" s="220"/>
      <c r="Q12" s="449"/>
      <c r="R12" s="220"/>
      <c r="S12" s="220"/>
      <c r="T12" s="220"/>
      <c r="U12" s="449"/>
      <c r="V12" s="449"/>
      <c r="W12" s="449"/>
      <c r="X12" s="449"/>
      <c r="Y12" s="449"/>
      <c r="Z12" s="449"/>
      <c r="AA12" s="449"/>
      <c r="AB12" s="449"/>
      <c r="AC12" s="220"/>
      <c r="AD12" s="449"/>
      <c r="AE12" s="449"/>
      <c r="AF12" s="449"/>
      <c r="AG12" s="449"/>
      <c r="AH12" s="449"/>
      <c r="AI12" s="449"/>
      <c r="AJ12" s="449"/>
      <c r="AK12" s="449"/>
      <c r="AL12" s="449"/>
      <c r="AM12" s="449"/>
      <c r="AN12" s="449">
        <v>46</v>
      </c>
      <c r="AO12" s="449">
        <v>46</v>
      </c>
      <c r="AP12" s="449">
        <v>46</v>
      </c>
      <c r="AQ12" s="449">
        <v>46</v>
      </c>
      <c r="AR12" s="449">
        <v>46</v>
      </c>
      <c r="AS12" s="241"/>
      <c r="AT12" s="241"/>
      <c r="AU12" s="241"/>
      <c r="AV12" s="241"/>
      <c r="AW12" s="448">
        <v>2</v>
      </c>
      <c r="AX12" s="448">
        <v>3</v>
      </c>
      <c r="AY12" s="448">
        <v>4</v>
      </c>
      <c r="AZ12" s="448">
        <v>5</v>
      </c>
      <c r="BA12" s="448">
        <v>6</v>
      </c>
      <c r="BB12" s="447"/>
      <c r="BC12" s="447"/>
    </row>
    <row r="13" spans="2:55">
      <c r="B13" s="219">
        <v>11</v>
      </c>
      <c r="C13" s="636" t="s">
        <v>419</v>
      </c>
      <c r="D13" s="637"/>
      <c r="E13" s="449"/>
      <c r="F13" s="449"/>
      <c r="G13" s="449"/>
      <c r="H13" s="449"/>
      <c r="I13" s="220"/>
      <c r="J13" s="220"/>
      <c r="K13" s="449"/>
      <c r="L13" s="449"/>
      <c r="M13" s="449"/>
      <c r="N13" s="449"/>
      <c r="O13" s="220"/>
      <c r="P13" s="449"/>
      <c r="Q13" s="449"/>
      <c r="R13" s="449"/>
      <c r="S13" s="220"/>
      <c r="T13" s="220"/>
      <c r="U13" s="449"/>
      <c r="V13" s="449"/>
      <c r="W13" s="449"/>
      <c r="X13" s="449"/>
      <c r="Y13" s="449"/>
      <c r="Z13" s="449"/>
      <c r="AA13" s="449"/>
      <c r="AB13" s="449"/>
      <c r="AC13" s="449"/>
      <c r="AD13" s="449"/>
      <c r="AE13" s="449"/>
      <c r="AF13" s="449"/>
      <c r="AG13" s="449"/>
      <c r="AH13" s="449"/>
      <c r="AI13" s="449"/>
      <c r="AJ13" s="449"/>
      <c r="AK13" s="449"/>
      <c r="AL13" s="449"/>
      <c r="AM13" s="449"/>
      <c r="AN13" s="449">
        <v>46</v>
      </c>
      <c r="AO13" s="449">
        <v>46</v>
      </c>
      <c r="AP13" s="449">
        <v>46</v>
      </c>
      <c r="AQ13" s="449">
        <v>46</v>
      </c>
      <c r="AR13" s="449">
        <v>46</v>
      </c>
      <c r="AS13" s="241"/>
      <c r="AT13" s="241"/>
      <c r="AU13" s="241"/>
      <c r="AV13" s="241"/>
      <c r="AW13" s="448">
        <v>2</v>
      </c>
      <c r="AX13" s="448">
        <v>3</v>
      </c>
      <c r="AY13" s="448">
        <v>4</v>
      </c>
      <c r="AZ13" s="448">
        <v>5</v>
      </c>
      <c r="BA13" s="448">
        <v>6</v>
      </c>
      <c r="BB13" s="447"/>
      <c r="BC13" s="447"/>
    </row>
    <row r="14" spans="2:55">
      <c r="B14" s="219">
        <v>12</v>
      </c>
      <c r="C14" s="636" t="s">
        <v>420</v>
      </c>
      <c r="D14" s="637"/>
      <c r="E14" s="449"/>
      <c r="F14" s="449"/>
      <c r="G14" s="449"/>
      <c r="H14" s="449"/>
      <c r="I14" s="449"/>
      <c r="J14" s="449"/>
      <c r="K14" s="449"/>
      <c r="L14" s="449"/>
      <c r="M14" s="449"/>
      <c r="N14" s="449"/>
      <c r="O14" s="449"/>
      <c r="P14" s="449"/>
      <c r="Q14" s="449"/>
      <c r="R14" s="449"/>
      <c r="S14" s="220"/>
      <c r="T14" s="449"/>
      <c r="U14" s="449"/>
      <c r="V14" s="449"/>
      <c r="W14" s="449"/>
      <c r="X14" s="449"/>
      <c r="Y14" s="449"/>
      <c r="Z14" s="449"/>
      <c r="AA14" s="449"/>
      <c r="AB14" s="449"/>
      <c r="AC14" s="449"/>
      <c r="AD14" s="449"/>
      <c r="AE14" s="222"/>
      <c r="AF14" s="222"/>
      <c r="AG14" s="222"/>
      <c r="AH14" s="222"/>
      <c r="AI14" s="222"/>
      <c r="AJ14" s="222"/>
      <c r="AK14" s="222"/>
      <c r="AL14" s="222"/>
      <c r="AM14" s="222"/>
      <c r="AN14" s="222"/>
      <c r="AO14" s="215"/>
      <c r="AP14" s="215"/>
      <c r="AQ14" s="215"/>
      <c r="AR14" s="215"/>
      <c r="AS14" s="215"/>
      <c r="AT14" s="215"/>
      <c r="AU14" s="215"/>
      <c r="AV14" s="215"/>
      <c r="AW14" s="448">
        <v>1</v>
      </c>
      <c r="AX14" s="448">
        <v>2</v>
      </c>
      <c r="AY14" s="448">
        <v>3</v>
      </c>
      <c r="AZ14" s="448">
        <v>4</v>
      </c>
      <c r="BA14" s="448">
        <v>1</v>
      </c>
      <c r="BB14" s="448">
        <v>1</v>
      </c>
      <c r="BC14" s="447"/>
    </row>
    <row r="15" spans="2:55">
      <c r="B15" s="219">
        <v>13</v>
      </c>
      <c r="C15" s="636" t="s">
        <v>421</v>
      </c>
      <c r="D15" s="637"/>
      <c r="E15" s="449"/>
      <c r="F15" s="449"/>
      <c r="G15" s="449"/>
      <c r="H15" s="449"/>
      <c r="I15" s="449"/>
      <c r="J15" s="220"/>
      <c r="K15" s="449"/>
      <c r="L15" s="449"/>
      <c r="M15" s="449"/>
      <c r="N15" s="449"/>
      <c r="O15" s="449"/>
      <c r="P15" s="449"/>
      <c r="Q15" s="449"/>
      <c r="R15" s="449"/>
      <c r="S15" s="449"/>
      <c r="T15" s="449"/>
      <c r="U15" s="449"/>
      <c r="V15" s="449"/>
      <c r="W15" s="449"/>
      <c r="X15" s="449"/>
      <c r="Y15" s="449"/>
      <c r="Z15" s="449"/>
      <c r="AA15" s="449"/>
      <c r="AB15" s="449"/>
      <c r="AC15" s="449"/>
      <c r="AD15" s="449"/>
      <c r="AE15" s="222"/>
      <c r="AF15" s="222"/>
      <c r="AG15" s="222"/>
      <c r="AH15" s="222"/>
      <c r="AI15" s="222"/>
      <c r="AJ15" s="222"/>
      <c r="AK15" s="222"/>
      <c r="AL15" s="222"/>
      <c r="AM15" s="222"/>
      <c r="AN15" s="222"/>
      <c r="AO15" s="215"/>
      <c r="AP15" s="215"/>
      <c r="AQ15" s="215"/>
      <c r="AR15" s="215"/>
      <c r="AS15" s="215"/>
      <c r="AT15" s="215"/>
      <c r="AU15" s="215"/>
      <c r="AV15" s="215"/>
      <c r="AW15" s="448">
        <v>0</v>
      </c>
      <c r="AX15" s="448">
        <v>1</v>
      </c>
      <c r="AY15" s="448">
        <v>1</v>
      </c>
      <c r="AZ15" s="448">
        <v>1</v>
      </c>
      <c r="BA15" s="448">
        <v>2</v>
      </c>
      <c r="BB15" s="447"/>
      <c r="BC15" s="447"/>
    </row>
    <row r="16" spans="2:55">
      <c r="B16" s="219">
        <v>14</v>
      </c>
      <c r="C16" s="636" t="s">
        <v>422</v>
      </c>
      <c r="D16" s="637"/>
      <c r="E16" s="449"/>
      <c r="F16" s="449"/>
      <c r="G16" s="449"/>
      <c r="H16" s="449"/>
      <c r="I16" s="449"/>
      <c r="J16" s="449"/>
      <c r="K16" s="449"/>
      <c r="L16" s="449"/>
      <c r="M16" s="321"/>
      <c r="N16" s="321"/>
      <c r="O16" s="449"/>
      <c r="P16" s="449"/>
      <c r="Q16" s="449"/>
      <c r="R16" s="449"/>
      <c r="S16" s="449"/>
      <c r="T16" s="449"/>
      <c r="U16" s="449"/>
      <c r="V16" s="449"/>
      <c r="W16" s="449"/>
      <c r="X16" s="449"/>
      <c r="Y16" s="449"/>
      <c r="Z16" s="449"/>
      <c r="AA16" s="449"/>
      <c r="AB16" s="449"/>
      <c r="AC16" s="449"/>
      <c r="AD16" s="449"/>
      <c r="AE16" s="449"/>
      <c r="AF16" s="449"/>
      <c r="AG16" s="449"/>
      <c r="AH16" s="449"/>
      <c r="AI16" s="449"/>
      <c r="AJ16" s="222"/>
      <c r="AK16" s="222"/>
      <c r="AL16" s="222"/>
      <c r="AM16" s="222"/>
      <c r="AN16" s="222"/>
      <c r="AO16" s="215"/>
      <c r="AP16" s="215"/>
      <c r="AQ16" s="215"/>
      <c r="AR16" s="215"/>
      <c r="AS16" s="215"/>
      <c r="AT16" s="215"/>
      <c r="AU16" s="215"/>
      <c r="AV16" s="215"/>
      <c r="AW16" s="448">
        <v>0</v>
      </c>
      <c r="AX16" s="448">
        <v>1</v>
      </c>
      <c r="AY16" s="448">
        <v>2</v>
      </c>
      <c r="AZ16" s="448">
        <v>3</v>
      </c>
      <c r="BA16" s="448">
        <v>3</v>
      </c>
      <c r="BB16" s="447"/>
      <c r="BC16" s="447"/>
    </row>
    <row r="17" spans="2:55">
      <c r="B17" s="219">
        <v>15</v>
      </c>
      <c r="C17" s="636" t="s">
        <v>423</v>
      </c>
      <c r="D17" s="637"/>
      <c r="E17" s="449"/>
      <c r="F17" s="449"/>
      <c r="G17" s="449"/>
      <c r="H17" s="449"/>
      <c r="I17" s="449"/>
      <c r="J17" s="449"/>
      <c r="K17" s="449"/>
      <c r="L17" s="449"/>
      <c r="M17" s="449"/>
      <c r="N17" s="221"/>
      <c r="O17" s="449"/>
      <c r="P17" s="220"/>
      <c r="Q17" s="449"/>
      <c r="R17" s="220"/>
      <c r="S17" s="449"/>
      <c r="T17" s="220"/>
      <c r="U17" s="449"/>
      <c r="V17" s="449"/>
      <c r="W17" s="449"/>
      <c r="X17" s="449"/>
      <c r="Y17" s="449"/>
      <c r="Z17" s="449"/>
      <c r="AA17" s="449"/>
      <c r="AB17" s="449"/>
      <c r="AC17" s="449"/>
      <c r="AD17" s="449"/>
      <c r="AE17" s="449"/>
      <c r="AF17" s="449"/>
      <c r="AG17" s="449"/>
      <c r="AH17" s="449"/>
      <c r="AI17" s="449"/>
      <c r="AJ17" s="449"/>
      <c r="AK17" s="449"/>
      <c r="AL17" s="449"/>
      <c r="AM17" s="449"/>
      <c r="AN17" s="449">
        <v>46</v>
      </c>
      <c r="AO17" s="449">
        <v>46</v>
      </c>
      <c r="AP17" s="215"/>
      <c r="AQ17" s="215"/>
      <c r="AR17" s="215"/>
      <c r="AS17" s="215"/>
      <c r="AT17" s="215"/>
      <c r="AU17" s="215"/>
      <c r="AV17" s="215"/>
      <c r="AW17" s="448">
        <v>1</v>
      </c>
      <c r="AX17" s="448">
        <v>2</v>
      </c>
      <c r="AY17" s="448">
        <v>3</v>
      </c>
      <c r="AZ17" s="448">
        <v>4</v>
      </c>
      <c r="BA17" s="448">
        <v>5</v>
      </c>
      <c r="BB17" s="448">
        <v>5</v>
      </c>
      <c r="BC17" s="447"/>
    </row>
    <row r="18" spans="2:55">
      <c r="B18" s="219">
        <v>16</v>
      </c>
      <c r="C18" s="636" t="s">
        <v>424</v>
      </c>
      <c r="D18" s="637"/>
      <c r="E18" s="449"/>
      <c r="F18" s="449"/>
      <c r="G18" s="449"/>
      <c r="H18" s="449"/>
      <c r="I18" s="449"/>
      <c r="J18" s="220"/>
      <c r="K18" s="449"/>
      <c r="L18" s="449"/>
      <c r="M18" s="449"/>
      <c r="N18" s="220"/>
      <c r="O18" s="220"/>
      <c r="P18" s="220"/>
      <c r="Q18" s="220"/>
      <c r="R18" s="449"/>
      <c r="S18" s="449"/>
      <c r="T18" s="220"/>
      <c r="U18" s="449"/>
      <c r="V18" s="449"/>
      <c r="W18" s="220"/>
      <c r="X18" s="449"/>
      <c r="Y18" s="449"/>
      <c r="Z18" s="449"/>
      <c r="AA18" s="449"/>
      <c r="AB18" s="449"/>
      <c r="AC18" s="449"/>
      <c r="AD18" s="449"/>
      <c r="AE18" s="449"/>
      <c r="AF18" s="222"/>
      <c r="AG18" s="222"/>
      <c r="AH18" s="222"/>
      <c r="AI18" s="222"/>
      <c r="AJ18" s="222"/>
      <c r="AK18" s="222"/>
      <c r="AL18" s="222"/>
      <c r="AM18" s="222"/>
      <c r="AN18" s="222"/>
      <c r="AO18" s="215"/>
      <c r="AP18" s="215"/>
      <c r="AQ18" s="215"/>
      <c r="AR18" s="215"/>
      <c r="AS18" s="215"/>
      <c r="AT18" s="215"/>
      <c r="AU18" s="215"/>
      <c r="AV18" s="215"/>
      <c r="AW18" s="448">
        <v>1</v>
      </c>
      <c r="AX18" s="448">
        <v>2</v>
      </c>
      <c r="AY18" s="448">
        <v>3</v>
      </c>
      <c r="AZ18" s="448">
        <v>4</v>
      </c>
      <c r="BA18" s="448">
        <v>5</v>
      </c>
      <c r="BB18" s="447"/>
      <c r="BC18" s="447"/>
    </row>
    <row r="21" spans="2:55" ht="20.25">
      <c r="E21" s="498"/>
      <c r="F21" s="513"/>
      <c r="G21" s="364"/>
      <c r="H21" s="388"/>
      <c r="I21" s="541"/>
      <c r="J21" s="541"/>
      <c r="K21" s="541"/>
      <c r="L21" s="541"/>
    </row>
    <row r="22" spans="2:55" ht="20.25">
      <c r="C22" s="388"/>
      <c r="D22" s="400"/>
      <c r="E22" s="598"/>
      <c r="F22" s="598"/>
      <c r="G22" s="228"/>
      <c r="H22" s="228"/>
      <c r="I22" s="228"/>
      <c r="J22" s="388"/>
      <c r="K22" s="228"/>
      <c r="L22" s="228"/>
      <c r="M22" s="536"/>
    </row>
    <row r="23" spans="2:55" ht="20.25">
      <c r="C23" s="388"/>
      <c r="D23" s="579"/>
      <c r="E23" s="579"/>
      <c r="F23" s="579"/>
      <c r="G23" s="579"/>
      <c r="H23" s="579"/>
      <c r="I23" s="579"/>
      <c r="J23" s="523"/>
      <c r="K23" s="228"/>
      <c r="L23" s="228"/>
      <c r="M23" s="536"/>
      <c r="N23" s="329"/>
      <c r="O23" s="245"/>
    </row>
    <row r="24" spans="2:55" ht="17.25">
      <c r="C24" s="228"/>
      <c r="D24" s="579"/>
      <c r="E24" s="579"/>
      <c r="F24" s="579"/>
      <c r="G24" s="579"/>
      <c r="H24" s="579"/>
      <c r="I24" s="579"/>
      <c r="J24" s="228"/>
      <c r="K24" s="228"/>
      <c r="L24" s="228"/>
      <c r="M24" s="536"/>
      <c r="N24" s="329"/>
      <c r="O24" s="245"/>
    </row>
    <row r="25" spans="2:55" ht="17.25">
      <c r="C25" s="228"/>
      <c r="D25" s="579"/>
      <c r="E25" s="579"/>
      <c r="F25" s="579"/>
      <c r="G25" s="579"/>
      <c r="H25" s="579"/>
      <c r="I25" s="579"/>
      <c r="J25" s="228"/>
      <c r="K25" s="228"/>
      <c r="L25" s="228"/>
      <c r="M25" s="536"/>
      <c r="N25" s="329"/>
      <c r="O25" s="245"/>
    </row>
    <row r="26" spans="2:55" ht="20.25" customHeight="1">
      <c r="C26" s="228"/>
      <c r="D26" s="579"/>
      <c r="E26" s="579"/>
      <c r="F26" s="579"/>
      <c r="G26" s="579"/>
      <c r="H26" s="579"/>
      <c r="I26" s="579"/>
      <c r="J26" s="228"/>
      <c r="K26" s="228"/>
      <c r="L26" s="228"/>
      <c r="M26" s="536"/>
      <c r="N26" s="329"/>
      <c r="O26" s="245"/>
    </row>
    <row r="27" spans="2:55" ht="20.25">
      <c r="C27" s="228"/>
      <c r="D27" s="554"/>
      <c r="E27" s="554"/>
      <c r="F27" s="554"/>
      <c r="G27" s="523"/>
      <c r="H27" s="228"/>
      <c r="I27" s="228"/>
      <c r="J27" s="228"/>
      <c r="K27" s="281"/>
      <c r="L27" s="329"/>
      <c r="M27" s="536"/>
      <c r="N27" s="329"/>
      <c r="O27" s="245"/>
    </row>
    <row r="28" spans="2:55" ht="20.25">
      <c r="C28" s="554"/>
      <c r="D28" s="554"/>
      <c r="E28" s="554"/>
      <c r="F28" s="554"/>
      <c r="G28" s="523"/>
      <c r="H28" s="523"/>
      <c r="I28" s="498"/>
      <c r="J28" s="523"/>
      <c r="K28" s="281"/>
      <c r="L28" s="329"/>
      <c r="M28" s="537"/>
      <c r="N28" s="329"/>
      <c r="O28" s="245"/>
    </row>
    <row r="29" spans="2:55" ht="20.25">
      <c r="C29" s="554"/>
      <c r="D29" s="554"/>
      <c r="E29" s="554"/>
      <c r="F29" s="554"/>
      <c r="G29" s="523"/>
      <c r="H29" s="523"/>
      <c r="I29" s="498"/>
      <c r="J29" s="523"/>
      <c r="K29" s="528"/>
      <c r="L29" s="329"/>
      <c r="M29" s="536"/>
      <c r="N29" s="329"/>
      <c r="O29" s="245"/>
    </row>
    <row r="30" spans="2:55" ht="20.25">
      <c r="C30" s="554"/>
      <c r="D30" s="554"/>
      <c r="E30" s="554"/>
      <c r="F30" s="554"/>
      <c r="G30" s="523"/>
      <c r="H30" s="523"/>
      <c r="I30" s="498"/>
      <c r="J30" s="523"/>
      <c r="K30" s="529"/>
      <c r="L30" s="352"/>
      <c r="M30" s="329"/>
      <c r="N30" s="329"/>
      <c r="O30" s="390"/>
      <c r="P30" s="390"/>
      <c r="Q30" s="390"/>
      <c r="R30" s="390"/>
      <c r="S30" s="390"/>
      <c r="T30" s="387"/>
      <c r="U30" s="387"/>
      <c r="V30" s="387"/>
      <c r="W30" s="387"/>
      <c r="X30" s="387"/>
      <c r="Y30" s="387"/>
      <c r="Z30" s="387"/>
      <c r="AA30" s="387"/>
      <c r="AB30" s="387"/>
      <c r="AC30" s="387"/>
      <c r="AD30" s="387"/>
      <c r="AE30" s="387"/>
      <c r="AF30" s="387"/>
      <c r="AG30" s="387"/>
      <c r="AH30" s="387"/>
      <c r="AI30" s="387"/>
      <c r="AJ30" s="387"/>
      <c r="AK30" s="387"/>
    </row>
    <row r="31" spans="2:55" ht="20.25">
      <c r="C31" s="554"/>
      <c r="D31" s="554"/>
      <c r="E31" s="554"/>
      <c r="F31" s="554"/>
      <c r="G31" s="523"/>
      <c r="H31" s="523"/>
      <c r="I31" s="498"/>
      <c r="J31" s="523"/>
      <c r="K31" s="529"/>
      <c r="L31" s="352"/>
      <c r="M31" s="329"/>
      <c r="N31" s="329"/>
      <c r="O31" s="245"/>
    </row>
    <row r="32" spans="2:55" ht="20.25">
      <c r="C32" s="554"/>
      <c r="D32" s="554"/>
      <c r="E32" s="554"/>
      <c r="F32" s="554"/>
      <c r="G32" s="523"/>
      <c r="H32" s="523"/>
      <c r="I32" s="498"/>
      <c r="J32" s="523"/>
      <c r="K32" s="528"/>
      <c r="L32" s="352"/>
      <c r="M32" s="329"/>
      <c r="N32" s="359"/>
      <c r="O32" s="245"/>
    </row>
    <row r="33" spans="3:15" ht="20.25">
      <c r="C33" s="554"/>
      <c r="D33" s="554"/>
      <c r="E33" s="554"/>
      <c r="F33" s="554"/>
      <c r="G33" s="523"/>
      <c r="H33" s="523"/>
      <c r="I33" s="498"/>
      <c r="J33" s="523"/>
      <c r="K33" s="528"/>
      <c r="L33" s="352"/>
      <c r="M33" s="329"/>
      <c r="N33" s="359"/>
      <c r="O33" s="245"/>
    </row>
    <row r="34" spans="3:15" ht="20.25">
      <c r="C34" s="554"/>
      <c r="D34" s="554"/>
      <c r="E34" s="554"/>
      <c r="F34" s="554"/>
      <c r="G34" s="523"/>
      <c r="H34" s="523"/>
      <c r="I34" s="498"/>
      <c r="J34" s="523"/>
      <c r="K34" s="528"/>
      <c r="L34" s="352"/>
      <c r="M34" s="329"/>
      <c r="N34" s="359"/>
      <c r="O34" s="245"/>
    </row>
    <row r="35" spans="3:15" ht="20.25">
      <c r="C35" s="554"/>
      <c r="D35" s="554"/>
      <c r="E35" s="554"/>
      <c r="F35" s="554"/>
      <c r="G35" s="523"/>
      <c r="H35" s="523"/>
      <c r="I35" s="498"/>
      <c r="J35" s="523"/>
      <c r="K35" s="528"/>
      <c r="L35" s="352"/>
      <c r="M35" s="329"/>
      <c r="N35" s="359"/>
      <c r="O35" s="245"/>
    </row>
    <row r="36" spans="3:15" ht="20.25">
      <c r="C36" s="554"/>
      <c r="D36" s="554"/>
      <c r="E36" s="554"/>
      <c r="F36" s="554"/>
      <c r="G36" s="523"/>
      <c r="H36" s="523"/>
      <c r="I36" s="498"/>
      <c r="J36" s="523"/>
      <c r="K36" s="529"/>
      <c r="L36" s="352"/>
      <c r="M36" s="329"/>
      <c r="N36" s="359"/>
      <c r="O36" s="245"/>
    </row>
    <row r="37" spans="3:15" ht="20.25">
      <c r="C37" s="554"/>
      <c r="D37" s="554"/>
      <c r="E37" s="554"/>
      <c r="F37" s="554"/>
      <c r="G37" s="523"/>
      <c r="H37" s="523"/>
      <c r="I37" s="498"/>
      <c r="J37" s="523"/>
      <c r="K37" s="529"/>
      <c r="L37" s="352"/>
      <c r="M37" s="329"/>
      <c r="N37" s="359"/>
      <c r="O37" s="245"/>
    </row>
    <row r="38" spans="3:15" ht="20.25">
      <c r="C38" s="554"/>
      <c r="D38" s="554"/>
      <c r="E38" s="554"/>
      <c r="F38" s="554"/>
      <c r="G38" s="523"/>
      <c r="H38" s="523"/>
      <c r="I38" s="498"/>
      <c r="J38" s="523"/>
      <c r="K38" s="529"/>
      <c r="L38" s="352"/>
      <c r="M38" s="329"/>
      <c r="N38" s="359"/>
      <c r="O38" s="245"/>
    </row>
    <row r="39" spans="3:15" ht="20.25">
      <c r="C39" s="554"/>
      <c r="D39" s="554"/>
      <c r="E39" s="554"/>
      <c r="F39" s="554"/>
      <c r="G39" s="523"/>
      <c r="H39" s="523"/>
      <c r="I39" s="498"/>
      <c r="J39" s="523"/>
      <c r="K39" s="281"/>
      <c r="L39" s="352"/>
      <c r="M39" s="329"/>
      <c r="N39" s="359"/>
      <c r="O39" s="245"/>
    </row>
    <row r="40" spans="3:15" ht="20.25">
      <c r="C40" s="554"/>
      <c r="D40" s="554"/>
      <c r="E40" s="554"/>
      <c r="F40" s="554"/>
      <c r="G40" s="523"/>
      <c r="H40" s="523"/>
      <c r="I40" s="498"/>
      <c r="J40" s="523"/>
      <c r="K40" s="281"/>
      <c r="L40" s="352"/>
      <c r="M40" s="329"/>
      <c r="N40" s="359"/>
      <c r="O40" s="245"/>
    </row>
    <row r="41" spans="3:15" ht="20.25">
      <c r="C41" s="554"/>
      <c r="D41" s="554"/>
      <c r="E41" s="554"/>
      <c r="F41" s="554"/>
      <c r="G41" s="523"/>
      <c r="H41" s="523"/>
      <c r="I41" s="498"/>
      <c r="J41" s="523"/>
      <c r="K41" s="281"/>
      <c r="L41" s="352"/>
      <c r="M41" s="329"/>
      <c r="N41" s="359"/>
      <c r="O41" s="245"/>
    </row>
    <row r="42" spans="3:15" ht="20.25">
      <c r="C42" s="554"/>
      <c r="D42" s="554"/>
      <c r="E42" s="554"/>
      <c r="F42" s="554"/>
      <c r="G42" s="523"/>
      <c r="H42" s="523"/>
      <c r="I42" s="498"/>
      <c r="J42" s="523"/>
      <c r="K42" s="281"/>
      <c r="L42" s="352"/>
      <c r="M42" s="329"/>
      <c r="N42" s="359"/>
      <c r="O42" s="245"/>
    </row>
    <row r="43" spans="3:15" ht="20.25">
      <c r="C43" s="554"/>
      <c r="D43" s="554"/>
      <c r="E43" s="554"/>
      <c r="F43" s="554"/>
      <c r="G43" s="523"/>
      <c r="H43" s="523"/>
      <c r="I43" s="498"/>
      <c r="J43" s="523"/>
      <c r="K43" s="281"/>
      <c r="L43" s="352"/>
      <c r="M43" s="329"/>
      <c r="N43" s="359"/>
      <c r="O43" s="245"/>
    </row>
    <row r="44" spans="3:15" ht="20.25">
      <c r="C44" s="554"/>
      <c r="D44" s="554"/>
      <c r="E44" s="554"/>
      <c r="F44" s="554"/>
      <c r="G44" s="523"/>
      <c r="H44" s="523"/>
      <c r="I44" s="498"/>
      <c r="J44" s="523"/>
      <c r="K44" s="281"/>
      <c r="L44" s="352"/>
      <c r="M44" s="329"/>
      <c r="N44" s="359"/>
      <c r="O44" s="245"/>
    </row>
    <row r="45" spans="3:15" ht="20.25">
      <c r="C45" s="554"/>
      <c r="D45" s="554"/>
      <c r="E45" s="554"/>
      <c r="F45" s="554"/>
      <c r="G45" s="523"/>
      <c r="H45" s="523"/>
      <c r="I45" s="498"/>
      <c r="J45" s="523"/>
      <c r="K45" s="281"/>
      <c r="L45" s="352"/>
      <c r="M45" s="329"/>
      <c r="N45" s="359"/>
      <c r="O45" s="245"/>
    </row>
    <row r="46" spans="3:15" ht="20.25">
      <c r="C46" s="554"/>
      <c r="D46" s="554"/>
      <c r="E46" s="554"/>
      <c r="F46" s="554"/>
      <c r="G46" s="523"/>
      <c r="H46" s="523"/>
      <c r="I46" s="498"/>
      <c r="J46" s="523"/>
      <c r="K46" s="281"/>
      <c r="L46" s="352"/>
      <c r="M46" s="329"/>
      <c r="N46" s="359"/>
      <c r="O46" s="245"/>
    </row>
    <row r="47" spans="3:15" ht="20.25">
      <c r="C47" s="554"/>
      <c r="D47" s="554"/>
      <c r="E47" s="554"/>
      <c r="F47" s="554"/>
      <c r="G47" s="523"/>
      <c r="H47" s="523"/>
      <c r="I47" s="498"/>
      <c r="J47" s="524"/>
      <c r="K47" s="281"/>
      <c r="L47" s="352"/>
      <c r="M47" s="329"/>
      <c r="N47" s="359"/>
      <c r="O47" s="245"/>
    </row>
    <row r="48" spans="3:15" ht="20.25">
      <c r="C48" s="554"/>
      <c r="D48" s="554"/>
      <c r="E48" s="554"/>
      <c r="F48" s="554"/>
      <c r="G48" s="524"/>
      <c r="H48" s="523"/>
      <c r="I48" s="498"/>
      <c r="J48" s="523"/>
      <c r="K48" s="281"/>
      <c r="L48" s="352"/>
      <c r="M48" s="329"/>
      <c r="N48" s="359"/>
      <c r="O48" s="245"/>
    </row>
    <row r="49" spans="3:15" ht="20.25">
      <c r="C49" s="554"/>
      <c r="D49" s="554"/>
      <c r="E49" s="554"/>
      <c r="F49" s="554"/>
      <c r="G49" s="523"/>
      <c r="H49" s="523"/>
      <c r="I49" s="498"/>
      <c r="J49" s="523"/>
      <c r="K49" s="281"/>
      <c r="L49" s="352"/>
      <c r="M49" s="329"/>
      <c r="N49" s="359"/>
      <c r="O49" s="245"/>
    </row>
    <row r="50" spans="3:15" ht="20.25">
      <c r="C50" s="554"/>
      <c r="D50" s="554"/>
      <c r="E50" s="554"/>
      <c r="F50" s="554"/>
      <c r="G50" s="523"/>
      <c r="H50" s="523"/>
      <c r="I50" s="498"/>
      <c r="J50" s="388"/>
      <c r="K50" s="281"/>
      <c r="L50" s="352"/>
      <c r="M50" s="329"/>
      <c r="N50" s="359"/>
      <c r="O50" s="208"/>
    </row>
    <row r="51" spans="3:15" ht="20.25">
      <c r="C51" s="554"/>
      <c r="D51" s="554"/>
      <c r="E51" s="554"/>
      <c r="F51" s="554"/>
      <c r="G51" s="388"/>
      <c r="H51" s="364"/>
      <c r="I51" s="498"/>
      <c r="J51" s="388"/>
      <c r="K51" s="281"/>
      <c r="L51" s="352"/>
      <c r="M51" s="208"/>
      <c r="N51" s="359"/>
      <c r="O51" s="401"/>
    </row>
    <row r="52" spans="3:15" ht="20.25">
      <c r="C52" s="554"/>
      <c r="D52" s="554"/>
      <c r="E52" s="554"/>
      <c r="F52" s="554"/>
      <c r="G52" s="388"/>
      <c r="H52" s="364"/>
      <c r="I52" s="498"/>
      <c r="J52" s="388"/>
      <c r="K52" s="280"/>
      <c r="L52" s="352"/>
      <c r="M52" s="208"/>
      <c r="N52" s="359"/>
      <c r="O52" s="401"/>
    </row>
    <row r="53" spans="3:15" ht="20.25">
      <c r="C53" s="554"/>
      <c r="D53" s="554"/>
      <c r="E53" s="554"/>
      <c r="F53" s="554"/>
      <c r="G53" s="388"/>
      <c r="H53" s="388"/>
      <c r="I53" s="498"/>
      <c r="J53" s="388"/>
      <c r="K53" s="280"/>
      <c r="L53" s="352"/>
      <c r="M53" s="208"/>
      <c r="N53" s="359"/>
    </row>
    <row r="54" spans="3:15" ht="20.25">
      <c r="C54" s="555"/>
      <c r="D54" s="598"/>
      <c r="E54" s="598"/>
      <c r="F54" s="598"/>
      <c r="G54" s="598"/>
      <c r="H54" s="498"/>
      <c r="I54" s="498"/>
      <c r="J54" s="388"/>
      <c r="K54" s="280"/>
      <c r="L54" s="355"/>
      <c r="N54" s="359"/>
    </row>
    <row r="55" spans="3:15" ht="17.25">
      <c r="C55" s="555"/>
      <c r="D55" s="576"/>
      <c r="E55" s="576"/>
      <c r="F55" s="576"/>
      <c r="G55" s="545"/>
      <c r="H55" s="525"/>
      <c r="I55" s="525"/>
      <c r="J55" s="280"/>
      <c r="K55" s="280"/>
      <c r="L55" s="355"/>
      <c r="N55" s="359"/>
    </row>
    <row r="56" spans="3:15" ht="17.25">
      <c r="C56" s="555"/>
      <c r="D56" s="576"/>
      <c r="E56" s="576"/>
      <c r="F56" s="576"/>
      <c r="G56" s="545"/>
      <c r="H56" s="525"/>
      <c r="I56" s="525"/>
      <c r="J56" s="379"/>
      <c r="K56" s="379"/>
      <c r="L56" s="355"/>
      <c r="N56" s="359"/>
    </row>
    <row r="57" spans="3:15" ht="17.25">
      <c r="C57" s="555"/>
      <c r="D57" s="576"/>
      <c r="E57" s="576"/>
      <c r="F57" s="576"/>
      <c r="G57" s="545"/>
      <c r="H57" s="525"/>
      <c r="I57" s="525"/>
      <c r="J57" s="355"/>
      <c r="K57" s="355"/>
      <c r="L57" s="355"/>
      <c r="N57" s="359"/>
    </row>
    <row r="58" spans="3:15" ht="17.25">
      <c r="C58" s="555"/>
      <c r="D58" s="576"/>
      <c r="E58" s="576"/>
      <c r="F58" s="576"/>
      <c r="G58" s="545"/>
      <c r="H58" s="525"/>
      <c r="I58" s="525"/>
      <c r="J58" s="355"/>
      <c r="K58" s="355"/>
      <c r="L58" s="355"/>
      <c r="N58" s="359"/>
    </row>
    <row r="59" spans="3:15" ht="17.25">
      <c r="C59" s="555"/>
      <c r="D59" s="560"/>
      <c r="E59" s="560"/>
      <c r="F59" s="560"/>
      <c r="G59" s="545"/>
      <c r="H59" s="525"/>
      <c r="I59" s="525"/>
      <c r="J59" s="355"/>
      <c r="K59" s="355"/>
      <c r="L59" s="355"/>
      <c r="N59" s="359"/>
    </row>
    <row r="60" spans="3:15" ht="20.25">
      <c r="C60" s="555"/>
      <c r="D60" s="560"/>
      <c r="E60" s="560"/>
      <c r="F60" s="560"/>
      <c r="G60" s="545"/>
      <c r="H60" s="364"/>
      <c r="I60" s="280"/>
      <c r="J60" s="355"/>
      <c r="K60" s="355"/>
      <c r="L60" s="355"/>
      <c r="N60" s="359"/>
    </row>
    <row r="61" spans="3:15" ht="20.25">
      <c r="C61" s="555"/>
      <c r="D61" s="560"/>
      <c r="E61" s="560"/>
      <c r="F61" s="560"/>
      <c r="G61" s="441"/>
      <c r="H61" s="351"/>
      <c r="I61" s="355"/>
      <c r="J61" s="355"/>
      <c r="K61" s="355"/>
      <c r="L61" s="355"/>
      <c r="N61" s="359"/>
    </row>
    <row r="62" spans="3:15" ht="20.25">
      <c r="C62" s="555"/>
      <c r="D62" s="560"/>
      <c r="E62" s="560"/>
      <c r="F62" s="560"/>
      <c r="G62" s="441"/>
      <c r="H62" s="351"/>
      <c r="I62" s="355"/>
      <c r="J62" s="355"/>
      <c r="K62" s="355"/>
      <c r="L62" s="355"/>
      <c r="N62" s="359"/>
    </row>
    <row r="63" spans="3:15" ht="17.25">
      <c r="C63" s="555"/>
      <c r="D63" s="560"/>
      <c r="E63" s="560"/>
      <c r="F63" s="560"/>
      <c r="G63" s="441"/>
      <c r="H63" s="350"/>
      <c r="I63" s="269"/>
      <c r="J63" s="269"/>
      <c r="K63" s="249"/>
      <c r="N63" s="359"/>
    </row>
    <row r="64" spans="3:15" ht="17.25">
      <c r="C64" s="555"/>
      <c r="D64" s="560"/>
      <c r="E64" s="560"/>
      <c r="F64" s="560"/>
      <c r="G64" s="441"/>
      <c r="H64" s="350"/>
      <c r="J64" s="266"/>
      <c r="K64" s="249"/>
      <c r="N64" s="359"/>
    </row>
    <row r="65" spans="3:14" ht="17.25">
      <c r="C65" s="555"/>
      <c r="D65" s="560"/>
      <c r="E65" s="560"/>
      <c r="F65" s="560"/>
      <c r="G65" s="441"/>
      <c r="H65" s="350"/>
      <c r="J65" s="250"/>
      <c r="K65" s="249"/>
      <c r="N65" s="359"/>
    </row>
    <row r="66" spans="3:14" ht="17.25">
      <c r="C66" s="555"/>
      <c r="D66" s="560"/>
      <c r="E66" s="560"/>
      <c r="F66" s="560"/>
      <c r="G66" s="441"/>
      <c r="H66" s="350"/>
      <c r="J66" s="250"/>
      <c r="K66" s="249"/>
      <c r="N66" s="359"/>
    </row>
    <row r="67" spans="3:14" ht="17.25">
      <c r="C67" s="555"/>
      <c r="D67" s="560"/>
      <c r="E67" s="560"/>
      <c r="F67" s="560"/>
      <c r="G67" s="362"/>
      <c r="H67" s="350"/>
      <c r="J67" s="249"/>
      <c r="K67" s="249"/>
      <c r="N67" s="359"/>
    </row>
    <row r="68" spans="3:14" ht="17.25">
      <c r="C68" s="555"/>
      <c r="D68" s="555"/>
      <c r="E68" s="555"/>
      <c r="G68" s="362"/>
      <c r="H68" s="350"/>
      <c r="J68" s="249"/>
      <c r="K68" s="249"/>
      <c r="N68" s="359"/>
    </row>
    <row r="69" spans="3:14" ht="17.25">
      <c r="G69" s="362"/>
      <c r="H69" s="350"/>
      <c r="N69" s="359"/>
    </row>
    <row r="70" spans="3:14" ht="17.25">
      <c r="G70" s="353"/>
      <c r="H70" s="350"/>
      <c r="N70" s="359"/>
    </row>
    <row r="71" spans="3:14" ht="17.25">
      <c r="G71" s="353"/>
      <c r="H71" s="350"/>
      <c r="N71" s="359"/>
    </row>
    <row r="72" spans="3:14" ht="17.25">
      <c r="G72" s="353"/>
      <c r="H72" s="350"/>
      <c r="N72" s="359"/>
    </row>
  </sheetData>
  <sortState ref="F23:F67">
    <sortCondition ref="F67"/>
  </sortState>
  <mergeCells count="11">
    <mergeCell ref="C18:D18"/>
    <mergeCell ref="C10:D10"/>
    <mergeCell ref="C11:D11"/>
    <mergeCell ref="C12:D12"/>
    <mergeCell ref="C13:D13"/>
    <mergeCell ref="C14:D14"/>
    <mergeCell ref="C8:D8"/>
    <mergeCell ref="C9:D9"/>
    <mergeCell ref="C15:D15"/>
    <mergeCell ref="C16:D16"/>
    <mergeCell ref="C17:D17"/>
  </mergeCells>
  <phoneticPr fontId="2" type="noConversion"/>
  <pageMargins left="0.7" right="0.7" top="0.75" bottom="0.75" header="0.3" footer="0.3"/>
  <pageSetup paperSize="9" orientation="portrait" horizontalDpi="4294967293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1:DA217"/>
  <sheetViews>
    <sheetView zoomScale="60" zoomScaleNormal="60" workbookViewId="0">
      <pane xSplit="3" ySplit="1" topLeftCell="D5" activePane="bottomRight" state="frozen"/>
      <selection pane="topRight" activeCell="D1" sqref="D1"/>
      <selection pane="bottomLeft" activeCell="A3" sqref="A3"/>
      <selection pane="bottomRight" activeCell="E6" sqref="E6:O44"/>
    </sheetView>
  </sheetViews>
  <sheetFormatPr defaultColWidth="4.625" defaultRowHeight="17.25"/>
  <cols>
    <col min="1" max="3" width="4.625" style="398"/>
    <col min="4" max="4" width="9.875" style="398" bestFit="1" customWidth="1"/>
    <col min="5" max="5" width="8.625" style="398" bestFit="1" customWidth="1"/>
    <col min="6" max="6" width="5.625" style="398" bestFit="1" customWidth="1"/>
    <col min="7" max="7" width="7.875" style="398" customWidth="1"/>
    <col min="8" max="8" width="5.875" style="398" customWidth="1"/>
    <col min="9" max="9" width="6.75" style="398" customWidth="1"/>
    <col min="10" max="10" width="6.75" style="398" bestFit="1" customWidth="1"/>
    <col min="11" max="11" width="7" style="398" bestFit="1" customWidth="1"/>
    <col min="12" max="12" width="6.375" style="398" bestFit="1" customWidth="1"/>
    <col min="13" max="13" width="7" style="398" bestFit="1" customWidth="1"/>
    <col min="14" max="14" width="6.375" style="398" bestFit="1" customWidth="1"/>
    <col min="15" max="29" width="5.625" style="398" customWidth="1"/>
    <col min="30" max="30" width="5.625" style="458" customWidth="1"/>
    <col min="31" max="31" width="7.25" style="398" bestFit="1" customWidth="1"/>
    <col min="32" max="37" width="5.625" style="398" customWidth="1"/>
    <col min="38" max="38" width="9.25" style="398" bestFit="1" customWidth="1"/>
    <col min="39" max="56" width="5.625" style="398" customWidth="1"/>
    <col min="57" max="57" width="9.5" style="398" bestFit="1" customWidth="1"/>
    <col min="58" max="67" width="5.625" style="398" customWidth="1"/>
    <col min="68" max="68" width="9.75" style="398" bestFit="1" customWidth="1"/>
    <col min="69" max="69" width="9.5" style="398" bestFit="1" customWidth="1"/>
    <col min="70" max="71" width="5.625" style="398" customWidth="1"/>
    <col min="72" max="72" width="8.25" style="398" bestFit="1" customWidth="1"/>
    <col min="73" max="73" width="9.5" style="398" bestFit="1" customWidth="1"/>
    <col min="74" max="75" width="5.625" style="398" customWidth="1"/>
    <col min="76" max="77" width="8.25" style="398" bestFit="1" customWidth="1"/>
    <col min="78" max="79" width="5.625" style="398" customWidth="1"/>
    <col min="80" max="81" width="8.25" style="398" bestFit="1" customWidth="1"/>
    <col min="82" max="83" width="5.625" style="398" customWidth="1"/>
    <col min="84" max="85" width="8.25" style="398" bestFit="1" customWidth="1"/>
    <col min="86" max="87" width="5.625" style="398" customWidth="1"/>
    <col min="88" max="89" width="8.25" style="398" bestFit="1" customWidth="1"/>
    <col min="90" max="90" width="5.625" style="392" customWidth="1"/>
    <col min="91" max="140" width="5.625" style="398" customWidth="1"/>
    <col min="141" max="16384" width="4.625" style="398"/>
  </cols>
  <sheetData>
    <row r="1" spans="4:101">
      <c r="AY1" s="298">
        <v>0</v>
      </c>
      <c r="AZ1" s="298">
        <v>1</v>
      </c>
      <c r="BA1" s="298">
        <v>2</v>
      </c>
      <c r="BB1" s="298">
        <v>3</v>
      </c>
      <c r="BC1" s="298">
        <v>4</v>
      </c>
      <c r="BD1" s="298">
        <v>5</v>
      </c>
      <c r="BE1" s="298">
        <v>6</v>
      </c>
      <c r="BF1" s="298">
        <v>7</v>
      </c>
      <c r="BG1" s="298">
        <v>8</v>
      </c>
      <c r="BH1" s="298">
        <v>9</v>
      </c>
      <c r="BI1" s="298">
        <v>10</v>
      </c>
    </row>
    <row r="3" spans="4:101">
      <c r="D3" s="392"/>
      <c r="E3" s="398" t="s">
        <v>158</v>
      </c>
      <c r="F3" s="398" t="s">
        <v>126</v>
      </c>
      <c r="G3" s="398" t="s">
        <v>126</v>
      </c>
      <c r="H3" s="398" t="s">
        <v>158</v>
      </c>
      <c r="I3" s="398" t="s">
        <v>126</v>
      </c>
      <c r="J3" s="398" t="s">
        <v>126</v>
      </c>
      <c r="K3" s="398" t="s">
        <v>126</v>
      </c>
      <c r="L3" s="398" t="s">
        <v>159</v>
      </c>
      <c r="M3" s="398" t="s">
        <v>126</v>
      </c>
      <c r="AE3" s="391"/>
      <c r="AF3" s="391"/>
      <c r="AG3" s="391"/>
      <c r="AH3" s="391"/>
      <c r="AI3" s="391"/>
      <c r="AJ3" s="391"/>
      <c r="AK3" s="391"/>
      <c r="AL3" s="391"/>
      <c r="AM3" s="391"/>
      <c r="AN3" s="391"/>
      <c r="AO3" s="391">
        <v>680</v>
      </c>
      <c r="AP3" s="391">
        <v>9</v>
      </c>
      <c r="AQ3" s="391">
        <v>8</v>
      </c>
      <c r="AR3" s="391">
        <v>5</v>
      </c>
      <c r="AS3" s="391">
        <v>6</v>
      </c>
      <c r="AT3" s="391">
        <v>6</v>
      </c>
      <c r="AU3" s="391">
        <v>6</v>
      </c>
      <c r="AV3" s="391"/>
      <c r="AW3" s="391">
        <v>6</v>
      </c>
      <c r="AX3" s="391"/>
      <c r="AY3" s="463">
        <f t="shared" ref="AY3:AZ20" si="0">COUNTIF(AP3:AU3,0)</f>
        <v>0</v>
      </c>
      <c r="AZ3" s="463">
        <f t="shared" ref="AZ3:BA20" si="1">COUNTIF(AP3:AU3,1)</f>
        <v>0</v>
      </c>
      <c r="BA3" s="463">
        <f t="shared" ref="BA3:BB20" si="2">COUNTIF(AP3:AU3,2)</f>
        <v>0</v>
      </c>
      <c r="BB3" s="463">
        <f t="shared" ref="BB3:BC20" si="3">COUNTIF(AP3:AU3,3)</f>
        <v>0</v>
      </c>
      <c r="BC3" s="463">
        <f t="shared" ref="BC3:BD20" si="4">COUNTIF(AP3:AU3,4)</f>
        <v>0</v>
      </c>
      <c r="BD3" s="463">
        <f t="shared" ref="BD3:BE20" si="5">COUNTIF(AP3:AU3,5)</f>
        <v>1</v>
      </c>
      <c r="BE3" s="463">
        <f t="shared" ref="BE3:BF20" si="6">COUNTIF(AP3:AU3,6)</f>
        <v>3</v>
      </c>
      <c r="BF3" s="463">
        <f t="shared" ref="BF3:BG20" si="7">COUNTIF(AP3:AU3,7)</f>
        <v>0</v>
      </c>
      <c r="BG3" s="463">
        <f t="shared" ref="BG3:BH20" si="8">COUNTIF(AP3:AU3,8)</f>
        <v>1</v>
      </c>
      <c r="BH3" s="463">
        <f t="shared" ref="BH3:BI20" si="9">COUNTIF(AP3:AU3,9)</f>
        <v>1</v>
      </c>
      <c r="BI3" s="463">
        <f t="shared" ref="BI3:BJ20" si="10">COUNTIF(AP3:AU3,10)</f>
        <v>0</v>
      </c>
      <c r="BJ3" s="391"/>
      <c r="BK3" s="391"/>
      <c r="BL3" s="391"/>
      <c r="BM3" s="391"/>
      <c r="BN3" s="391"/>
      <c r="BO3" s="391"/>
      <c r="BP3" s="391"/>
      <c r="BQ3" s="391"/>
      <c r="BR3" s="391"/>
      <c r="BS3" s="391"/>
      <c r="BT3" s="391"/>
      <c r="BU3" s="391"/>
      <c r="BV3" s="391"/>
      <c r="BW3" s="391"/>
      <c r="BX3" s="391"/>
      <c r="CJ3" s="392"/>
      <c r="CL3" s="398"/>
    </row>
    <row r="4" spans="4:101">
      <c r="D4" s="392"/>
      <c r="E4" s="393">
        <v>1</v>
      </c>
      <c r="F4" s="395">
        <v>2</v>
      </c>
      <c r="G4" s="395">
        <v>3</v>
      </c>
      <c r="H4" s="395">
        <v>4</v>
      </c>
      <c r="I4" s="395">
        <v>5</v>
      </c>
      <c r="J4" s="395">
        <v>6</v>
      </c>
      <c r="K4" s="395">
        <v>7</v>
      </c>
      <c r="L4" s="289">
        <v>8</v>
      </c>
      <c r="M4" s="290">
        <v>9</v>
      </c>
      <c r="N4" s="290">
        <v>10</v>
      </c>
      <c r="O4" s="290"/>
      <c r="P4" s="290"/>
      <c r="Q4" s="290"/>
      <c r="R4" s="290"/>
      <c r="S4" s="290"/>
      <c r="T4" s="290"/>
      <c r="U4" s="290"/>
      <c r="V4" s="290"/>
      <c r="W4" s="290"/>
      <c r="X4" s="290"/>
      <c r="Y4" s="290"/>
      <c r="Z4" s="290"/>
      <c r="AE4" s="391"/>
      <c r="AF4" s="391"/>
      <c r="AG4" s="391"/>
      <c r="AH4" s="391"/>
      <c r="AI4" s="391"/>
      <c r="AJ4" s="391"/>
      <c r="AK4" s="391"/>
      <c r="AL4" s="391"/>
      <c r="AM4" s="391"/>
      <c r="AN4" s="391"/>
      <c r="AO4" s="391">
        <v>681</v>
      </c>
      <c r="AP4" s="391">
        <v>6</v>
      </c>
      <c r="AQ4" s="391">
        <v>9</v>
      </c>
      <c r="AR4" s="391">
        <v>6</v>
      </c>
      <c r="AS4" s="391">
        <v>8</v>
      </c>
      <c r="AT4" s="391">
        <v>8</v>
      </c>
      <c r="AU4" s="391">
        <v>6</v>
      </c>
      <c r="AV4" s="391"/>
      <c r="AW4" s="391">
        <v>6</v>
      </c>
      <c r="AX4" s="391"/>
      <c r="AY4" s="463">
        <f t="shared" si="0"/>
        <v>0</v>
      </c>
      <c r="AZ4" s="463">
        <f t="shared" si="1"/>
        <v>0</v>
      </c>
      <c r="BA4" s="463">
        <f t="shared" si="2"/>
        <v>0</v>
      </c>
      <c r="BB4" s="463">
        <f t="shared" si="3"/>
        <v>0</v>
      </c>
      <c r="BC4" s="463">
        <f t="shared" si="4"/>
        <v>0</v>
      </c>
      <c r="BD4" s="463">
        <f t="shared" si="5"/>
        <v>0</v>
      </c>
      <c r="BE4" s="463">
        <f t="shared" si="6"/>
        <v>3</v>
      </c>
      <c r="BF4" s="463">
        <f t="shared" si="7"/>
        <v>0</v>
      </c>
      <c r="BG4" s="463">
        <f t="shared" si="8"/>
        <v>2</v>
      </c>
      <c r="BH4" s="463">
        <f t="shared" si="9"/>
        <v>1</v>
      </c>
      <c r="BI4" s="463">
        <f t="shared" si="10"/>
        <v>0</v>
      </c>
      <c r="BJ4" s="391"/>
      <c r="BK4" s="391"/>
      <c r="BL4" s="391"/>
      <c r="BM4" s="391"/>
      <c r="BN4" s="391"/>
      <c r="BO4" s="391"/>
      <c r="BP4" s="391"/>
      <c r="BQ4" s="391"/>
      <c r="BR4" s="391"/>
      <c r="BS4" s="391"/>
      <c r="BT4" s="391"/>
      <c r="BU4" s="391"/>
      <c r="BV4" s="391"/>
      <c r="BW4" s="391"/>
      <c r="BX4" s="391"/>
      <c r="CJ4" s="392"/>
      <c r="CL4" s="398"/>
    </row>
    <row r="5" spans="4:101" ht="69">
      <c r="D5" s="392"/>
      <c r="E5" s="381" t="s">
        <v>485</v>
      </c>
      <c r="F5" s="426" t="s">
        <v>494</v>
      </c>
      <c r="G5" s="381" t="s">
        <v>486</v>
      </c>
      <c r="H5" s="426" t="s">
        <v>495</v>
      </c>
      <c r="I5" s="426" t="s">
        <v>496</v>
      </c>
      <c r="J5" s="426" t="s">
        <v>497</v>
      </c>
      <c r="K5" s="426" t="s">
        <v>498</v>
      </c>
      <c r="L5" s="426" t="s">
        <v>499</v>
      </c>
      <c r="M5" s="426" t="s">
        <v>500</v>
      </c>
      <c r="N5" s="426" t="s">
        <v>501</v>
      </c>
      <c r="O5" s="381"/>
      <c r="P5" s="381"/>
      <c r="Q5" s="381"/>
      <c r="R5" s="381"/>
      <c r="S5" s="381"/>
      <c r="T5" s="381"/>
      <c r="U5" s="381"/>
      <c r="V5" s="381"/>
      <c r="W5" s="381"/>
      <c r="X5" s="381"/>
      <c r="Y5" s="381"/>
      <c r="Z5" s="385"/>
      <c r="AA5" s="634" t="s">
        <v>125</v>
      </c>
      <c r="AB5" s="635"/>
      <c r="AC5" s="397"/>
      <c r="AD5" s="468"/>
      <c r="AE5" s="501"/>
      <c r="AF5" s="501"/>
      <c r="AG5" s="501"/>
      <c r="AH5" s="501"/>
      <c r="AI5" s="501"/>
      <c r="AJ5" s="499"/>
      <c r="AK5" s="501"/>
      <c r="AL5" s="499"/>
      <c r="AM5" s="501"/>
      <c r="AN5" s="501"/>
      <c r="AO5" s="391"/>
      <c r="AP5" s="410">
        <v>682</v>
      </c>
      <c r="AQ5" s="391">
        <v>10</v>
      </c>
      <c r="AR5" s="391">
        <v>4</v>
      </c>
      <c r="AS5" s="391">
        <v>4</v>
      </c>
      <c r="AT5" s="391">
        <v>4</v>
      </c>
      <c r="AU5" s="391">
        <v>4</v>
      </c>
      <c r="AV5" s="391">
        <v>10</v>
      </c>
      <c r="AW5" s="391"/>
      <c r="AX5" s="391">
        <v>2</v>
      </c>
      <c r="AY5" s="391"/>
      <c r="AZ5" s="463">
        <f t="shared" si="0"/>
        <v>0</v>
      </c>
      <c r="BA5" s="463">
        <f t="shared" si="1"/>
        <v>0</v>
      </c>
      <c r="BB5" s="463">
        <f t="shared" si="2"/>
        <v>0</v>
      </c>
      <c r="BC5" s="463">
        <f t="shared" si="3"/>
        <v>0</v>
      </c>
      <c r="BD5" s="463">
        <f t="shared" si="4"/>
        <v>4</v>
      </c>
      <c r="BE5" s="463">
        <f t="shared" si="5"/>
        <v>0</v>
      </c>
      <c r="BF5" s="463">
        <f t="shared" si="6"/>
        <v>0</v>
      </c>
      <c r="BG5" s="463">
        <f t="shared" si="7"/>
        <v>0</v>
      </c>
      <c r="BH5" s="463">
        <f t="shared" si="8"/>
        <v>0</v>
      </c>
      <c r="BI5" s="463">
        <f t="shared" si="9"/>
        <v>0</v>
      </c>
      <c r="BJ5" s="463">
        <f t="shared" si="10"/>
        <v>2</v>
      </c>
      <c r="BK5" s="391"/>
      <c r="BL5" s="391"/>
      <c r="BM5" s="391"/>
      <c r="BN5" s="391"/>
      <c r="BO5" s="391"/>
      <c r="BP5" s="391"/>
      <c r="BQ5" s="391"/>
      <c r="BR5" s="391"/>
      <c r="BS5" s="391"/>
      <c r="BT5" s="391"/>
      <c r="BU5" s="391"/>
      <c r="BV5" s="391"/>
      <c r="BW5" s="391"/>
      <c r="BX5" s="391"/>
      <c r="BY5" s="391"/>
      <c r="CK5" s="392"/>
      <c r="CL5" s="398"/>
    </row>
    <row r="6" spans="4:101" ht="20.25">
      <c r="D6" s="392"/>
      <c r="E6" s="580"/>
      <c r="F6" s="580"/>
      <c r="G6" s="594"/>
      <c r="H6" s="594"/>
      <c r="I6" s="597"/>
      <c r="J6" s="580"/>
      <c r="K6" s="513"/>
      <c r="L6" s="539"/>
      <c r="M6" s="601"/>
      <c r="N6" s="607"/>
      <c r="O6" s="407"/>
      <c r="P6" s="456"/>
      <c r="Q6" s="456"/>
      <c r="R6" s="456"/>
      <c r="S6" s="456"/>
      <c r="T6" s="456"/>
      <c r="U6" s="456"/>
      <c r="V6" s="456"/>
      <c r="W6" s="456"/>
      <c r="X6" s="456"/>
      <c r="Y6" s="456"/>
      <c r="Z6" s="456"/>
      <c r="AA6" s="384">
        <v>1</v>
      </c>
      <c r="AB6" s="395">
        <f>COUNTIF(E6:J50,AA6)</f>
        <v>0</v>
      </c>
      <c r="AC6" s="395">
        <f>COUNTIF(E6:Y50,AA6)</f>
        <v>0</v>
      </c>
      <c r="AD6" s="468">
        <v>1</v>
      </c>
      <c r="AE6" s="501"/>
      <c r="AF6" s="501"/>
      <c r="AG6" s="501"/>
      <c r="AH6" s="501"/>
      <c r="AI6" s="501"/>
      <c r="AJ6" s="501"/>
      <c r="AK6" s="501"/>
      <c r="AL6" s="501"/>
      <c r="AM6" s="501"/>
      <c r="AN6" s="501"/>
      <c r="AO6" s="391"/>
      <c r="AP6" s="410">
        <v>683</v>
      </c>
      <c r="AQ6" s="391">
        <v>8</v>
      </c>
      <c r="AR6" s="391">
        <v>9</v>
      </c>
      <c r="AS6" s="391">
        <v>7</v>
      </c>
      <c r="AT6" s="391">
        <v>5</v>
      </c>
      <c r="AU6" s="391">
        <v>6</v>
      </c>
      <c r="AV6" s="391">
        <v>8</v>
      </c>
      <c r="AW6" s="391"/>
      <c r="AX6" s="391">
        <v>6</v>
      </c>
      <c r="AY6" s="391"/>
      <c r="AZ6" s="463">
        <f t="shared" si="0"/>
        <v>0</v>
      </c>
      <c r="BA6" s="463">
        <f t="shared" si="1"/>
        <v>0</v>
      </c>
      <c r="BB6" s="463">
        <f t="shared" si="2"/>
        <v>0</v>
      </c>
      <c r="BC6" s="463">
        <f t="shared" si="3"/>
        <v>0</v>
      </c>
      <c r="BD6" s="463">
        <f t="shared" si="4"/>
        <v>0</v>
      </c>
      <c r="BE6" s="463">
        <f t="shared" si="5"/>
        <v>1</v>
      </c>
      <c r="BF6" s="463">
        <f t="shared" si="6"/>
        <v>1</v>
      </c>
      <c r="BG6" s="463">
        <f t="shared" si="7"/>
        <v>1</v>
      </c>
      <c r="BH6" s="463">
        <f t="shared" si="8"/>
        <v>2</v>
      </c>
      <c r="BI6" s="463">
        <f t="shared" si="9"/>
        <v>1</v>
      </c>
      <c r="BJ6" s="463">
        <f t="shared" si="10"/>
        <v>0</v>
      </c>
      <c r="BK6" s="391"/>
      <c r="BL6" s="391"/>
      <c r="BM6" s="391"/>
      <c r="BN6" s="391"/>
      <c r="BO6" s="638">
        <v>0</v>
      </c>
      <c r="BP6" s="638"/>
      <c r="BQ6" s="638"/>
      <c r="BR6" s="391"/>
      <c r="BS6" s="638">
        <v>1</v>
      </c>
      <c r="BT6" s="638"/>
      <c r="BU6" s="638"/>
      <c r="BV6" s="391"/>
      <c r="BW6" s="638">
        <v>2</v>
      </c>
      <c r="BX6" s="638"/>
      <c r="BY6" s="638"/>
      <c r="CA6" s="638">
        <v>3</v>
      </c>
      <c r="CB6" s="638"/>
      <c r="CC6" s="638"/>
      <c r="CE6" s="638">
        <v>4</v>
      </c>
      <c r="CF6" s="638"/>
      <c r="CG6" s="638"/>
      <c r="CI6" s="638">
        <v>5</v>
      </c>
      <c r="CJ6" s="638"/>
      <c r="CK6" s="638"/>
      <c r="CL6" s="398"/>
    </row>
    <row r="7" spans="4:101" ht="20.25">
      <c r="D7" s="392"/>
      <c r="E7" s="580"/>
      <c r="F7" s="580"/>
      <c r="G7" s="596"/>
      <c r="H7" s="596"/>
      <c r="I7" s="594"/>
      <c r="J7" s="580"/>
      <c r="K7" s="513"/>
      <c r="L7" s="539"/>
      <c r="M7" s="601"/>
      <c r="N7" s="607"/>
      <c r="O7" s="456"/>
      <c r="P7" s="456"/>
      <c r="Q7" s="456"/>
      <c r="R7" s="456"/>
      <c r="S7" s="456"/>
      <c r="T7" s="456"/>
      <c r="U7" s="456"/>
      <c r="V7" s="456"/>
      <c r="W7" s="456"/>
      <c r="X7" s="456"/>
      <c r="Y7" s="456"/>
      <c r="Z7" s="456"/>
      <c r="AA7" s="384">
        <v>2</v>
      </c>
      <c r="AB7" s="395">
        <f>COUNTIF(E6:J50,AA7)</f>
        <v>0</v>
      </c>
      <c r="AC7" s="395">
        <f>COUNTIF(E6:Y50,AA7)</f>
        <v>0</v>
      </c>
      <c r="AD7" s="468">
        <v>2</v>
      </c>
      <c r="AE7" s="501"/>
      <c r="AF7" s="501"/>
      <c r="AG7" s="501"/>
      <c r="AH7" s="501"/>
      <c r="AI7" s="501"/>
      <c r="AJ7" s="501"/>
      <c r="AK7" s="501"/>
      <c r="AL7" s="501"/>
      <c r="AM7" s="500"/>
      <c r="AN7" s="500"/>
      <c r="AP7" s="410">
        <v>684</v>
      </c>
      <c r="AQ7" s="398">
        <v>6</v>
      </c>
      <c r="AR7" s="398">
        <v>7</v>
      </c>
      <c r="AS7" s="398">
        <v>8</v>
      </c>
      <c r="AT7" s="398">
        <v>10</v>
      </c>
      <c r="AU7" s="398">
        <v>6</v>
      </c>
      <c r="AV7" s="398">
        <v>8</v>
      </c>
      <c r="AX7" s="398">
        <v>6</v>
      </c>
      <c r="AZ7" s="463">
        <f t="shared" si="0"/>
        <v>0</v>
      </c>
      <c r="BA7" s="463">
        <f t="shared" si="1"/>
        <v>0</v>
      </c>
      <c r="BB7" s="463">
        <f t="shared" si="2"/>
        <v>0</v>
      </c>
      <c r="BC7" s="463">
        <f t="shared" si="3"/>
        <v>0</v>
      </c>
      <c r="BD7" s="463">
        <f t="shared" si="4"/>
        <v>0</v>
      </c>
      <c r="BE7" s="463">
        <f t="shared" si="5"/>
        <v>0</v>
      </c>
      <c r="BF7" s="463">
        <f t="shared" si="6"/>
        <v>2</v>
      </c>
      <c r="BG7" s="463">
        <f t="shared" si="7"/>
        <v>1</v>
      </c>
      <c r="BH7" s="463">
        <f t="shared" si="8"/>
        <v>2</v>
      </c>
      <c r="BI7" s="463">
        <f t="shared" si="9"/>
        <v>0</v>
      </c>
      <c r="BJ7" s="463">
        <f t="shared" si="10"/>
        <v>1</v>
      </c>
      <c r="BO7" s="301">
        <v>0</v>
      </c>
      <c r="BP7" s="465">
        <f>COUNTIF(AY3:AY61,BO7)</f>
        <v>2</v>
      </c>
      <c r="BQ7" s="442">
        <f>BP7/BP14</f>
        <v>1</v>
      </c>
      <c r="BS7" s="301">
        <v>0</v>
      </c>
      <c r="BT7" s="465">
        <f>COUNTIF(AZ3:AZ61,BS7)</f>
        <v>43</v>
      </c>
      <c r="BU7" s="442">
        <f>BT7/BT14</f>
        <v>1</v>
      </c>
      <c r="BW7" s="301">
        <v>0</v>
      </c>
      <c r="BX7" s="465">
        <f>COUNTIF(BA3:BA61,BW7)</f>
        <v>38</v>
      </c>
      <c r="BY7" s="442">
        <f>BX7/BX14</f>
        <v>0.88372093023255816</v>
      </c>
      <c r="CA7" s="301">
        <v>0</v>
      </c>
      <c r="CB7" s="465">
        <f>COUNTIF(BB3:BB61,CA7)</f>
        <v>39</v>
      </c>
      <c r="CC7" s="442">
        <f>CB7/CB14</f>
        <v>0.90697674418604646</v>
      </c>
      <c r="CE7" s="301">
        <v>0</v>
      </c>
      <c r="CF7" s="465">
        <f>COUNTIF(BC3:BC61,CE7)</f>
        <v>33</v>
      </c>
      <c r="CG7" s="442">
        <f>CF7/CF14</f>
        <v>0.76744186046511631</v>
      </c>
      <c r="CI7" s="301">
        <v>0</v>
      </c>
      <c r="CJ7" s="465">
        <f>COUNTIF(BD3:BD61,CI7)</f>
        <v>16</v>
      </c>
      <c r="CK7" s="442">
        <f>CJ7/CJ14</f>
        <v>0.37209302325581395</v>
      </c>
      <c r="CL7" s="398"/>
    </row>
    <row r="8" spans="4:101" ht="20.25">
      <c r="D8" s="392"/>
      <c r="E8" s="580"/>
      <c r="F8" s="580"/>
      <c r="G8" s="596"/>
      <c r="H8" s="596"/>
      <c r="I8" s="596"/>
      <c r="J8" s="580"/>
      <c r="K8" s="513"/>
      <c r="L8" s="539"/>
      <c r="M8" s="602"/>
      <c r="N8" s="607"/>
      <c r="O8" s="456"/>
      <c r="P8" s="456"/>
      <c r="Q8" s="456"/>
      <c r="R8" s="456"/>
      <c r="S8" s="456"/>
      <c r="T8" s="456"/>
      <c r="U8" s="456"/>
      <c r="V8" s="456"/>
      <c r="W8" s="456"/>
      <c r="X8" s="456"/>
      <c r="Y8" s="456"/>
      <c r="Z8" s="456"/>
      <c r="AA8" s="384">
        <v>3</v>
      </c>
      <c r="AB8" s="395">
        <f>COUNTIF(E6:J50,AA8)</f>
        <v>0</v>
      </c>
      <c r="AC8" s="395">
        <f>COUNTIF(E6:Y50,AA8)</f>
        <v>0</v>
      </c>
      <c r="AD8" s="535">
        <v>3</v>
      </c>
      <c r="AE8" s="501"/>
      <c r="AF8" s="501"/>
      <c r="AG8" s="501"/>
      <c r="AH8" s="501"/>
      <c r="AI8" s="501"/>
      <c r="AJ8" s="501"/>
      <c r="AK8" s="501"/>
      <c r="AL8" s="501"/>
      <c r="AM8" s="500"/>
      <c r="AN8" s="501"/>
      <c r="AP8" s="410">
        <v>685</v>
      </c>
      <c r="AQ8" s="398">
        <v>8</v>
      </c>
      <c r="AR8" s="398">
        <v>9</v>
      </c>
      <c r="AS8" s="398">
        <v>10</v>
      </c>
      <c r="AT8" s="398">
        <v>8</v>
      </c>
      <c r="AU8" s="398">
        <v>5</v>
      </c>
      <c r="AV8" s="398">
        <v>10</v>
      </c>
      <c r="AX8" s="398">
        <v>6</v>
      </c>
      <c r="AZ8" s="463">
        <f t="shared" si="0"/>
        <v>0</v>
      </c>
      <c r="BA8" s="463">
        <f t="shared" si="1"/>
        <v>0</v>
      </c>
      <c r="BB8" s="463">
        <f t="shared" si="2"/>
        <v>0</v>
      </c>
      <c r="BC8" s="463">
        <f t="shared" si="3"/>
        <v>0</v>
      </c>
      <c r="BD8" s="463">
        <f t="shared" si="4"/>
        <v>0</v>
      </c>
      <c r="BE8" s="463">
        <f t="shared" si="5"/>
        <v>1</v>
      </c>
      <c r="BF8" s="463">
        <f t="shared" si="6"/>
        <v>0</v>
      </c>
      <c r="BG8" s="463">
        <f t="shared" si="7"/>
        <v>0</v>
      </c>
      <c r="BH8" s="463">
        <f t="shared" si="8"/>
        <v>2</v>
      </c>
      <c r="BI8" s="463">
        <f t="shared" si="9"/>
        <v>1</v>
      </c>
      <c r="BJ8" s="463">
        <f t="shared" si="10"/>
        <v>2</v>
      </c>
      <c r="BO8" s="301">
        <v>1</v>
      </c>
      <c r="BP8" s="465">
        <f>COUNTIF(AY3:AY61,BO8)</f>
        <v>0</v>
      </c>
      <c r="BQ8" s="442">
        <f>BP8/BP14</f>
        <v>0</v>
      </c>
      <c r="BS8" s="301">
        <v>1</v>
      </c>
      <c r="BT8" s="465">
        <f>COUNTIF(AZ3:AZ61,BS8)</f>
        <v>0</v>
      </c>
      <c r="BU8" s="442">
        <f>BT8/BT14</f>
        <v>0</v>
      </c>
      <c r="BW8" s="301">
        <v>1</v>
      </c>
      <c r="BX8" s="465">
        <f>COUNTIF(BA3:BA61,BW8)</f>
        <v>5</v>
      </c>
      <c r="BY8" s="442">
        <f>BX8/BX14</f>
        <v>0.11627906976744186</v>
      </c>
      <c r="CA8" s="301">
        <v>1</v>
      </c>
      <c r="CB8" s="465">
        <f>COUNTIF(BB3:BB61,CA8)</f>
        <v>4</v>
      </c>
      <c r="CC8" s="442">
        <f>CB8/CB14</f>
        <v>9.3023255813953487E-2</v>
      </c>
      <c r="CE8" s="301">
        <v>1</v>
      </c>
      <c r="CF8" s="465">
        <f>COUNTIF(BC3:BC61,CE8)</f>
        <v>7</v>
      </c>
      <c r="CG8" s="442">
        <f>CF8/CF14</f>
        <v>0.16279069767441862</v>
      </c>
      <c r="CI8" s="301">
        <v>1</v>
      </c>
      <c r="CJ8" s="465">
        <f>COUNTIF(BD3:BD61,CI8)</f>
        <v>20</v>
      </c>
      <c r="CK8" s="442">
        <f>CJ8/CJ14</f>
        <v>0.46511627906976744</v>
      </c>
      <c r="CL8" s="398"/>
    </row>
    <row r="9" spans="4:101" ht="20.25">
      <c r="D9" s="392"/>
      <c r="E9" s="580"/>
      <c r="F9" s="580"/>
      <c r="G9" s="597"/>
      <c r="H9" s="597"/>
      <c r="I9" s="596"/>
      <c r="J9" s="580"/>
      <c r="K9" s="513"/>
      <c r="L9" s="539"/>
      <c r="M9" s="599"/>
      <c r="N9" s="607"/>
      <c r="O9" s="456"/>
      <c r="P9" s="456"/>
      <c r="Q9" s="456"/>
      <c r="R9" s="456"/>
      <c r="S9" s="456"/>
      <c r="T9" s="456"/>
      <c r="U9" s="456"/>
      <c r="V9" s="456"/>
      <c r="W9" s="456"/>
      <c r="X9" s="456"/>
      <c r="Y9" s="456"/>
      <c r="Z9" s="456"/>
      <c r="AA9" s="384">
        <v>4</v>
      </c>
      <c r="AB9" s="395">
        <f>COUNTIF(E6:J50,AA9)</f>
        <v>0</v>
      </c>
      <c r="AC9" s="395">
        <f>COUNTIF(E6:Y50,AA9)</f>
        <v>0</v>
      </c>
      <c r="AD9" s="549">
        <v>4</v>
      </c>
      <c r="AE9" s="501"/>
      <c r="AF9" s="501"/>
      <c r="AG9" s="501"/>
      <c r="AH9" s="501"/>
      <c r="AI9" s="501"/>
      <c r="AJ9" s="501"/>
      <c r="AK9" s="501"/>
      <c r="AL9" s="501"/>
      <c r="AM9" s="501"/>
      <c r="AN9" s="501"/>
      <c r="AP9" s="410">
        <v>686</v>
      </c>
      <c r="AQ9" s="398">
        <v>6</v>
      </c>
      <c r="AR9" s="398">
        <v>10</v>
      </c>
      <c r="AS9" s="398">
        <v>9</v>
      </c>
      <c r="AT9" s="398">
        <v>10</v>
      </c>
      <c r="AU9" s="398">
        <v>6</v>
      </c>
      <c r="AV9" s="398">
        <v>10</v>
      </c>
      <c r="AX9" s="398">
        <v>6</v>
      </c>
      <c r="AZ9" s="463">
        <f t="shared" si="0"/>
        <v>0</v>
      </c>
      <c r="BA9" s="463">
        <f t="shared" si="1"/>
        <v>0</v>
      </c>
      <c r="BB9" s="463">
        <f t="shared" si="2"/>
        <v>0</v>
      </c>
      <c r="BC9" s="463">
        <f t="shared" si="3"/>
        <v>0</v>
      </c>
      <c r="BD9" s="463">
        <f t="shared" si="4"/>
        <v>0</v>
      </c>
      <c r="BE9" s="463">
        <f t="shared" si="5"/>
        <v>0</v>
      </c>
      <c r="BF9" s="463">
        <f t="shared" si="6"/>
        <v>2</v>
      </c>
      <c r="BG9" s="463">
        <f t="shared" si="7"/>
        <v>0</v>
      </c>
      <c r="BH9" s="463">
        <f t="shared" si="8"/>
        <v>0</v>
      </c>
      <c r="BI9" s="463">
        <f t="shared" si="9"/>
        <v>1</v>
      </c>
      <c r="BJ9" s="463">
        <f t="shared" si="10"/>
        <v>3</v>
      </c>
      <c r="BO9" s="301">
        <v>2</v>
      </c>
      <c r="BP9" s="465">
        <f>COUNTIF(AY3:AY61,BO9)</f>
        <v>0</v>
      </c>
      <c r="BQ9" s="442">
        <f>BP9/BP14</f>
        <v>0</v>
      </c>
      <c r="BS9" s="301">
        <v>2</v>
      </c>
      <c r="BT9" s="465">
        <f>COUNTIF(AZ3:AZ61,BS9)</f>
        <v>0</v>
      </c>
      <c r="BU9" s="442">
        <f>BT9/BT14</f>
        <v>0</v>
      </c>
      <c r="BW9" s="301">
        <v>2</v>
      </c>
      <c r="BX9" s="465">
        <f>COUNTIF(BA3:BA61,BW9)</f>
        <v>0</v>
      </c>
      <c r="BY9" s="442">
        <f>BX9/BX14</f>
        <v>0</v>
      </c>
      <c r="CA9" s="301">
        <v>2</v>
      </c>
      <c r="CB9" s="465">
        <f>COUNTIF(BB3:BB61,CA9)</f>
        <v>0</v>
      </c>
      <c r="CC9" s="442">
        <f>CB9/CB14</f>
        <v>0</v>
      </c>
      <c r="CE9" s="301">
        <v>2</v>
      </c>
      <c r="CF9" s="465">
        <f>COUNTIF(BC3:BC61,CE9)</f>
        <v>3</v>
      </c>
      <c r="CG9" s="442">
        <f>CF9/CF14</f>
        <v>6.9767441860465115E-2</v>
      </c>
      <c r="CI9" s="301">
        <v>2</v>
      </c>
      <c r="CJ9" s="465">
        <f>COUNTIF(BD3:BD61,CI9)</f>
        <v>6</v>
      </c>
      <c r="CK9" s="442">
        <f>CJ9/CJ14</f>
        <v>0.13953488372093023</v>
      </c>
      <c r="CL9" s="398"/>
    </row>
    <row r="10" spans="4:101" ht="20.25">
      <c r="D10" s="392"/>
      <c r="E10" s="580"/>
      <c r="F10" s="580"/>
      <c r="G10" s="594"/>
      <c r="H10" s="595"/>
      <c r="I10" s="597"/>
      <c r="J10" s="580"/>
      <c r="K10" s="513"/>
      <c r="L10" s="539"/>
      <c r="M10" s="600"/>
      <c r="N10" s="607"/>
      <c r="O10" s="456"/>
      <c r="P10" s="456"/>
      <c r="Q10" s="456"/>
      <c r="R10" s="456"/>
      <c r="S10" s="456"/>
      <c r="T10" s="456"/>
      <c r="U10" s="456"/>
      <c r="V10" s="456"/>
      <c r="W10" s="456"/>
      <c r="X10" s="456"/>
      <c r="Y10" s="456"/>
      <c r="Z10" s="456"/>
      <c r="AA10" s="384">
        <v>5</v>
      </c>
      <c r="AB10" s="395">
        <f>COUNTIF(E6:J50,AA10)</f>
        <v>0</v>
      </c>
      <c r="AC10" s="395">
        <f>COUNTIF(E6:Y50,AA10)</f>
        <v>0</v>
      </c>
      <c r="AD10" s="618">
        <v>5</v>
      </c>
      <c r="AE10" s="501"/>
      <c r="AF10" s="501"/>
      <c r="AG10" s="501"/>
      <c r="AH10" s="501"/>
      <c r="AI10" s="501"/>
      <c r="AJ10" s="501"/>
      <c r="AK10" s="501"/>
      <c r="AL10" s="501"/>
      <c r="AM10" s="500"/>
      <c r="AN10" s="500"/>
      <c r="AP10" s="410">
        <v>687</v>
      </c>
      <c r="AQ10" s="398">
        <v>7</v>
      </c>
      <c r="AR10" s="398">
        <v>10</v>
      </c>
      <c r="AS10" s="398">
        <v>8</v>
      </c>
      <c r="AT10" s="398">
        <v>10</v>
      </c>
      <c r="AU10" s="398">
        <v>8</v>
      </c>
      <c r="AV10" s="398">
        <v>4</v>
      </c>
      <c r="AX10" s="398">
        <v>5</v>
      </c>
      <c r="AZ10" s="463">
        <f t="shared" si="0"/>
        <v>0</v>
      </c>
      <c r="BA10" s="463">
        <f t="shared" si="1"/>
        <v>0</v>
      </c>
      <c r="BB10" s="463">
        <f t="shared" si="2"/>
        <v>0</v>
      </c>
      <c r="BC10" s="463">
        <f t="shared" si="3"/>
        <v>0</v>
      </c>
      <c r="BD10" s="463">
        <f t="shared" si="4"/>
        <v>1</v>
      </c>
      <c r="BE10" s="463">
        <f t="shared" si="5"/>
        <v>0</v>
      </c>
      <c r="BF10" s="463">
        <f t="shared" si="6"/>
        <v>0</v>
      </c>
      <c r="BG10" s="463">
        <f t="shared" si="7"/>
        <v>1</v>
      </c>
      <c r="BH10" s="463">
        <f t="shared" si="8"/>
        <v>2</v>
      </c>
      <c r="BI10" s="463">
        <f t="shared" si="9"/>
        <v>0</v>
      </c>
      <c r="BJ10" s="463">
        <f t="shared" si="10"/>
        <v>2</v>
      </c>
      <c r="BO10" s="301">
        <v>3</v>
      </c>
      <c r="BP10" s="465">
        <f>COUNTIF(AY3:AY61,BO10)</f>
        <v>0</v>
      </c>
      <c r="BQ10" s="442">
        <f>BP10/BP14</f>
        <v>0</v>
      </c>
      <c r="BS10" s="301">
        <v>3</v>
      </c>
      <c r="BT10" s="465">
        <f>COUNTIF(AZ3:AZ61,BS10)</f>
        <v>0</v>
      </c>
      <c r="BU10" s="442">
        <f>BT10/BT14</f>
        <v>0</v>
      </c>
      <c r="BW10" s="301">
        <v>3</v>
      </c>
      <c r="BX10" s="465">
        <f>COUNTIF(BA3:BA61,BW10)</f>
        <v>0</v>
      </c>
      <c r="BY10" s="442">
        <f>BX10/BX14</f>
        <v>0</v>
      </c>
      <c r="CA10" s="301">
        <v>3</v>
      </c>
      <c r="CB10" s="465">
        <f>COUNTIF(BB3:BB61,CA10)</f>
        <v>0</v>
      </c>
      <c r="CC10" s="442">
        <f>CB10/CB14</f>
        <v>0</v>
      </c>
      <c r="CE10" s="301">
        <v>3</v>
      </c>
      <c r="CF10" s="465">
        <f>COUNTIF(BC3:BC61,CE10)</f>
        <v>0</v>
      </c>
      <c r="CG10" s="442">
        <f>CF10/CF14</f>
        <v>0</v>
      </c>
      <c r="CI10" s="301">
        <v>3</v>
      </c>
      <c r="CJ10" s="465">
        <f>COUNTIF(BD3:BD61,CI10)</f>
        <v>0</v>
      </c>
      <c r="CK10" s="442">
        <f>CJ10/CJ14</f>
        <v>0</v>
      </c>
      <c r="CL10" s="398"/>
    </row>
    <row r="11" spans="4:101" ht="20.25">
      <c r="D11" s="392"/>
      <c r="E11" s="580"/>
      <c r="F11" s="580"/>
      <c r="G11" s="597"/>
      <c r="H11" s="597"/>
      <c r="I11" s="595"/>
      <c r="J11" s="580"/>
      <c r="K11" s="513"/>
      <c r="L11" s="539"/>
      <c r="M11" s="600"/>
      <c r="N11" s="607"/>
      <c r="O11" s="456"/>
      <c r="P11" s="456"/>
      <c r="Q11" s="456"/>
      <c r="R11" s="456"/>
      <c r="S11" s="456"/>
      <c r="T11" s="456"/>
      <c r="U11" s="456"/>
      <c r="V11" s="456"/>
      <c r="W11" s="456"/>
      <c r="X11" s="456"/>
      <c r="Y11" s="456"/>
      <c r="Z11" s="412"/>
      <c r="AA11" s="384">
        <v>6</v>
      </c>
      <c r="AB11" s="395">
        <f>COUNTIF(E6:J50,AA11)</f>
        <v>0</v>
      </c>
      <c r="AC11" s="395">
        <f>COUNTIF(E6:Y50,AA11)</f>
        <v>0</v>
      </c>
      <c r="AD11" s="618"/>
      <c r="AE11" s="501"/>
      <c r="AF11" s="501"/>
      <c r="AG11" s="501"/>
      <c r="AH11" s="501"/>
      <c r="AI11" s="501"/>
      <c r="AJ11" s="501"/>
      <c r="AK11" s="501"/>
      <c r="AL11" s="501"/>
      <c r="AM11" s="500"/>
      <c r="AN11" s="501"/>
      <c r="AP11" s="410">
        <v>688</v>
      </c>
      <c r="AQ11" s="398">
        <v>6</v>
      </c>
      <c r="AR11" s="398">
        <v>8</v>
      </c>
      <c r="AS11" s="398">
        <v>3</v>
      </c>
      <c r="AT11" s="398">
        <v>3</v>
      </c>
      <c r="AU11" s="398">
        <v>6</v>
      </c>
      <c r="AV11" s="398">
        <v>4</v>
      </c>
      <c r="AX11" s="398">
        <v>3</v>
      </c>
      <c r="AZ11" s="463">
        <f t="shared" si="0"/>
        <v>0</v>
      </c>
      <c r="BA11" s="463">
        <f t="shared" si="1"/>
        <v>0</v>
      </c>
      <c r="BB11" s="463">
        <f t="shared" si="2"/>
        <v>0</v>
      </c>
      <c r="BC11" s="463">
        <f t="shared" si="3"/>
        <v>2</v>
      </c>
      <c r="BD11" s="463">
        <f t="shared" si="4"/>
        <v>1</v>
      </c>
      <c r="BE11" s="463">
        <f t="shared" si="5"/>
        <v>0</v>
      </c>
      <c r="BF11" s="463">
        <f t="shared" si="6"/>
        <v>2</v>
      </c>
      <c r="BG11" s="463">
        <f t="shared" si="7"/>
        <v>0</v>
      </c>
      <c r="BH11" s="463">
        <f t="shared" si="8"/>
        <v>1</v>
      </c>
      <c r="BI11" s="463">
        <f t="shared" si="9"/>
        <v>0</v>
      </c>
      <c r="BJ11" s="463">
        <f t="shared" si="10"/>
        <v>0</v>
      </c>
      <c r="BO11" s="301">
        <v>4</v>
      </c>
      <c r="BP11" s="465">
        <f>COUNTIF(AY3:AY61,BO11)</f>
        <v>0</v>
      </c>
      <c r="BQ11" s="442">
        <f>BP11/BP14</f>
        <v>0</v>
      </c>
      <c r="BS11" s="301">
        <v>4</v>
      </c>
      <c r="BT11" s="465">
        <f>COUNTIF(AZ3:AZ61,BS11)</f>
        <v>0</v>
      </c>
      <c r="BU11" s="442">
        <f>BT11/BT14</f>
        <v>0</v>
      </c>
      <c r="BW11" s="301">
        <v>4</v>
      </c>
      <c r="BX11" s="465">
        <f>COUNTIF(BA3:BA61,BW11)</f>
        <v>0</v>
      </c>
      <c r="BY11" s="442">
        <f>BX11/BX14</f>
        <v>0</v>
      </c>
      <c r="CA11" s="301">
        <v>4</v>
      </c>
      <c r="CB11" s="465">
        <f>COUNTIF(BB3:BB61,CA11)</f>
        <v>0</v>
      </c>
      <c r="CC11" s="442">
        <f>CB11/CB14</f>
        <v>0</v>
      </c>
      <c r="CE11" s="301">
        <v>4</v>
      </c>
      <c r="CF11" s="465">
        <f>COUNTIF(BC3:BC61,CE11)</f>
        <v>0</v>
      </c>
      <c r="CG11" s="442">
        <f>CF11/CF14</f>
        <v>0</v>
      </c>
      <c r="CI11" s="301">
        <v>4</v>
      </c>
      <c r="CJ11" s="465">
        <f>COUNTIF(BD3:BD61,CI11)</f>
        <v>1</v>
      </c>
      <c r="CK11" s="442">
        <f>CJ11/CJ14</f>
        <v>2.3255813953488372E-2</v>
      </c>
      <c r="CL11" s="398"/>
    </row>
    <row r="12" spans="4:101" ht="20.25">
      <c r="D12" s="392"/>
      <c r="E12" s="580"/>
      <c r="F12" s="580"/>
      <c r="G12" s="595"/>
      <c r="H12" s="596"/>
      <c r="I12" s="596"/>
      <c r="J12" s="580"/>
      <c r="K12" s="513"/>
      <c r="L12" s="539"/>
      <c r="M12" s="599"/>
      <c r="N12" s="607"/>
      <c r="O12" s="456"/>
      <c r="P12" s="456"/>
      <c r="Q12" s="456"/>
      <c r="R12" s="456"/>
      <c r="S12" s="456"/>
      <c r="T12" s="456"/>
      <c r="U12" s="456"/>
      <c r="V12" s="456"/>
      <c r="W12" s="456"/>
      <c r="X12" s="456"/>
      <c r="Y12" s="456"/>
      <c r="Z12" s="456"/>
      <c r="AA12" s="384">
        <v>7</v>
      </c>
      <c r="AB12" s="395">
        <f>COUNTIF(E6:J50,AA12)</f>
        <v>0</v>
      </c>
      <c r="AC12" s="395">
        <f>COUNTIF(E6:Y50,AA12)</f>
        <v>0</v>
      </c>
      <c r="AD12" s="618">
        <v>7</v>
      </c>
      <c r="AE12" s="501"/>
      <c r="AF12" s="501"/>
      <c r="AG12" s="501"/>
      <c r="AH12" s="501"/>
      <c r="AI12" s="501"/>
      <c r="AJ12" s="501"/>
      <c r="AK12" s="501"/>
      <c r="AL12" s="501"/>
      <c r="AM12" s="501"/>
      <c r="AN12" s="500"/>
      <c r="AP12" s="420">
        <v>689</v>
      </c>
      <c r="AQ12" s="398">
        <v>5</v>
      </c>
      <c r="AR12" s="398">
        <v>7</v>
      </c>
      <c r="AS12" s="398">
        <v>6</v>
      </c>
      <c r="AT12" s="398">
        <v>1</v>
      </c>
      <c r="AU12" s="398">
        <v>2</v>
      </c>
      <c r="AV12" s="398">
        <v>8</v>
      </c>
      <c r="AX12" s="398">
        <v>4</v>
      </c>
      <c r="AZ12" s="463">
        <f t="shared" si="0"/>
        <v>0</v>
      </c>
      <c r="BA12" s="463">
        <f t="shared" si="1"/>
        <v>1</v>
      </c>
      <c r="BB12" s="463">
        <f t="shared" si="2"/>
        <v>1</v>
      </c>
      <c r="BC12" s="463">
        <f t="shared" si="3"/>
        <v>0</v>
      </c>
      <c r="BD12" s="463">
        <f t="shared" si="4"/>
        <v>0</v>
      </c>
      <c r="BE12" s="463">
        <f t="shared" si="5"/>
        <v>1</v>
      </c>
      <c r="BF12" s="463">
        <f t="shared" si="6"/>
        <v>1</v>
      </c>
      <c r="BG12" s="463">
        <f t="shared" si="7"/>
        <v>1</v>
      </c>
      <c r="BH12" s="463">
        <f t="shared" si="8"/>
        <v>1</v>
      </c>
      <c r="BI12" s="463">
        <f t="shared" si="9"/>
        <v>0</v>
      </c>
      <c r="BJ12" s="463">
        <f t="shared" si="10"/>
        <v>0</v>
      </c>
      <c r="BO12" s="301">
        <v>5</v>
      </c>
      <c r="BP12" s="465">
        <f>COUNTIF(AY3:AY61,BO12)</f>
        <v>0</v>
      </c>
      <c r="BQ12" s="442">
        <f>BP12/BP14</f>
        <v>0</v>
      </c>
      <c r="BS12" s="301">
        <v>5</v>
      </c>
      <c r="BT12" s="465">
        <f>COUNTIF(AZ3:AZ61,BS12)</f>
        <v>0</v>
      </c>
      <c r="BU12" s="442">
        <f>BT12/BT14</f>
        <v>0</v>
      </c>
      <c r="BW12" s="301">
        <v>5</v>
      </c>
      <c r="BX12" s="465">
        <f>COUNTIF(BA3:BA61,BW12)</f>
        <v>0</v>
      </c>
      <c r="BY12" s="442">
        <f>BX12/BX14</f>
        <v>0</v>
      </c>
      <c r="CA12" s="301">
        <v>5</v>
      </c>
      <c r="CB12" s="465">
        <f>COUNTIF(BB3:BB61,CA12)</f>
        <v>0</v>
      </c>
      <c r="CC12" s="442">
        <f>CB12/CB14</f>
        <v>0</v>
      </c>
      <c r="CE12" s="301">
        <v>5</v>
      </c>
      <c r="CF12" s="465">
        <f>COUNTIF(BC3:BC61,CE12)</f>
        <v>0</v>
      </c>
      <c r="CG12" s="442">
        <f>CF12/CF14</f>
        <v>0</v>
      </c>
      <c r="CI12" s="301">
        <v>5</v>
      </c>
      <c r="CJ12" s="465">
        <f>COUNTIF(BD3:BD61,CI12)</f>
        <v>0</v>
      </c>
      <c r="CK12" s="442">
        <f>CJ12/CJ14</f>
        <v>0</v>
      </c>
      <c r="CL12" s="398"/>
    </row>
    <row r="13" spans="4:101" ht="20.25">
      <c r="D13" s="392"/>
      <c r="E13" s="580"/>
      <c r="F13" s="580"/>
      <c r="G13" s="597"/>
      <c r="H13" s="595"/>
      <c r="I13" s="595"/>
      <c r="J13" s="580"/>
      <c r="K13" s="513"/>
      <c r="L13" s="539"/>
      <c r="M13" s="601"/>
      <c r="N13" s="607"/>
      <c r="O13" s="456"/>
      <c r="P13" s="456"/>
      <c r="Q13" s="456"/>
      <c r="R13" s="456"/>
      <c r="S13" s="456"/>
      <c r="T13" s="456"/>
      <c r="U13" s="456"/>
      <c r="V13" s="456"/>
      <c r="W13" s="456"/>
      <c r="X13" s="456"/>
      <c r="Y13" s="456"/>
      <c r="Z13" s="456"/>
      <c r="AA13" s="384">
        <v>8</v>
      </c>
      <c r="AB13" s="395">
        <f>COUNTIF(E6:J50,AA13)</f>
        <v>0</v>
      </c>
      <c r="AC13" s="395">
        <f>COUNTIF(E6:Y50,AA13)</f>
        <v>0</v>
      </c>
      <c r="AD13" s="618">
        <v>8</v>
      </c>
      <c r="AE13" s="501"/>
      <c r="AF13" s="501"/>
      <c r="AG13" s="501"/>
      <c r="AH13" s="501"/>
      <c r="AI13" s="501"/>
      <c r="AJ13" s="501"/>
      <c r="AK13" s="501"/>
      <c r="AL13" s="501"/>
      <c r="AM13" s="500"/>
      <c r="AN13" s="501"/>
      <c r="AP13" s="420">
        <v>690</v>
      </c>
      <c r="AQ13" s="398">
        <v>10</v>
      </c>
      <c r="AR13" s="398">
        <v>6</v>
      </c>
      <c r="AS13" s="398">
        <v>3</v>
      </c>
      <c r="AT13" s="398">
        <v>10</v>
      </c>
      <c r="AU13" s="398">
        <v>8</v>
      </c>
      <c r="AV13" s="398">
        <v>8</v>
      </c>
      <c r="AX13" s="398">
        <v>5</v>
      </c>
      <c r="AZ13" s="463">
        <f t="shared" si="0"/>
        <v>0</v>
      </c>
      <c r="BA13" s="463">
        <f t="shared" si="1"/>
        <v>0</v>
      </c>
      <c r="BB13" s="463">
        <f t="shared" si="2"/>
        <v>0</v>
      </c>
      <c r="BC13" s="463">
        <f t="shared" si="3"/>
        <v>1</v>
      </c>
      <c r="BD13" s="463">
        <f t="shared" si="4"/>
        <v>0</v>
      </c>
      <c r="BE13" s="463">
        <f t="shared" si="5"/>
        <v>0</v>
      </c>
      <c r="BF13" s="463">
        <f t="shared" si="6"/>
        <v>1</v>
      </c>
      <c r="BG13" s="463">
        <f t="shared" si="7"/>
        <v>0</v>
      </c>
      <c r="BH13" s="463">
        <f t="shared" si="8"/>
        <v>2</v>
      </c>
      <c r="BI13" s="463">
        <f t="shared" si="9"/>
        <v>0</v>
      </c>
      <c r="BJ13" s="463">
        <f t="shared" si="10"/>
        <v>2</v>
      </c>
      <c r="BK13" s="392"/>
      <c r="BL13" s="392"/>
      <c r="BM13" s="392"/>
      <c r="BN13" s="392"/>
      <c r="BO13" s="395">
        <v>6</v>
      </c>
      <c r="BP13" s="465">
        <f>COUNTIF(AY3:AY61,BO13)</f>
        <v>0</v>
      </c>
      <c r="BQ13" s="442">
        <f>BP13/BP14</f>
        <v>0</v>
      </c>
      <c r="BR13" s="392"/>
      <c r="BS13" s="395">
        <v>6</v>
      </c>
      <c r="BT13" s="465">
        <f>COUNTIF(AZ3:AZ61,BS13)</f>
        <v>0</v>
      </c>
      <c r="BU13" s="442">
        <f>BT13/BT14</f>
        <v>0</v>
      </c>
      <c r="BV13" s="392"/>
      <c r="BW13" s="395">
        <v>6</v>
      </c>
      <c r="BX13" s="465">
        <f>COUNTIF(BA3:BA61,BW13)</f>
        <v>0</v>
      </c>
      <c r="BY13" s="442">
        <f>BX13/BX14</f>
        <v>0</v>
      </c>
      <c r="BZ13" s="392"/>
      <c r="CA13" s="395">
        <v>6</v>
      </c>
      <c r="CB13" s="465">
        <f>COUNTIF(BB3:BB61,CA13)</f>
        <v>0</v>
      </c>
      <c r="CC13" s="442">
        <f>CB13/CB14</f>
        <v>0</v>
      </c>
      <c r="CD13" s="392"/>
      <c r="CE13" s="395">
        <v>6</v>
      </c>
      <c r="CF13" s="465">
        <f>COUNTIF(BC3:BC61,CE13)</f>
        <v>0</v>
      </c>
      <c r="CG13" s="442">
        <f>CF13/CF14</f>
        <v>0</v>
      </c>
      <c r="CH13" s="392"/>
      <c r="CI13" s="395">
        <v>6</v>
      </c>
      <c r="CJ13" s="465">
        <f>COUNTIF(BD3:BD61,CI13)</f>
        <v>0</v>
      </c>
      <c r="CK13" s="442">
        <f>CJ13/CJ14</f>
        <v>0</v>
      </c>
      <c r="CM13" s="392"/>
      <c r="CN13" s="392"/>
      <c r="CO13" s="392"/>
      <c r="CP13" s="392"/>
      <c r="CQ13" s="392"/>
      <c r="CR13" s="392"/>
      <c r="CS13" s="392"/>
      <c r="CT13" s="392"/>
      <c r="CU13" s="392"/>
      <c r="CV13" s="392"/>
      <c r="CW13" s="392"/>
    </row>
    <row r="14" spans="4:101" ht="20.25">
      <c r="D14" s="392"/>
      <c r="E14" s="580"/>
      <c r="F14" s="580"/>
      <c r="G14" s="596"/>
      <c r="H14" s="597"/>
      <c r="I14" s="597"/>
      <c r="J14" s="580"/>
      <c r="K14" s="513"/>
      <c r="L14" s="539"/>
      <c r="M14" s="602"/>
      <c r="N14" s="607"/>
      <c r="O14" s="456"/>
      <c r="P14" s="456"/>
      <c r="Q14" s="456"/>
      <c r="R14" s="456"/>
      <c r="S14" s="456"/>
      <c r="T14" s="456"/>
      <c r="U14" s="456"/>
      <c r="V14" s="456"/>
      <c r="W14" s="456"/>
      <c r="X14" s="456"/>
      <c r="Y14" s="456"/>
      <c r="Z14" s="456"/>
      <c r="AA14" s="384">
        <v>9</v>
      </c>
      <c r="AB14" s="395">
        <f>COUNTIF(E6:J50,AA14)</f>
        <v>0</v>
      </c>
      <c r="AC14" s="395">
        <f>COUNTIF(E6:Y50,AA14)</f>
        <v>0</v>
      </c>
      <c r="AD14" s="618">
        <v>9</v>
      </c>
      <c r="AE14" s="501"/>
      <c r="AF14" s="501"/>
      <c r="AG14" s="501"/>
      <c r="AH14" s="501"/>
      <c r="AI14" s="501"/>
      <c r="AJ14" s="501"/>
      <c r="AK14" s="501"/>
      <c r="AL14" s="501"/>
      <c r="AM14" s="500"/>
      <c r="AN14" s="501"/>
      <c r="AP14" s="420">
        <v>691</v>
      </c>
      <c r="AQ14" s="398">
        <v>8</v>
      </c>
      <c r="AR14" s="398">
        <v>7</v>
      </c>
      <c r="AS14" s="398">
        <v>6</v>
      </c>
      <c r="AT14" s="398">
        <v>10</v>
      </c>
      <c r="AU14" s="398">
        <v>8</v>
      </c>
      <c r="AV14" s="398">
        <v>6</v>
      </c>
      <c r="AX14" s="398">
        <v>6</v>
      </c>
      <c r="AZ14" s="463">
        <f t="shared" si="0"/>
        <v>0</v>
      </c>
      <c r="BA14" s="463">
        <f t="shared" si="1"/>
        <v>0</v>
      </c>
      <c r="BB14" s="463">
        <f t="shared" si="2"/>
        <v>0</v>
      </c>
      <c r="BC14" s="463">
        <f t="shared" si="3"/>
        <v>0</v>
      </c>
      <c r="BD14" s="463">
        <f t="shared" si="4"/>
        <v>0</v>
      </c>
      <c r="BE14" s="463">
        <f t="shared" si="5"/>
        <v>0</v>
      </c>
      <c r="BF14" s="463">
        <f t="shared" si="6"/>
        <v>2</v>
      </c>
      <c r="BG14" s="463">
        <f t="shared" si="7"/>
        <v>1</v>
      </c>
      <c r="BH14" s="463">
        <f t="shared" si="8"/>
        <v>2</v>
      </c>
      <c r="BI14" s="463">
        <f t="shared" si="9"/>
        <v>0</v>
      </c>
      <c r="BJ14" s="463">
        <f t="shared" si="10"/>
        <v>1</v>
      </c>
      <c r="BK14" s="392"/>
      <c r="BL14" s="392"/>
      <c r="BM14" s="392"/>
      <c r="BN14" s="392"/>
      <c r="BO14" s="395"/>
      <c r="BP14" s="395">
        <f>SUM(BP7:BP13)</f>
        <v>2</v>
      </c>
      <c r="BQ14" s="466">
        <f>SUM(BQ7:BQ13)</f>
        <v>1</v>
      </c>
      <c r="BR14" s="290"/>
      <c r="BS14" s="395"/>
      <c r="BT14" s="395">
        <f>SUM(BT7:BT13)</f>
        <v>43</v>
      </c>
      <c r="BU14" s="466">
        <f>SUM(BU7:BU13)</f>
        <v>1</v>
      </c>
      <c r="BV14" s="392"/>
      <c r="BW14" s="395"/>
      <c r="BX14" s="395">
        <f>SUM(BX7:BX13)</f>
        <v>43</v>
      </c>
      <c r="BY14" s="466">
        <f>SUM(BY7:BY13)</f>
        <v>1</v>
      </c>
      <c r="BZ14" s="392"/>
      <c r="CA14" s="395"/>
      <c r="CB14" s="395">
        <f>SUM(CB7:CB13)</f>
        <v>43</v>
      </c>
      <c r="CC14" s="466">
        <f>SUM(CC7:CC13)</f>
        <v>1</v>
      </c>
      <c r="CD14" s="392"/>
      <c r="CE14" s="395"/>
      <c r="CF14" s="395">
        <f>SUM(CF7:CF13)</f>
        <v>43</v>
      </c>
      <c r="CG14" s="466">
        <f>SUM(CG7:CG13)</f>
        <v>1</v>
      </c>
      <c r="CH14" s="392"/>
      <c r="CI14" s="395"/>
      <c r="CJ14" s="395">
        <f>SUM(CJ7:CJ13)</f>
        <v>43</v>
      </c>
      <c r="CK14" s="466">
        <f>SUM(CK7:CK13)</f>
        <v>1</v>
      </c>
      <c r="CM14" s="392"/>
      <c r="CN14" s="392"/>
      <c r="CO14" s="392"/>
      <c r="CP14" s="392"/>
      <c r="CQ14" s="392"/>
      <c r="CR14" s="392"/>
      <c r="CS14" s="392"/>
      <c r="CT14" s="392"/>
      <c r="CU14" s="392"/>
      <c r="CV14" s="392"/>
      <c r="CW14" s="392"/>
    </row>
    <row r="15" spans="4:101" ht="20.25">
      <c r="D15" s="392"/>
      <c r="E15" s="580"/>
      <c r="F15" s="580"/>
      <c r="G15" s="595"/>
      <c r="H15" s="596"/>
      <c r="I15" s="594"/>
      <c r="J15" s="580"/>
      <c r="K15" s="513"/>
      <c r="L15" s="539"/>
      <c r="M15" s="600"/>
      <c r="N15" s="607"/>
      <c r="O15" s="456"/>
      <c r="P15" s="456"/>
      <c r="Q15" s="456"/>
      <c r="R15" s="456"/>
      <c r="S15" s="456"/>
      <c r="T15" s="456"/>
      <c r="U15" s="456"/>
      <c r="V15" s="456"/>
      <c r="W15" s="456"/>
      <c r="X15" s="456"/>
      <c r="Y15" s="456"/>
      <c r="Z15" s="456"/>
      <c r="AA15" s="384">
        <v>10</v>
      </c>
      <c r="AB15" s="395">
        <f>COUNTIF(E6:J50,AA15)</f>
        <v>0</v>
      </c>
      <c r="AC15" s="395">
        <f>COUNTIF(E6:Y50,AA15)</f>
        <v>0</v>
      </c>
      <c r="AD15" s="618">
        <v>10</v>
      </c>
      <c r="AE15" s="501"/>
      <c r="AF15" s="501"/>
      <c r="AG15" s="501"/>
      <c r="AH15" s="501"/>
      <c r="AI15" s="501"/>
      <c r="AJ15" s="501"/>
      <c r="AK15" s="501"/>
      <c r="AL15" s="501"/>
      <c r="AM15" s="501"/>
      <c r="AN15" s="500"/>
      <c r="AP15" s="420">
        <v>692</v>
      </c>
      <c r="AQ15" s="398">
        <v>7</v>
      </c>
      <c r="AR15" s="398">
        <v>10</v>
      </c>
      <c r="AS15" s="398">
        <v>7</v>
      </c>
      <c r="AT15" s="398">
        <v>8</v>
      </c>
      <c r="AU15" s="398">
        <v>4</v>
      </c>
      <c r="AV15" s="398">
        <v>7</v>
      </c>
      <c r="AX15" s="398">
        <v>5</v>
      </c>
      <c r="AZ15" s="463">
        <f t="shared" si="0"/>
        <v>0</v>
      </c>
      <c r="BA15" s="463">
        <f t="shared" si="1"/>
        <v>0</v>
      </c>
      <c r="BB15" s="463">
        <f t="shared" si="2"/>
        <v>0</v>
      </c>
      <c r="BC15" s="463">
        <f t="shared" si="3"/>
        <v>0</v>
      </c>
      <c r="BD15" s="463">
        <f t="shared" si="4"/>
        <v>1</v>
      </c>
      <c r="BE15" s="463">
        <f t="shared" si="5"/>
        <v>0</v>
      </c>
      <c r="BF15" s="463">
        <f t="shared" si="6"/>
        <v>0</v>
      </c>
      <c r="BG15" s="463">
        <f t="shared" si="7"/>
        <v>3</v>
      </c>
      <c r="BH15" s="463">
        <f t="shared" si="8"/>
        <v>1</v>
      </c>
      <c r="BI15" s="463">
        <f t="shared" si="9"/>
        <v>0</v>
      </c>
      <c r="BJ15" s="463">
        <f t="shared" si="10"/>
        <v>1</v>
      </c>
      <c r="BK15" s="392"/>
      <c r="BL15" s="392"/>
      <c r="BM15" s="392"/>
      <c r="BN15" s="392"/>
      <c r="BO15" s="392"/>
      <c r="BP15" s="392"/>
      <c r="BQ15" s="392"/>
      <c r="BR15" s="290"/>
      <c r="BS15" s="392"/>
      <c r="BT15" s="392"/>
      <c r="BU15" s="392"/>
      <c r="BV15" s="392"/>
      <c r="BW15" s="392"/>
      <c r="BX15" s="392"/>
      <c r="BY15" s="392"/>
      <c r="BZ15" s="392"/>
      <c r="CA15" s="392"/>
      <c r="CB15" s="392"/>
      <c r="CC15" s="392"/>
      <c r="CD15" s="392"/>
      <c r="CE15" s="392"/>
      <c r="CF15" s="392"/>
      <c r="CG15" s="392"/>
      <c r="CH15" s="392"/>
      <c r="CI15" s="392"/>
      <c r="CJ15" s="392"/>
      <c r="CK15" s="392"/>
      <c r="CM15" s="392"/>
      <c r="CN15" s="392"/>
      <c r="CO15" s="392"/>
      <c r="CP15" s="392"/>
      <c r="CQ15" s="392"/>
      <c r="CR15" s="392"/>
      <c r="CS15" s="392"/>
      <c r="CT15" s="392"/>
      <c r="CU15" s="392"/>
      <c r="CV15" s="392"/>
      <c r="CW15" s="392"/>
    </row>
    <row r="16" spans="4:101" ht="20.25">
      <c r="D16" s="392"/>
      <c r="E16" s="580"/>
      <c r="F16" s="580"/>
      <c r="G16" s="594"/>
      <c r="H16" s="594"/>
      <c r="I16" s="594"/>
      <c r="J16" s="580"/>
      <c r="K16" s="513"/>
      <c r="L16" s="539"/>
      <c r="M16" s="600"/>
      <c r="N16" s="607"/>
      <c r="O16" s="456"/>
      <c r="P16" s="456"/>
      <c r="Q16" s="456"/>
      <c r="R16" s="456"/>
      <c r="S16" s="456"/>
      <c r="T16" s="456"/>
      <c r="U16" s="456"/>
      <c r="V16" s="456"/>
      <c r="W16" s="456"/>
      <c r="X16" s="456"/>
      <c r="Y16" s="456"/>
      <c r="Z16" s="456"/>
      <c r="AA16" s="384">
        <v>11</v>
      </c>
      <c r="AB16" s="395">
        <f>COUNTIF(E6:J50,AA16)</f>
        <v>0</v>
      </c>
      <c r="AC16" s="395">
        <f>COUNTIF(E6:Y50,AA16)</f>
        <v>0</v>
      </c>
      <c r="AD16" s="618">
        <v>11</v>
      </c>
      <c r="AE16" s="501"/>
      <c r="AF16" s="501"/>
      <c r="AG16" s="501"/>
      <c r="AH16" s="501"/>
      <c r="AI16" s="501"/>
      <c r="AJ16" s="501"/>
      <c r="AK16" s="501"/>
      <c r="AL16" s="501"/>
      <c r="AM16" s="500"/>
      <c r="AN16" s="501"/>
      <c r="AP16" s="420">
        <v>693</v>
      </c>
      <c r="AQ16" s="398">
        <v>10</v>
      </c>
      <c r="AR16" s="398">
        <v>4</v>
      </c>
      <c r="AS16" s="398">
        <v>10</v>
      </c>
      <c r="AT16" s="398">
        <v>8</v>
      </c>
      <c r="AU16" s="398">
        <v>10</v>
      </c>
      <c r="AV16" s="398">
        <v>5</v>
      </c>
      <c r="AX16" s="398">
        <v>5</v>
      </c>
      <c r="AZ16" s="463">
        <f t="shared" si="0"/>
        <v>0</v>
      </c>
      <c r="BA16" s="463">
        <f t="shared" si="1"/>
        <v>0</v>
      </c>
      <c r="BB16" s="463">
        <f t="shared" si="2"/>
        <v>0</v>
      </c>
      <c r="BC16" s="463">
        <f t="shared" si="3"/>
        <v>0</v>
      </c>
      <c r="BD16" s="463">
        <f t="shared" si="4"/>
        <v>1</v>
      </c>
      <c r="BE16" s="463">
        <f t="shared" si="5"/>
        <v>1</v>
      </c>
      <c r="BF16" s="463">
        <f t="shared" si="6"/>
        <v>0</v>
      </c>
      <c r="BG16" s="463">
        <f t="shared" si="7"/>
        <v>0</v>
      </c>
      <c r="BH16" s="463">
        <f t="shared" si="8"/>
        <v>1</v>
      </c>
      <c r="BI16" s="463">
        <f t="shared" si="9"/>
        <v>0</v>
      </c>
      <c r="BJ16" s="463">
        <f t="shared" si="10"/>
        <v>3</v>
      </c>
      <c r="BK16" s="392"/>
      <c r="BL16" s="382"/>
      <c r="BM16" s="382"/>
      <c r="BN16" s="382"/>
      <c r="BO16" s="638">
        <v>6</v>
      </c>
      <c r="BP16" s="638"/>
      <c r="BQ16" s="638"/>
      <c r="BR16" s="461"/>
      <c r="BS16" s="638">
        <v>7</v>
      </c>
      <c r="BT16" s="638"/>
      <c r="BU16" s="638"/>
      <c r="BV16" s="461"/>
      <c r="BW16" s="638">
        <v>8</v>
      </c>
      <c r="BX16" s="638"/>
      <c r="BY16" s="638"/>
      <c r="BZ16" s="463"/>
      <c r="CA16" s="638">
        <v>9</v>
      </c>
      <c r="CB16" s="638"/>
      <c r="CC16" s="638"/>
      <c r="CD16" s="463"/>
      <c r="CE16" s="638">
        <v>10</v>
      </c>
      <c r="CF16" s="638"/>
      <c r="CG16" s="638"/>
      <c r="CH16" s="392"/>
      <c r="CI16" s="392"/>
      <c r="CJ16" s="392"/>
      <c r="CK16" s="392"/>
      <c r="CM16" s="392"/>
      <c r="CN16" s="392"/>
      <c r="CO16" s="392"/>
      <c r="CP16" s="392"/>
      <c r="CQ16" s="392"/>
      <c r="CR16" s="392"/>
      <c r="CS16" s="392"/>
      <c r="CT16" s="392"/>
      <c r="CU16" s="392"/>
      <c r="CV16" s="392"/>
      <c r="CW16" s="392"/>
    </row>
    <row r="17" spans="4:101" ht="20.25">
      <c r="D17" s="392"/>
      <c r="E17" s="580"/>
      <c r="F17" s="580"/>
      <c r="G17" s="597"/>
      <c r="H17" s="594"/>
      <c r="I17" s="595"/>
      <c r="J17" s="580"/>
      <c r="K17" s="513"/>
      <c r="L17" s="539"/>
      <c r="M17" s="599"/>
      <c r="N17" s="607"/>
      <c r="O17" s="456"/>
      <c r="P17" s="456"/>
      <c r="Q17" s="456"/>
      <c r="R17" s="456"/>
      <c r="S17" s="456"/>
      <c r="T17" s="456"/>
      <c r="U17" s="456"/>
      <c r="V17" s="456"/>
      <c r="W17" s="456"/>
      <c r="X17" s="456"/>
      <c r="Y17" s="456"/>
      <c r="Z17" s="456"/>
      <c r="AA17" s="384">
        <v>12</v>
      </c>
      <c r="AB17" s="395">
        <f>COUNTIF(E6:J50,AA17)</f>
        <v>0</v>
      </c>
      <c r="AC17" s="395">
        <f>COUNTIF(E6:Y50,AA17)</f>
        <v>0</v>
      </c>
      <c r="AD17" s="618"/>
      <c r="AE17" s="501"/>
      <c r="AF17" s="501"/>
      <c r="AG17" s="501"/>
      <c r="AH17" s="501"/>
      <c r="AI17" s="501"/>
      <c r="AJ17" s="501"/>
      <c r="AK17" s="501"/>
      <c r="AL17" s="501"/>
      <c r="AM17" s="500"/>
      <c r="AN17" s="500"/>
      <c r="AP17" s="420">
        <v>694</v>
      </c>
      <c r="AQ17" s="398">
        <v>6</v>
      </c>
      <c r="AR17" s="398">
        <v>8</v>
      </c>
      <c r="AS17" s="398">
        <v>6</v>
      </c>
      <c r="AT17" s="398">
        <v>9</v>
      </c>
      <c r="AU17" s="398">
        <v>5</v>
      </c>
      <c r="AV17" s="398">
        <v>6</v>
      </c>
      <c r="AX17" s="398">
        <v>6</v>
      </c>
      <c r="AZ17" s="463">
        <f t="shared" si="0"/>
        <v>0</v>
      </c>
      <c r="BA17" s="463">
        <f t="shared" si="1"/>
        <v>0</v>
      </c>
      <c r="BB17" s="463">
        <f t="shared" si="2"/>
        <v>0</v>
      </c>
      <c r="BC17" s="463">
        <f t="shared" si="3"/>
        <v>0</v>
      </c>
      <c r="BD17" s="463">
        <f t="shared" si="4"/>
        <v>0</v>
      </c>
      <c r="BE17" s="463">
        <f t="shared" si="5"/>
        <v>1</v>
      </c>
      <c r="BF17" s="463">
        <f t="shared" si="6"/>
        <v>3</v>
      </c>
      <c r="BG17" s="463">
        <f t="shared" si="7"/>
        <v>0</v>
      </c>
      <c r="BH17" s="463">
        <f t="shared" si="8"/>
        <v>1</v>
      </c>
      <c r="BI17" s="463">
        <f t="shared" si="9"/>
        <v>1</v>
      </c>
      <c r="BJ17" s="463">
        <f t="shared" si="10"/>
        <v>0</v>
      </c>
      <c r="BK17" s="392"/>
      <c r="BL17" s="391"/>
      <c r="BM17" s="391"/>
      <c r="BN17" s="391"/>
      <c r="BO17" s="301">
        <v>0</v>
      </c>
      <c r="BP17" s="465">
        <f>COUNTIF(BE3:BE61,BO17)</f>
        <v>25</v>
      </c>
      <c r="BQ17" s="442">
        <f>BP17/BP24</f>
        <v>0.58139534883720934</v>
      </c>
      <c r="BR17" s="463"/>
      <c r="BS17" s="301">
        <v>0</v>
      </c>
      <c r="BT17" s="465">
        <f>COUNTIF(BF3:BF61,BS17)</f>
        <v>16</v>
      </c>
      <c r="BU17" s="442">
        <f>BT17/BT24</f>
        <v>0.37209302325581395</v>
      </c>
      <c r="BV17" s="463"/>
      <c r="BW17" s="301">
        <v>0</v>
      </c>
      <c r="BX17" s="465">
        <f>COUNTIF(BG3:BG61,BW17)</f>
        <v>15</v>
      </c>
      <c r="BY17" s="442">
        <f>BX17/BX24</f>
        <v>0.34883720930232559</v>
      </c>
      <c r="BZ17" s="463"/>
      <c r="CA17" s="301">
        <v>0</v>
      </c>
      <c r="CB17" s="465">
        <f>COUNTIF(BH3:BH61,CA17)</f>
        <v>8</v>
      </c>
      <c r="CC17" s="442">
        <f>CB17/CB24</f>
        <v>0.18604651162790697</v>
      </c>
      <c r="CD17" s="463"/>
      <c r="CE17" s="301">
        <v>0</v>
      </c>
      <c r="CF17" s="465">
        <f>COUNTIF(BI3:BI61,CE17)</f>
        <v>32</v>
      </c>
      <c r="CG17" s="442">
        <f>CF17/CF24</f>
        <v>0.7441860465116279</v>
      </c>
      <c r="CH17" s="392"/>
      <c r="CI17" s="392"/>
      <c r="CJ17" s="392"/>
      <c r="CK17" s="392"/>
      <c r="CM17" s="392"/>
      <c r="CN17" s="392"/>
      <c r="CO17" s="392"/>
      <c r="CP17" s="392"/>
      <c r="CQ17" s="392"/>
      <c r="CR17" s="392"/>
      <c r="CS17" s="392"/>
      <c r="CT17" s="392"/>
      <c r="CU17" s="392"/>
      <c r="CV17" s="392"/>
      <c r="CW17" s="392"/>
    </row>
    <row r="18" spans="4:101" ht="20.25">
      <c r="D18" s="392"/>
      <c r="E18" s="580"/>
      <c r="F18" s="580"/>
      <c r="G18" s="594"/>
      <c r="H18" s="597"/>
      <c r="I18" s="597"/>
      <c r="J18" s="580"/>
      <c r="K18" s="513"/>
      <c r="L18" s="539"/>
      <c r="M18" s="600"/>
      <c r="N18" s="607"/>
      <c r="O18" s="456"/>
      <c r="P18" s="456"/>
      <c r="Q18" s="456"/>
      <c r="R18" s="456"/>
      <c r="S18" s="456"/>
      <c r="T18" s="456"/>
      <c r="U18" s="456"/>
      <c r="V18" s="456"/>
      <c r="W18" s="456"/>
      <c r="X18" s="456"/>
      <c r="Y18" s="456"/>
      <c r="Z18" s="456"/>
      <c r="AA18" s="384">
        <v>13</v>
      </c>
      <c r="AB18" s="395">
        <f>COUNTIF(E6:J50,AA18)</f>
        <v>0</v>
      </c>
      <c r="AC18" s="395">
        <f>COUNTIF(E6:Y50,AA18)</f>
        <v>0</v>
      </c>
      <c r="AD18" s="618">
        <v>13</v>
      </c>
      <c r="AE18" s="501"/>
      <c r="AF18" s="501"/>
      <c r="AG18" s="501"/>
      <c r="AH18" s="501"/>
      <c r="AI18" s="501"/>
      <c r="AJ18" s="501"/>
      <c r="AK18" s="501"/>
      <c r="AL18" s="501"/>
      <c r="AM18" s="501"/>
      <c r="AN18" s="501"/>
      <c r="AP18" s="420">
        <v>695</v>
      </c>
      <c r="AQ18" s="398">
        <v>7</v>
      </c>
      <c r="AR18" s="398">
        <v>4</v>
      </c>
      <c r="AS18" s="398">
        <v>5</v>
      </c>
      <c r="AT18" s="398">
        <v>8</v>
      </c>
      <c r="AU18" s="398">
        <v>10</v>
      </c>
      <c r="AV18" s="398">
        <v>7</v>
      </c>
      <c r="AX18" s="398">
        <v>5</v>
      </c>
      <c r="AZ18" s="463">
        <f t="shared" si="0"/>
        <v>0</v>
      </c>
      <c r="BA18" s="463">
        <f t="shared" si="1"/>
        <v>0</v>
      </c>
      <c r="BB18" s="463">
        <f t="shared" si="2"/>
        <v>0</v>
      </c>
      <c r="BC18" s="463">
        <f t="shared" si="3"/>
        <v>0</v>
      </c>
      <c r="BD18" s="463">
        <f t="shared" si="4"/>
        <v>1</v>
      </c>
      <c r="BE18" s="463">
        <f t="shared" si="5"/>
        <v>1</v>
      </c>
      <c r="BF18" s="463">
        <f t="shared" si="6"/>
        <v>0</v>
      </c>
      <c r="BG18" s="463">
        <f t="shared" si="7"/>
        <v>2</v>
      </c>
      <c r="BH18" s="463">
        <f t="shared" si="8"/>
        <v>1</v>
      </c>
      <c r="BI18" s="463">
        <f t="shared" si="9"/>
        <v>0</v>
      </c>
      <c r="BJ18" s="463">
        <f t="shared" si="10"/>
        <v>1</v>
      </c>
      <c r="BK18" s="392"/>
      <c r="BL18" s="391"/>
      <c r="BM18" s="392"/>
      <c r="BN18" s="391"/>
      <c r="BO18" s="301">
        <v>1</v>
      </c>
      <c r="BP18" s="465">
        <f>COUNTIF(BE3:BE61,BO18)</f>
        <v>16</v>
      </c>
      <c r="BQ18" s="442">
        <f>BP18/BP24</f>
        <v>0.37209302325581395</v>
      </c>
      <c r="BR18" s="463"/>
      <c r="BS18" s="301">
        <v>1</v>
      </c>
      <c r="BT18" s="465">
        <f>COUNTIF(BF3:BF61,BS18)</f>
        <v>17</v>
      </c>
      <c r="BU18" s="442">
        <f>BT18/BT24</f>
        <v>0.39534883720930231</v>
      </c>
      <c r="BV18" s="463"/>
      <c r="BW18" s="301">
        <v>1</v>
      </c>
      <c r="BX18" s="465">
        <f>COUNTIF(BG3:BG61,BW18)</f>
        <v>20</v>
      </c>
      <c r="BY18" s="442">
        <f>BX18/BX24</f>
        <v>0.46511627906976744</v>
      </c>
      <c r="BZ18" s="463"/>
      <c r="CA18" s="301">
        <v>1</v>
      </c>
      <c r="CB18" s="465">
        <f>COUNTIF(BH3:BH61,CA18)</f>
        <v>20</v>
      </c>
      <c r="CC18" s="442">
        <f>CB18/CB24</f>
        <v>0.46511627906976744</v>
      </c>
      <c r="CD18" s="463"/>
      <c r="CE18" s="301">
        <v>1</v>
      </c>
      <c r="CF18" s="465">
        <f>COUNTIF(BI3:BI61,CE18)</f>
        <v>9</v>
      </c>
      <c r="CG18" s="442">
        <f>CF18/CF24</f>
        <v>0.20930232558139536</v>
      </c>
      <c r="CH18" s="392"/>
      <c r="CI18" s="392"/>
      <c r="CJ18" s="392"/>
      <c r="CK18" s="392"/>
      <c r="CM18" s="392"/>
      <c r="CN18" s="392"/>
      <c r="CO18" s="392"/>
      <c r="CP18" s="392"/>
      <c r="CQ18" s="392"/>
      <c r="CR18" s="392"/>
      <c r="CS18" s="392"/>
      <c r="CT18" s="392"/>
      <c r="CU18" s="392"/>
      <c r="CV18" s="392"/>
      <c r="CW18" s="392"/>
    </row>
    <row r="19" spans="4:101" ht="20.25">
      <c r="D19" s="392"/>
      <c r="E19" s="580"/>
      <c r="F19" s="580"/>
      <c r="G19" s="594"/>
      <c r="H19" s="595"/>
      <c r="I19" s="595"/>
      <c r="J19" s="580"/>
      <c r="K19" s="513"/>
      <c r="L19" s="539"/>
      <c r="M19" s="599"/>
      <c r="N19" s="607"/>
      <c r="O19" s="456"/>
      <c r="P19" s="456"/>
      <c r="Q19" s="456"/>
      <c r="R19" s="456"/>
      <c r="S19" s="456"/>
      <c r="T19" s="456"/>
      <c r="U19" s="456"/>
      <c r="V19" s="456"/>
      <c r="W19" s="456"/>
      <c r="X19" s="456"/>
      <c r="Y19" s="456"/>
      <c r="Z19" s="456"/>
      <c r="AA19" s="384">
        <v>14</v>
      </c>
      <c r="AB19" s="395">
        <f>COUNTIF(E6:J50,AA19)</f>
        <v>0</v>
      </c>
      <c r="AC19" s="395">
        <f>COUNTIF(E6:Y50,AA19)</f>
        <v>0</v>
      </c>
      <c r="AD19" s="618"/>
      <c r="AE19" s="501"/>
      <c r="AF19" s="501"/>
      <c r="AG19" s="501"/>
      <c r="AH19" s="501"/>
      <c r="AI19" s="501"/>
      <c r="AJ19" s="501"/>
      <c r="AK19" s="501"/>
      <c r="AL19" s="501"/>
      <c r="AM19" s="500"/>
      <c r="AN19" s="501"/>
      <c r="AP19" s="420">
        <v>696</v>
      </c>
      <c r="AQ19" s="398">
        <v>10</v>
      </c>
      <c r="AR19" s="398">
        <v>4</v>
      </c>
      <c r="AS19" s="398">
        <v>3</v>
      </c>
      <c r="AT19" s="398">
        <v>7</v>
      </c>
      <c r="AU19" s="398">
        <v>8</v>
      </c>
      <c r="AV19" s="398">
        <v>8</v>
      </c>
      <c r="AX19" s="398">
        <v>4</v>
      </c>
      <c r="AZ19" s="463">
        <f t="shared" si="0"/>
        <v>0</v>
      </c>
      <c r="BA19" s="463">
        <f t="shared" si="1"/>
        <v>0</v>
      </c>
      <c r="BB19" s="463">
        <f t="shared" si="2"/>
        <v>0</v>
      </c>
      <c r="BC19" s="463">
        <f t="shared" si="3"/>
        <v>1</v>
      </c>
      <c r="BD19" s="463">
        <f t="shared" si="4"/>
        <v>1</v>
      </c>
      <c r="BE19" s="463">
        <f t="shared" si="5"/>
        <v>0</v>
      </c>
      <c r="BF19" s="463">
        <f t="shared" si="6"/>
        <v>0</v>
      </c>
      <c r="BG19" s="463">
        <f t="shared" si="7"/>
        <v>1</v>
      </c>
      <c r="BH19" s="463">
        <f t="shared" si="8"/>
        <v>2</v>
      </c>
      <c r="BI19" s="463">
        <f t="shared" si="9"/>
        <v>0</v>
      </c>
      <c r="BJ19" s="463">
        <f t="shared" si="10"/>
        <v>1</v>
      </c>
      <c r="BK19" s="392"/>
      <c r="BL19" s="391"/>
      <c r="BM19" s="290"/>
      <c r="BN19" s="391"/>
      <c r="BO19" s="301">
        <v>2</v>
      </c>
      <c r="BP19" s="465">
        <f>COUNTIF(BE3:BE61,BO19)</f>
        <v>0</v>
      </c>
      <c r="BQ19" s="442">
        <f>BP19/BP24</f>
        <v>0</v>
      </c>
      <c r="BR19" s="463"/>
      <c r="BS19" s="301">
        <v>2</v>
      </c>
      <c r="BT19" s="465">
        <f>COUNTIF(BF3:BF61,BS19)</f>
        <v>8</v>
      </c>
      <c r="BU19" s="442">
        <f>BT19/BT24</f>
        <v>0.18604651162790697</v>
      </c>
      <c r="BV19" s="463"/>
      <c r="BW19" s="301">
        <v>2</v>
      </c>
      <c r="BX19" s="465">
        <f>COUNTIF(BG3:BG61,BW19)</f>
        <v>7</v>
      </c>
      <c r="BY19" s="442">
        <f>BX19/BX24</f>
        <v>0.16279069767441862</v>
      </c>
      <c r="BZ19" s="463"/>
      <c r="CA19" s="301">
        <v>2</v>
      </c>
      <c r="CB19" s="465">
        <f>COUNTIF(BH3:BH61,CA19)</f>
        <v>13</v>
      </c>
      <c r="CC19" s="442">
        <f>CB19/CB24</f>
        <v>0.30232558139534882</v>
      </c>
      <c r="CD19" s="463"/>
      <c r="CE19" s="301">
        <v>2</v>
      </c>
      <c r="CF19" s="465">
        <f>COUNTIF(BI3:BI61,CE19)</f>
        <v>2</v>
      </c>
      <c r="CG19" s="442">
        <f>CF19/CF24</f>
        <v>4.6511627906976744E-2</v>
      </c>
      <c r="CH19" s="392"/>
      <c r="CI19" s="392"/>
      <c r="CJ19" s="392"/>
      <c r="CK19" s="392"/>
      <c r="CM19" s="392"/>
      <c r="CN19" s="392"/>
      <c r="CO19" s="392"/>
      <c r="CP19" s="392"/>
      <c r="CQ19" s="392"/>
      <c r="CR19" s="392"/>
      <c r="CS19" s="392"/>
      <c r="CT19" s="392"/>
      <c r="CU19" s="392"/>
      <c r="CV19" s="392"/>
      <c r="CW19" s="392"/>
    </row>
    <row r="20" spans="4:101" ht="20.25">
      <c r="D20" s="392"/>
      <c r="E20" s="580"/>
      <c r="F20" s="580"/>
      <c r="G20" s="594"/>
      <c r="H20" s="597"/>
      <c r="I20" s="595"/>
      <c r="J20" s="580"/>
      <c r="K20" s="513"/>
      <c r="L20" s="539"/>
      <c r="M20" s="599"/>
      <c r="N20" s="607"/>
      <c r="O20" s="456"/>
      <c r="P20" s="456"/>
      <c r="Q20" s="456"/>
      <c r="R20" s="456"/>
      <c r="S20" s="456"/>
      <c r="T20" s="456"/>
      <c r="U20" s="456"/>
      <c r="V20" s="456"/>
      <c r="W20" s="456"/>
      <c r="X20" s="456"/>
      <c r="Y20" s="456"/>
      <c r="Z20" s="456"/>
      <c r="AA20" s="384">
        <v>15</v>
      </c>
      <c r="AB20" s="395">
        <f>COUNTIF(E6:J50,AA20)</f>
        <v>0</v>
      </c>
      <c r="AC20" s="395">
        <f>COUNTIF(E6:Y50,AA20)</f>
        <v>0</v>
      </c>
      <c r="AD20" s="618">
        <v>15</v>
      </c>
      <c r="AE20" s="501"/>
      <c r="AF20" s="501"/>
      <c r="AG20" s="501"/>
      <c r="AH20" s="501"/>
      <c r="AI20" s="501"/>
      <c r="AJ20" s="501"/>
      <c r="AK20" s="501"/>
      <c r="AL20" s="501"/>
      <c r="AM20" s="500"/>
      <c r="AN20" s="500"/>
      <c r="AP20" s="420">
        <v>697</v>
      </c>
      <c r="AQ20" s="398">
        <v>5</v>
      </c>
      <c r="AR20" s="398">
        <v>8</v>
      </c>
      <c r="AS20" s="398">
        <v>9</v>
      </c>
      <c r="AT20" s="398">
        <v>8</v>
      </c>
      <c r="AU20" s="398">
        <v>7</v>
      </c>
      <c r="AV20" s="398">
        <v>6</v>
      </c>
      <c r="AX20" s="398">
        <v>6</v>
      </c>
      <c r="AZ20" s="463">
        <f t="shared" si="0"/>
        <v>0</v>
      </c>
      <c r="BA20" s="463">
        <f t="shared" si="1"/>
        <v>0</v>
      </c>
      <c r="BB20" s="463">
        <f t="shared" si="2"/>
        <v>0</v>
      </c>
      <c r="BC20" s="463">
        <f t="shared" si="3"/>
        <v>0</v>
      </c>
      <c r="BD20" s="463">
        <f t="shared" si="4"/>
        <v>0</v>
      </c>
      <c r="BE20" s="463">
        <f t="shared" si="5"/>
        <v>1</v>
      </c>
      <c r="BF20" s="463">
        <f t="shared" si="6"/>
        <v>1</v>
      </c>
      <c r="BG20" s="463">
        <f t="shared" si="7"/>
        <v>1</v>
      </c>
      <c r="BH20" s="463">
        <f t="shared" si="8"/>
        <v>2</v>
      </c>
      <c r="BI20" s="463">
        <f t="shared" si="9"/>
        <v>1</v>
      </c>
      <c r="BJ20" s="463">
        <f t="shared" si="10"/>
        <v>0</v>
      </c>
      <c r="BK20" s="392"/>
      <c r="BL20" s="391"/>
      <c r="BM20" s="391"/>
      <c r="BN20" s="391"/>
      <c r="BO20" s="301">
        <v>3</v>
      </c>
      <c r="BP20" s="465">
        <f>COUNTIF(BE3:BE61,BO20)</f>
        <v>2</v>
      </c>
      <c r="BQ20" s="442">
        <f>BP20/BP24</f>
        <v>4.6511627906976744E-2</v>
      </c>
      <c r="BR20" s="463"/>
      <c r="BS20" s="301">
        <v>3</v>
      </c>
      <c r="BT20" s="465">
        <f>COUNTIF(BF3:BF61,BS20)</f>
        <v>1</v>
      </c>
      <c r="BU20" s="442">
        <f>BT20/BT24</f>
        <v>2.3255813953488372E-2</v>
      </c>
      <c r="BV20" s="463"/>
      <c r="BW20" s="301">
        <v>3</v>
      </c>
      <c r="BX20" s="465">
        <f>COUNTIF(BG3:BG61,BW20)</f>
        <v>1</v>
      </c>
      <c r="BY20" s="442">
        <f>BX20/BX24</f>
        <v>2.3255813953488372E-2</v>
      </c>
      <c r="BZ20" s="463"/>
      <c r="CA20" s="301">
        <v>3</v>
      </c>
      <c r="CB20" s="465">
        <f>COUNTIF(BH3:BH61,CA20)</f>
        <v>2</v>
      </c>
      <c r="CC20" s="442">
        <f>CB20/CB24</f>
        <v>4.6511627906976744E-2</v>
      </c>
      <c r="CD20" s="463"/>
      <c r="CE20" s="301">
        <v>3</v>
      </c>
      <c r="CF20" s="465">
        <f>COUNTIF(BI3:BI61,CE20)</f>
        <v>0</v>
      </c>
      <c r="CG20" s="442">
        <f>CF20/CF24</f>
        <v>0</v>
      </c>
      <c r="CH20" s="392"/>
      <c r="CI20" s="392"/>
      <c r="CJ20" s="392"/>
      <c r="CK20" s="392"/>
      <c r="CM20" s="392"/>
      <c r="CN20" s="392"/>
      <c r="CO20" s="392"/>
      <c r="CP20" s="392"/>
      <c r="CQ20" s="392"/>
      <c r="CR20" s="392"/>
      <c r="CS20" s="392"/>
      <c r="CT20" s="392"/>
      <c r="CU20" s="392"/>
      <c r="CV20" s="392"/>
      <c r="CW20" s="392"/>
    </row>
    <row r="21" spans="4:101" ht="20.25">
      <c r="D21" s="392"/>
      <c r="E21" s="580"/>
      <c r="F21" s="580"/>
      <c r="G21" s="597"/>
      <c r="H21" s="595"/>
      <c r="I21" s="595"/>
      <c r="J21" s="580"/>
      <c r="K21" s="513"/>
      <c r="L21" s="539"/>
      <c r="M21" s="602"/>
      <c r="N21" s="607"/>
      <c r="O21" s="456"/>
      <c r="P21" s="456"/>
      <c r="Q21" s="456"/>
      <c r="R21" s="456"/>
      <c r="S21" s="456"/>
      <c r="T21" s="456"/>
      <c r="U21" s="456"/>
      <c r="V21" s="456"/>
      <c r="W21" s="456"/>
      <c r="X21" s="456"/>
      <c r="Y21" s="456"/>
      <c r="Z21" s="456"/>
      <c r="AA21" s="384">
        <v>16</v>
      </c>
      <c r="AB21" s="395">
        <f>COUNTIF(E6:J50,AA21)</f>
        <v>0</v>
      </c>
      <c r="AC21" s="395">
        <f>COUNTIF(E6:Y50,AA21)</f>
        <v>0</v>
      </c>
      <c r="AD21" s="618">
        <v>16</v>
      </c>
      <c r="AE21" s="501"/>
      <c r="AF21" s="501"/>
      <c r="AG21" s="501"/>
      <c r="AH21" s="501"/>
      <c r="AI21" s="501"/>
      <c r="AJ21" s="501"/>
      <c r="AK21" s="501"/>
      <c r="AL21" s="501"/>
      <c r="AM21" s="501"/>
      <c r="AN21" s="501"/>
      <c r="AP21" s="420">
        <v>698</v>
      </c>
      <c r="AQ21" s="398">
        <v>8</v>
      </c>
      <c r="AR21" s="398">
        <v>7</v>
      </c>
      <c r="AS21" s="398">
        <v>10</v>
      </c>
      <c r="AT21" s="398">
        <v>4</v>
      </c>
      <c r="AU21" s="398">
        <v>7</v>
      </c>
      <c r="AV21" s="398">
        <v>2</v>
      </c>
      <c r="AX21" s="398">
        <v>4</v>
      </c>
      <c r="AZ21" s="398">
        <f t="shared" ref="AZ21:AZ32" si="11">COUNTIF(AQ21:AV21,0)</f>
        <v>0</v>
      </c>
      <c r="BA21" s="463">
        <f t="shared" ref="BA21:BA45" si="12">COUNTIF(AQ21:AV21,1)</f>
        <v>0</v>
      </c>
      <c r="BB21" s="463">
        <f t="shared" ref="BB21:BB45" si="13">COUNTIF(AQ21:AV21,2)</f>
        <v>1</v>
      </c>
      <c r="BC21" s="463">
        <f t="shared" ref="BC21:BC45" si="14">COUNTIF(AQ21:AV21,3)</f>
        <v>0</v>
      </c>
      <c r="BD21" s="463">
        <f t="shared" ref="BD21:BD45" si="15">COUNTIF(AQ21:AV21,4)</f>
        <v>1</v>
      </c>
      <c r="BE21" s="463">
        <f t="shared" ref="BE21:BE45" si="16">COUNTIF(AQ21:AV21,5)</f>
        <v>0</v>
      </c>
      <c r="BF21" s="463">
        <f t="shared" ref="BF21:BF45" si="17">COUNTIF(AQ21:AV21,6)</f>
        <v>0</v>
      </c>
      <c r="BG21" s="463">
        <f t="shared" ref="BG21:BG45" si="18">COUNTIF(AQ21:AV21,7)</f>
        <v>2</v>
      </c>
      <c r="BH21" s="463">
        <f t="shared" ref="BH21:BH45" si="19">COUNTIF(AQ21:AV21,8)</f>
        <v>1</v>
      </c>
      <c r="BI21" s="463">
        <f t="shared" ref="BI21:BI45" si="20">COUNTIF(AQ21:AV21,9)</f>
        <v>0</v>
      </c>
      <c r="BJ21" s="463">
        <f t="shared" ref="BJ21:BJ45" si="21">COUNTIF(AQ21:AV21,10)</f>
        <v>1</v>
      </c>
      <c r="BK21" s="392"/>
      <c r="BL21" s="290"/>
      <c r="BM21" s="290"/>
      <c r="BN21" s="290"/>
      <c r="BO21" s="301">
        <v>4</v>
      </c>
      <c r="BP21" s="465">
        <f>COUNTIF(BE3:BE61,BO21)</f>
        <v>0</v>
      </c>
      <c r="BQ21" s="442">
        <f>BP21/BP24</f>
        <v>0</v>
      </c>
      <c r="BR21" s="463"/>
      <c r="BS21" s="301">
        <v>4</v>
      </c>
      <c r="BT21" s="465">
        <f>COUNTIF(BF3:BF61,BS21)</f>
        <v>1</v>
      </c>
      <c r="BU21" s="442">
        <f>BT21/BT24</f>
        <v>2.3255813953488372E-2</v>
      </c>
      <c r="BV21" s="463"/>
      <c r="BW21" s="301">
        <v>4</v>
      </c>
      <c r="BX21" s="465">
        <f>COUNTIF(BG3:BG61,BW21)</f>
        <v>0</v>
      </c>
      <c r="BY21" s="442">
        <f>BX21/BX24</f>
        <v>0</v>
      </c>
      <c r="BZ21" s="463"/>
      <c r="CA21" s="301">
        <v>4</v>
      </c>
      <c r="CB21" s="465">
        <f>COUNTIF(BH3:BH61,CA21)</f>
        <v>0</v>
      </c>
      <c r="CC21" s="442">
        <f>CB21/CB24</f>
        <v>0</v>
      </c>
      <c r="CD21" s="463"/>
      <c r="CE21" s="301">
        <v>4</v>
      </c>
      <c r="CF21" s="465">
        <f>COUNTIF(BI3:BI61,CE21)</f>
        <v>0</v>
      </c>
      <c r="CG21" s="442">
        <f>CF21/CF24</f>
        <v>0</v>
      </c>
      <c r="CH21" s="392"/>
      <c r="CI21" s="392"/>
      <c r="CJ21" s="392"/>
      <c r="CK21" s="392"/>
      <c r="CM21" s="392"/>
      <c r="CN21" s="392"/>
      <c r="CO21" s="392"/>
      <c r="CP21" s="392"/>
      <c r="CQ21" s="392"/>
      <c r="CR21" s="392"/>
      <c r="CS21" s="392"/>
      <c r="CT21" s="392"/>
      <c r="CU21" s="392"/>
      <c r="CV21" s="392"/>
      <c r="CW21" s="392"/>
    </row>
    <row r="22" spans="4:101" ht="20.25">
      <c r="D22" s="392"/>
      <c r="E22" s="580"/>
      <c r="F22" s="580"/>
      <c r="G22" s="596"/>
      <c r="H22" s="595"/>
      <c r="I22" s="597"/>
      <c r="J22" s="580"/>
      <c r="K22" s="513"/>
      <c r="L22" s="539"/>
      <c r="M22" s="601"/>
      <c r="N22" s="607"/>
      <c r="O22" s="456"/>
      <c r="P22" s="456"/>
      <c r="Q22" s="456"/>
      <c r="R22" s="456"/>
      <c r="S22" s="456"/>
      <c r="T22" s="456"/>
      <c r="U22" s="456"/>
      <c r="V22" s="456"/>
      <c r="W22" s="456"/>
      <c r="X22" s="456"/>
      <c r="Y22" s="456"/>
      <c r="Z22" s="456"/>
      <c r="AA22" s="384">
        <v>17</v>
      </c>
      <c r="AB22" s="395">
        <f>COUNTIF(E6:J50,AA22)</f>
        <v>0</v>
      </c>
      <c r="AC22" s="395">
        <f>COUNTIF(E6:Y50,AA22)</f>
        <v>0</v>
      </c>
      <c r="AD22" s="618">
        <v>17</v>
      </c>
      <c r="AE22" s="501"/>
      <c r="AF22" s="501"/>
      <c r="AG22" s="501"/>
      <c r="AH22" s="501"/>
      <c r="AI22" s="501"/>
      <c r="AJ22" s="501"/>
      <c r="AK22" s="501"/>
      <c r="AL22" s="501"/>
      <c r="AM22" s="500"/>
      <c r="AN22" s="500"/>
      <c r="AP22" s="420">
        <v>699</v>
      </c>
      <c r="AQ22" s="398">
        <v>8</v>
      </c>
      <c r="AR22" s="398">
        <v>8</v>
      </c>
      <c r="AS22" s="398">
        <v>9</v>
      </c>
      <c r="AT22" s="398">
        <v>6</v>
      </c>
      <c r="AU22" s="398">
        <v>8</v>
      </c>
      <c r="AV22" s="398">
        <v>4</v>
      </c>
      <c r="AX22" s="398">
        <v>5</v>
      </c>
      <c r="AZ22" s="398">
        <f t="shared" si="11"/>
        <v>0</v>
      </c>
      <c r="BA22" s="398">
        <f t="shared" si="12"/>
        <v>0</v>
      </c>
      <c r="BB22" s="398">
        <f t="shared" si="13"/>
        <v>0</v>
      </c>
      <c r="BC22" s="398">
        <f t="shared" si="14"/>
        <v>0</v>
      </c>
      <c r="BD22" s="398">
        <f t="shared" si="15"/>
        <v>1</v>
      </c>
      <c r="BE22" s="398">
        <f t="shared" si="16"/>
        <v>0</v>
      </c>
      <c r="BF22" s="398">
        <f t="shared" si="17"/>
        <v>1</v>
      </c>
      <c r="BG22" s="398">
        <f t="shared" si="18"/>
        <v>0</v>
      </c>
      <c r="BH22" s="398">
        <f t="shared" si="19"/>
        <v>3</v>
      </c>
      <c r="BI22" s="398">
        <f t="shared" si="20"/>
        <v>1</v>
      </c>
      <c r="BJ22" s="398">
        <f t="shared" si="21"/>
        <v>0</v>
      </c>
      <c r="BK22" s="392"/>
      <c r="BL22" s="290"/>
      <c r="BM22" s="391"/>
      <c r="BN22" s="290"/>
      <c r="BO22" s="301">
        <v>5</v>
      </c>
      <c r="BP22" s="465">
        <f>COUNTIF(BE3:BE61,BO22)</f>
        <v>0</v>
      </c>
      <c r="BQ22" s="442">
        <f>BP22/BP24</f>
        <v>0</v>
      </c>
      <c r="BR22" s="463"/>
      <c r="BS22" s="301">
        <v>5</v>
      </c>
      <c r="BT22" s="465">
        <f>COUNTIF(BF3:BF61,BS22)</f>
        <v>0</v>
      </c>
      <c r="BU22" s="442">
        <f>BT22/BT24</f>
        <v>0</v>
      </c>
      <c r="BV22" s="463"/>
      <c r="BW22" s="301">
        <v>5</v>
      </c>
      <c r="BX22" s="465">
        <f>COUNTIF(BG3:BG61,BW22)</f>
        <v>0</v>
      </c>
      <c r="BY22" s="442">
        <f>BX22/BX24</f>
        <v>0</v>
      </c>
      <c r="BZ22" s="463"/>
      <c r="CA22" s="301">
        <v>5</v>
      </c>
      <c r="CB22" s="465">
        <f>COUNTIF(BH3:BH61,CA22)</f>
        <v>0</v>
      </c>
      <c r="CC22" s="442">
        <f>CB22/CB24</f>
        <v>0</v>
      </c>
      <c r="CD22" s="463"/>
      <c r="CE22" s="301">
        <v>5</v>
      </c>
      <c r="CF22" s="465">
        <f>COUNTIF(BI3:BI61,CE22)</f>
        <v>0</v>
      </c>
      <c r="CG22" s="442">
        <f>CF22/CF24</f>
        <v>0</v>
      </c>
      <c r="CH22" s="392"/>
      <c r="CI22" s="392"/>
      <c r="CJ22" s="392"/>
      <c r="CK22" s="392"/>
      <c r="CM22" s="392"/>
      <c r="CN22" s="392"/>
      <c r="CO22" s="392"/>
      <c r="CP22" s="392"/>
      <c r="CQ22" s="392"/>
      <c r="CR22" s="392"/>
      <c r="CS22" s="392"/>
      <c r="CT22" s="392"/>
      <c r="CU22" s="392"/>
      <c r="CV22" s="392"/>
      <c r="CW22" s="392"/>
    </row>
    <row r="23" spans="4:101" ht="20.25">
      <c r="D23" s="392"/>
      <c r="E23" s="580"/>
      <c r="F23" s="580"/>
      <c r="G23" s="596"/>
      <c r="H23" s="595"/>
      <c r="I23" s="595"/>
      <c r="J23" s="580"/>
      <c r="K23" s="513"/>
      <c r="L23" s="539"/>
      <c r="M23" s="600"/>
      <c r="N23" s="607"/>
      <c r="O23" s="456"/>
      <c r="P23" s="456"/>
      <c r="Q23" s="456"/>
      <c r="R23" s="456"/>
      <c r="S23" s="456"/>
      <c r="T23" s="456"/>
      <c r="U23" s="456"/>
      <c r="V23" s="456"/>
      <c r="W23" s="456"/>
      <c r="X23" s="456"/>
      <c r="Y23" s="456"/>
      <c r="Z23" s="412"/>
      <c r="AA23" s="384">
        <v>18</v>
      </c>
      <c r="AB23" s="395">
        <f>COUNTIF(E6:J50,AA23)</f>
        <v>0</v>
      </c>
      <c r="AC23" s="395">
        <f>COUNTIF(E6:Y50,AA23)</f>
        <v>0</v>
      </c>
      <c r="AD23" s="618">
        <v>18</v>
      </c>
      <c r="AE23" s="501"/>
      <c r="AF23" s="501"/>
      <c r="AG23" s="501"/>
      <c r="AH23" s="501"/>
      <c r="AI23" s="501"/>
      <c r="AJ23" s="501"/>
      <c r="AK23" s="501"/>
      <c r="AL23" s="501"/>
      <c r="AM23" s="500"/>
      <c r="AN23" s="501"/>
      <c r="AP23" s="420">
        <v>700</v>
      </c>
      <c r="AQ23" s="398">
        <v>6</v>
      </c>
      <c r="AR23" s="398">
        <v>6</v>
      </c>
      <c r="AS23" s="398">
        <v>6</v>
      </c>
      <c r="AT23" s="398">
        <v>8</v>
      </c>
      <c r="AU23" s="398">
        <v>3</v>
      </c>
      <c r="AV23" s="398">
        <v>6</v>
      </c>
      <c r="AX23" s="398">
        <v>5</v>
      </c>
      <c r="AZ23" s="398">
        <f t="shared" si="11"/>
        <v>0</v>
      </c>
      <c r="BA23" s="398">
        <f t="shared" si="12"/>
        <v>0</v>
      </c>
      <c r="BB23" s="398">
        <f t="shared" si="13"/>
        <v>0</v>
      </c>
      <c r="BC23" s="398">
        <f t="shared" si="14"/>
        <v>1</v>
      </c>
      <c r="BD23" s="398">
        <f t="shared" si="15"/>
        <v>0</v>
      </c>
      <c r="BE23" s="398">
        <f t="shared" si="16"/>
        <v>0</v>
      </c>
      <c r="BF23" s="398">
        <f t="shared" si="17"/>
        <v>4</v>
      </c>
      <c r="BG23" s="398">
        <f t="shared" si="18"/>
        <v>0</v>
      </c>
      <c r="BH23" s="398">
        <f t="shared" si="19"/>
        <v>1</v>
      </c>
      <c r="BI23" s="398">
        <f t="shared" si="20"/>
        <v>0</v>
      </c>
      <c r="BJ23" s="398">
        <f t="shared" si="21"/>
        <v>0</v>
      </c>
      <c r="BK23" s="392"/>
      <c r="BL23" s="391"/>
      <c r="BM23" s="290"/>
      <c r="BN23" s="391"/>
      <c r="BO23" s="395">
        <v>6</v>
      </c>
      <c r="BP23" s="465">
        <f>COUNTIF(BE3:BE61,BO23)</f>
        <v>0</v>
      </c>
      <c r="BQ23" s="442">
        <f>BP23/BP24</f>
        <v>0</v>
      </c>
      <c r="BR23" s="392"/>
      <c r="BS23" s="395">
        <v>6</v>
      </c>
      <c r="BT23" s="465">
        <f>COUNTIF(BF3:BF61,BS23)</f>
        <v>0</v>
      </c>
      <c r="BU23" s="442">
        <f>BT23/BT24</f>
        <v>0</v>
      </c>
      <c r="BV23" s="392"/>
      <c r="BW23" s="395">
        <v>6</v>
      </c>
      <c r="BX23" s="465">
        <f>COUNTIF(BG3:BG61,BW23)</f>
        <v>0</v>
      </c>
      <c r="BY23" s="442">
        <f>BX23/BX24</f>
        <v>0</v>
      </c>
      <c r="BZ23" s="392"/>
      <c r="CA23" s="395">
        <v>6</v>
      </c>
      <c r="CB23" s="465">
        <f>COUNTIF(BH3:BH61,CA23)</f>
        <v>0</v>
      </c>
      <c r="CC23" s="442">
        <f>CB23/CB24</f>
        <v>0</v>
      </c>
      <c r="CD23" s="392"/>
      <c r="CE23" s="395">
        <v>6</v>
      </c>
      <c r="CF23" s="465">
        <f>COUNTIF(BI3:BI61,CE23)</f>
        <v>0</v>
      </c>
      <c r="CG23" s="442">
        <f>CF23/CF24</f>
        <v>0</v>
      </c>
      <c r="CH23" s="392"/>
      <c r="CI23" s="392"/>
      <c r="CJ23" s="392"/>
      <c r="CK23" s="392"/>
      <c r="CM23" s="392"/>
      <c r="CN23" s="392"/>
      <c r="CO23" s="392"/>
      <c r="CP23" s="392"/>
      <c r="CQ23" s="392"/>
      <c r="CR23" s="392"/>
      <c r="CS23" s="392"/>
      <c r="CT23" s="392"/>
      <c r="CU23" s="392"/>
      <c r="CV23" s="392"/>
      <c r="CW23" s="392"/>
    </row>
    <row r="24" spans="4:101" ht="20.25">
      <c r="D24" s="392"/>
      <c r="E24" s="580"/>
      <c r="F24" s="580"/>
      <c r="G24" s="596"/>
      <c r="H24" s="597"/>
      <c r="I24" s="597"/>
      <c r="J24" s="580"/>
      <c r="K24" s="513"/>
      <c r="L24" s="539"/>
      <c r="M24" s="600"/>
      <c r="N24" s="607"/>
      <c r="O24" s="456"/>
      <c r="P24" s="456"/>
      <c r="Q24" s="456"/>
      <c r="R24" s="456"/>
      <c r="S24" s="456"/>
      <c r="T24" s="456"/>
      <c r="U24" s="456"/>
      <c r="V24" s="456"/>
      <c r="W24" s="456"/>
      <c r="X24" s="456"/>
      <c r="Y24" s="456"/>
      <c r="Z24" s="456"/>
      <c r="AA24" s="384">
        <v>19</v>
      </c>
      <c r="AB24" s="395">
        <f>COUNTIF(E6:J50,AA24)</f>
        <v>0</v>
      </c>
      <c r="AC24" s="395">
        <f>COUNTIF(E6:Y50,AA24)</f>
        <v>0</v>
      </c>
      <c r="AD24" s="618">
        <v>19</v>
      </c>
      <c r="AE24" s="501"/>
      <c r="AF24" s="501"/>
      <c r="AG24" s="501"/>
      <c r="AH24" s="501"/>
      <c r="AI24" s="501"/>
      <c r="AJ24" s="501"/>
      <c r="AK24" s="501"/>
      <c r="AL24" s="501"/>
      <c r="AM24" s="501"/>
      <c r="AN24" s="501"/>
      <c r="AP24" s="420">
        <v>701</v>
      </c>
      <c r="AQ24" s="398">
        <v>10</v>
      </c>
      <c r="AR24" s="398">
        <v>4</v>
      </c>
      <c r="AS24" s="398">
        <v>9</v>
      </c>
      <c r="AT24" s="398">
        <v>7</v>
      </c>
      <c r="AU24" s="398">
        <v>6</v>
      </c>
      <c r="AV24" s="398">
        <v>9</v>
      </c>
      <c r="AX24" s="398">
        <v>5</v>
      </c>
      <c r="AZ24" s="398">
        <f t="shared" si="11"/>
        <v>0</v>
      </c>
      <c r="BA24" s="398">
        <f t="shared" si="12"/>
        <v>0</v>
      </c>
      <c r="BB24" s="398">
        <f t="shared" si="13"/>
        <v>0</v>
      </c>
      <c r="BC24" s="398">
        <f t="shared" si="14"/>
        <v>0</v>
      </c>
      <c r="BD24" s="398">
        <f t="shared" si="15"/>
        <v>1</v>
      </c>
      <c r="BE24" s="398">
        <f t="shared" si="16"/>
        <v>0</v>
      </c>
      <c r="BF24" s="398">
        <f t="shared" si="17"/>
        <v>1</v>
      </c>
      <c r="BG24" s="398">
        <f t="shared" si="18"/>
        <v>1</v>
      </c>
      <c r="BH24" s="398">
        <f t="shared" si="19"/>
        <v>0</v>
      </c>
      <c r="BI24" s="398">
        <f t="shared" si="20"/>
        <v>2</v>
      </c>
      <c r="BJ24" s="398">
        <f t="shared" si="21"/>
        <v>1</v>
      </c>
      <c r="BK24" s="392"/>
      <c r="BL24" s="290"/>
      <c r="BM24" s="290"/>
      <c r="BN24" s="290"/>
      <c r="BO24" s="395"/>
      <c r="BP24" s="395">
        <f>SUM(BP17:BP23)</f>
        <v>43</v>
      </c>
      <c r="BQ24" s="466">
        <f>SUM(BQ17:BQ23)</f>
        <v>1</v>
      </c>
      <c r="BR24" s="412"/>
      <c r="BS24" s="395"/>
      <c r="BT24" s="395">
        <f>SUM(BT17:BT23)</f>
        <v>43</v>
      </c>
      <c r="BU24" s="466">
        <f>SUM(BU17:BU23)</f>
        <v>1</v>
      </c>
      <c r="BV24" s="392"/>
      <c r="BW24" s="395"/>
      <c r="BX24" s="395">
        <f>SUM(BX17:BX23)</f>
        <v>43</v>
      </c>
      <c r="BY24" s="466">
        <f>SUM(BY17:BY23)</f>
        <v>1</v>
      </c>
      <c r="BZ24" s="392"/>
      <c r="CA24" s="395"/>
      <c r="CB24" s="395">
        <f>SUM(CB17:CB23)</f>
        <v>43</v>
      </c>
      <c r="CC24" s="466">
        <f>SUM(CC17:CC23)</f>
        <v>1</v>
      </c>
      <c r="CD24" s="392"/>
      <c r="CE24" s="395"/>
      <c r="CF24" s="395">
        <f>SUM(CF17:CF23)</f>
        <v>43</v>
      </c>
      <c r="CG24" s="466">
        <f>SUM(CG17:CG23)</f>
        <v>1</v>
      </c>
      <c r="CH24" s="392"/>
      <c r="CI24" s="392"/>
      <c r="CJ24" s="392"/>
      <c r="CK24" s="392"/>
      <c r="CM24" s="392"/>
      <c r="CN24" s="392"/>
      <c r="CO24" s="392"/>
      <c r="CP24" s="392"/>
      <c r="CQ24" s="392"/>
      <c r="CR24" s="392"/>
      <c r="CS24" s="392"/>
      <c r="CT24" s="392"/>
      <c r="CU24" s="392"/>
      <c r="CV24" s="392"/>
      <c r="CW24" s="392"/>
    </row>
    <row r="25" spans="4:101" ht="20.25">
      <c r="D25" s="392"/>
      <c r="E25" s="580"/>
      <c r="F25" s="580"/>
      <c r="G25" s="597"/>
      <c r="H25" s="597"/>
      <c r="I25" s="595"/>
      <c r="J25" s="580"/>
      <c r="K25" s="513"/>
      <c r="L25" s="539"/>
      <c r="M25" s="602"/>
      <c r="N25" s="607"/>
      <c r="O25" s="456"/>
      <c r="P25" s="456"/>
      <c r="Q25" s="456"/>
      <c r="R25" s="456"/>
      <c r="S25" s="456"/>
      <c r="T25" s="456"/>
      <c r="U25" s="456"/>
      <c r="V25" s="456"/>
      <c r="W25" s="456"/>
      <c r="X25" s="456"/>
      <c r="Y25" s="456"/>
      <c r="Z25" s="456"/>
      <c r="AA25" s="384">
        <v>20</v>
      </c>
      <c r="AB25" s="395">
        <f>COUNTIF(E6:J50,AA25)</f>
        <v>0</v>
      </c>
      <c r="AC25" s="395">
        <f>COUNTIF(E6:Y50,AA25)</f>
        <v>0</v>
      </c>
      <c r="AD25" s="618">
        <v>20</v>
      </c>
      <c r="AE25" s="501"/>
      <c r="AF25" s="501"/>
      <c r="AG25" s="501"/>
      <c r="AH25" s="501"/>
      <c r="AI25" s="501"/>
      <c r="AJ25" s="501"/>
      <c r="AK25" s="501"/>
      <c r="AL25" s="501"/>
      <c r="AM25" s="500"/>
      <c r="AN25" s="500"/>
      <c r="AP25" s="420">
        <v>702</v>
      </c>
      <c r="AQ25" s="398">
        <v>10</v>
      </c>
      <c r="AR25" s="398">
        <v>10</v>
      </c>
      <c r="AS25" s="398">
        <v>8</v>
      </c>
      <c r="AT25" s="398">
        <v>7</v>
      </c>
      <c r="AU25" s="398">
        <v>8</v>
      </c>
      <c r="AV25" s="398">
        <v>5</v>
      </c>
      <c r="AX25" s="398">
        <v>6</v>
      </c>
      <c r="AZ25" s="398">
        <f t="shared" si="11"/>
        <v>0</v>
      </c>
      <c r="BA25" s="398">
        <f t="shared" si="12"/>
        <v>0</v>
      </c>
      <c r="BB25" s="398">
        <f t="shared" si="13"/>
        <v>0</v>
      </c>
      <c r="BC25" s="398">
        <f t="shared" si="14"/>
        <v>0</v>
      </c>
      <c r="BD25" s="398">
        <f t="shared" si="15"/>
        <v>0</v>
      </c>
      <c r="BE25" s="398">
        <f t="shared" si="16"/>
        <v>1</v>
      </c>
      <c r="BF25" s="398">
        <f t="shared" si="17"/>
        <v>0</v>
      </c>
      <c r="BG25" s="398">
        <f t="shared" si="18"/>
        <v>1</v>
      </c>
      <c r="BH25" s="398">
        <f t="shared" si="19"/>
        <v>2</v>
      </c>
      <c r="BI25" s="398">
        <f t="shared" si="20"/>
        <v>0</v>
      </c>
      <c r="BJ25" s="398">
        <f t="shared" si="21"/>
        <v>2</v>
      </c>
      <c r="BK25" s="392"/>
      <c r="BL25" s="290"/>
      <c r="BM25" s="290"/>
      <c r="BN25" s="290"/>
      <c r="BO25" s="290"/>
      <c r="BP25" s="290"/>
      <c r="BQ25" s="290"/>
      <c r="BR25" s="290"/>
      <c r="BS25" s="290"/>
      <c r="BT25" s="391"/>
      <c r="BU25" s="392"/>
      <c r="BV25" s="392"/>
      <c r="BW25" s="392"/>
      <c r="BX25" s="392"/>
      <c r="BY25" s="392"/>
      <c r="BZ25" s="392"/>
      <c r="CA25" s="392"/>
      <c r="CB25" s="392"/>
      <c r="CC25" s="392"/>
      <c r="CD25" s="392"/>
      <c r="CE25" s="392"/>
      <c r="CF25" s="392"/>
      <c r="CG25" s="392"/>
      <c r="CH25" s="392"/>
      <c r="CI25" s="392"/>
      <c r="CJ25" s="392"/>
      <c r="CK25" s="392"/>
      <c r="CM25" s="392"/>
      <c r="CN25" s="392"/>
      <c r="CO25" s="392"/>
      <c r="CP25" s="392"/>
      <c r="CQ25" s="392"/>
      <c r="CR25" s="392"/>
      <c r="CS25" s="392"/>
      <c r="CT25" s="392"/>
      <c r="CU25" s="392"/>
      <c r="CV25" s="392"/>
      <c r="CW25" s="392"/>
    </row>
    <row r="26" spans="4:101" ht="20.25">
      <c r="D26" s="392"/>
      <c r="E26" s="580"/>
      <c r="F26" s="580"/>
      <c r="G26" s="597"/>
      <c r="H26" s="594"/>
      <c r="I26" s="594"/>
      <c r="J26" s="580"/>
      <c r="K26" s="513"/>
      <c r="L26" s="539"/>
      <c r="M26" s="600"/>
      <c r="N26" s="607"/>
      <c r="O26" s="456"/>
      <c r="P26" s="456"/>
      <c r="Q26" s="456"/>
      <c r="R26" s="456"/>
      <c r="S26" s="456"/>
      <c r="T26" s="456"/>
      <c r="U26" s="456"/>
      <c r="V26" s="456"/>
      <c r="W26" s="456"/>
      <c r="X26" s="456"/>
      <c r="Y26" s="456"/>
      <c r="Z26" s="456"/>
      <c r="AA26" s="384">
        <v>21</v>
      </c>
      <c r="AB26" s="395">
        <f>COUNTIF(E6:J50,AA26)</f>
        <v>0</v>
      </c>
      <c r="AC26" s="395">
        <f>COUNTIF(E6:Y50,AA26)</f>
        <v>0</v>
      </c>
      <c r="AD26" s="618"/>
      <c r="AE26" s="501"/>
      <c r="AF26" s="501"/>
      <c r="AG26" s="501"/>
      <c r="AH26" s="501"/>
      <c r="AI26" s="501"/>
      <c r="AJ26" s="501"/>
      <c r="AK26" s="501"/>
      <c r="AL26" s="501"/>
      <c r="AM26" s="500"/>
      <c r="AN26" s="501"/>
      <c r="AP26" s="420">
        <v>703</v>
      </c>
      <c r="AQ26" s="398">
        <v>4</v>
      </c>
      <c r="AR26" s="398">
        <v>6</v>
      </c>
      <c r="AS26" s="398">
        <v>4</v>
      </c>
      <c r="AT26" s="398">
        <v>7</v>
      </c>
      <c r="AU26" s="398">
        <v>1</v>
      </c>
      <c r="AV26" s="398">
        <v>9</v>
      </c>
      <c r="AX26" s="398">
        <v>3</v>
      </c>
      <c r="AZ26" s="398">
        <f t="shared" si="11"/>
        <v>0</v>
      </c>
      <c r="BA26" s="398">
        <f t="shared" si="12"/>
        <v>1</v>
      </c>
      <c r="BB26" s="398">
        <f t="shared" si="13"/>
        <v>0</v>
      </c>
      <c r="BC26" s="398">
        <f t="shared" si="14"/>
        <v>0</v>
      </c>
      <c r="BD26" s="398">
        <f t="shared" si="15"/>
        <v>2</v>
      </c>
      <c r="BE26" s="398">
        <f t="shared" si="16"/>
        <v>0</v>
      </c>
      <c r="BF26" s="398">
        <f t="shared" si="17"/>
        <v>1</v>
      </c>
      <c r="BG26" s="398">
        <f t="shared" si="18"/>
        <v>1</v>
      </c>
      <c r="BH26" s="398">
        <f t="shared" si="19"/>
        <v>0</v>
      </c>
      <c r="BI26" s="398">
        <f t="shared" si="20"/>
        <v>1</v>
      </c>
      <c r="BJ26" s="398">
        <f t="shared" si="21"/>
        <v>0</v>
      </c>
      <c r="BK26" s="392"/>
      <c r="BL26" s="290"/>
      <c r="BM26" s="290"/>
      <c r="BN26" s="290"/>
      <c r="BO26" s="290"/>
      <c r="BP26" s="290"/>
      <c r="BQ26" s="290"/>
      <c r="BR26" s="290"/>
      <c r="BS26" s="290"/>
      <c r="BT26" s="392"/>
      <c r="BU26" s="392"/>
      <c r="BV26" s="392"/>
      <c r="BW26" s="392"/>
      <c r="BX26" s="392"/>
      <c r="BY26" s="392"/>
      <c r="BZ26" s="392"/>
      <c r="CA26" s="392"/>
      <c r="CB26" s="392"/>
      <c r="CC26" s="392"/>
      <c r="CD26" s="392"/>
      <c r="CE26" s="392"/>
      <c r="CF26" s="392"/>
      <c r="CG26" s="392"/>
      <c r="CH26" s="392"/>
      <c r="CI26" s="392"/>
      <c r="CJ26" s="392"/>
      <c r="CK26" s="392"/>
      <c r="CM26" s="392"/>
      <c r="CN26" s="392"/>
      <c r="CO26" s="392"/>
      <c r="CP26" s="392"/>
      <c r="CQ26" s="392"/>
      <c r="CR26" s="392"/>
      <c r="CS26" s="392"/>
      <c r="CT26" s="392"/>
      <c r="CU26" s="392"/>
      <c r="CV26" s="392"/>
      <c r="CW26" s="392"/>
    </row>
    <row r="27" spans="4:101" ht="20.25">
      <c r="D27" s="392"/>
      <c r="E27" s="580"/>
      <c r="F27" s="580"/>
      <c r="G27" s="594"/>
      <c r="H27" s="595"/>
      <c r="I27" s="596"/>
      <c r="J27" s="580"/>
      <c r="K27" s="513"/>
      <c r="L27" s="498"/>
      <c r="M27" s="602"/>
      <c r="N27" s="607"/>
      <c r="O27" s="456"/>
      <c r="P27" s="456"/>
      <c r="Q27" s="456"/>
      <c r="R27" s="456"/>
      <c r="S27" s="456"/>
      <c r="T27" s="456"/>
      <c r="U27" s="456"/>
      <c r="V27" s="456"/>
      <c r="W27" s="456"/>
      <c r="X27" s="456"/>
      <c r="Y27" s="456"/>
      <c r="Z27" s="456"/>
      <c r="AA27" s="384">
        <v>22</v>
      </c>
      <c r="AB27" s="395">
        <f>COUNTIF(E6:J50,AA27)</f>
        <v>0</v>
      </c>
      <c r="AC27" s="395">
        <f>COUNTIF(E6:Y50,AA27)</f>
        <v>0</v>
      </c>
      <c r="AD27" s="618">
        <v>22</v>
      </c>
      <c r="AE27" s="501"/>
      <c r="AF27" s="501"/>
      <c r="AG27" s="501"/>
      <c r="AH27" s="501"/>
      <c r="AI27" s="501"/>
      <c r="AJ27" s="501"/>
      <c r="AK27" s="501"/>
      <c r="AL27" s="501"/>
      <c r="AM27" s="501"/>
      <c r="AN27" s="500"/>
      <c r="AP27" s="420">
        <v>704</v>
      </c>
      <c r="AQ27" s="398">
        <v>8</v>
      </c>
      <c r="AR27" s="398">
        <v>9</v>
      </c>
      <c r="AS27" s="398">
        <v>9</v>
      </c>
      <c r="AT27" s="398">
        <v>4</v>
      </c>
      <c r="AU27" s="398">
        <v>6</v>
      </c>
      <c r="AV27" s="398">
        <v>5</v>
      </c>
      <c r="AX27" s="398">
        <v>5</v>
      </c>
      <c r="AZ27" s="398">
        <f t="shared" si="11"/>
        <v>0</v>
      </c>
      <c r="BA27" s="398">
        <f t="shared" si="12"/>
        <v>0</v>
      </c>
      <c r="BB27" s="398">
        <f t="shared" si="13"/>
        <v>0</v>
      </c>
      <c r="BC27" s="398">
        <f t="shared" si="14"/>
        <v>0</v>
      </c>
      <c r="BD27" s="398">
        <f t="shared" si="15"/>
        <v>1</v>
      </c>
      <c r="BE27" s="398">
        <f t="shared" si="16"/>
        <v>1</v>
      </c>
      <c r="BF27" s="398">
        <f t="shared" si="17"/>
        <v>1</v>
      </c>
      <c r="BG27" s="398">
        <f t="shared" si="18"/>
        <v>0</v>
      </c>
      <c r="BH27" s="398">
        <f t="shared" si="19"/>
        <v>1</v>
      </c>
      <c r="BI27" s="398">
        <f t="shared" si="20"/>
        <v>2</v>
      </c>
      <c r="BJ27" s="398">
        <f t="shared" si="21"/>
        <v>0</v>
      </c>
      <c r="BK27" s="392"/>
      <c r="BL27" s="392"/>
      <c r="BM27" s="290"/>
      <c r="BN27" s="290"/>
      <c r="BO27" s="290"/>
      <c r="BP27" s="290"/>
      <c r="BQ27" s="290"/>
      <c r="BR27" s="290"/>
      <c r="BS27" s="290"/>
      <c r="BT27" s="392"/>
      <c r="BU27" s="392"/>
      <c r="BV27" s="392"/>
      <c r="BW27" s="392"/>
      <c r="BX27" s="392"/>
      <c r="BY27" s="392"/>
      <c r="BZ27" s="392"/>
      <c r="CA27" s="392"/>
      <c r="CB27" s="392"/>
      <c r="CC27" s="392"/>
      <c r="CD27" s="392"/>
      <c r="CE27" s="392"/>
      <c r="CF27" s="392"/>
      <c r="CG27" s="392"/>
      <c r="CH27" s="392"/>
      <c r="CI27" s="392"/>
      <c r="CJ27" s="392"/>
      <c r="CK27" s="392"/>
      <c r="CM27" s="392"/>
      <c r="CN27" s="392"/>
      <c r="CO27" s="392"/>
      <c r="CP27" s="392"/>
      <c r="CQ27" s="392"/>
      <c r="CR27" s="392"/>
      <c r="CS27" s="392"/>
      <c r="CT27" s="392"/>
      <c r="CU27" s="392"/>
      <c r="CV27" s="392"/>
      <c r="CW27" s="392"/>
    </row>
    <row r="28" spans="4:101" ht="20.25">
      <c r="D28" s="392"/>
      <c r="E28" s="580"/>
      <c r="F28" s="580"/>
      <c r="G28" s="595"/>
      <c r="H28" s="594"/>
      <c r="I28" s="595"/>
      <c r="J28" s="580"/>
      <c r="K28" s="513"/>
      <c r="L28" s="498"/>
      <c r="M28" s="600"/>
      <c r="N28" s="607"/>
      <c r="O28" s="456"/>
      <c r="P28" s="456"/>
      <c r="Q28" s="456"/>
      <c r="R28" s="456"/>
      <c r="S28" s="456"/>
      <c r="T28" s="456"/>
      <c r="U28" s="456"/>
      <c r="V28" s="456"/>
      <c r="W28" s="456"/>
      <c r="X28" s="456"/>
      <c r="Y28" s="456"/>
      <c r="Z28" s="456"/>
      <c r="AA28" s="384">
        <v>23</v>
      </c>
      <c r="AB28" s="395">
        <f>COUNTIF(E6:J50,AA28)</f>
        <v>0</v>
      </c>
      <c r="AC28" s="395">
        <f>COUNTIF(E6:Y50,AA28)</f>
        <v>0</v>
      </c>
      <c r="AD28" s="618">
        <v>23</v>
      </c>
      <c r="AE28" s="501"/>
      <c r="AF28" s="501"/>
      <c r="AG28" s="501"/>
      <c r="AH28" s="501"/>
      <c r="AI28" s="501"/>
      <c r="AJ28" s="501"/>
      <c r="AK28" s="501"/>
      <c r="AL28" s="501"/>
      <c r="AM28" s="500"/>
      <c r="AN28" s="501"/>
      <c r="AP28" s="420">
        <v>705</v>
      </c>
      <c r="AQ28" s="398">
        <v>8</v>
      </c>
      <c r="AR28" s="398">
        <v>3</v>
      </c>
      <c r="AS28" s="398">
        <v>5</v>
      </c>
      <c r="AT28" s="398">
        <v>1</v>
      </c>
      <c r="AU28" s="398">
        <v>6</v>
      </c>
      <c r="AV28" s="398">
        <v>4</v>
      </c>
      <c r="AX28" s="398">
        <v>3</v>
      </c>
      <c r="AZ28" s="398">
        <f t="shared" si="11"/>
        <v>0</v>
      </c>
      <c r="BA28" s="398">
        <f t="shared" si="12"/>
        <v>1</v>
      </c>
      <c r="BB28" s="398">
        <f t="shared" si="13"/>
        <v>0</v>
      </c>
      <c r="BC28" s="398">
        <f t="shared" si="14"/>
        <v>1</v>
      </c>
      <c r="BD28" s="398">
        <f t="shared" si="15"/>
        <v>1</v>
      </c>
      <c r="BE28" s="398">
        <f t="shared" si="16"/>
        <v>1</v>
      </c>
      <c r="BF28" s="398">
        <f t="shared" si="17"/>
        <v>1</v>
      </c>
      <c r="BG28" s="398">
        <f t="shared" si="18"/>
        <v>0</v>
      </c>
      <c r="BH28" s="398">
        <f t="shared" si="19"/>
        <v>1</v>
      </c>
      <c r="BI28" s="398">
        <f t="shared" si="20"/>
        <v>0</v>
      </c>
      <c r="BJ28" s="398">
        <f t="shared" si="21"/>
        <v>0</v>
      </c>
      <c r="BK28" s="392"/>
      <c r="BL28" s="392"/>
      <c r="BM28" s="290"/>
      <c r="BN28" s="290"/>
      <c r="BO28" s="290"/>
      <c r="BP28" s="290"/>
      <c r="BQ28" s="290"/>
      <c r="BR28" s="290"/>
      <c r="BS28" s="290"/>
      <c r="BT28" s="392"/>
      <c r="BU28" s="392"/>
      <c r="BV28" s="392"/>
      <c r="BW28" s="392"/>
      <c r="BX28" s="392"/>
      <c r="BY28" s="392"/>
      <c r="BZ28" s="392"/>
      <c r="CA28" s="392"/>
      <c r="CB28" s="392"/>
      <c r="CC28" s="392"/>
      <c r="CD28" s="392"/>
      <c r="CE28" s="392"/>
      <c r="CF28" s="392"/>
      <c r="CG28" s="392"/>
      <c r="CH28" s="392"/>
      <c r="CI28" s="392"/>
      <c r="CJ28" s="392"/>
      <c r="CK28" s="392"/>
      <c r="CM28" s="392"/>
      <c r="CN28" s="392"/>
      <c r="CO28" s="392"/>
      <c r="CP28" s="392"/>
      <c r="CQ28" s="392"/>
      <c r="CR28" s="392"/>
      <c r="CS28" s="392"/>
      <c r="CT28" s="392"/>
      <c r="CU28" s="392"/>
      <c r="CV28" s="392"/>
      <c r="CW28" s="392"/>
    </row>
    <row r="29" spans="4:101" ht="20.25">
      <c r="D29" s="392"/>
      <c r="E29" s="580"/>
      <c r="F29" s="580"/>
      <c r="G29" s="594"/>
      <c r="H29" s="596"/>
      <c r="I29" s="595"/>
      <c r="J29" s="580"/>
      <c r="K29" s="513"/>
      <c r="L29" s="539"/>
      <c r="M29" s="600"/>
      <c r="N29" s="607"/>
      <c r="O29" s="456"/>
      <c r="P29" s="456"/>
      <c r="Q29" s="456"/>
      <c r="R29" s="456"/>
      <c r="S29" s="456"/>
      <c r="T29" s="456"/>
      <c r="U29" s="456"/>
      <c r="V29" s="456"/>
      <c r="W29" s="456"/>
      <c r="X29" s="456"/>
      <c r="Y29" s="456"/>
      <c r="Z29" s="456"/>
      <c r="AA29" s="384">
        <v>24</v>
      </c>
      <c r="AB29" s="395">
        <f>COUNTIF(E6:J50,AA29)</f>
        <v>0</v>
      </c>
      <c r="AC29" s="395">
        <f>COUNTIF(E6:Y50,AA29)</f>
        <v>0</v>
      </c>
      <c r="AD29" s="618">
        <v>24</v>
      </c>
      <c r="AE29" s="501"/>
      <c r="AF29" s="501"/>
      <c r="AG29" s="501"/>
      <c r="AH29" s="501"/>
      <c r="AI29" s="501"/>
      <c r="AJ29" s="501"/>
      <c r="AK29" s="501"/>
      <c r="AL29" s="501"/>
      <c r="AM29" s="500"/>
      <c r="AN29" s="501"/>
      <c r="AP29" s="420">
        <v>706</v>
      </c>
      <c r="AQ29" s="398">
        <v>7</v>
      </c>
      <c r="AR29" s="398">
        <v>10</v>
      </c>
      <c r="AS29" s="398">
        <v>5</v>
      </c>
      <c r="AT29" s="398">
        <v>6</v>
      </c>
      <c r="AU29" s="398">
        <v>3</v>
      </c>
      <c r="AV29" s="398">
        <v>4</v>
      </c>
      <c r="AX29" s="398">
        <v>4</v>
      </c>
      <c r="AZ29" s="398">
        <f t="shared" si="11"/>
        <v>0</v>
      </c>
      <c r="BA29" s="398">
        <f t="shared" si="12"/>
        <v>0</v>
      </c>
      <c r="BB29" s="398">
        <f t="shared" si="13"/>
        <v>0</v>
      </c>
      <c r="BC29" s="398">
        <f t="shared" si="14"/>
        <v>1</v>
      </c>
      <c r="BD29" s="398">
        <f t="shared" si="15"/>
        <v>1</v>
      </c>
      <c r="BE29" s="398">
        <f t="shared" si="16"/>
        <v>1</v>
      </c>
      <c r="BF29" s="398">
        <f t="shared" si="17"/>
        <v>1</v>
      </c>
      <c r="BG29" s="398">
        <f t="shared" si="18"/>
        <v>1</v>
      </c>
      <c r="BH29" s="398">
        <f t="shared" si="19"/>
        <v>0</v>
      </c>
      <c r="BI29" s="398">
        <f t="shared" si="20"/>
        <v>0</v>
      </c>
      <c r="BJ29" s="398">
        <f t="shared" si="21"/>
        <v>1</v>
      </c>
      <c r="BK29" s="392"/>
      <c r="BL29" s="297"/>
      <c r="BM29" s="290"/>
      <c r="BN29" s="290"/>
      <c r="BO29" s="290"/>
      <c r="BP29" s="290"/>
      <c r="BQ29" s="290"/>
      <c r="BR29" s="290"/>
      <c r="BS29" s="290"/>
      <c r="BT29" s="392"/>
      <c r="BU29" s="392"/>
      <c r="BV29" s="392"/>
      <c r="BW29" s="392"/>
      <c r="BX29" s="392"/>
      <c r="BY29" s="392"/>
      <c r="BZ29" s="392"/>
      <c r="CA29" s="392"/>
      <c r="CB29" s="392"/>
      <c r="CC29" s="392"/>
      <c r="CD29" s="392"/>
      <c r="CE29" s="392"/>
      <c r="CF29" s="392"/>
      <c r="CG29" s="392"/>
      <c r="CH29" s="392"/>
      <c r="CI29" s="392"/>
      <c r="CJ29" s="392"/>
      <c r="CK29" s="392"/>
      <c r="CM29" s="392"/>
      <c r="CN29" s="392"/>
      <c r="CO29" s="392"/>
      <c r="CP29" s="392"/>
      <c r="CQ29" s="392"/>
      <c r="CR29" s="392"/>
      <c r="CS29" s="392"/>
      <c r="CT29" s="392"/>
      <c r="CU29" s="392"/>
      <c r="CV29" s="392"/>
      <c r="CW29" s="392"/>
    </row>
    <row r="30" spans="4:101" ht="20.25">
      <c r="E30" s="580"/>
      <c r="F30" s="580"/>
      <c r="G30" s="596"/>
      <c r="H30" s="595"/>
      <c r="I30" s="594"/>
      <c r="J30" s="580"/>
      <c r="K30" s="513"/>
      <c r="L30" s="498"/>
      <c r="M30" s="600"/>
      <c r="N30" s="607"/>
      <c r="O30" s="456"/>
      <c r="P30" s="456"/>
      <c r="Q30" s="456"/>
      <c r="R30" s="456"/>
      <c r="S30" s="456"/>
      <c r="T30" s="456"/>
      <c r="U30" s="456"/>
      <c r="V30" s="456"/>
      <c r="W30" s="456"/>
      <c r="X30" s="456"/>
      <c r="Y30" s="456"/>
      <c r="Z30" s="456"/>
      <c r="AA30" s="384">
        <v>25</v>
      </c>
      <c r="AB30" s="395">
        <f>COUNTIF(E6:J50,AA30)</f>
        <v>0</v>
      </c>
      <c r="AC30" s="395">
        <f>COUNTIF(E6:Y50,AA30)</f>
        <v>0</v>
      </c>
      <c r="AD30" s="618"/>
      <c r="AE30" s="501"/>
      <c r="AF30" s="501"/>
      <c r="AG30" s="501"/>
      <c r="AH30" s="501"/>
      <c r="AI30" s="501"/>
      <c r="AJ30" s="501"/>
      <c r="AK30" s="501"/>
      <c r="AL30" s="501"/>
      <c r="AM30" s="501"/>
      <c r="AN30" s="500"/>
      <c r="AP30" s="420">
        <v>707</v>
      </c>
      <c r="AQ30" s="398">
        <v>6</v>
      </c>
      <c r="AR30" s="398">
        <v>4</v>
      </c>
      <c r="AS30" s="398">
        <v>4</v>
      </c>
      <c r="AT30" s="398">
        <v>9</v>
      </c>
      <c r="AU30" s="398">
        <v>6</v>
      </c>
      <c r="AV30" s="398">
        <v>8</v>
      </c>
      <c r="AX30" s="398">
        <v>4</v>
      </c>
      <c r="AZ30" s="398">
        <f t="shared" si="11"/>
        <v>0</v>
      </c>
      <c r="BA30" s="398">
        <f t="shared" si="12"/>
        <v>0</v>
      </c>
      <c r="BB30" s="398">
        <f t="shared" si="13"/>
        <v>0</v>
      </c>
      <c r="BC30" s="398">
        <f t="shared" si="14"/>
        <v>0</v>
      </c>
      <c r="BD30" s="398">
        <f t="shared" si="15"/>
        <v>2</v>
      </c>
      <c r="BE30" s="398">
        <f t="shared" si="16"/>
        <v>0</v>
      </c>
      <c r="BF30" s="398">
        <f t="shared" si="17"/>
        <v>2</v>
      </c>
      <c r="BG30" s="398">
        <f t="shared" si="18"/>
        <v>0</v>
      </c>
      <c r="BH30" s="398">
        <f t="shared" si="19"/>
        <v>1</v>
      </c>
      <c r="BI30" s="398">
        <f t="shared" si="20"/>
        <v>1</v>
      </c>
      <c r="BJ30" s="398">
        <f t="shared" si="21"/>
        <v>0</v>
      </c>
      <c r="BK30" s="392"/>
      <c r="BL30" s="392"/>
      <c r="BM30" s="290"/>
      <c r="BN30" s="290"/>
      <c r="BO30" s="290"/>
      <c r="BP30" s="290"/>
      <c r="BQ30" s="290"/>
      <c r="BR30" s="290"/>
      <c r="BS30" s="290"/>
      <c r="BT30" s="392"/>
      <c r="BU30" s="392"/>
      <c r="BV30" s="392"/>
      <c r="BW30" s="392"/>
      <c r="BX30" s="392"/>
      <c r="BY30" s="392"/>
      <c r="BZ30" s="392"/>
      <c r="CA30" s="392"/>
      <c r="CB30" s="392"/>
      <c r="CC30" s="392"/>
      <c r="CD30" s="392"/>
      <c r="CE30" s="392"/>
      <c r="CF30" s="392"/>
      <c r="CG30" s="392"/>
      <c r="CH30" s="392"/>
      <c r="CI30" s="392"/>
      <c r="CJ30" s="392"/>
      <c r="CK30" s="392"/>
      <c r="CM30" s="392"/>
      <c r="CN30" s="392"/>
      <c r="CO30" s="392"/>
      <c r="CP30" s="392"/>
      <c r="CQ30" s="392"/>
      <c r="CR30" s="392"/>
      <c r="CS30" s="392"/>
      <c r="CT30" s="392"/>
      <c r="CU30" s="392"/>
      <c r="CV30" s="392"/>
      <c r="CW30" s="392"/>
    </row>
    <row r="31" spans="4:101" ht="20.25">
      <c r="E31" s="580"/>
      <c r="F31" s="580"/>
      <c r="G31" s="594"/>
      <c r="H31" s="595"/>
      <c r="I31" s="594"/>
      <c r="J31" s="580"/>
      <c r="K31" s="513"/>
      <c r="L31" s="498"/>
      <c r="M31" s="599"/>
      <c r="N31" s="607"/>
      <c r="O31" s="456"/>
      <c r="P31" s="456"/>
      <c r="Q31" s="456"/>
      <c r="R31" s="456"/>
      <c r="S31" s="456"/>
      <c r="T31" s="456"/>
      <c r="U31" s="456"/>
      <c r="V31" s="456"/>
      <c r="W31" s="456"/>
      <c r="X31" s="456"/>
      <c r="Y31" s="456"/>
      <c r="Z31" s="456"/>
      <c r="AA31" s="384">
        <v>26</v>
      </c>
      <c r="AB31" s="395">
        <f>COUNTIF(E6:J50,AA31)</f>
        <v>0</v>
      </c>
      <c r="AC31" s="395">
        <f>COUNTIF(E6:Y50,AA31)</f>
        <v>0</v>
      </c>
      <c r="AD31" s="618">
        <v>26</v>
      </c>
      <c r="AE31" s="501"/>
      <c r="AF31" s="501"/>
      <c r="AG31" s="501"/>
      <c r="AH31" s="501"/>
      <c r="AI31" s="501"/>
      <c r="AJ31" s="501"/>
      <c r="AK31" s="501"/>
      <c r="AL31" s="501"/>
      <c r="AM31" s="500"/>
      <c r="AN31" s="501"/>
      <c r="AP31" s="420">
        <v>708</v>
      </c>
      <c r="AQ31" s="398">
        <v>8</v>
      </c>
      <c r="AR31" s="398">
        <v>8</v>
      </c>
      <c r="AS31" s="398">
        <v>6</v>
      </c>
      <c r="AT31" s="398">
        <v>6</v>
      </c>
      <c r="AU31" s="398">
        <v>8</v>
      </c>
      <c r="AV31" s="398">
        <v>4</v>
      </c>
      <c r="AX31" s="398">
        <v>5</v>
      </c>
      <c r="AZ31" s="398">
        <f t="shared" si="11"/>
        <v>0</v>
      </c>
      <c r="BA31" s="398">
        <f t="shared" si="12"/>
        <v>0</v>
      </c>
      <c r="BB31" s="398">
        <f t="shared" si="13"/>
        <v>0</v>
      </c>
      <c r="BC31" s="398">
        <f t="shared" si="14"/>
        <v>0</v>
      </c>
      <c r="BD31" s="398">
        <f t="shared" si="15"/>
        <v>1</v>
      </c>
      <c r="BE31" s="398">
        <f t="shared" si="16"/>
        <v>0</v>
      </c>
      <c r="BF31" s="398">
        <f t="shared" si="17"/>
        <v>2</v>
      </c>
      <c r="BG31" s="398">
        <f t="shared" si="18"/>
        <v>0</v>
      </c>
      <c r="BH31" s="398">
        <f t="shared" si="19"/>
        <v>3</v>
      </c>
      <c r="BI31" s="398">
        <f t="shared" si="20"/>
        <v>0</v>
      </c>
      <c r="BJ31" s="398">
        <f t="shared" si="21"/>
        <v>0</v>
      </c>
      <c r="BK31" s="392"/>
      <c r="BL31" s="392"/>
      <c r="BM31" s="290"/>
      <c r="BN31" s="290"/>
      <c r="BO31" s="290"/>
      <c r="BP31" s="290"/>
      <c r="BQ31" s="290"/>
      <c r="BR31" s="290"/>
      <c r="BS31" s="290"/>
      <c r="BT31" s="392"/>
      <c r="BU31" s="392"/>
      <c r="BV31" s="392"/>
      <c r="BW31" s="392"/>
      <c r="BX31" s="392"/>
      <c r="BY31" s="392"/>
      <c r="BZ31" s="392"/>
      <c r="CA31" s="392"/>
      <c r="CB31" s="392"/>
      <c r="CC31" s="392"/>
      <c r="CD31" s="392"/>
      <c r="CE31" s="392"/>
      <c r="CF31" s="392"/>
      <c r="CG31" s="392"/>
      <c r="CH31" s="392"/>
      <c r="CI31" s="392"/>
      <c r="CJ31" s="392"/>
      <c r="CK31" s="392"/>
      <c r="CM31" s="392"/>
      <c r="CN31" s="392"/>
      <c r="CO31" s="392"/>
      <c r="CP31" s="392"/>
      <c r="CQ31" s="392"/>
      <c r="CR31" s="392"/>
      <c r="CS31" s="392"/>
      <c r="CT31" s="392"/>
      <c r="CU31" s="392"/>
      <c r="CV31" s="392"/>
      <c r="CW31" s="392"/>
    </row>
    <row r="32" spans="4:101" ht="20.25">
      <c r="E32" s="580"/>
      <c r="F32" s="580"/>
      <c r="G32" s="597"/>
      <c r="H32" s="594"/>
      <c r="I32" s="594"/>
      <c r="J32" s="580"/>
      <c r="K32" s="513"/>
      <c r="L32" s="498"/>
      <c r="M32" s="601"/>
      <c r="N32" s="607"/>
      <c r="O32" s="456"/>
      <c r="P32" s="456"/>
      <c r="Q32" s="456"/>
      <c r="R32" s="456"/>
      <c r="S32" s="456"/>
      <c r="T32" s="456"/>
      <c r="U32" s="456"/>
      <c r="V32" s="456"/>
      <c r="W32" s="456"/>
      <c r="X32" s="456"/>
      <c r="Y32" s="456"/>
      <c r="Z32" s="456"/>
      <c r="AA32" s="384">
        <v>27</v>
      </c>
      <c r="AB32" s="395">
        <f>COUNTIF(E6:J50,AA32)</f>
        <v>0</v>
      </c>
      <c r="AC32" s="395">
        <f>COUNTIF(E6:Y50,AA32)</f>
        <v>0</v>
      </c>
      <c r="AD32" s="618">
        <v>27</v>
      </c>
      <c r="AE32" s="501"/>
      <c r="AF32" s="501"/>
      <c r="AG32" s="501"/>
      <c r="AH32" s="501"/>
      <c r="AI32" s="501"/>
      <c r="AJ32" s="501"/>
      <c r="AK32" s="501"/>
      <c r="AL32" s="501"/>
      <c r="AM32" s="500"/>
      <c r="AN32" s="500"/>
      <c r="AP32" s="420">
        <v>709</v>
      </c>
      <c r="AQ32" s="398">
        <v>7</v>
      </c>
      <c r="AR32" s="398">
        <v>6</v>
      </c>
      <c r="AS32" s="398">
        <v>4</v>
      </c>
      <c r="AT32" s="398">
        <v>7</v>
      </c>
      <c r="AU32" s="398">
        <v>8</v>
      </c>
      <c r="AV32" s="398">
        <v>10</v>
      </c>
      <c r="AX32" s="398">
        <v>5</v>
      </c>
      <c r="AZ32" s="398">
        <f t="shared" si="11"/>
        <v>0</v>
      </c>
      <c r="BA32" s="398">
        <f t="shared" si="12"/>
        <v>0</v>
      </c>
      <c r="BB32" s="398">
        <f t="shared" si="13"/>
        <v>0</v>
      </c>
      <c r="BC32" s="398">
        <f t="shared" si="14"/>
        <v>0</v>
      </c>
      <c r="BD32" s="398">
        <f t="shared" si="15"/>
        <v>1</v>
      </c>
      <c r="BE32" s="398">
        <f t="shared" si="16"/>
        <v>0</v>
      </c>
      <c r="BF32" s="398">
        <f t="shared" si="17"/>
        <v>1</v>
      </c>
      <c r="BG32" s="398">
        <f t="shared" si="18"/>
        <v>2</v>
      </c>
      <c r="BH32" s="398">
        <f t="shared" si="19"/>
        <v>1</v>
      </c>
      <c r="BI32" s="398">
        <f t="shared" si="20"/>
        <v>0</v>
      </c>
      <c r="BJ32" s="398">
        <f t="shared" si="21"/>
        <v>1</v>
      </c>
      <c r="BK32" s="392"/>
      <c r="BL32" s="376"/>
      <c r="BM32" s="290"/>
      <c r="BN32" s="301">
        <v>1</v>
      </c>
      <c r="BO32" s="301">
        <f>COUNTIF(AX3:AX54,BN32)</f>
        <v>0</v>
      </c>
      <c r="BP32" s="442">
        <f>BO32/BO38</f>
        <v>0</v>
      </c>
      <c r="BQ32" s="290"/>
      <c r="BR32" s="290"/>
      <c r="BS32" s="392"/>
      <c r="BT32" s="392"/>
      <c r="BU32" s="391"/>
      <c r="BV32" s="392"/>
      <c r="BW32" s="392"/>
      <c r="BX32" s="392"/>
      <c r="BY32" s="392"/>
      <c r="BZ32" s="392"/>
      <c r="CA32" s="392"/>
      <c r="CB32" s="392"/>
      <c r="CC32" s="392"/>
      <c r="CD32" s="392"/>
      <c r="CE32" s="392"/>
      <c r="CF32" s="392"/>
      <c r="CG32" s="392"/>
      <c r="CH32" s="392"/>
      <c r="CI32" s="392"/>
      <c r="CJ32" s="392"/>
      <c r="CK32" s="392"/>
      <c r="CM32" s="392"/>
      <c r="CN32" s="392"/>
      <c r="CO32" s="392"/>
      <c r="CP32" s="392"/>
      <c r="CQ32" s="392"/>
      <c r="CR32" s="392"/>
      <c r="CS32" s="392"/>
      <c r="CT32" s="392"/>
      <c r="CU32" s="392"/>
      <c r="CV32" s="392"/>
    </row>
    <row r="33" spans="5:105" ht="20.25">
      <c r="E33" s="580"/>
      <c r="F33" s="580"/>
      <c r="G33" s="595"/>
      <c r="H33" s="595"/>
      <c r="I33" s="594"/>
      <c r="J33" s="580"/>
      <c r="K33" s="513"/>
      <c r="L33" s="539"/>
      <c r="M33" s="601"/>
      <c r="N33" s="607"/>
      <c r="O33" s="456"/>
      <c r="P33" s="456"/>
      <c r="Q33" s="456"/>
      <c r="R33" s="456"/>
      <c r="S33" s="456"/>
      <c r="T33" s="456"/>
      <c r="U33" s="456"/>
      <c r="V33" s="456"/>
      <c r="W33" s="456"/>
      <c r="X33" s="456"/>
      <c r="Y33" s="456"/>
      <c r="Z33" s="456"/>
      <c r="AA33" s="384">
        <v>28</v>
      </c>
      <c r="AB33" s="395">
        <f>COUNTIF(E6:J50,AA33)</f>
        <v>0</v>
      </c>
      <c r="AC33" s="395">
        <f>COUNTIF(E6:Y50,AA33)</f>
        <v>0</v>
      </c>
      <c r="AD33" s="618">
        <v>28</v>
      </c>
      <c r="AE33" s="501"/>
      <c r="AF33" s="501"/>
      <c r="AG33" s="501"/>
      <c r="AH33" s="501"/>
      <c r="AI33" s="501"/>
      <c r="AJ33" s="501"/>
      <c r="AK33" s="501"/>
      <c r="AL33" s="501"/>
      <c r="AM33" s="501"/>
      <c r="AN33" s="501"/>
      <c r="AP33" s="420">
        <v>710</v>
      </c>
      <c r="AQ33" s="398">
        <v>7</v>
      </c>
      <c r="AR33" s="398">
        <v>5</v>
      </c>
      <c r="AS33" s="398">
        <v>3</v>
      </c>
      <c r="AT33" s="398">
        <v>10</v>
      </c>
      <c r="AU33" s="398">
        <v>4</v>
      </c>
      <c r="AV33" s="398">
        <v>3</v>
      </c>
      <c r="AX33" s="398">
        <v>3</v>
      </c>
      <c r="AZ33" s="398">
        <f t="shared" ref="AZ33:AZ45" si="22">COUNTIF(AQ33:AV33,0)</f>
        <v>0</v>
      </c>
      <c r="BA33" s="398">
        <f t="shared" si="12"/>
        <v>0</v>
      </c>
      <c r="BB33" s="398">
        <f t="shared" si="13"/>
        <v>0</v>
      </c>
      <c r="BC33" s="398">
        <f t="shared" si="14"/>
        <v>2</v>
      </c>
      <c r="BD33" s="398">
        <f t="shared" si="15"/>
        <v>1</v>
      </c>
      <c r="BE33" s="398">
        <f t="shared" si="16"/>
        <v>1</v>
      </c>
      <c r="BF33" s="398">
        <f t="shared" si="17"/>
        <v>0</v>
      </c>
      <c r="BG33" s="398">
        <f t="shared" si="18"/>
        <v>1</v>
      </c>
      <c r="BH33" s="398">
        <f t="shared" si="19"/>
        <v>0</v>
      </c>
      <c r="BI33" s="398">
        <f t="shared" si="20"/>
        <v>0</v>
      </c>
      <c r="BJ33" s="398">
        <f t="shared" si="21"/>
        <v>1</v>
      </c>
      <c r="BK33" s="394"/>
      <c r="BL33" s="375"/>
      <c r="BM33" s="290"/>
      <c r="BN33" s="301">
        <v>2</v>
      </c>
      <c r="BO33" s="479">
        <f>COUNTIF(AX3:AX55,BN33)</f>
        <v>2</v>
      </c>
      <c r="BP33" s="442">
        <f>BO33/BO38</f>
        <v>4.878048780487805E-2</v>
      </c>
      <c r="BQ33" s="290"/>
      <c r="BR33" s="290"/>
      <c r="BS33" s="392"/>
      <c r="BT33" s="392"/>
      <c r="BU33" s="391"/>
      <c r="BV33" s="392"/>
      <c r="BW33" s="392"/>
      <c r="BX33" s="392"/>
      <c r="BY33" s="392"/>
      <c r="BZ33" s="392"/>
      <c r="CA33" s="392"/>
      <c r="CB33" s="392"/>
      <c r="CC33" s="392"/>
      <c r="CD33" s="392"/>
      <c r="CE33" s="392"/>
      <c r="CF33" s="392"/>
      <c r="CG33" s="392"/>
      <c r="CH33" s="392"/>
      <c r="CI33" s="392"/>
      <c r="CJ33" s="392"/>
      <c r="CK33" s="392"/>
      <c r="CM33" s="392"/>
      <c r="CN33" s="392"/>
      <c r="CO33" s="392"/>
      <c r="CP33" s="392"/>
      <c r="CQ33" s="392"/>
      <c r="CR33" s="392"/>
      <c r="CS33" s="392"/>
      <c r="CT33" s="392"/>
      <c r="CU33" s="392"/>
      <c r="CV33" s="392"/>
    </row>
    <row r="34" spans="5:105" ht="20.25">
      <c r="E34" s="580"/>
      <c r="F34" s="580"/>
      <c r="G34" s="566"/>
      <c r="H34" s="564"/>
      <c r="I34" s="564"/>
      <c r="J34" s="580"/>
      <c r="K34" s="513"/>
      <c r="L34" s="462"/>
      <c r="M34" s="602"/>
      <c r="N34" s="607"/>
      <c r="O34" s="456"/>
      <c r="P34" s="456"/>
      <c r="Q34" s="456"/>
      <c r="R34" s="456"/>
      <c r="S34" s="456"/>
      <c r="T34" s="456"/>
      <c r="U34" s="456"/>
      <c r="V34" s="456"/>
      <c r="W34" s="456"/>
      <c r="X34" s="456"/>
      <c r="Y34" s="456"/>
      <c r="Z34" s="456"/>
      <c r="AA34" s="384">
        <v>29</v>
      </c>
      <c r="AB34" s="395">
        <f>COUNTIF(E6:J50,AA34)</f>
        <v>0</v>
      </c>
      <c r="AC34" s="395">
        <f>COUNTIF(E6:Y50,AA34)</f>
        <v>0</v>
      </c>
      <c r="AD34" s="618">
        <v>29</v>
      </c>
      <c r="AE34" s="501"/>
      <c r="AF34" s="501"/>
      <c r="AG34" s="501"/>
      <c r="AH34" s="501"/>
      <c r="AI34" s="501"/>
      <c r="AJ34" s="501"/>
      <c r="AK34" s="501"/>
      <c r="AL34" s="501"/>
      <c r="AM34" s="500"/>
      <c r="AN34" s="501"/>
      <c r="AP34" s="420">
        <v>711</v>
      </c>
      <c r="AQ34" s="398">
        <v>10</v>
      </c>
      <c r="AR34" s="398">
        <v>4</v>
      </c>
      <c r="AS34" s="398">
        <v>6</v>
      </c>
      <c r="AT34" s="398">
        <v>5</v>
      </c>
      <c r="AU34" s="398">
        <v>7</v>
      </c>
      <c r="AV34" s="398">
        <v>4</v>
      </c>
      <c r="AX34" s="398">
        <v>4</v>
      </c>
      <c r="AZ34" s="398">
        <f t="shared" si="22"/>
        <v>0</v>
      </c>
      <c r="BA34" s="398">
        <f t="shared" si="12"/>
        <v>0</v>
      </c>
      <c r="BB34" s="398">
        <f t="shared" si="13"/>
        <v>0</v>
      </c>
      <c r="BC34" s="398">
        <f t="shared" si="14"/>
        <v>0</v>
      </c>
      <c r="BD34" s="398">
        <f t="shared" si="15"/>
        <v>2</v>
      </c>
      <c r="BE34" s="398">
        <f t="shared" si="16"/>
        <v>1</v>
      </c>
      <c r="BF34" s="398">
        <f t="shared" si="17"/>
        <v>1</v>
      </c>
      <c r="BG34" s="398">
        <f t="shared" si="18"/>
        <v>1</v>
      </c>
      <c r="BH34" s="398">
        <f t="shared" si="19"/>
        <v>0</v>
      </c>
      <c r="BI34" s="398">
        <f t="shared" si="20"/>
        <v>0</v>
      </c>
      <c r="BJ34" s="398">
        <f t="shared" si="21"/>
        <v>1</v>
      </c>
      <c r="BK34" s="392"/>
      <c r="BL34" s="392"/>
      <c r="BM34" s="392"/>
      <c r="BN34" s="301">
        <v>3</v>
      </c>
      <c r="BO34" s="479">
        <f>COUNTIF(AX3:AX56,BN34)</f>
        <v>7</v>
      </c>
      <c r="BP34" s="442">
        <f>BO34/BO38</f>
        <v>0.17073170731707318</v>
      </c>
      <c r="BQ34" s="392"/>
      <c r="BR34" s="392"/>
      <c r="BS34" s="392"/>
      <c r="BT34" s="392"/>
      <c r="BU34" s="392"/>
      <c r="BV34" s="392"/>
      <c r="BW34" s="392"/>
      <c r="BX34" s="392"/>
      <c r="BY34" s="392"/>
      <c r="BZ34" s="392"/>
      <c r="CA34" s="392"/>
      <c r="CB34" s="392"/>
      <c r="CC34" s="392"/>
      <c r="CD34" s="392"/>
      <c r="CE34" s="392"/>
      <c r="CF34" s="392"/>
      <c r="CG34" s="392"/>
      <c r="CH34" s="392"/>
      <c r="CI34" s="392"/>
      <c r="CJ34" s="392"/>
      <c r="CK34" s="392"/>
      <c r="CM34" s="392"/>
      <c r="CN34" s="392"/>
      <c r="CO34" s="392"/>
      <c r="CP34" s="392"/>
      <c r="CQ34" s="392"/>
      <c r="CR34" s="392"/>
      <c r="CS34" s="392"/>
      <c r="CT34" s="392"/>
      <c r="CU34" s="392"/>
      <c r="CV34" s="392"/>
    </row>
    <row r="35" spans="5:105" ht="20.25">
      <c r="E35" s="580"/>
      <c r="F35" s="580"/>
      <c r="G35" s="565"/>
      <c r="H35" s="564"/>
      <c r="I35" s="564"/>
      <c r="J35" s="580"/>
      <c r="K35" s="513"/>
      <c r="L35" s="456"/>
      <c r="M35" s="601"/>
      <c r="N35" s="607"/>
      <c r="O35" s="456"/>
      <c r="P35" s="456"/>
      <c r="Q35" s="456"/>
      <c r="R35" s="456"/>
      <c r="S35" s="456"/>
      <c r="T35" s="456"/>
      <c r="U35" s="456"/>
      <c r="V35" s="456"/>
      <c r="W35" s="456"/>
      <c r="X35" s="456"/>
      <c r="Y35" s="456"/>
      <c r="Z35" s="456"/>
      <c r="AA35" s="384">
        <v>30</v>
      </c>
      <c r="AB35" s="395">
        <f>COUNTIF(E6:J50,AA35)</f>
        <v>0</v>
      </c>
      <c r="AC35" s="395">
        <f>COUNTIF(E6:Y50,AA35)</f>
        <v>0</v>
      </c>
      <c r="AD35" s="618"/>
      <c r="AE35" s="501"/>
      <c r="AF35" s="501"/>
      <c r="AG35" s="501"/>
      <c r="AH35" s="501"/>
      <c r="AI35" s="501"/>
      <c r="AJ35" s="501"/>
      <c r="AK35" s="501"/>
      <c r="AL35" s="501"/>
      <c r="AM35" s="500"/>
      <c r="AN35" s="500"/>
      <c r="AP35" s="420">
        <v>712</v>
      </c>
      <c r="AQ35" s="398">
        <v>8</v>
      </c>
      <c r="AR35" s="398">
        <v>1</v>
      </c>
      <c r="AS35" s="398">
        <v>4</v>
      </c>
      <c r="AT35" s="398">
        <v>8</v>
      </c>
      <c r="AU35" s="398">
        <v>5</v>
      </c>
      <c r="AV35" s="398">
        <v>4</v>
      </c>
      <c r="AX35" s="398">
        <v>3</v>
      </c>
      <c r="AZ35" s="398">
        <f t="shared" si="22"/>
        <v>0</v>
      </c>
      <c r="BA35" s="398">
        <f t="shared" si="12"/>
        <v>1</v>
      </c>
      <c r="BB35" s="398">
        <f t="shared" si="13"/>
        <v>0</v>
      </c>
      <c r="BC35" s="398">
        <f t="shared" si="14"/>
        <v>0</v>
      </c>
      <c r="BD35" s="398">
        <f t="shared" si="15"/>
        <v>2</v>
      </c>
      <c r="BE35" s="398">
        <f t="shared" si="16"/>
        <v>1</v>
      </c>
      <c r="BF35" s="398">
        <f t="shared" si="17"/>
        <v>0</v>
      </c>
      <c r="BG35" s="398">
        <f t="shared" si="18"/>
        <v>0</v>
      </c>
      <c r="BH35" s="398">
        <f t="shared" si="19"/>
        <v>2</v>
      </c>
      <c r="BI35" s="398">
        <f t="shared" si="20"/>
        <v>0</v>
      </c>
      <c r="BJ35" s="398">
        <f t="shared" si="21"/>
        <v>0</v>
      </c>
      <c r="BK35" s="392"/>
      <c r="BL35" s="392"/>
      <c r="BM35" s="392"/>
      <c r="BN35" s="301">
        <v>4</v>
      </c>
      <c r="BO35" s="479">
        <f>COUNTIF(AX3:AX57,BN35)</f>
        <v>7</v>
      </c>
      <c r="BP35" s="442">
        <f>BO35/BO38</f>
        <v>0.17073170731707318</v>
      </c>
      <c r="BQ35" s="392"/>
      <c r="BR35" s="392"/>
      <c r="BS35" s="392"/>
      <c r="BT35" s="392"/>
      <c r="BU35" s="392"/>
      <c r="BV35" s="392"/>
      <c r="BW35" s="392"/>
      <c r="BX35" s="392"/>
      <c r="BY35" s="392"/>
      <c r="BZ35" s="392"/>
      <c r="CA35" s="392"/>
      <c r="CB35" s="392"/>
      <c r="CC35" s="392"/>
      <c r="CD35" s="392"/>
      <c r="CE35" s="392"/>
      <c r="CF35" s="392"/>
      <c r="CG35" s="392"/>
      <c r="CH35" s="297"/>
      <c r="CI35" s="392"/>
      <c r="CJ35" s="392"/>
      <c r="CK35" s="392"/>
      <c r="CM35" s="392"/>
      <c r="CN35" s="392"/>
      <c r="CO35" s="392"/>
      <c r="CP35" s="392"/>
      <c r="CQ35" s="392"/>
      <c r="CR35" s="392"/>
      <c r="CS35" s="392"/>
      <c r="CT35" s="392"/>
      <c r="CU35" s="392"/>
      <c r="CV35" s="392"/>
      <c r="CY35" s="392"/>
    </row>
    <row r="36" spans="5:105" ht="20.25">
      <c r="E36" s="580"/>
      <c r="F36" s="580"/>
      <c r="G36" s="564"/>
      <c r="H36" s="564"/>
      <c r="I36" s="564"/>
      <c r="J36" s="569"/>
      <c r="K36" s="542"/>
      <c r="L36" s="456"/>
      <c r="M36" s="600"/>
      <c r="N36" s="607"/>
      <c r="O36" s="456"/>
      <c r="P36" s="456"/>
      <c r="Q36" s="456"/>
      <c r="R36" s="456"/>
      <c r="S36" s="456"/>
      <c r="T36" s="456"/>
      <c r="U36" s="456"/>
      <c r="V36" s="456"/>
      <c r="W36" s="456"/>
      <c r="X36" s="456"/>
      <c r="Y36" s="456"/>
      <c r="Z36" s="456"/>
      <c r="AA36" s="384">
        <v>31</v>
      </c>
      <c r="AB36" s="395">
        <f>COUNTIF(E6:J50,AA36)</f>
        <v>0</v>
      </c>
      <c r="AC36" s="395">
        <f>COUNTIF(E6:Y50,AA36)</f>
        <v>0</v>
      </c>
      <c r="AD36" s="618">
        <v>31</v>
      </c>
      <c r="AE36" s="501"/>
      <c r="AF36" s="501"/>
      <c r="AG36" s="501"/>
      <c r="AH36" s="501"/>
      <c r="AI36" s="501"/>
      <c r="AJ36" s="501"/>
      <c r="AK36" s="501"/>
      <c r="AL36" s="501"/>
      <c r="AM36" s="501"/>
      <c r="AN36" s="501"/>
      <c r="AP36" s="420">
        <v>713</v>
      </c>
      <c r="AQ36" s="398">
        <v>10</v>
      </c>
      <c r="AR36" s="398">
        <v>7</v>
      </c>
      <c r="AS36" s="398">
        <v>6</v>
      </c>
      <c r="AT36" s="398">
        <v>6</v>
      </c>
      <c r="AU36" s="398">
        <v>8</v>
      </c>
      <c r="AV36" s="398">
        <v>8</v>
      </c>
      <c r="AX36" s="398">
        <v>6</v>
      </c>
      <c r="AZ36" s="398">
        <f t="shared" si="22"/>
        <v>0</v>
      </c>
      <c r="BA36" s="398">
        <f t="shared" si="12"/>
        <v>0</v>
      </c>
      <c r="BB36" s="398">
        <f t="shared" si="13"/>
        <v>0</v>
      </c>
      <c r="BC36" s="398">
        <f t="shared" si="14"/>
        <v>0</v>
      </c>
      <c r="BD36" s="398">
        <f t="shared" si="15"/>
        <v>0</v>
      </c>
      <c r="BE36" s="398">
        <f t="shared" si="16"/>
        <v>0</v>
      </c>
      <c r="BF36" s="398">
        <f t="shared" si="17"/>
        <v>2</v>
      </c>
      <c r="BG36" s="398">
        <f t="shared" si="18"/>
        <v>1</v>
      </c>
      <c r="BH36" s="398">
        <f t="shared" si="19"/>
        <v>2</v>
      </c>
      <c r="BI36" s="398">
        <f t="shared" si="20"/>
        <v>0</v>
      </c>
      <c r="BJ36" s="398">
        <f t="shared" si="21"/>
        <v>1</v>
      </c>
      <c r="BK36" s="392"/>
      <c r="BL36" s="392"/>
      <c r="BM36" s="392"/>
      <c r="BN36" s="301">
        <v>5</v>
      </c>
      <c r="BO36" s="479">
        <f>COUNTIF(AX3:AX58,BN36)</f>
        <v>14</v>
      </c>
      <c r="BP36" s="442">
        <f>BO36/BO38</f>
        <v>0.34146341463414637</v>
      </c>
      <c r="BQ36" s="392"/>
      <c r="BR36" s="392"/>
      <c r="BS36" s="392"/>
      <c r="BT36" s="392"/>
      <c r="BU36" s="290"/>
      <c r="BV36" s="392"/>
      <c r="BW36" s="392"/>
      <c r="BX36" s="392"/>
      <c r="BY36" s="392"/>
      <c r="BZ36" s="392"/>
      <c r="CA36" s="392"/>
      <c r="CB36" s="392"/>
      <c r="CC36" s="392"/>
      <c r="CD36" s="392"/>
      <c r="CE36" s="392"/>
      <c r="CF36" s="392"/>
      <c r="CG36" s="392"/>
      <c r="CH36" s="392"/>
      <c r="CI36" s="392"/>
      <c r="CJ36" s="392"/>
      <c r="CK36" s="392"/>
      <c r="CM36" s="392"/>
      <c r="CN36" s="392"/>
      <c r="CO36" s="392"/>
      <c r="CP36" s="392"/>
      <c r="CQ36" s="392"/>
      <c r="CR36" s="392"/>
      <c r="CS36" s="392"/>
      <c r="CT36" s="392"/>
      <c r="CU36" s="392"/>
      <c r="CV36" s="392"/>
    </row>
    <row r="37" spans="5:105" ht="20.25">
      <c r="E37" s="580"/>
      <c r="F37" s="580"/>
      <c r="G37" s="228"/>
      <c r="H37" s="495"/>
      <c r="I37" s="228"/>
      <c r="J37" s="560"/>
      <c r="K37" s="542"/>
      <c r="L37" s="456"/>
      <c r="M37" s="601"/>
      <c r="N37" s="607"/>
      <c r="O37" s="456"/>
      <c r="P37" s="456"/>
      <c r="Q37" s="456"/>
      <c r="R37" s="456"/>
      <c r="S37" s="456"/>
      <c r="T37" s="456"/>
      <c r="U37" s="456"/>
      <c r="V37" s="456"/>
      <c r="W37" s="456"/>
      <c r="X37" s="456"/>
      <c r="Y37" s="456"/>
      <c r="Z37" s="456"/>
      <c r="AA37" s="384">
        <v>32</v>
      </c>
      <c r="AB37" s="395">
        <f>COUNTIF(E6:J50,AA37)</f>
        <v>0</v>
      </c>
      <c r="AC37" s="395">
        <f>COUNTIF(E6:Y50,AA37)</f>
        <v>0</v>
      </c>
      <c r="AD37" s="618">
        <v>32</v>
      </c>
      <c r="AE37" s="501"/>
      <c r="AF37" s="501"/>
      <c r="AG37" s="501"/>
      <c r="AH37" s="501"/>
      <c r="AI37" s="501"/>
      <c r="AJ37" s="501"/>
      <c r="AK37" s="501"/>
      <c r="AL37" s="501"/>
      <c r="AM37" s="500"/>
      <c r="AN37" s="500"/>
      <c r="AP37" s="420">
        <v>714</v>
      </c>
      <c r="AQ37" s="398">
        <v>6</v>
      </c>
      <c r="AR37" s="398">
        <v>3</v>
      </c>
      <c r="AS37" s="398">
        <v>4</v>
      </c>
      <c r="AT37" s="398">
        <v>7</v>
      </c>
      <c r="AU37" s="398">
        <v>7</v>
      </c>
      <c r="AV37" s="398">
        <v>4</v>
      </c>
      <c r="AX37" s="398">
        <v>3</v>
      </c>
      <c r="AZ37" s="398">
        <f t="shared" si="22"/>
        <v>0</v>
      </c>
      <c r="BA37" s="398">
        <f t="shared" si="12"/>
        <v>0</v>
      </c>
      <c r="BB37" s="398">
        <f t="shared" si="13"/>
        <v>0</v>
      </c>
      <c r="BC37" s="398">
        <f t="shared" si="14"/>
        <v>1</v>
      </c>
      <c r="BD37" s="398">
        <f t="shared" si="15"/>
        <v>2</v>
      </c>
      <c r="BE37" s="398">
        <f t="shared" si="16"/>
        <v>0</v>
      </c>
      <c r="BF37" s="398">
        <f t="shared" si="17"/>
        <v>1</v>
      </c>
      <c r="BG37" s="398">
        <f t="shared" si="18"/>
        <v>2</v>
      </c>
      <c r="BH37" s="398">
        <f t="shared" si="19"/>
        <v>0</v>
      </c>
      <c r="BI37" s="398">
        <f t="shared" si="20"/>
        <v>0</v>
      </c>
      <c r="BJ37" s="398">
        <f t="shared" si="21"/>
        <v>0</v>
      </c>
      <c r="BK37" s="392"/>
      <c r="BL37" s="382"/>
      <c r="BM37" s="382"/>
      <c r="BN37" s="301">
        <v>6</v>
      </c>
      <c r="BO37" s="479">
        <f>COUNTIF(AX3:AX59,BN37)</f>
        <v>11</v>
      </c>
      <c r="BP37" s="442">
        <f>BO37/BO38</f>
        <v>0.26829268292682928</v>
      </c>
      <c r="BQ37" s="382"/>
      <c r="BR37" s="382"/>
      <c r="BS37" s="382"/>
      <c r="BT37" s="382"/>
      <c r="BU37" s="382"/>
      <c r="BV37" s="382"/>
      <c r="BW37" s="382"/>
      <c r="BX37" s="382"/>
      <c r="BY37" s="382"/>
      <c r="BZ37" s="382"/>
      <c r="CA37" s="382"/>
      <c r="CB37" s="382"/>
      <c r="CC37" s="382"/>
      <c r="CD37" s="382"/>
      <c r="CE37" s="382"/>
      <c r="CF37" s="392"/>
      <c r="CG37" s="392"/>
      <c r="CH37" s="392"/>
      <c r="CI37" s="392"/>
      <c r="CJ37" s="392"/>
      <c r="CK37" s="392"/>
      <c r="CM37" s="392"/>
      <c r="CN37" s="392"/>
      <c r="CO37" s="392"/>
      <c r="CP37" s="392"/>
      <c r="CQ37" s="392"/>
      <c r="CR37" s="392"/>
      <c r="CS37" s="392"/>
      <c r="CT37" s="392"/>
      <c r="CU37" s="392"/>
      <c r="CV37" s="392"/>
      <c r="CX37" s="391"/>
    </row>
    <row r="38" spans="5:105">
      <c r="E38" s="580"/>
      <c r="F38" s="580"/>
      <c r="G38" s="456"/>
      <c r="H38" s="457"/>
      <c r="I38" s="456"/>
      <c r="J38" s="560"/>
      <c r="K38" s="492"/>
      <c r="L38" s="456"/>
      <c r="M38" s="599"/>
      <c r="N38" s="607"/>
      <c r="O38" s="456"/>
      <c r="P38" s="456"/>
      <c r="Q38" s="456"/>
      <c r="R38" s="456"/>
      <c r="S38" s="456"/>
      <c r="T38" s="456"/>
      <c r="U38" s="456"/>
      <c r="V38" s="456"/>
      <c r="W38" s="456"/>
      <c r="X38" s="456"/>
      <c r="Y38" s="456"/>
      <c r="Z38" s="456"/>
      <c r="AA38" s="384">
        <v>33</v>
      </c>
      <c r="AB38" s="395">
        <f>COUNTIF(E6:J50,AA38)</f>
        <v>0</v>
      </c>
      <c r="AC38" s="395">
        <f>COUNTIF(E6:Y50,AA38)</f>
        <v>0</v>
      </c>
      <c r="AD38" s="618">
        <v>33</v>
      </c>
      <c r="AE38" s="501"/>
      <c r="AF38" s="501"/>
      <c r="AG38" s="501"/>
      <c r="AH38" s="501"/>
      <c r="AI38" s="501"/>
      <c r="AJ38" s="501"/>
      <c r="AK38" s="501"/>
      <c r="AL38" s="501"/>
      <c r="AM38" s="500"/>
      <c r="AN38" s="501"/>
      <c r="AP38" s="420">
        <v>715</v>
      </c>
      <c r="AQ38" s="398">
        <v>10</v>
      </c>
      <c r="AR38" s="398">
        <v>7</v>
      </c>
      <c r="AS38" s="398">
        <v>1</v>
      </c>
      <c r="AT38" s="398">
        <v>4</v>
      </c>
      <c r="AU38" s="398">
        <v>3</v>
      </c>
      <c r="AV38" s="398">
        <v>8</v>
      </c>
      <c r="AX38" s="398">
        <v>3</v>
      </c>
      <c r="AZ38" s="398">
        <f t="shared" si="22"/>
        <v>0</v>
      </c>
      <c r="BA38" s="398">
        <f t="shared" si="12"/>
        <v>1</v>
      </c>
      <c r="BB38" s="398">
        <f t="shared" si="13"/>
        <v>0</v>
      </c>
      <c r="BC38" s="398">
        <f t="shared" si="14"/>
        <v>1</v>
      </c>
      <c r="BD38" s="398">
        <f t="shared" si="15"/>
        <v>1</v>
      </c>
      <c r="BE38" s="398">
        <f t="shared" si="16"/>
        <v>0</v>
      </c>
      <c r="BF38" s="398">
        <f t="shared" si="17"/>
        <v>0</v>
      </c>
      <c r="BG38" s="398">
        <f t="shared" si="18"/>
        <v>1</v>
      </c>
      <c r="BH38" s="398">
        <f t="shared" si="19"/>
        <v>1</v>
      </c>
      <c r="BI38" s="398">
        <f t="shared" si="20"/>
        <v>0</v>
      </c>
      <c r="BJ38" s="398">
        <f t="shared" si="21"/>
        <v>1</v>
      </c>
      <c r="BK38" s="392"/>
      <c r="BL38" s="392"/>
      <c r="BM38" s="392"/>
      <c r="BN38" s="301"/>
      <c r="BO38" s="301">
        <f>SUM(BO32:BO37)</f>
        <v>41</v>
      </c>
      <c r="BP38" s="442">
        <f>SUM(BP32:BP37)</f>
        <v>1</v>
      </c>
      <c r="BQ38" s="392"/>
      <c r="BR38" s="392"/>
      <c r="BS38" s="392"/>
      <c r="BT38" s="392"/>
      <c r="BU38" s="392"/>
      <c r="BV38" s="392"/>
      <c r="BW38" s="392"/>
      <c r="BX38" s="392"/>
      <c r="BY38" s="392"/>
      <c r="BZ38" s="392"/>
      <c r="CA38" s="392"/>
      <c r="CB38" s="392"/>
      <c r="CC38" s="392"/>
      <c r="CD38" s="392"/>
      <c r="CE38" s="392"/>
      <c r="CF38" s="392"/>
      <c r="CG38" s="392"/>
      <c r="CH38" s="392"/>
      <c r="CI38" s="392"/>
      <c r="CJ38" s="392"/>
      <c r="CK38" s="392"/>
      <c r="CM38" s="392"/>
      <c r="CN38" s="392"/>
      <c r="CO38" s="392"/>
      <c r="CP38" s="392"/>
      <c r="CQ38" s="392"/>
      <c r="CR38" s="290"/>
      <c r="CS38" s="392"/>
      <c r="CT38" s="391"/>
      <c r="CU38" s="391"/>
      <c r="CV38" s="391"/>
      <c r="CW38" s="391"/>
      <c r="CX38" s="391"/>
    </row>
    <row r="39" spans="5:105">
      <c r="E39" s="580"/>
      <c r="F39" s="580"/>
      <c r="G39" s="456"/>
      <c r="H39" s="456"/>
      <c r="I39" s="456"/>
      <c r="J39" s="560"/>
      <c r="K39" s="492"/>
      <c r="L39" s="456"/>
      <c r="M39" s="599"/>
      <c r="N39" s="608"/>
      <c r="O39" s="456"/>
      <c r="P39" s="456"/>
      <c r="Q39" s="456"/>
      <c r="R39" s="456"/>
      <c r="S39" s="456"/>
      <c r="T39" s="456"/>
      <c r="U39" s="456"/>
      <c r="V39" s="456"/>
      <c r="W39" s="456"/>
      <c r="X39" s="456"/>
      <c r="Y39" s="456"/>
      <c r="Z39" s="456"/>
      <c r="AA39" s="384">
        <v>34</v>
      </c>
      <c r="AB39" s="395">
        <f>COUNTIF(E6:J50,AA39)</f>
        <v>0</v>
      </c>
      <c r="AC39" s="395">
        <f>COUNTIF(E6:Y50,AA39)</f>
        <v>0</v>
      </c>
      <c r="AD39" s="618">
        <v>34</v>
      </c>
      <c r="AE39" s="501"/>
      <c r="AF39" s="501"/>
      <c r="AG39" s="501"/>
      <c r="AH39" s="501"/>
      <c r="AI39" s="501"/>
      <c r="AJ39" s="501"/>
      <c r="AK39" s="501"/>
      <c r="AL39" s="501"/>
      <c r="AM39" s="501"/>
      <c r="AN39" s="501"/>
      <c r="AP39" s="420">
        <v>716</v>
      </c>
      <c r="AQ39" s="398">
        <v>10</v>
      </c>
      <c r="AR39" s="398">
        <v>6</v>
      </c>
      <c r="AS39" s="398">
        <v>8</v>
      </c>
      <c r="AT39" s="398">
        <v>8</v>
      </c>
      <c r="AU39" s="398">
        <v>7</v>
      </c>
      <c r="AV39" s="398">
        <v>4</v>
      </c>
      <c r="AX39" s="398">
        <v>5</v>
      </c>
      <c r="AZ39" s="398">
        <f t="shared" si="22"/>
        <v>0</v>
      </c>
      <c r="BA39" s="398">
        <f t="shared" si="12"/>
        <v>0</v>
      </c>
      <c r="BB39" s="398">
        <f t="shared" si="13"/>
        <v>0</v>
      </c>
      <c r="BC39" s="398">
        <f t="shared" si="14"/>
        <v>0</v>
      </c>
      <c r="BD39" s="398">
        <f t="shared" si="15"/>
        <v>1</v>
      </c>
      <c r="BE39" s="398">
        <f t="shared" si="16"/>
        <v>0</v>
      </c>
      <c r="BF39" s="398">
        <f t="shared" si="17"/>
        <v>1</v>
      </c>
      <c r="BG39" s="398">
        <f t="shared" si="18"/>
        <v>1</v>
      </c>
      <c r="BH39" s="398">
        <f t="shared" si="19"/>
        <v>2</v>
      </c>
      <c r="BI39" s="398">
        <f t="shared" si="20"/>
        <v>0</v>
      </c>
      <c r="BJ39" s="398">
        <f t="shared" si="21"/>
        <v>1</v>
      </c>
      <c r="BK39" s="392"/>
      <c r="BL39" s="392"/>
      <c r="BM39" s="392"/>
      <c r="BN39" s="392"/>
      <c r="BO39" s="392"/>
      <c r="BP39" s="392"/>
      <c r="BQ39" s="392"/>
      <c r="BR39" s="392"/>
      <c r="BS39" s="392"/>
      <c r="BT39" s="392"/>
      <c r="BU39" s="392"/>
      <c r="BV39" s="392"/>
      <c r="BW39" s="392"/>
      <c r="BX39" s="392"/>
      <c r="BY39" s="392"/>
      <c r="BZ39" s="392"/>
      <c r="CA39" s="392"/>
      <c r="CB39" s="392"/>
      <c r="CC39" s="392"/>
      <c r="CD39" s="392"/>
      <c r="CE39" s="392"/>
      <c r="CF39" s="392"/>
      <c r="CG39" s="392"/>
      <c r="CH39" s="392"/>
      <c r="CI39" s="392"/>
      <c r="CJ39" s="392"/>
      <c r="CK39" s="392"/>
      <c r="CM39" s="392"/>
      <c r="CN39" s="297"/>
      <c r="CO39" s="392"/>
      <c r="CP39" s="392"/>
      <c r="CQ39" s="392"/>
      <c r="CR39" s="392"/>
      <c r="CS39" s="290"/>
      <c r="CT39" s="392"/>
      <c r="CU39" s="290"/>
      <c r="CV39" s="392"/>
      <c r="CW39" s="290"/>
      <c r="CX39" s="392"/>
      <c r="CY39" s="391"/>
    </row>
    <row r="40" spans="5:105">
      <c r="E40" s="580"/>
      <c r="F40" s="580"/>
      <c r="G40" s="456"/>
      <c r="H40" s="456"/>
      <c r="I40" s="456"/>
      <c r="J40" s="560"/>
      <c r="K40" s="492"/>
      <c r="L40" s="456"/>
      <c r="M40" s="600"/>
      <c r="N40" s="607"/>
      <c r="O40" s="456"/>
      <c r="P40" s="456"/>
      <c r="Q40" s="456"/>
      <c r="R40" s="456"/>
      <c r="S40" s="456"/>
      <c r="T40" s="456"/>
      <c r="U40" s="456"/>
      <c r="V40" s="456"/>
      <c r="W40" s="456"/>
      <c r="X40" s="456"/>
      <c r="Y40" s="456"/>
      <c r="Z40" s="456"/>
      <c r="AA40" s="384">
        <v>35</v>
      </c>
      <c r="AB40" s="395">
        <f>COUNTIF(E6:J50,AA40)</f>
        <v>0</v>
      </c>
      <c r="AC40" s="395">
        <f>COUNTIF(E6:Y50,AA40)</f>
        <v>0</v>
      </c>
      <c r="AD40" s="618">
        <v>35</v>
      </c>
      <c r="AE40" s="501"/>
      <c r="AF40" s="501"/>
      <c r="AG40" s="501"/>
      <c r="AH40" s="501"/>
      <c r="AI40" s="501"/>
      <c r="AJ40" s="501"/>
      <c r="AK40" s="501"/>
      <c r="AL40" s="501"/>
      <c r="AM40" s="500"/>
      <c r="AN40" s="500"/>
      <c r="AP40" s="420">
        <v>717</v>
      </c>
      <c r="AQ40" s="398">
        <v>7</v>
      </c>
      <c r="AR40" s="398">
        <v>10</v>
      </c>
      <c r="AS40" s="398">
        <v>8</v>
      </c>
      <c r="AT40" s="398">
        <v>6</v>
      </c>
      <c r="AU40" s="398">
        <v>4</v>
      </c>
      <c r="AV40" s="398">
        <v>4</v>
      </c>
      <c r="AX40" s="398">
        <v>4</v>
      </c>
      <c r="AZ40" s="398">
        <f t="shared" si="22"/>
        <v>0</v>
      </c>
      <c r="BA40" s="398">
        <f t="shared" si="12"/>
        <v>0</v>
      </c>
      <c r="BB40" s="398">
        <f t="shared" si="13"/>
        <v>0</v>
      </c>
      <c r="BC40" s="398">
        <f t="shared" si="14"/>
        <v>0</v>
      </c>
      <c r="BD40" s="398">
        <f t="shared" si="15"/>
        <v>2</v>
      </c>
      <c r="BE40" s="398">
        <f t="shared" si="16"/>
        <v>0</v>
      </c>
      <c r="BF40" s="398">
        <f t="shared" si="17"/>
        <v>1</v>
      </c>
      <c r="BG40" s="398">
        <f t="shared" si="18"/>
        <v>1</v>
      </c>
      <c r="BH40" s="398">
        <f t="shared" si="19"/>
        <v>1</v>
      </c>
      <c r="BI40" s="398">
        <f t="shared" si="20"/>
        <v>0</v>
      </c>
      <c r="BJ40" s="398">
        <f t="shared" si="21"/>
        <v>1</v>
      </c>
      <c r="BK40" s="392"/>
      <c r="BL40" s="392"/>
      <c r="BM40" s="392"/>
      <c r="BN40" s="392"/>
      <c r="BO40" s="392"/>
      <c r="BP40" s="392"/>
      <c r="BQ40" s="392"/>
      <c r="BR40" s="392"/>
      <c r="BS40" s="392"/>
      <c r="BT40" s="392"/>
      <c r="BU40" s="392"/>
      <c r="BV40" s="392"/>
      <c r="BW40" s="392"/>
      <c r="BX40" s="392"/>
      <c r="BY40" s="392"/>
      <c r="BZ40" s="392"/>
      <c r="CA40" s="392"/>
      <c r="CB40" s="392"/>
      <c r="CC40" s="392"/>
      <c r="CD40" s="392"/>
      <c r="CE40" s="392"/>
      <c r="CF40" s="392"/>
      <c r="CG40" s="392"/>
      <c r="CH40" s="392"/>
      <c r="CI40" s="392"/>
      <c r="CJ40" s="392"/>
      <c r="CK40" s="392"/>
      <c r="CM40" s="392"/>
      <c r="CN40" s="290"/>
      <c r="CO40" s="290"/>
      <c r="CP40" s="290"/>
      <c r="CQ40" s="290"/>
      <c r="CR40" s="290"/>
      <c r="CS40" s="290"/>
      <c r="CT40" s="290"/>
      <c r="CU40" s="290"/>
      <c r="CV40" s="290"/>
      <c r="CW40" s="290"/>
      <c r="CX40" s="290"/>
      <c r="CY40" s="391"/>
      <c r="DA40" s="391"/>
    </row>
    <row r="41" spans="5:105">
      <c r="E41" s="560"/>
      <c r="F41" s="560"/>
      <c r="G41" s="456"/>
      <c r="H41" s="456"/>
      <c r="I41" s="456"/>
      <c r="J41" s="560"/>
      <c r="K41" s="139"/>
      <c r="L41" s="456"/>
      <c r="M41" s="600"/>
      <c r="N41" s="607"/>
      <c r="O41" s="456"/>
      <c r="P41" s="456"/>
      <c r="Q41" s="456"/>
      <c r="R41" s="456"/>
      <c r="S41" s="456"/>
      <c r="T41" s="456"/>
      <c r="U41" s="456"/>
      <c r="V41" s="456"/>
      <c r="W41" s="456"/>
      <c r="X41" s="456"/>
      <c r="Y41" s="456"/>
      <c r="Z41" s="456"/>
      <c r="AA41" s="384">
        <v>36</v>
      </c>
      <c r="AB41" s="395">
        <f>COUNTIF(E6:J50,AA41)</f>
        <v>0</v>
      </c>
      <c r="AC41" s="395">
        <f>COUNTIF(E6:Y50,AA41)</f>
        <v>0</v>
      </c>
      <c r="AD41" s="618">
        <v>36</v>
      </c>
      <c r="AE41" s="501"/>
      <c r="AF41" s="501"/>
      <c r="AG41" s="501"/>
      <c r="AH41" s="501"/>
      <c r="AI41" s="501"/>
      <c r="AJ41" s="501"/>
      <c r="AK41" s="501"/>
      <c r="AL41" s="501"/>
      <c r="AM41" s="500"/>
      <c r="AN41" s="501"/>
      <c r="AP41" s="420">
        <v>718</v>
      </c>
      <c r="AQ41" s="398">
        <v>10</v>
      </c>
      <c r="AR41" s="398">
        <v>7</v>
      </c>
      <c r="AS41" s="398">
        <v>5</v>
      </c>
      <c r="AT41" s="398">
        <v>8</v>
      </c>
      <c r="AU41" s="398">
        <v>6</v>
      </c>
      <c r="AV41" s="398">
        <v>6</v>
      </c>
      <c r="AX41" s="398">
        <v>6</v>
      </c>
      <c r="AZ41" s="398">
        <f t="shared" si="22"/>
        <v>0</v>
      </c>
      <c r="BA41" s="398">
        <f t="shared" si="12"/>
        <v>0</v>
      </c>
      <c r="BB41" s="398">
        <f t="shared" si="13"/>
        <v>0</v>
      </c>
      <c r="BC41" s="398">
        <f t="shared" si="14"/>
        <v>0</v>
      </c>
      <c r="BD41" s="398">
        <f t="shared" si="15"/>
        <v>0</v>
      </c>
      <c r="BE41" s="398">
        <f t="shared" si="16"/>
        <v>1</v>
      </c>
      <c r="BF41" s="398">
        <f t="shared" si="17"/>
        <v>2</v>
      </c>
      <c r="BG41" s="398">
        <f t="shared" si="18"/>
        <v>1</v>
      </c>
      <c r="BH41" s="398">
        <f t="shared" si="19"/>
        <v>1</v>
      </c>
      <c r="BI41" s="398">
        <f t="shared" si="20"/>
        <v>0</v>
      </c>
      <c r="BJ41" s="398">
        <f t="shared" si="21"/>
        <v>1</v>
      </c>
      <c r="BK41" s="392"/>
      <c r="BL41" s="392"/>
      <c r="BM41" s="392"/>
      <c r="BN41" s="392"/>
      <c r="BO41" s="392"/>
      <c r="BP41" s="392"/>
      <c r="BQ41" s="392"/>
      <c r="BR41" s="392"/>
      <c r="BS41" s="392"/>
      <c r="BT41" s="392"/>
      <c r="BU41" s="392"/>
      <c r="BV41" s="392"/>
      <c r="BW41" s="392"/>
      <c r="BX41" s="392"/>
      <c r="BY41" s="392"/>
      <c r="BZ41" s="392"/>
      <c r="CA41" s="392"/>
      <c r="CB41" s="392"/>
      <c r="CC41" s="392"/>
      <c r="CD41" s="392"/>
      <c r="CE41" s="392"/>
      <c r="CF41" s="392"/>
      <c r="CG41" s="392"/>
      <c r="CH41" s="392"/>
      <c r="CI41" s="392"/>
      <c r="CJ41" s="392"/>
      <c r="CK41" s="392"/>
      <c r="CM41" s="392"/>
      <c r="CN41" s="392"/>
      <c r="CO41" s="290"/>
      <c r="CP41" s="290"/>
      <c r="CQ41" s="290"/>
      <c r="CR41" s="290"/>
      <c r="CS41" s="290"/>
      <c r="CT41" s="290"/>
      <c r="CU41" s="290"/>
      <c r="CV41" s="290"/>
      <c r="CW41" s="290"/>
      <c r="CX41" s="290"/>
      <c r="CY41" s="391"/>
      <c r="DA41" s="391"/>
    </row>
    <row r="42" spans="5:105">
      <c r="E42" s="560"/>
      <c r="F42" s="560"/>
      <c r="G42" s="456"/>
      <c r="H42" s="456"/>
      <c r="I42" s="456"/>
      <c r="J42" s="560"/>
      <c r="K42" s="488"/>
      <c r="L42" s="456"/>
      <c r="M42" s="599"/>
      <c r="N42" s="607"/>
      <c r="O42" s="456"/>
      <c r="P42" s="456"/>
      <c r="Q42" s="456"/>
      <c r="R42" s="456"/>
      <c r="S42" s="456"/>
      <c r="T42" s="456"/>
      <c r="U42" s="456"/>
      <c r="V42" s="456"/>
      <c r="W42" s="456"/>
      <c r="X42" s="456"/>
      <c r="Y42" s="456"/>
      <c r="Z42" s="456"/>
      <c r="AA42" s="384">
        <v>37</v>
      </c>
      <c r="AB42" s="395">
        <f>COUNTIF(E6:J50,AA42)</f>
        <v>0</v>
      </c>
      <c r="AC42" s="395">
        <f>COUNTIF(E6:Y50,AA42)</f>
        <v>0</v>
      </c>
      <c r="AD42" s="618">
        <v>37</v>
      </c>
      <c r="AE42" s="501"/>
      <c r="AF42" s="501"/>
      <c r="AG42" s="501"/>
      <c r="AH42" s="501"/>
      <c r="AI42" s="501"/>
      <c r="AJ42" s="501"/>
      <c r="AK42" s="501"/>
      <c r="AL42" s="501"/>
      <c r="AM42" s="501"/>
      <c r="AN42" s="500"/>
      <c r="AP42" s="420">
        <v>719</v>
      </c>
      <c r="AQ42" s="398">
        <v>10</v>
      </c>
      <c r="AR42" s="398">
        <v>7</v>
      </c>
      <c r="AS42" s="398">
        <v>8</v>
      </c>
      <c r="AT42" s="398">
        <v>10</v>
      </c>
      <c r="AU42" s="398">
        <v>7</v>
      </c>
      <c r="AV42" s="398">
        <v>4</v>
      </c>
      <c r="AX42" s="398">
        <v>5</v>
      </c>
      <c r="AZ42" s="398">
        <f t="shared" si="22"/>
        <v>0</v>
      </c>
      <c r="BA42" s="398">
        <f t="shared" si="12"/>
        <v>0</v>
      </c>
      <c r="BB42" s="398">
        <f t="shared" si="13"/>
        <v>0</v>
      </c>
      <c r="BC42" s="398">
        <f t="shared" si="14"/>
        <v>0</v>
      </c>
      <c r="BD42" s="398">
        <f t="shared" si="15"/>
        <v>1</v>
      </c>
      <c r="BE42" s="398">
        <f t="shared" si="16"/>
        <v>0</v>
      </c>
      <c r="BF42" s="398">
        <f t="shared" si="17"/>
        <v>0</v>
      </c>
      <c r="BG42" s="398">
        <f t="shared" si="18"/>
        <v>2</v>
      </c>
      <c r="BH42" s="398">
        <f t="shared" si="19"/>
        <v>1</v>
      </c>
      <c r="BI42" s="398">
        <f t="shared" si="20"/>
        <v>0</v>
      </c>
      <c r="BJ42" s="398">
        <f t="shared" si="21"/>
        <v>2</v>
      </c>
      <c r="BK42" s="392"/>
      <c r="BL42" s="392"/>
      <c r="BM42" s="392"/>
      <c r="BN42" s="392"/>
      <c r="BO42" s="392"/>
      <c r="BP42" s="392"/>
      <c r="BQ42" s="392"/>
      <c r="BR42" s="392"/>
      <c r="BS42" s="392"/>
      <c r="BT42" s="392"/>
      <c r="BU42" s="392"/>
      <c r="BV42" s="392"/>
      <c r="BW42" s="392"/>
      <c r="BX42" s="392"/>
      <c r="BY42" s="392"/>
      <c r="BZ42" s="392"/>
      <c r="CA42" s="392"/>
      <c r="CB42" s="392"/>
      <c r="CC42" s="392"/>
      <c r="CD42" s="392"/>
      <c r="CE42" s="392"/>
      <c r="CF42" s="392"/>
      <c r="CG42" s="392"/>
      <c r="CH42" s="392"/>
      <c r="CI42" s="392"/>
      <c r="CJ42" s="392"/>
      <c r="CK42" s="392"/>
      <c r="CM42" s="392"/>
      <c r="CN42" s="392"/>
      <c r="CO42" s="392"/>
      <c r="CP42" s="392"/>
      <c r="CQ42" s="392"/>
      <c r="CR42" s="392"/>
      <c r="CS42" s="290"/>
      <c r="CT42" s="392"/>
      <c r="CU42" s="290"/>
      <c r="CV42" s="392"/>
      <c r="CW42" s="290"/>
      <c r="CX42" s="392"/>
      <c r="CY42" s="391"/>
      <c r="DA42" s="391"/>
    </row>
    <row r="43" spans="5:105">
      <c r="E43" s="560"/>
      <c r="F43" s="560"/>
      <c r="G43" s="456"/>
      <c r="H43" s="456"/>
      <c r="I43" s="456"/>
      <c r="J43" s="560"/>
      <c r="K43" s="487"/>
      <c r="L43" s="456"/>
      <c r="M43" s="602"/>
      <c r="N43" s="607"/>
      <c r="O43" s="456"/>
      <c r="P43" s="456"/>
      <c r="Q43" s="456"/>
      <c r="R43" s="456"/>
      <c r="S43" s="456"/>
      <c r="T43" s="456"/>
      <c r="U43" s="456"/>
      <c r="V43" s="456"/>
      <c r="W43" s="456"/>
      <c r="X43" s="456"/>
      <c r="Y43" s="456"/>
      <c r="Z43" s="456"/>
      <c r="AA43" s="384">
        <v>38</v>
      </c>
      <c r="AB43" s="395">
        <f>COUNTIF(E6:J50,AA43)</f>
        <v>0</v>
      </c>
      <c r="AC43" s="395">
        <f>COUNTIF(E6:Y50,AA43)</f>
        <v>0</v>
      </c>
      <c r="AD43" s="618"/>
      <c r="AE43" s="501"/>
      <c r="AF43" s="501"/>
      <c r="AG43" s="501"/>
      <c r="AH43" s="501"/>
      <c r="AI43" s="501"/>
      <c r="AJ43" s="501"/>
      <c r="AK43" s="501"/>
      <c r="AL43" s="501"/>
      <c r="AM43" s="500"/>
      <c r="AN43" s="501"/>
      <c r="AP43" s="420">
        <v>720</v>
      </c>
      <c r="AQ43" s="398">
        <v>7</v>
      </c>
      <c r="AR43" s="398">
        <v>2</v>
      </c>
      <c r="AS43" s="398">
        <v>8</v>
      </c>
      <c r="AT43" s="398">
        <v>5</v>
      </c>
      <c r="AU43" s="398">
        <v>6</v>
      </c>
      <c r="AV43" s="398">
        <v>10</v>
      </c>
      <c r="AX43" s="398">
        <v>5</v>
      </c>
      <c r="AZ43" s="398">
        <f t="shared" si="22"/>
        <v>0</v>
      </c>
      <c r="BA43" s="398">
        <f t="shared" si="12"/>
        <v>0</v>
      </c>
      <c r="BB43" s="398">
        <f t="shared" si="13"/>
        <v>1</v>
      </c>
      <c r="BC43" s="398">
        <f t="shared" si="14"/>
        <v>0</v>
      </c>
      <c r="BD43" s="398">
        <f t="shared" si="15"/>
        <v>0</v>
      </c>
      <c r="BE43" s="398">
        <f t="shared" si="16"/>
        <v>1</v>
      </c>
      <c r="BF43" s="398">
        <f t="shared" si="17"/>
        <v>1</v>
      </c>
      <c r="BG43" s="398">
        <f t="shared" si="18"/>
        <v>1</v>
      </c>
      <c r="BH43" s="398">
        <f t="shared" si="19"/>
        <v>1</v>
      </c>
      <c r="BI43" s="398">
        <f t="shared" si="20"/>
        <v>0</v>
      </c>
      <c r="BJ43" s="398">
        <f t="shared" si="21"/>
        <v>1</v>
      </c>
      <c r="BK43" s="392"/>
      <c r="BL43" s="392"/>
      <c r="BM43" s="392"/>
      <c r="BN43" s="392"/>
      <c r="BO43" s="392"/>
      <c r="BP43" s="392"/>
      <c r="BQ43" s="392"/>
      <c r="BR43" s="392"/>
      <c r="BS43" s="392"/>
      <c r="BT43" s="392"/>
      <c r="BU43" s="392"/>
      <c r="BV43" s="392"/>
      <c r="BW43" s="392"/>
      <c r="BX43" s="392"/>
      <c r="BY43" s="392"/>
      <c r="BZ43" s="392"/>
      <c r="CA43" s="392"/>
      <c r="CB43" s="392"/>
      <c r="CC43" s="392"/>
      <c r="CD43" s="392"/>
      <c r="CE43" s="392"/>
      <c r="CF43" s="392"/>
      <c r="CG43" s="392"/>
      <c r="CH43" s="392"/>
      <c r="CI43" s="392"/>
      <c r="CJ43" s="392"/>
      <c r="CK43" s="392"/>
      <c r="CM43" s="392"/>
      <c r="CN43" s="392"/>
      <c r="CO43" s="290"/>
      <c r="CP43" s="290"/>
      <c r="CQ43" s="290"/>
      <c r="CR43" s="290"/>
      <c r="CS43" s="290"/>
      <c r="CT43" s="290"/>
      <c r="CU43" s="290"/>
      <c r="CV43" s="290"/>
      <c r="CW43" s="290"/>
      <c r="CX43" s="290"/>
      <c r="CY43" s="391"/>
      <c r="DA43" s="391"/>
    </row>
    <row r="44" spans="5:105">
      <c r="E44" s="560"/>
      <c r="F44" s="560"/>
      <c r="G44" s="456"/>
      <c r="H44" s="456"/>
      <c r="I44" s="456"/>
      <c r="J44" s="560"/>
      <c r="K44" s="456"/>
      <c r="L44" s="456"/>
      <c r="M44" s="574"/>
      <c r="N44" s="575"/>
      <c r="O44" s="456"/>
      <c r="P44" s="456"/>
      <c r="Q44" s="456"/>
      <c r="R44" s="456"/>
      <c r="S44" s="456"/>
      <c r="T44" s="456"/>
      <c r="U44" s="456"/>
      <c r="V44" s="456"/>
      <c r="W44" s="456"/>
      <c r="X44" s="456"/>
      <c r="Y44" s="456"/>
      <c r="Z44" s="456"/>
      <c r="AA44" s="384">
        <v>39</v>
      </c>
      <c r="AB44" s="395">
        <f>COUNTIF(E6:J50,AA44)</f>
        <v>0</v>
      </c>
      <c r="AC44" s="395">
        <f>COUNTIF(E6:Y50,AA44)</f>
        <v>0</v>
      </c>
      <c r="AD44" s="618">
        <v>39</v>
      </c>
      <c r="AE44" s="501"/>
      <c r="AF44" s="501"/>
      <c r="AG44" s="501"/>
      <c r="AH44" s="501"/>
      <c r="AI44" s="501"/>
      <c r="AJ44" s="501"/>
      <c r="AK44" s="501"/>
      <c r="AL44" s="501"/>
      <c r="AM44" s="500"/>
      <c r="AN44" s="501"/>
      <c r="AP44" s="420">
        <v>721</v>
      </c>
      <c r="AQ44" s="398">
        <v>10</v>
      </c>
      <c r="AR44" s="398">
        <v>8</v>
      </c>
      <c r="AS44" s="398">
        <v>7</v>
      </c>
      <c r="AT44" s="398">
        <v>7</v>
      </c>
      <c r="AU44" s="398">
        <v>8</v>
      </c>
      <c r="AV44" s="398">
        <v>9</v>
      </c>
      <c r="AX44" s="398">
        <v>6</v>
      </c>
      <c r="AZ44" s="398">
        <f t="shared" si="22"/>
        <v>0</v>
      </c>
      <c r="BA44" s="398">
        <f t="shared" si="12"/>
        <v>0</v>
      </c>
      <c r="BB44" s="398">
        <f t="shared" si="13"/>
        <v>0</v>
      </c>
      <c r="BC44" s="398">
        <f t="shared" si="14"/>
        <v>0</v>
      </c>
      <c r="BD44" s="398">
        <f t="shared" si="15"/>
        <v>0</v>
      </c>
      <c r="BE44" s="398">
        <f t="shared" si="16"/>
        <v>0</v>
      </c>
      <c r="BF44" s="398">
        <f t="shared" si="17"/>
        <v>0</v>
      </c>
      <c r="BG44" s="398">
        <f t="shared" si="18"/>
        <v>2</v>
      </c>
      <c r="BH44" s="398">
        <f t="shared" si="19"/>
        <v>2</v>
      </c>
      <c r="BI44" s="398">
        <f t="shared" si="20"/>
        <v>1</v>
      </c>
      <c r="BJ44" s="398">
        <f t="shared" si="21"/>
        <v>1</v>
      </c>
      <c r="BK44" s="392"/>
      <c r="BL44" s="392"/>
      <c r="BM44" s="392"/>
      <c r="BN44" s="392"/>
      <c r="BO44" s="392"/>
      <c r="BP44" s="392"/>
      <c r="BQ44" s="392"/>
      <c r="BR44" s="392"/>
      <c r="BS44" s="392"/>
      <c r="BT44" s="392"/>
      <c r="BU44" s="392"/>
      <c r="BV44" s="392"/>
      <c r="BW44" s="392"/>
      <c r="BX44" s="392"/>
      <c r="BY44" s="392"/>
      <c r="BZ44" s="392"/>
      <c r="CA44" s="392"/>
      <c r="CB44" s="392"/>
      <c r="CC44" s="392"/>
      <c r="CD44" s="392"/>
      <c r="CE44" s="392"/>
      <c r="CF44" s="392"/>
      <c r="CG44" s="392"/>
      <c r="CH44" s="392"/>
      <c r="CI44" s="392"/>
      <c r="CJ44" s="392"/>
      <c r="CK44" s="392"/>
      <c r="CM44" s="392"/>
      <c r="CN44" s="392"/>
      <c r="CO44" s="290"/>
      <c r="CP44" s="290"/>
      <c r="CQ44" s="290"/>
      <c r="CR44" s="290"/>
      <c r="CS44" s="290"/>
      <c r="CT44" s="290"/>
      <c r="CU44" s="290"/>
      <c r="CV44" s="290"/>
      <c r="CW44" s="290"/>
      <c r="CX44" s="290"/>
      <c r="CY44" s="391"/>
      <c r="DA44" s="391"/>
    </row>
    <row r="45" spans="5:105">
      <c r="E45" s="560"/>
      <c r="F45" s="560"/>
      <c r="G45" s="410"/>
      <c r="H45" s="410"/>
      <c r="I45" s="410"/>
      <c r="J45" s="560"/>
      <c r="K45" s="410"/>
      <c r="L45" s="410"/>
      <c r="M45" s="547"/>
      <c r="N45" s="575"/>
      <c r="O45" s="410"/>
      <c r="P45" s="410"/>
      <c r="Q45" s="410"/>
      <c r="R45" s="410"/>
      <c r="S45" s="410"/>
      <c r="T45" s="410"/>
      <c r="U45" s="410"/>
      <c r="V45" s="410"/>
      <c r="W45" s="410"/>
      <c r="X45" s="410"/>
      <c r="Y45" s="410"/>
      <c r="Z45" s="410"/>
      <c r="AA45" s="384">
        <v>40</v>
      </c>
      <c r="AB45" s="395">
        <f>COUNTIF(E6:J50,AA45)</f>
        <v>0</v>
      </c>
      <c r="AC45" s="395">
        <f>COUNTIF(E6:Y50,AA45)</f>
        <v>0</v>
      </c>
      <c r="AD45" s="618">
        <v>40</v>
      </c>
      <c r="AE45" s="501"/>
      <c r="AF45" s="501"/>
      <c r="AG45" s="501"/>
      <c r="AH45" s="501"/>
      <c r="AI45" s="501"/>
      <c r="AJ45" s="501"/>
      <c r="AK45" s="501"/>
      <c r="AL45" s="501"/>
      <c r="AM45" s="501"/>
      <c r="AN45" s="500"/>
      <c r="AP45" s="420">
        <v>722</v>
      </c>
      <c r="AQ45" s="398">
        <v>3</v>
      </c>
      <c r="AR45" s="398">
        <v>3</v>
      </c>
      <c r="AS45" s="398">
        <v>2</v>
      </c>
      <c r="AT45" s="398">
        <v>4</v>
      </c>
      <c r="AU45" s="398">
        <v>6</v>
      </c>
      <c r="AV45" s="398">
        <v>8</v>
      </c>
      <c r="AX45" s="398">
        <v>2</v>
      </c>
      <c r="AZ45" s="398">
        <f t="shared" si="22"/>
        <v>0</v>
      </c>
      <c r="BA45" s="398">
        <f t="shared" si="12"/>
        <v>0</v>
      </c>
      <c r="BB45" s="398">
        <f t="shared" si="13"/>
        <v>1</v>
      </c>
      <c r="BC45" s="398">
        <f t="shared" si="14"/>
        <v>2</v>
      </c>
      <c r="BD45" s="398">
        <f t="shared" si="15"/>
        <v>1</v>
      </c>
      <c r="BE45" s="398">
        <f t="shared" si="16"/>
        <v>0</v>
      </c>
      <c r="BF45" s="398">
        <f t="shared" si="17"/>
        <v>1</v>
      </c>
      <c r="BG45" s="398">
        <f t="shared" si="18"/>
        <v>0</v>
      </c>
      <c r="BH45" s="398">
        <f t="shared" si="19"/>
        <v>1</v>
      </c>
      <c r="BI45" s="398">
        <f t="shared" si="20"/>
        <v>0</v>
      </c>
      <c r="BJ45" s="398">
        <f t="shared" si="21"/>
        <v>0</v>
      </c>
      <c r="BK45" s="392"/>
      <c r="BL45" s="392"/>
      <c r="BM45" s="392"/>
      <c r="BN45" s="392"/>
      <c r="BO45" s="392"/>
      <c r="BP45" s="392"/>
      <c r="BQ45" s="392"/>
      <c r="BR45" s="392"/>
      <c r="BS45" s="392"/>
      <c r="BT45" s="392"/>
      <c r="BU45" s="392"/>
      <c r="BV45" s="392"/>
      <c r="BW45" s="392"/>
      <c r="BX45" s="392"/>
      <c r="BY45" s="392"/>
      <c r="BZ45" s="392"/>
      <c r="CA45" s="392"/>
      <c r="CB45" s="392"/>
      <c r="CC45" s="392"/>
      <c r="CD45" s="392"/>
      <c r="CE45" s="392"/>
      <c r="CF45" s="392"/>
      <c r="CG45" s="392"/>
      <c r="CH45" s="392"/>
      <c r="CI45" s="392"/>
      <c r="CJ45" s="392"/>
      <c r="CK45" s="392"/>
      <c r="CM45" s="392"/>
      <c r="CN45" s="392"/>
      <c r="CO45" s="290"/>
      <c r="CP45" s="290"/>
      <c r="CQ45" s="290"/>
      <c r="CR45" s="290"/>
      <c r="CS45" s="290"/>
      <c r="CT45" s="392"/>
      <c r="CU45" s="290"/>
      <c r="CV45" s="290"/>
      <c r="CW45" s="290"/>
      <c r="CX45" s="290"/>
      <c r="CY45" s="391"/>
      <c r="DA45" s="391"/>
    </row>
    <row r="46" spans="5:105">
      <c r="E46" s="560"/>
      <c r="F46" s="560"/>
      <c r="G46" s="410"/>
      <c r="H46" s="410"/>
      <c r="I46" s="410"/>
      <c r="J46" s="560"/>
      <c r="K46" s="410"/>
      <c r="L46" s="410"/>
      <c r="M46" s="411"/>
      <c r="N46" s="459"/>
      <c r="O46" s="410"/>
      <c r="P46" s="410"/>
      <c r="Q46" s="410"/>
      <c r="R46" s="410"/>
      <c r="S46" s="410"/>
      <c r="T46" s="410"/>
      <c r="U46" s="410"/>
      <c r="V46" s="410"/>
      <c r="W46" s="410"/>
      <c r="X46" s="410"/>
      <c r="Y46" s="410"/>
      <c r="Z46" s="410"/>
      <c r="AA46" s="384">
        <v>41</v>
      </c>
      <c r="AB46" s="395">
        <f>COUNTIF(E6:J50,AA46)</f>
        <v>0</v>
      </c>
      <c r="AC46" s="395">
        <f>COUNTIF(E6:Y50,AA46)</f>
        <v>0</v>
      </c>
      <c r="AD46" s="618">
        <v>41</v>
      </c>
      <c r="AE46" s="501"/>
      <c r="AF46" s="501"/>
      <c r="AG46" s="501"/>
      <c r="AH46" s="501"/>
      <c r="AI46" s="501"/>
      <c r="AJ46" s="501"/>
      <c r="AK46" s="501"/>
      <c r="AL46" s="501"/>
      <c r="AM46" s="500"/>
      <c r="AN46" s="501"/>
      <c r="AP46" s="420">
        <v>723</v>
      </c>
      <c r="BK46" s="392"/>
      <c r="BL46" s="392"/>
      <c r="BM46" s="392"/>
      <c r="BN46" s="392"/>
      <c r="BO46" s="392"/>
      <c r="BP46" s="392"/>
      <c r="BQ46" s="392"/>
      <c r="BR46" s="392"/>
      <c r="BS46" s="392"/>
      <c r="BT46" s="392"/>
      <c r="BU46" s="392"/>
      <c r="BV46" s="392"/>
      <c r="BW46" s="392"/>
      <c r="BX46" s="392"/>
      <c r="BY46" s="392"/>
      <c r="BZ46" s="392"/>
      <c r="CA46" s="392"/>
      <c r="CB46" s="392"/>
      <c r="CC46" s="392"/>
      <c r="CD46" s="392"/>
      <c r="CE46" s="392"/>
      <c r="CF46" s="392"/>
      <c r="CG46" s="392"/>
      <c r="CH46" s="392"/>
      <c r="CI46" s="392"/>
      <c r="CJ46" s="392"/>
      <c r="CK46" s="392"/>
      <c r="CM46" s="392"/>
      <c r="CN46" s="392"/>
      <c r="CO46" s="290"/>
      <c r="CP46" s="290"/>
      <c r="CQ46" s="290"/>
      <c r="CR46" s="290"/>
      <c r="CS46" s="290"/>
      <c r="CT46" s="290"/>
      <c r="CU46" s="290"/>
      <c r="CV46" s="290"/>
      <c r="CW46" s="290"/>
      <c r="CX46" s="290"/>
      <c r="CY46" s="391"/>
      <c r="DA46" s="391"/>
    </row>
    <row r="47" spans="5:105" ht="20.25">
      <c r="E47" s="560"/>
      <c r="F47" s="560"/>
      <c r="G47" s="410"/>
      <c r="H47" s="410"/>
      <c r="I47" s="410"/>
      <c r="J47" s="560"/>
      <c r="K47" s="410"/>
      <c r="L47" s="410"/>
      <c r="M47" s="410"/>
      <c r="N47" s="452"/>
      <c r="O47" s="410"/>
      <c r="P47" s="410"/>
      <c r="Q47" s="410"/>
      <c r="R47" s="410"/>
      <c r="S47" s="410"/>
      <c r="T47" s="410"/>
      <c r="U47" s="410"/>
      <c r="V47" s="410"/>
      <c r="W47" s="410"/>
      <c r="X47" s="410"/>
      <c r="Y47" s="410"/>
      <c r="Z47" s="410"/>
      <c r="AA47" s="384">
        <v>42</v>
      </c>
      <c r="AB47" s="395">
        <f>COUNTIF(E6:J50,AA47)</f>
        <v>0</v>
      </c>
      <c r="AC47" s="395">
        <f>COUNTIF(E6:Y50,AA47)</f>
        <v>0</v>
      </c>
      <c r="AD47" s="618"/>
      <c r="AE47" s="501"/>
      <c r="AF47" s="501"/>
      <c r="AG47" s="501"/>
      <c r="AH47" s="501"/>
      <c r="AI47" s="501"/>
      <c r="AJ47" s="501"/>
      <c r="AK47" s="501"/>
      <c r="AL47" s="501"/>
      <c r="AM47" s="500"/>
      <c r="AN47" s="500"/>
      <c r="AP47" s="420">
        <v>724</v>
      </c>
      <c r="BK47" s="392"/>
      <c r="BL47" s="392"/>
      <c r="BM47" s="392"/>
      <c r="BN47" s="392"/>
      <c r="BO47" s="392"/>
      <c r="BP47" s="392"/>
      <c r="BQ47" s="392"/>
      <c r="BR47" s="392"/>
      <c r="BS47" s="392"/>
      <c r="BT47" s="392"/>
      <c r="BU47" s="392"/>
      <c r="BV47" s="392"/>
      <c r="BW47" s="392"/>
      <c r="BX47" s="392"/>
      <c r="BY47" s="392"/>
      <c r="BZ47" s="392"/>
      <c r="CA47" s="392"/>
      <c r="CB47" s="392"/>
      <c r="CC47" s="392"/>
      <c r="CD47" s="392"/>
      <c r="CE47" s="392"/>
      <c r="CF47" s="392"/>
      <c r="CG47" s="392"/>
      <c r="CH47" s="392"/>
      <c r="CI47" s="392"/>
      <c r="CJ47" s="392"/>
      <c r="CK47" s="392"/>
      <c r="CM47" s="392"/>
      <c r="CN47" s="392"/>
      <c r="CO47" s="290"/>
      <c r="CP47" s="290"/>
      <c r="CQ47" s="290"/>
      <c r="CR47" s="290"/>
      <c r="CS47" s="290"/>
      <c r="CT47" s="290"/>
      <c r="CU47" s="392"/>
      <c r="CV47" s="392"/>
      <c r="CW47" s="392"/>
      <c r="CX47" s="392"/>
      <c r="CY47" s="391"/>
      <c r="DA47" s="391"/>
    </row>
    <row r="48" spans="5:105">
      <c r="E48" s="560"/>
      <c r="F48" s="560"/>
      <c r="G48" s="410"/>
      <c r="H48" s="410"/>
      <c r="I48" s="410"/>
      <c r="J48" s="560"/>
      <c r="K48" s="410"/>
      <c r="L48" s="410"/>
      <c r="M48" s="410"/>
      <c r="N48" s="450"/>
      <c r="O48" s="410"/>
      <c r="P48" s="410"/>
      <c r="Q48" s="410"/>
      <c r="R48" s="410"/>
      <c r="S48" s="410"/>
      <c r="T48" s="410"/>
      <c r="U48" s="410"/>
      <c r="V48" s="410"/>
      <c r="W48" s="410"/>
      <c r="X48" s="410"/>
      <c r="Y48" s="410"/>
      <c r="Z48" s="410"/>
      <c r="AA48" s="384">
        <v>43</v>
      </c>
      <c r="AB48" s="395">
        <f>COUNTIF(E6:J50,AA48)</f>
        <v>0</v>
      </c>
      <c r="AC48" s="395">
        <f>COUNTIF(E6:Y50,AA48)</f>
        <v>0</v>
      </c>
      <c r="AD48" s="549">
        <v>43</v>
      </c>
      <c r="AE48" s="501"/>
      <c r="AF48" s="501"/>
      <c r="AG48" s="501"/>
      <c r="AH48" s="501"/>
      <c r="AI48" s="501"/>
      <c r="AJ48" s="501"/>
      <c r="AK48" s="501"/>
      <c r="AL48" s="501"/>
      <c r="AM48" s="501"/>
      <c r="AN48" s="501"/>
      <c r="AP48" s="420">
        <v>725</v>
      </c>
      <c r="BK48" s="392"/>
      <c r="BL48" s="392"/>
      <c r="BM48" s="392"/>
      <c r="BN48" s="392"/>
      <c r="BO48" s="392"/>
      <c r="BP48" s="392"/>
      <c r="BQ48" s="392"/>
      <c r="BR48" s="392"/>
      <c r="BS48" s="392"/>
      <c r="BT48" s="392"/>
      <c r="BU48" s="392"/>
      <c r="BV48" s="392"/>
      <c r="BW48" s="392"/>
      <c r="BX48" s="392"/>
      <c r="BY48" s="392"/>
      <c r="BZ48" s="392"/>
      <c r="CA48" s="392"/>
      <c r="CB48" s="392"/>
      <c r="CC48" s="392"/>
      <c r="CD48" s="392"/>
      <c r="CE48" s="392"/>
      <c r="CF48" s="392"/>
      <c r="CG48" s="392"/>
      <c r="CH48" s="392"/>
      <c r="CI48" s="392"/>
      <c r="CJ48" s="392"/>
      <c r="CK48" s="392"/>
      <c r="CM48" s="392"/>
      <c r="CN48" s="392"/>
      <c r="CO48" s="290"/>
      <c r="CP48" s="392"/>
      <c r="CQ48" s="392"/>
      <c r="CR48" s="290"/>
      <c r="CS48" s="290"/>
      <c r="CT48" s="290"/>
      <c r="CU48" s="290"/>
      <c r="CV48" s="392"/>
      <c r="CW48" s="290"/>
      <c r="CX48" s="392"/>
      <c r="CY48" s="391"/>
      <c r="DA48" s="391"/>
    </row>
    <row r="49" spans="5:105">
      <c r="E49" s="560"/>
      <c r="F49" s="560"/>
      <c r="G49" s="410"/>
      <c r="H49" s="410"/>
      <c r="I49" s="410"/>
      <c r="J49" s="560"/>
      <c r="K49" s="410"/>
      <c r="L49" s="410"/>
      <c r="M49" s="410"/>
      <c r="N49" s="450"/>
      <c r="O49" s="410"/>
      <c r="P49" s="410"/>
      <c r="Q49" s="410"/>
      <c r="R49" s="410"/>
      <c r="S49" s="410"/>
      <c r="T49" s="410"/>
      <c r="U49" s="410"/>
      <c r="V49" s="410"/>
      <c r="W49" s="410"/>
      <c r="X49" s="410"/>
      <c r="Y49" s="410"/>
      <c r="Z49" s="410"/>
      <c r="AA49" s="384">
        <v>44</v>
      </c>
      <c r="AB49" s="395">
        <f>COUNTIF(E6:J50,AA49)</f>
        <v>0</v>
      </c>
      <c r="AC49" s="395">
        <f>COUNTIF(E6:Y50,AA49)</f>
        <v>0</v>
      </c>
      <c r="AD49" s="549">
        <v>44</v>
      </c>
      <c r="AE49" s="501"/>
      <c r="AF49" s="501"/>
      <c r="AG49" s="501"/>
      <c r="AH49" s="501"/>
      <c r="AI49" s="501"/>
      <c r="AJ49" s="501"/>
      <c r="AK49" s="501"/>
      <c r="AL49" s="501"/>
      <c r="AM49" s="500"/>
      <c r="AN49" s="500"/>
      <c r="AP49" s="420">
        <v>726</v>
      </c>
      <c r="BK49" s="392"/>
      <c r="BL49" s="392"/>
      <c r="BM49" s="392"/>
      <c r="BN49" s="392"/>
      <c r="BO49" s="392"/>
      <c r="BP49" s="392"/>
      <c r="BQ49" s="392"/>
      <c r="BR49" s="392"/>
      <c r="BS49" s="392"/>
      <c r="BT49" s="392"/>
      <c r="BU49" s="392"/>
      <c r="BV49" s="392"/>
      <c r="BW49" s="392"/>
      <c r="BX49" s="392"/>
      <c r="BY49" s="392"/>
      <c r="BZ49" s="392"/>
      <c r="CA49" s="392"/>
      <c r="CB49" s="392"/>
      <c r="CC49" s="392"/>
      <c r="CD49" s="392"/>
      <c r="CE49" s="392"/>
      <c r="CF49" s="392"/>
      <c r="CG49" s="392"/>
      <c r="CH49" s="392"/>
      <c r="CI49" s="392"/>
      <c r="CJ49" s="392"/>
      <c r="CK49" s="392"/>
      <c r="CM49" s="392"/>
      <c r="CN49" s="392"/>
      <c r="CO49" s="290"/>
      <c r="CP49" s="290"/>
      <c r="CQ49" s="290"/>
      <c r="CR49" s="290"/>
      <c r="CS49" s="392"/>
      <c r="CT49" s="290"/>
      <c r="CU49" s="290"/>
      <c r="CV49" s="392"/>
      <c r="CW49" s="290"/>
      <c r="CX49" s="392"/>
      <c r="CY49" s="391"/>
      <c r="DA49" s="391"/>
    </row>
    <row r="50" spans="5:105">
      <c r="E50" s="560"/>
      <c r="F50" s="560"/>
      <c r="G50" s="410"/>
      <c r="H50" s="410"/>
      <c r="I50" s="410"/>
      <c r="J50" s="560"/>
      <c r="K50" s="410"/>
      <c r="L50" s="410"/>
      <c r="M50" s="410"/>
      <c r="N50" s="450"/>
      <c r="O50" s="410"/>
      <c r="P50" s="410"/>
      <c r="Q50" s="410"/>
      <c r="R50" s="410"/>
      <c r="S50" s="410"/>
      <c r="T50" s="410"/>
      <c r="U50" s="410"/>
      <c r="V50" s="410"/>
      <c r="W50" s="410"/>
      <c r="X50" s="410"/>
      <c r="Y50" s="410"/>
      <c r="Z50" s="410"/>
      <c r="AA50" s="384">
        <v>45</v>
      </c>
      <c r="AB50" s="395">
        <f>COUNTIF(E6:J50,AA50)</f>
        <v>0</v>
      </c>
      <c r="AC50" s="395">
        <f>COUNTIF(E6:Y50,AA50)</f>
        <v>0</v>
      </c>
      <c r="AD50" s="549">
        <v>45</v>
      </c>
      <c r="AE50" s="501"/>
      <c r="AF50" s="501"/>
      <c r="AG50" s="501"/>
      <c r="AH50" s="501"/>
      <c r="AI50" s="501"/>
      <c r="AJ50" s="501"/>
      <c r="AK50" s="501"/>
      <c r="AL50" s="501"/>
      <c r="AM50" s="500"/>
      <c r="AN50" s="501"/>
      <c r="AP50" s="420">
        <v>727</v>
      </c>
      <c r="BK50" s="392"/>
      <c r="BL50" s="392"/>
      <c r="BM50" s="392"/>
      <c r="BN50" s="392"/>
      <c r="BO50" s="392"/>
      <c r="BP50" s="392"/>
      <c r="BQ50" s="392"/>
      <c r="BR50" s="392"/>
      <c r="BS50" s="392"/>
      <c r="BT50" s="392"/>
      <c r="BU50" s="392"/>
      <c r="BV50" s="392"/>
      <c r="BW50" s="392"/>
      <c r="BX50" s="392"/>
      <c r="BY50" s="392"/>
      <c r="BZ50" s="392"/>
      <c r="CA50" s="392"/>
      <c r="CB50" s="392"/>
      <c r="CC50" s="392"/>
      <c r="CD50" s="392"/>
      <c r="CE50" s="392"/>
      <c r="CF50" s="392"/>
      <c r="CG50" s="392"/>
      <c r="CH50" s="392"/>
      <c r="CI50" s="392"/>
      <c r="CJ50" s="392"/>
      <c r="CK50" s="392"/>
      <c r="CM50" s="392"/>
      <c r="CN50" s="392"/>
      <c r="CO50" s="290"/>
      <c r="CP50" s="290"/>
      <c r="CQ50" s="290"/>
      <c r="CR50" s="392"/>
      <c r="CS50" s="392"/>
      <c r="CT50" s="392"/>
      <c r="CU50" s="290"/>
      <c r="CV50" s="392"/>
      <c r="CW50" s="290"/>
      <c r="CX50" s="392"/>
      <c r="CY50" s="391"/>
      <c r="DA50" s="391"/>
    </row>
    <row r="51" spans="5:105">
      <c r="I51" s="404"/>
      <c r="J51" s="404"/>
      <c r="K51" s="404"/>
      <c r="L51" s="404"/>
      <c r="M51" s="404"/>
      <c r="N51" s="404"/>
      <c r="O51" s="404"/>
      <c r="P51" s="405"/>
      <c r="Q51" s="405"/>
      <c r="R51" s="405"/>
      <c r="S51" s="404"/>
      <c r="T51" s="405"/>
      <c r="U51" s="405"/>
      <c r="V51" s="405"/>
      <c r="W51" s="405"/>
      <c r="X51" s="405"/>
      <c r="Y51" s="404"/>
      <c r="Z51" s="405"/>
      <c r="AA51" s="405"/>
      <c r="AB51" s="404"/>
      <c r="AC51" s="404"/>
      <c r="AD51" s="456"/>
      <c r="AE51" s="389"/>
      <c r="AF51" s="420"/>
      <c r="AO51" s="420"/>
      <c r="BJ51" s="392"/>
      <c r="BK51" s="392"/>
      <c r="BL51" s="392"/>
      <c r="BM51" s="392"/>
      <c r="BN51" s="392"/>
      <c r="BO51" s="392"/>
      <c r="BP51" s="392"/>
      <c r="BQ51" s="392"/>
      <c r="BR51" s="392"/>
      <c r="BS51" s="392"/>
      <c r="BT51" s="392"/>
      <c r="BU51" s="392"/>
      <c r="BV51" s="392"/>
      <c r="BW51" s="392"/>
      <c r="BX51" s="392"/>
      <c r="BY51" s="392"/>
      <c r="BZ51" s="392"/>
      <c r="CA51" s="392"/>
      <c r="CB51" s="392"/>
      <c r="CC51" s="392"/>
      <c r="CD51" s="392"/>
      <c r="CE51" s="392"/>
      <c r="CF51" s="392"/>
      <c r="CG51" s="392"/>
      <c r="CH51" s="392"/>
      <c r="CI51" s="392"/>
      <c r="CJ51" s="392"/>
      <c r="CK51" s="392"/>
      <c r="CM51" s="392"/>
      <c r="CN51" s="290"/>
      <c r="CO51" s="290"/>
      <c r="CP51" s="392"/>
      <c r="CQ51" s="392"/>
      <c r="CR51" s="392"/>
      <c r="CS51" s="392"/>
      <c r="CT51" s="290"/>
      <c r="CU51" s="392"/>
      <c r="CV51" s="290"/>
      <c r="CW51" s="392"/>
      <c r="CX51" s="391"/>
      <c r="CZ51" s="391"/>
    </row>
    <row r="52" spans="5:105">
      <c r="I52" s="404"/>
      <c r="J52" s="404"/>
      <c r="K52" s="404"/>
      <c r="L52" s="404"/>
      <c r="M52" s="404"/>
      <c r="N52" s="404"/>
      <c r="O52" s="404"/>
      <c r="P52" s="405"/>
      <c r="Q52" s="405"/>
      <c r="R52" s="405"/>
      <c r="S52" s="404"/>
      <c r="T52" s="404"/>
      <c r="U52" s="405"/>
      <c r="V52" s="405"/>
      <c r="W52" s="405"/>
      <c r="X52" s="405"/>
      <c r="Y52" s="404"/>
      <c r="Z52" s="405"/>
      <c r="AA52" s="405"/>
      <c r="AB52" s="404"/>
      <c r="AC52" s="404"/>
      <c r="AD52" s="456"/>
      <c r="AE52" s="404"/>
      <c r="AF52" s="421"/>
      <c r="BJ52" s="392"/>
      <c r="BK52" s="392"/>
      <c r="BL52" s="392"/>
      <c r="BM52" s="392"/>
      <c r="BN52" s="392"/>
      <c r="BO52" s="392"/>
      <c r="BP52" s="392"/>
      <c r="BQ52" s="392"/>
      <c r="BR52" s="392"/>
      <c r="BS52" s="392"/>
      <c r="BT52" s="392"/>
      <c r="BU52" s="392"/>
      <c r="BV52" s="392"/>
      <c r="BW52" s="392"/>
      <c r="BX52" s="392"/>
      <c r="BY52" s="392"/>
      <c r="BZ52" s="392"/>
      <c r="CA52" s="392"/>
      <c r="CB52" s="392"/>
      <c r="CC52" s="392"/>
      <c r="CD52" s="392"/>
      <c r="CE52" s="392"/>
      <c r="CF52" s="392"/>
      <c r="CG52" s="392"/>
      <c r="CH52" s="392"/>
      <c r="CI52" s="392"/>
      <c r="CJ52" s="392"/>
      <c r="CK52" s="392"/>
      <c r="CM52" s="392"/>
      <c r="CN52" s="392"/>
      <c r="CO52" s="392"/>
      <c r="CP52" s="392"/>
      <c r="CQ52" s="392"/>
      <c r="CR52" s="392"/>
      <c r="CS52" s="392"/>
      <c r="CT52" s="290"/>
      <c r="CU52" s="290"/>
      <c r="CV52" s="290"/>
      <c r="CW52" s="290"/>
      <c r="CX52" s="391"/>
      <c r="CZ52" s="391"/>
    </row>
    <row r="53" spans="5:105" s="430" customFormat="1">
      <c r="P53" s="429"/>
      <c r="Q53" s="429"/>
      <c r="AD53" s="456"/>
      <c r="AE53" s="389"/>
      <c r="CV53" s="412"/>
      <c r="CW53" s="412"/>
    </row>
    <row r="54" spans="5:105" s="430" customFormat="1">
      <c r="P54" s="429"/>
      <c r="Q54" s="429"/>
      <c r="AD54" s="456"/>
      <c r="AE54" s="389"/>
      <c r="CV54" s="412"/>
      <c r="CW54" s="412"/>
    </row>
    <row r="55" spans="5:105" s="430" customFormat="1">
      <c r="P55" s="429"/>
      <c r="Q55" s="429"/>
      <c r="AD55" s="456"/>
      <c r="AE55" s="389"/>
      <c r="CV55" s="412"/>
      <c r="CW55" s="412"/>
    </row>
    <row r="56" spans="5:105" s="430" customFormat="1">
      <c r="Q56" s="429"/>
      <c r="AD56" s="456"/>
      <c r="AE56" s="389"/>
      <c r="BP56" s="412"/>
      <c r="BQ56" s="412"/>
      <c r="CV56" s="412"/>
      <c r="CW56" s="412"/>
    </row>
    <row r="57" spans="5:105" s="430" customFormat="1">
      <c r="P57" s="429"/>
      <c r="Q57" s="429"/>
      <c r="AD57" s="456"/>
      <c r="AE57" s="389"/>
      <c r="BK57" s="412"/>
      <c r="BM57" s="412"/>
      <c r="BN57" s="412"/>
      <c r="BO57" s="412"/>
      <c r="BP57" s="412"/>
      <c r="BQ57" s="412"/>
      <c r="CV57" s="412"/>
      <c r="CW57" s="412"/>
    </row>
    <row r="58" spans="5:105" s="430" customFormat="1">
      <c r="E58" s="52"/>
      <c r="AD58" s="456"/>
      <c r="BK58" s="412"/>
      <c r="BM58" s="412"/>
      <c r="BN58" s="412"/>
      <c r="BO58" s="412"/>
      <c r="BP58" s="412"/>
      <c r="BQ58" s="412"/>
    </row>
    <row r="59" spans="5:105" s="430" customFormat="1">
      <c r="E59" s="52"/>
      <c r="AD59" s="456"/>
      <c r="AE59" s="389"/>
      <c r="BK59" s="412"/>
      <c r="BM59" s="412"/>
      <c r="BN59" s="412"/>
      <c r="BO59" s="412"/>
      <c r="BP59" s="412"/>
      <c r="BQ59" s="412"/>
    </row>
    <row r="60" spans="5:105" s="430" customFormat="1">
      <c r="E60" s="52"/>
      <c r="AD60" s="456"/>
      <c r="AE60" s="389"/>
      <c r="BK60" s="412"/>
      <c r="BM60" s="412"/>
      <c r="BN60" s="412"/>
      <c r="BO60" s="412"/>
      <c r="BP60" s="412"/>
      <c r="BQ60" s="412"/>
    </row>
    <row r="61" spans="5:105" s="430" customFormat="1">
      <c r="E61" s="52"/>
      <c r="AD61" s="456"/>
      <c r="AP61" s="306"/>
      <c r="AQ61" s="306"/>
    </row>
    <row r="62" spans="5:105" s="430" customFormat="1">
      <c r="E62" s="52"/>
      <c r="P62" s="429"/>
      <c r="Q62" s="429"/>
      <c r="AD62" s="456"/>
      <c r="AE62" s="389"/>
      <c r="BI62" s="412"/>
      <c r="BK62" s="412"/>
      <c r="BL62" s="412"/>
      <c r="BM62" s="412"/>
      <c r="BN62" s="412"/>
      <c r="BO62" s="412"/>
    </row>
    <row r="63" spans="5:105" s="430" customFormat="1" ht="18.75">
      <c r="E63" s="52"/>
      <c r="H63" s="432"/>
      <c r="Q63" s="429"/>
      <c r="AD63" s="456"/>
      <c r="AE63" s="389"/>
      <c r="BI63" s="412"/>
      <c r="BJ63" s="307"/>
      <c r="BK63" s="412"/>
      <c r="BL63" s="412"/>
      <c r="BM63" s="412"/>
      <c r="BN63" s="412"/>
      <c r="BO63" s="412"/>
      <c r="BP63" s="412"/>
      <c r="BQ63" s="412"/>
      <c r="BR63" s="412"/>
    </row>
    <row r="64" spans="5:105" s="430" customFormat="1" ht="18.75">
      <c r="E64" s="52"/>
      <c r="H64" s="432"/>
      <c r="Q64" s="429"/>
      <c r="R64" s="429"/>
      <c r="AD64" s="456"/>
      <c r="AE64" s="389"/>
    </row>
    <row r="65" spans="5:99" s="430" customFormat="1">
      <c r="E65" s="52"/>
      <c r="Q65" s="429"/>
      <c r="R65" s="429"/>
      <c r="AD65" s="456"/>
      <c r="AE65" s="389"/>
    </row>
    <row r="66" spans="5:99" s="430" customFormat="1">
      <c r="E66" s="52"/>
      <c r="Q66" s="429"/>
      <c r="R66" s="429"/>
      <c r="AD66" s="456"/>
      <c r="AE66" s="389"/>
      <c r="BI66" s="386"/>
      <c r="BJ66" s="386"/>
      <c r="BK66" s="386"/>
      <c r="BL66" s="386"/>
      <c r="BM66" s="386"/>
      <c r="BN66" s="386"/>
      <c r="BO66" s="386"/>
      <c r="BP66" s="386"/>
      <c r="BQ66" s="386"/>
      <c r="BR66" s="386"/>
      <c r="BS66" s="386"/>
      <c r="BT66" s="386"/>
      <c r="BU66" s="386"/>
      <c r="BV66" s="386"/>
      <c r="BW66" s="386"/>
      <c r="BX66" s="386"/>
      <c r="BY66" s="386"/>
      <c r="BZ66" s="386"/>
      <c r="CA66" s="386"/>
      <c r="CB66" s="386"/>
      <c r="CC66" s="386"/>
    </row>
    <row r="67" spans="5:99" s="430" customFormat="1">
      <c r="E67" s="52"/>
      <c r="Q67" s="429"/>
      <c r="R67" s="429"/>
      <c r="AD67" s="456"/>
      <c r="AE67" s="389"/>
      <c r="AI67" s="228"/>
      <c r="BM67" s="412"/>
      <c r="CI67" s="412"/>
      <c r="CJ67" s="412"/>
      <c r="CL67" s="412"/>
      <c r="CM67" s="412"/>
      <c r="CO67" s="412"/>
      <c r="CP67" s="412"/>
      <c r="CQ67" s="412"/>
      <c r="CR67" s="412"/>
      <c r="CS67" s="412"/>
      <c r="CT67" s="412"/>
      <c r="CU67" s="412"/>
    </row>
    <row r="68" spans="5:99" s="430" customFormat="1">
      <c r="E68" s="52"/>
      <c r="Q68" s="429"/>
      <c r="AD68" s="456"/>
      <c r="AE68" s="389"/>
      <c r="AI68" s="228"/>
      <c r="AO68" s="400"/>
      <c r="AP68" s="400"/>
      <c r="AQ68" s="400"/>
      <c r="CI68" s="412"/>
      <c r="CJ68" s="412"/>
      <c r="CL68" s="412"/>
      <c r="CM68" s="412"/>
      <c r="CO68" s="412"/>
      <c r="CP68" s="412"/>
      <c r="CQ68" s="412"/>
      <c r="CR68" s="412"/>
      <c r="CS68" s="412"/>
      <c r="CT68" s="412"/>
      <c r="CU68" s="412"/>
    </row>
    <row r="69" spans="5:99" s="430" customFormat="1">
      <c r="E69" s="52"/>
      <c r="Q69" s="429"/>
      <c r="AD69" s="456"/>
      <c r="AE69" s="389"/>
      <c r="AI69" s="228"/>
      <c r="AO69" s="400"/>
      <c r="AP69" s="400"/>
      <c r="AQ69" s="400"/>
      <c r="CI69" s="412"/>
      <c r="CJ69" s="412"/>
      <c r="CL69" s="412"/>
      <c r="CM69" s="412"/>
      <c r="CO69" s="412"/>
      <c r="CP69" s="412"/>
      <c r="CQ69" s="412"/>
      <c r="CR69" s="412"/>
      <c r="CS69" s="412"/>
      <c r="CT69" s="412"/>
      <c r="CU69" s="412"/>
    </row>
    <row r="70" spans="5:99" s="430" customFormat="1" ht="18.75">
      <c r="E70" s="52"/>
      <c r="H70" s="432"/>
      <c r="Q70" s="429"/>
      <c r="AD70" s="456"/>
      <c r="AI70" s="228"/>
      <c r="CI70" s="412"/>
      <c r="CJ70" s="412"/>
      <c r="CL70" s="412"/>
      <c r="CM70" s="412"/>
      <c r="CO70" s="412"/>
      <c r="CP70" s="412"/>
      <c r="CQ70" s="412"/>
      <c r="CR70" s="412"/>
      <c r="CS70" s="412"/>
      <c r="CT70" s="412"/>
    </row>
    <row r="71" spans="5:99" s="430" customFormat="1" ht="18.75">
      <c r="E71" s="52"/>
      <c r="H71" s="432"/>
      <c r="Q71" s="429"/>
      <c r="AD71" s="456"/>
      <c r="AI71" s="228"/>
      <c r="CI71" s="412"/>
      <c r="CJ71" s="412"/>
      <c r="CL71" s="412"/>
      <c r="CM71" s="412"/>
      <c r="CN71" s="412"/>
      <c r="CO71" s="412"/>
      <c r="CP71" s="412"/>
      <c r="CQ71" s="412"/>
      <c r="CR71" s="412"/>
      <c r="CS71" s="412"/>
      <c r="CT71" s="412"/>
    </row>
    <row r="72" spans="5:99" s="430" customFormat="1" ht="18.75">
      <c r="E72" s="52"/>
      <c r="H72" s="432"/>
      <c r="Q72" s="429"/>
      <c r="AD72" s="456"/>
      <c r="AE72" s="389"/>
      <c r="AI72" s="228"/>
      <c r="CI72" s="412"/>
      <c r="CJ72" s="412"/>
      <c r="CL72" s="412"/>
      <c r="CM72" s="412"/>
      <c r="CO72" s="412"/>
      <c r="CP72" s="412"/>
      <c r="CQ72" s="412"/>
      <c r="CR72" s="412"/>
      <c r="CS72" s="412"/>
      <c r="CT72" s="412"/>
    </row>
    <row r="73" spans="5:99" s="430" customFormat="1" ht="18.75">
      <c r="E73" s="52"/>
      <c r="H73" s="432"/>
      <c r="Q73" s="429"/>
      <c r="AD73" s="456"/>
      <c r="AE73" s="389"/>
      <c r="AI73" s="228"/>
      <c r="CI73" s="412"/>
      <c r="CJ73" s="412"/>
      <c r="CL73" s="412"/>
      <c r="CM73" s="412"/>
      <c r="CO73" s="412"/>
      <c r="CP73" s="412"/>
      <c r="CQ73" s="412"/>
      <c r="CR73" s="412"/>
      <c r="CS73" s="412"/>
      <c r="CT73" s="412"/>
      <c r="CU73" s="412"/>
    </row>
    <row r="74" spans="5:99" s="430" customFormat="1" ht="18.75">
      <c r="E74" s="52"/>
      <c r="H74" s="432"/>
      <c r="Q74" s="429"/>
      <c r="AD74" s="456"/>
      <c r="AE74" s="389"/>
      <c r="AI74" s="228"/>
      <c r="CI74" s="412"/>
      <c r="CJ74" s="412"/>
      <c r="CL74" s="412"/>
      <c r="CM74" s="412"/>
      <c r="CN74" s="412"/>
      <c r="CO74" s="412"/>
      <c r="CP74" s="412"/>
      <c r="CQ74" s="412"/>
      <c r="CR74" s="412"/>
      <c r="CS74" s="412"/>
      <c r="CT74" s="412"/>
      <c r="CU74" s="412"/>
    </row>
    <row r="75" spans="5:99" s="430" customFormat="1" ht="18.75">
      <c r="E75" s="52"/>
      <c r="H75" s="432"/>
      <c r="Q75" s="429"/>
      <c r="AD75" s="456"/>
      <c r="AE75" s="389"/>
      <c r="AI75" s="228"/>
      <c r="CI75" s="412"/>
      <c r="CJ75" s="412"/>
      <c r="CL75" s="412"/>
      <c r="CO75" s="412"/>
      <c r="CP75" s="412"/>
      <c r="CQ75" s="412"/>
      <c r="CR75" s="412"/>
      <c r="CS75" s="412"/>
      <c r="CT75" s="412"/>
      <c r="CU75" s="412"/>
    </row>
    <row r="76" spans="5:99" s="430" customFormat="1" ht="18.75">
      <c r="E76" s="52"/>
      <c r="H76" s="432"/>
      <c r="Q76" s="429"/>
      <c r="AD76" s="456"/>
      <c r="AE76" s="389"/>
      <c r="AI76" s="228"/>
      <c r="CI76" s="412"/>
      <c r="CJ76" s="412"/>
      <c r="CO76" s="412"/>
      <c r="CP76" s="412"/>
      <c r="CQ76" s="412"/>
      <c r="CR76" s="412"/>
      <c r="CS76" s="412"/>
      <c r="CT76" s="412"/>
    </row>
    <row r="77" spans="5:99" s="430" customFormat="1" ht="18.75">
      <c r="E77" s="52"/>
      <c r="H77" s="432"/>
      <c r="Q77" s="429"/>
      <c r="AD77" s="456"/>
      <c r="AE77" s="389"/>
      <c r="AI77" s="228"/>
      <c r="CI77" s="412"/>
      <c r="CJ77" s="412"/>
      <c r="CL77" s="412"/>
      <c r="CM77" s="412"/>
      <c r="CO77" s="412"/>
      <c r="CP77" s="412"/>
      <c r="CQ77" s="412"/>
      <c r="CR77" s="412"/>
      <c r="CS77" s="412"/>
      <c r="CT77" s="412"/>
      <c r="CU77" s="412"/>
    </row>
    <row r="78" spans="5:99" s="430" customFormat="1" ht="18.75">
      <c r="E78" s="52"/>
      <c r="H78" s="432"/>
      <c r="Q78" s="429"/>
      <c r="S78" s="412"/>
      <c r="U78" s="412"/>
      <c r="V78" s="412"/>
      <c r="W78" s="412"/>
      <c r="AD78" s="456"/>
      <c r="AE78" s="389"/>
      <c r="AI78" s="228"/>
      <c r="CI78" s="412"/>
      <c r="CJ78" s="412"/>
      <c r="CL78" s="412"/>
      <c r="CM78" s="412"/>
      <c r="CO78" s="412"/>
      <c r="CP78" s="412"/>
      <c r="CQ78" s="412"/>
      <c r="CR78" s="412"/>
      <c r="CS78" s="412"/>
      <c r="CT78" s="412"/>
      <c r="CU78" s="412"/>
    </row>
    <row r="79" spans="5:99" s="430" customFormat="1" ht="18.75">
      <c r="E79" s="52"/>
      <c r="H79" s="432"/>
      <c r="Q79" s="429"/>
      <c r="AD79" s="456"/>
      <c r="AE79" s="389"/>
      <c r="AI79" s="228"/>
      <c r="CI79" s="412"/>
      <c r="CJ79" s="412"/>
      <c r="CL79" s="412"/>
      <c r="CM79" s="412"/>
      <c r="CO79" s="412"/>
      <c r="CP79" s="412"/>
      <c r="CQ79" s="412"/>
      <c r="CR79" s="412"/>
      <c r="CS79" s="412"/>
      <c r="CT79" s="412"/>
    </row>
    <row r="80" spans="5:99" s="430" customFormat="1" ht="18.75">
      <c r="E80" s="52"/>
      <c r="H80" s="432"/>
      <c r="Q80" s="429"/>
      <c r="AD80" s="456"/>
      <c r="AI80" s="228"/>
      <c r="CI80" s="412"/>
      <c r="CJ80" s="412"/>
      <c r="CL80" s="412"/>
      <c r="CM80" s="412"/>
      <c r="CN80" s="412"/>
      <c r="CP80" s="412"/>
      <c r="CQ80" s="412"/>
      <c r="CR80" s="412"/>
      <c r="CS80" s="412"/>
      <c r="CT80" s="412"/>
    </row>
    <row r="81" spans="5:99" s="430" customFormat="1" ht="18.75">
      <c r="E81" s="52"/>
      <c r="H81" s="432"/>
      <c r="Q81" s="429"/>
      <c r="AD81" s="456"/>
      <c r="AI81" s="228"/>
      <c r="CI81" s="412"/>
      <c r="CJ81" s="412"/>
      <c r="CL81" s="412"/>
      <c r="CM81" s="412"/>
      <c r="CQ81" s="412"/>
      <c r="CS81" s="412"/>
      <c r="CU81" s="412"/>
    </row>
    <row r="82" spans="5:99" s="430" customFormat="1" ht="18.75">
      <c r="E82" s="52"/>
      <c r="H82" s="432"/>
      <c r="Q82" s="429"/>
      <c r="AD82" s="456"/>
      <c r="AI82" s="228"/>
      <c r="CQ82" s="412"/>
      <c r="CS82" s="412"/>
    </row>
    <row r="83" spans="5:99" s="430" customFormat="1" ht="18.75">
      <c r="E83" s="52"/>
      <c r="H83" s="432"/>
      <c r="Q83" s="429"/>
      <c r="AD83" s="456"/>
      <c r="AI83" s="228"/>
      <c r="BS83" s="412"/>
    </row>
    <row r="84" spans="5:99" s="430" customFormat="1" ht="18.75">
      <c r="E84" s="52"/>
      <c r="H84" s="432"/>
      <c r="Q84" s="429"/>
      <c r="AD84" s="456"/>
      <c r="AI84" s="228"/>
    </row>
    <row r="85" spans="5:99" s="430" customFormat="1" ht="18.75">
      <c r="E85" s="52"/>
      <c r="H85" s="432"/>
      <c r="Q85" s="429"/>
      <c r="AD85" s="456"/>
      <c r="AI85" s="228"/>
    </row>
    <row r="86" spans="5:99" s="430" customFormat="1" ht="18.75">
      <c r="E86" s="52"/>
      <c r="H86" s="432"/>
      <c r="Q86" s="429"/>
      <c r="AD86" s="456"/>
      <c r="AI86" s="228"/>
    </row>
    <row r="87" spans="5:99" s="430" customFormat="1" ht="18.75">
      <c r="E87" s="52"/>
      <c r="H87" s="432"/>
      <c r="Q87" s="429"/>
      <c r="AD87" s="456"/>
      <c r="AI87" s="228"/>
    </row>
    <row r="88" spans="5:99" s="430" customFormat="1" ht="18.75">
      <c r="E88" s="52"/>
      <c r="H88" s="432"/>
      <c r="Q88" s="429"/>
      <c r="AD88" s="456"/>
      <c r="AI88" s="228"/>
    </row>
    <row r="89" spans="5:99" s="430" customFormat="1" ht="18.75">
      <c r="E89" s="52"/>
      <c r="H89" s="432"/>
      <c r="Q89" s="429"/>
      <c r="AD89" s="456"/>
      <c r="AI89" s="228"/>
      <c r="AO89" s="400"/>
      <c r="BI89" s="429"/>
      <c r="BJ89" s="402"/>
    </row>
    <row r="90" spans="5:99" s="430" customFormat="1" ht="18.75">
      <c r="E90" s="52"/>
      <c r="H90" s="432"/>
      <c r="Q90" s="429"/>
      <c r="AD90" s="456"/>
      <c r="AI90" s="228"/>
      <c r="AO90" s="400"/>
      <c r="BD90" s="412"/>
    </row>
    <row r="91" spans="5:99" s="430" customFormat="1" ht="18.75">
      <c r="E91" s="52"/>
      <c r="H91" s="432"/>
      <c r="Q91" s="429"/>
      <c r="AC91" s="386"/>
      <c r="AD91" s="386"/>
      <c r="AE91" s="386"/>
      <c r="AF91" s="386"/>
      <c r="AG91" s="386"/>
      <c r="AI91" s="386"/>
      <c r="AJ91" s="386"/>
      <c r="AK91" s="386"/>
      <c r="AL91" s="386"/>
      <c r="AM91" s="386"/>
      <c r="AO91" s="400"/>
      <c r="BD91" s="429"/>
      <c r="BE91" s="429"/>
      <c r="BF91" s="429"/>
      <c r="BG91" s="429"/>
      <c r="BH91" s="429"/>
    </row>
    <row r="92" spans="5:99" s="430" customFormat="1" ht="18.75">
      <c r="H92" s="432"/>
      <c r="Q92" s="429"/>
      <c r="AD92" s="456"/>
      <c r="AO92" s="400"/>
      <c r="BE92" s="402"/>
    </row>
    <row r="93" spans="5:99" s="430" customFormat="1" ht="18.75">
      <c r="H93" s="432"/>
      <c r="Q93" s="429"/>
      <c r="AD93" s="456"/>
      <c r="AO93" s="317"/>
    </row>
    <row r="94" spans="5:99" s="430" customFormat="1" ht="18.75">
      <c r="H94" s="432"/>
      <c r="Q94" s="429"/>
      <c r="AD94" s="456"/>
      <c r="AO94" s="317"/>
      <c r="BI94" s="402"/>
    </row>
    <row r="95" spans="5:99" s="430" customFormat="1" ht="18.75">
      <c r="H95" s="432"/>
      <c r="Q95" s="429"/>
      <c r="AD95" s="456"/>
      <c r="AO95" s="318"/>
      <c r="BE95" s="412"/>
      <c r="BI95" s="412"/>
    </row>
    <row r="96" spans="5:99" s="430" customFormat="1" ht="18.75">
      <c r="H96" s="432"/>
      <c r="Q96" s="429"/>
      <c r="AD96" s="456"/>
      <c r="AO96" s="317"/>
    </row>
    <row r="97" spans="9:95" s="430" customFormat="1">
      <c r="Q97" s="429"/>
      <c r="AD97" s="456"/>
      <c r="AO97" s="317"/>
    </row>
    <row r="98" spans="9:95" s="430" customFormat="1">
      <c r="Q98" s="429"/>
      <c r="AD98" s="456"/>
      <c r="AO98" s="317"/>
    </row>
    <row r="99" spans="9:95" s="430" customFormat="1">
      <c r="Q99" s="429"/>
      <c r="AD99" s="456"/>
      <c r="AO99" s="317"/>
    </row>
    <row r="100" spans="9:95" s="430" customFormat="1">
      <c r="Q100" s="429"/>
      <c r="AD100" s="456"/>
    </row>
    <row r="101" spans="9:95" s="430" customFormat="1">
      <c r="Q101" s="429"/>
      <c r="AD101" s="456"/>
      <c r="BJ101" s="412"/>
    </row>
    <row r="102" spans="9:95" s="430" customFormat="1">
      <c r="Q102" s="429"/>
      <c r="AD102" s="456"/>
      <c r="BG102" s="412"/>
    </row>
    <row r="103" spans="9:95" s="430" customFormat="1">
      <c r="Q103" s="429"/>
      <c r="AC103" s="412"/>
      <c r="AD103" s="412"/>
    </row>
    <row r="104" spans="9:95" s="430" customFormat="1">
      <c r="Q104" s="429"/>
      <c r="AB104" s="429"/>
      <c r="AD104" s="456"/>
      <c r="BH104" s="412"/>
    </row>
    <row r="105" spans="9:95" s="430" customFormat="1">
      <c r="Q105" s="429"/>
      <c r="AB105" s="429"/>
      <c r="AD105" s="456"/>
    </row>
    <row r="106" spans="9:95" s="430" customFormat="1">
      <c r="Q106" s="429"/>
      <c r="AB106" s="429"/>
      <c r="AC106" s="412"/>
      <c r="AD106" s="412"/>
    </row>
    <row r="107" spans="9:95" s="430" customFormat="1">
      <c r="Q107" s="429"/>
      <c r="AB107" s="429"/>
      <c r="AC107" s="412"/>
      <c r="AD107" s="412"/>
      <c r="AF107" s="412"/>
      <c r="BK107" s="412"/>
      <c r="BL107" s="412"/>
      <c r="BM107" s="412"/>
      <c r="BN107" s="412"/>
      <c r="BO107" s="412"/>
    </row>
    <row r="108" spans="9:95" s="430" customFormat="1">
      <c r="Q108" s="429"/>
      <c r="AB108" s="429"/>
      <c r="AC108" s="412"/>
      <c r="AD108" s="412"/>
      <c r="AE108" s="412"/>
      <c r="AF108" s="412"/>
      <c r="BH108" s="402"/>
    </row>
    <row r="109" spans="9:95" s="430" customFormat="1">
      <c r="Q109" s="429"/>
      <c r="AB109" s="429"/>
      <c r="AD109" s="456"/>
      <c r="AE109" s="412"/>
      <c r="AF109" s="412"/>
      <c r="AG109" s="412"/>
    </row>
    <row r="110" spans="9:95" s="430" customFormat="1">
      <c r="Q110" s="429"/>
      <c r="AB110" s="429"/>
      <c r="AD110" s="456"/>
      <c r="AE110" s="412"/>
      <c r="AG110" s="412"/>
      <c r="AH110" s="412"/>
    </row>
    <row r="111" spans="9:95">
      <c r="I111" s="404"/>
      <c r="J111" s="404"/>
      <c r="K111" s="404"/>
      <c r="L111" s="404"/>
      <c r="M111" s="404"/>
      <c r="N111" s="404"/>
      <c r="O111" s="404"/>
      <c r="P111" s="404"/>
      <c r="Q111" s="405"/>
      <c r="R111" s="404"/>
      <c r="S111" s="404"/>
      <c r="T111" s="404"/>
      <c r="U111" s="404"/>
      <c r="V111" s="404"/>
      <c r="W111" s="404"/>
      <c r="X111" s="404"/>
      <c r="Y111" s="404"/>
      <c r="Z111" s="404"/>
      <c r="AA111" s="404"/>
      <c r="AB111" s="405"/>
      <c r="AC111" s="404"/>
      <c r="AD111" s="456"/>
      <c r="AE111" s="404"/>
      <c r="AF111" s="404"/>
      <c r="AG111" s="290"/>
      <c r="AH111" s="290"/>
      <c r="AI111" s="290"/>
      <c r="AJ111" s="391"/>
      <c r="AK111" s="391"/>
      <c r="AL111" s="391"/>
      <c r="AM111" s="391"/>
      <c r="AN111" s="396"/>
      <c r="AO111" s="391"/>
      <c r="BD111" s="391"/>
      <c r="BE111" s="391"/>
      <c r="BF111" s="391"/>
      <c r="BG111" s="290"/>
      <c r="BH111" s="391"/>
      <c r="BI111" s="391"/>
      <c r="BJ111" s="391"/>
      <c r="BK111" s="391"/>
      <c r="BL111" s="391"/>
      <c r="BM111" s="391"/>
      <c r="BN111" s="391"/>
      <c r="BO111" s="391"/>
      <c r="BP111" s="391"/>
      <c r="BQ111" s="391"/>
      <c r="BR111" s="391"/>
      <c r="CL111" s="398"/>
      <c r="CQ111" s="392"/>
    </row>
    <row r="112" spans="9:95">
      <c r="I112" s="404"/>
      <c r="J112" s="404"/>
      <c r="K112" s="404"/>
      <c r="L112" s="404"/>
      <c r="M112" s="404"/>
      <c r="N112" s="404"/>
      <c r="O112" s="404"/>
      <c r="P112" s="404"/>
      <c r="Q112" s="405"/>
      <c r="R112" s="404"/>
      <c r="S112" s="404"/>
      <c r="T112" s="404"/>
      <c r="U112" s="404"/>
      <c r="V112" s="404"/>
      <c r="W112" s="404"/>
      <c r="X112" s="404"/>
      <c r="Y112" s="404"/>
      <c r="Z112" s="404"/>
      <c r="AA112" s="404"/>
      <c r="AB112" s="405"/>
      <c r="AC112" s="404"/>
      <c r="AD112" s="456"/>
      <c r="AE112" s="404"/>
      <c r="AF112" s="403"/>
      <c r="AG112" s="391"/>
      <c r="AH112" s="290"/>
      <c r="AI112" s="290"/>
      <c r="AJ112" s="290"/>
      <c r="AK112" s="391"/>
      <c r="AL112" s="391"/>
      <c r="AM112" s="391"/>
      <c r="AN112" s="396"/>
      <c r="AO112" s="391"/>
      <c r="BD112" s="391"/>
      <c r="BE112" s="391"/>
      <c r="BF112" s="391"/>
      <c r="BG112" s="391"/>
      <c r="BH112" s="391"/>
      <c r="BI112" s="391"/>
      <c r="BJ112" s="391"/>
      <c r="BK112" s="391"/>
      <c r="BL112" s="391"/>
      <c r="BM112" s="391"/>
      <c r="BN112" s="391"/>
      <c r="BO112" s="391"/>
      <c r="BP112" s="391"/>
      <c r="BQ112" s="391"/>
      <c r="BR112" s="391"/>
      <c r="CL112" s="398"/>
      <c r="CQ112" s="392"/>
    </row>
    <row r="113" spans="9:95">
      <c r="I113" s="404"/>
      <c r="J113" s="404"/>
      <c r="K113" s="404"/>
      <c r="L113" s="404"/>
      <c r="M113" s="404"/>
      <c r="N113" s="404"/>
      <c r="O113" s="404"/>
      <c r="P113" s="404"/>
      <c r="Q113" s="405"/>
      <c r="R113" s="404"/>
      <c r="S113" s="404"/>
      <c r="T113" s="404"/>
      <c r="U113" s="404"/>
      <c r="V113" s="404"/>
      <c r="W113" s="404"/>
      <c r="X113" s="404"/>
      <c r="Y113" s="404"/>
      <c r="Z113" s="404"/>
      <c r="AA113" s="404"/>
      <c r="AB113" s="405"/>
      <c r="AC113" s="405"/>
      <c r="AD113" s="457"/>
      <c r="AE113" s="404"/>
      <c r="AF113" s="403"/>
      <c r="AG113" s="391"/>
      <c r="AH113" s="391"/>
      <c r="AI113" s="290"/>
      <c r="AJ113" s="290"/>
      <c r="AK113" s="391"/>
      <c r="AL113" s="391"/>
      <c r="AM113" s="391"/>
      <c r="AN113" s="396"/>
      <c r="AO113" s="391"/>
      <c r="BD113" s="391"/>
      <c r="BE113" s="391"/>
      <c r="BF113" s="391"/>
      <c r="BG113" s="391"/>
      <c r="BH113" s="391"/>
      <c r="BI113" s="391"/>
      <c r="BJ113" s="391"/>
      <c r="BK113" s="391"/>
      <c r="BL113" s="391"/>
      <c r="BM113" s="67"/>
      <c r="BN113" s="67"/>
      <c r="BO113" s="67"/>
      <c r="BP113" s="391"/>
      <c r="BQ113" s="391"/>
      <c r="BR113" s="391"/>
      <c r="CL113" s="398"/>
      <c r="CQ113" s="392"/>
    </row>
    <row r="114" spans="9:95">
      <c r="I114" s="404"/>
      <c r="J114" s="404"/>
      <c r="K114" s="404"/>
      <c r="L114" s="404"/>
      <c r="M114" s="404"/>
      <c r="N114" s="404"/>
      <c r="O114" s="404"/>
      <c r="P114" s="404"/>
      <c r="Q114" s="405"/>
      <c r="R114" s="404"/>
      <c r="S114" s="404"/>
      <c r="T114" s="404"/>
      <c r="U114" s="404"/>
      <c r="V114" s="404"/>
      <c r="W114" s="404"/>
      <c r="X114" s="404"/>
      <c r="Y114" s="404"/>
      <c r="Z114" s="404"/>
      <c r="AA114" s="404"/>
      <c r="AB114" s="405"/>
      <c r="AC114" s="404"/>
      <c r="AD114" s="456"/>
      <c r="AE114" s="404"/>
      <c r="AF114" s="405"/>
      <c r="AG114" s="391"/>
      <c r="AH114" s="391"/>
      <c r="AI114" s="391"/>
      <c r="AJ114" s="290"/>
      <c r="AK114" s="391"/>
      <c r="AL114" s="391"/>
      <c r="AM114" s="391"/>
      <c r="AN114" s="396"/>
      <c r="AO114" s="391"/>
      <c r="BD114" s="391"/>
      <c r="BE114" s="391"/>
      <c r="BF114" s="391"/>
      <c r="BG114" s="391"/>
      <c r="BH114" s="391"/>
      <c r="BI114" s="391"/>
      <c r="BJ114" s="391"/>
      <c r="BK114" s="290"/>
      <c r="BL114" s="391"/>
      <c r="BM114" s="391"/>
      <c r="BN114" s="391"/>
      <c r="BO114" s="391"/>
      <c r="BP114" s="391"/>
      <c r="BQ114" s="391"/>
      <c r="BR114" s="391"/>
      <c r="CL114" s="398"/>
      <c r="CQ114" s="392"/>
    </row>
    <row r="115" spans="9:95">
      <c r="I115" s="404"/>
      <c r="J115" s="404"/>
      <c r="K115" s="404"/>
      <c r="L115" s="404"/>
      <c r="M115" s="404"/>
      <c r="N115" s="404"/>
      <c r="O115" s="404"/>
      <c r="P115" s="404"/>
      <c r="Q115" s="405"/>
      <c r="R115" s="404"/>
      <c r="S115" s="404"/>
      <c r="T115" s="404"/>
      <c r="U115" s="404"/>
      <c r="V115" s="404"/>
      <c r="W115" s="404"/>
      <c r="X115" s="404"/>
      <c r="Y115" s="404"/>
      <c r="Z115" s="404"/>
      <c r="AA115" s="404"/>
      <c r="AB115" s="405"/>
      <c r="AC115" s="404"/>
      <c r="AD115" s="456"/>
      <c r="AE115" s="405"/>
      <c r="AF115" s="404"/>
      <c r="AG115" s="391"/>
      <c r="AH115" s="391"/>
      <c r="AI115" s="391"/>
      <c r="AJ115" s="391"/>
      <c r="AK115" s="391"/>
      <c r="AL115" s="391"/>
      <c r="AM115" s="391"/>
      <c r="AN115" s="396"/>
      <c r="AO115" s="391"/>
      <c r="BD115" s="391"/>
      <c r="BE115" s="391"/>
      <c r="BF115" s="391"/>
      <c r="BG115" s="391"/>
      <c r="BH115" s="391"/>
      <c r="BI115" s="391"/>
      <c r="BJ115" s="391"/>
      <c r="BK115" s="391"/>
      <c r="BL115" s="391"/>
      <c r="BM115" s="391"/>
      <c r="BN115" s="391"/>
      <c r="BO115" s="391"/>
      <c r="BP115" s="391"/>
      <c r="BQ115" s="391"/>
      <c r="BR115" s="391"/>
      <c r="CL115" s="398"/>
      <c r="CQ115" s="392"/>
    </row>
    <row r="116" spans="9:95">
      <c r="I116" s="404"/>
      <c r="J116" s="404"/>
      <c r="K116" s="404"/>
      <c r="L116" s="404"/>
      <c r="M116" s="404"/>
      <c r="N116" s="404"/>
      <c r="O116" s="404"/>
      <c r="P116" s="404"/>
      <c r="Q116" s="405"/>
      <c r="R116" s="404"/>
      <c r="S116" s="404"/>
      <c r="T116" s="404"/>
      <c r="U116" s="404"/>
      <c r="V116" s="404"/>
      <c r="W116" s="404"/>
      <c r="X116" s="404"/>
      <c r="Y116" s="404"/>
      <c r="Z116" s="404"/>
      <c r="AA116" s="404"/>
      <c r="AB116" s="402"/>
      <c r="AC116" s="404"/>
      <c r="AD116" s="456"/>
      <c r="AE116" s="404"/>
      <c r="AF116" s="404"/>
      <c r="AG116" s="391"/>
      <c r="AH116" s="391"/>
      <c r="AI116" s="290"/>
      <c r="AJ116" s="391"/>
      <c r="AK116" s="391"/>
      <c r="AL116" s="391"/>
      <c r="AM116" s="391"/>
      <c r="AN116" s="396"/>
      <c r="AO116" s="391"/>
      <c r="BD116" s="391"/>
      <c r="BE116" s="391"/>
      <c r="BF116" s="391"/>
      <c r="BG116" s="391"/>
      <c r="BH116" s="391"/>
      <c r="BI116" s="391"/>
      <c r="BJ116" s="391"/>
      <c r="BK116" s="391"/>
      <c r="BL116" s="391"/>
      <c r="BM116" s="391"/>
      <c r="BN116" s="391"/>
      <c r="BO116" s="391"/>
      <c r="BP116" s="391"/>
      <c r="BQ116" s="391"/>
      <c r="BR116" s="391"/>
      <c r="CL116" s="398"/>
      <c r="CQ116" s="392"/>
    </row>
    <row r="117" spans="9:95">
      <c r="I117" s="404"/>
      <c r="J117" s="404"/>
      <c r="K117" s="404"/>
      <c r="L117" s="404"/>
      <c r="M117" s="404"/>
      <c r="N117" s="404"/>
      <c r="O117" s="404"/>
      <c r="P117" s="404"/>
      <c r="Q117" s="405"/>
      <c r="R117" s="404"/>
      <c r="S117" s="404"/>
      <c r="T117" s="404"/>
      <c r="U117" s="404"/>
      <c r="V117" s="404"/>
      <c r="W117" s="404"/>
      <c r="X117" s="404"/>
      <c r="Y117" s="404"/>
      <c r="Z117" s="404"/>
      <c r="AA117" s="404"/>
      <c r="AB117" s="402"/>
      <c r="AC117" s="404"/>
      <c r="AD117" s="456"/>
      <c r="AE117" s="404"/>
      <c r="AF117" s="404"/>
      <c r="AG117" s="391"/>
      <c r="AH117" s="391"/>
      <c r="AI117" s="290"/>
      <c r="AJ117" s="290"/>
      <c r="AK117" s="391"/>
      <c r="AL117" s="391"/>
      <c r="AM117" s="391"/>
      <c r="AN117" s="396"/>
      <c r="AO117" s="391"/>
      <c r="BD117" s="391"/>
      <c r="BE117" s="391"/>
      <c r="BF117" s="391"/>
      <c r="BG117" s="391"/>
      <c r="BH117" s="391"/>
      <c r="BI117" s="391"/>
      <c r="BJ117" s="391"/>
      <c r="BK117" s="391"/>
      <c r="BL117" s="391"/>
      <c r="BM117" s="290"/>
      <c r="BN117" s="290"/>
      <c r="BO117" s="290"/>
      <c r="BP117" s="391"/>
      <c r="BQ117" s="391"/>
      <c r="BR117" s="391"/>
      <c r="CL117" s="398"/>
      <c r="CQ117" s="392"/>
    </row>
    <row r="118" spans="9:95">
      <c r="I118" s="404"/>
      <c r="J118" s="404"/>
      <c r="K118" s="404"/>
      <c r="L118" s="404"/>
      <c r="M118" s="404"/>
      <c r="N118" s="404"/>
      <c r="O118" s="404"/>
      <c r="P118" s="404"/>
      <c r="Q118" s="405"/>
      <c r="R118" s="404"/>
      <c r="S118" s="404"/>
      <c r="T118" s="404"/>
      <c r="U118" s="404"/>
      <c r="V118" s="404"/>
      <c r="W118" s="404"/>
      <c r="X118" s="404"/>
      <c r="Y118" s="404"/>
      <c r="Z118" s="404"/>
      <c r="AA118" s="404"/>
      <c r="AB118" s="402"/>
      <c r="AC118" s="403"/>
      <c r="AD118" s="412"/>
      <c r="AE118" s="404"/>
      <c r="AF118" s="404"/>
      <c r="AG118" s="391"/>
      <c r="AH118" s="391"/>
      <c r="AI118" s="397"/>
      <c r="AJ118" s="290"/>
      <c r="AK118" s="391"/>
      <c r="AL118" s="391"/>
      <c r="AM118" s="391"/>
      <c r="AN118" s="396"/>
      <c r="AO118" s="391"/>
      <c r="BD118" s="391"/>
      <c r="BE118" s="391"/>
      <c r="BF118" s="290"/>
      <c r="BG118" s="391"/>
      <c r="BH118" s="391"/>
      <c r="BI118" s="391"/>
      <c r="BJ118" s="391"/>
      <c r="BK118" s="391"/>
      <c r="BL118" s="391"/>
      <c r="BM118" s="391"/>
      <c r="BN118" s="391"/>
      <c r="BO118" s="391"/>
      <c r="BP118" s="391"/>
      <c r="BQ118" s="391"/>
      <c r="BR118" s="391"/>
      <c r="CL118" s="398"/>
      <c r="CQ118" s="392"/>
    </row>
    <row r="119" spans="9:95">
      <c r="I119" s="404"/>
      <c r="J119" s="404"/>
      <c r="K119" s="404"/>
      <c r="L119" s="404"/>
      <c r="M119" s="404"/>
      <c r="N119" s="404"/>
      <c r="O119" s="404"/>
      <c r="P119" s="404"/>
      <c r="Q119" s="405"/>
      <c r="R119" s="404"/>
      <c r="S119" s="404"/>
      <c r="T119" s="404"/>
      <c r="U119" s="404"/>
      <c r="V119" s="404"/>
      <c r="W119" s="404"/>
      <c r="X119" s="404"/>
      <c r="Y119" s="404"/>
      <c r="Z119" s="404"/>
      <c r="AA119" s="404"/>
      <c r="AB119" s="402"/>
      <c r="AC119" s="404"/>
      <c r="AD119" s="456"/>
      <c r="AE119" s="404"/>
      <c r="AF119" s="403"/>
      <c r="AG119" s="391"/>
      <c r="AH119" s="391"/>
      <c r="AI119" s="391"/>
      <c r="AJ119" s="397"/>
      <c r="AK119" s="391"/>
      <c r="AL119" s="391"/>
      <c r="AM119" s="391"/>
      <c r="AN119" s="396"/>
      <c r="AO119" s="391"/>
      <c r="BD119" s="391"/>
      <c r="BE119" s="391"/>
      <c r="BF119" s="391"/>
      <c r="BG119" s="391"/>
      <c r="BH119" s="391"/>
      <c r="BI119" s="391"/>
      <c r="BJ119" s="391"/>
      <c r="BK119" s="391"/>
      <c r="BL119" s="391"/>
      <c r="BM119" s="391"/>
      <c r="BN119" s="391"/>
      <c r="BO119" s="391"/>
      <c r="BP119" s="391"/>
      <c r="BQ119" s="391"/>
      <c r="BR119" s="391"/>
      <c r="CL119" s="398"/>
      <c r="CQ119" s="392"/>
    </row>
    <row r="120" spans="9:95">
      <c r="I120" s="404"/>
      <c r="J120" s="404"/>
      <c r="K120" s="404"/>
      <c r="L120" s="404"/>
      <c r="M120" s="404"/>
      <c r="N120" s="404"/>
      <c r="O120" s="404"/>
      <c r="P120" s="404"/>
      <c r="Q120" s="405"/>
      <c r="R120" s="404"/>
      <c r="S120" s="404"/>
      <c r="T120" s="404"/>
      <c r="U120" s="404"/>
      <c r="V120" s="404"/>
      <c r="W120" s="404"/>
      <c r="X120" s="404"/>
      <c r="Y120" s="404"/>
      <c r="Z120" s="404"/>
      <c r="AA120" s="404"/>
      <c r="AB120" s="402"/>
      <c r="AC120" s="403"/>
      <c r="AD120" s="412"/>
      <c r="AE120" s="403"/>
      <c r="AF120" s="404"/>
      <c r="AG120" s="391"/>
      <c r="AH120" s="391"/>
      <c r="AI120" s="391"/>
      <c r="AJ120" s="290"/>
      <c r="AK120" s="391"/>
      <c r="AL120" s="391"/>
      <c r="AM120" s="391"/>
      <c r="AN120" s="396"/>
      <c r="AO120" s="391"/>
      <c r="BD120" s="391"/>
      <c r="BE120" s="391"/>
      <c r="BF120" s="391"/>
      <c r="BG120" s="391"/>
      <c r="BH120" s="391"/>
      <c r="BI120" s="391"/>
      <c r="BJ120" s="391"/>
      <c r="BK120" s="391"/>
      <c r="BL120" s="391"/>
      <c r="BM120" s="391"/>
      <c r="BN120" s="391"/>
      <c r="BO120" s="391"/>
      <c r="BP120" s="391"/>
      <c r="BQ120" s="391"/>
      <c r="BR120" s="391"/>
      <c r="CL120" s="398"/>
      <c r="CQ120" s="392"/>
    </row>
    <row r="121" spans="9:95">
      <c r="I121" s="404"/>
      <c r="J121" s="404"/>
      <c r="K121" s="404"/>
      <c r="L121" s="404"/>
      <c r="M121" s="404"/>
      <c r="N121" s="404"/>
      <c r="O121" s="404"/>
      <c r="P121" s="404"/>
      <c r="Q121" s="405"/>
      <c r="R121" s="404"/>
      <c r="S121" s="404"/>
      <c r="T121" s="404"/>
      <c r="U121" s="404"/>
      <c r="V121" s="404"/>
      <c r="W121" s="404"/>
      <c r="X121" s="404"/>
      <c r="Y121" s="404"/>
      <c r="Z121" s="404"/>
      <c r="AA121" s="404"/>
      <c r="AB121" s="402"/>
      <c r="AC121" s="403"/>
      <c r="AD121" s="412"/>
      <c r="AE121" s="404"/>
      <c r="AF121" s="404"/>
      <c r="AG121" s="290"/>
      <c r="AH121" s="391"/>
      <c r="AI121" s="391"/>
      <c r="AJ121" s="290"/>
      <c r="AK121" s="391"/>
      <c r="AL121" s="391"/>
      <c r="AM121" s="391"/>
      <c r="AN121" s="396"/>
      <c r="AO121" s="391"/>
      <c r="BD121" s="391"/>
      <c r="BE121" s="391"/>
      <c r="BF121" s="391"/>
      <c r="BG121" s="391"/>
      <c r="BH121" s="391"/>
      <c r="BI121" s="391"/>
      <c r="BJ121" s="391"/>
      <c r="BK121" s="391"/>
      <c r="BL121" s="391"/>
      <c r="BM121" s="391"/>
      <c r="BN121" s="391"/>
      <c r="BO121" s="391"/>
      <c r="BP121" s="391"/>
      <c r="BQ121" s="391"/>
      <c r="BR121" s="391"/>
      <c r="CL121" s="398"/>
      <c r="CQ121" s="392"/>
    </row>
    <row r="122" spans="9:95">
      <c r="I122" s="404"/>
      <c r="J122" s="404"/>
      <c r="K122" s="404"/>
      <c r="L122" s="404"/>
      <c r="M122" s="404"/>
      <c r="N122" s="404"/>
      <c r="O122" s="404"/>
      <c r="P122" s="404"/>
      <c r="Q122" s="405"/>
      <c r="R122" s="404"/>
      <c r="S122" s="404"/>
      <c r="T122" s="404"/>
      <c r="U122" s="404"/>
      <c r="V122" s="404"/>
      <c r="W122" s="404"/>
      <c r="X122" s="404"/>
      <c r="Y122" s="404"/>
      <c r="Z122" s="404"/>
      <c r="AA122" s="404"/>
      <c r="AB122" s="402"/>
      <c r="AC122" s="403"/>
      <c r="AD122" s="412"/>
      <c r="AE122" s="404"/>
      <c r="AF122" s="403"/>
      <c r="AG122" s="391"/>
      <c r="AH122" s="290"/>
      <c r="AI122" s="391"/>
      <c r="AJ122" s="290"/>
      <c r="AK122" s="391"/>
      <c r="AL122" s="391"/>
      <c r="AM122" s="391"/>
      <c r="AN122" s="396"/>
      <c r="AO122" s="391"/>
      <c r="BD122" s="391"/>
      <c r="BE122" s="391"/>
      <c r="BF122" s="67"/>
      <c r="BG122" s="391"/>
      <c r="BH122" s="391"/>
      <c r="BI122" s="391"/>
      <c r="BJ122" s="391"/>
      <c r="BK122" s="391"/>
      <c r="BL122" s="391"/>
      <c r="BM122" s="391"/>
      <c r="BN122" s="391"/>
      <c r="BO122" s="391"/>
      <c r="BP122" s="391"/>
      <c r="BQ122" s="391"/>
      <c r="BR122" s="391"/>
      <c r="CL122" s="398"/>
      <c r="CQ122" s="392"/>
    </row>
    <row r="123" spans="9:95">
      <c r="I123" s="404"/>
      <c r="J123" s="404"/>
      <c r="K123" s="404"/>
      <c r="L123" s="404"/>
      <c r="M123" s="404"/>
      <c r="N123" s="404"/>
      <c r="O123" s="404"/>
      <c r="P123" s="404"/>
      <c r="Q123" s="405"/>
      <c r="R123" s="404"/>
      <c r="S123" s="404"/>
      <c r="T123" s="404"/>
      <c r="U123" s="404"/>
      <c r="V123" s="404"/>
      <c r="W123" s="404"/>
      <c r="X123" s="404"/>
      <c r="Y123" s="404"/>
      <c r="Z123" s="404"/>
      <c r="AA123" s="404"/>
      <c r="AB123" s="402"/>
      <c r="AC123" s="403"/>
      <c r="AD123" s="412"/>
      <c r="AE123" s="403"/>
      <c r="AF123" s="403"/>
      <c r="AG123" s="290"/>
      <c r="AH123" s="391"/>
      <c r="AI123" s="290"/>
      <c r="AJ123" s="391"/>
      <c r="AK123" s="391"/>
      <c r="AL123" s="391"/>
      <c r="AM123" s="391"/>
      <c r="AN123" s="396"/>
      <c r="AO123" s="391"/>
      <c r="BD123" s="391"/>
      <c r="BE123" s="391"/>
      <c r="BF123" s="391"/>
      <c r="BG123" s="391"/>
      <c r="BH123" s="391"/>
      <c r="BI123" s="391"/>
      <c r="BJ123" s="391"/>
      <c r="BK123" s="391"/>
      <c r="BL123" s="391"/>
      <c r="BM123" s="391"/>
      <c r="BN123" s="391"/>
      <c r="BO123" s="391"/>
      <c r="BP123" s="391"/>
      <c r="BQ123" s="391"/>
      <c r="BR123" s="391"/>
      <c r="CL123" s="398"/>
      <c r="CQ123" s="392"/>
    </row>
    <row r="124" spans="9:95">
      <c r="I124" s="404"/>
      <c r="J124" s="404"/>
      <c r="K124" s="404"/>
      <c r="L124" s="404"/>
      <c r="M124" s="404"/>
      <c r="N124" s="404"/>
      <c r="O124" s="404"/>
      <c r="P124" s="404"/>
      <c r="Q124" s="405"/>
      <c r="R124" s="404"/>
      <c r="S124" s="404"/>
      <c r="T124" s="404"/>
      <c r="U124" s="404"/>
      <c r="V124" s="404"/>
      <c r="W124" s="404"/>
      <c r="X124" s="404"/>
      <c r="Y124" s="404"/>
      <c r="Z124" s="404"/>
      <c r="AA124" s="404"/>
      <c r="AB124" s="402"/>
      <c r="AC124" s="403"/>
      <c r="AD124" s="412"/>
      <c r="AE124" s="404"/>
      <c r="AF124" s="404"/>
      <c r="AG124" s="290"/>
      <c r="AH124" s="391"/>
      <c r="AI124" s="391"/>
      <c r="AJ124" s="290"/>
      <c r="AK124" s="391"/>
      <c r="AL124" s="391"/>
      <c r="AM124" s="391"/>
      <c r="AN124" s="396"/>
      <c r="AO124" s="391"/>
      <c r="BD124" s="391"/>
      <c r="BE124" s="391"/>
      <c r="BF124" s="391"/>
      <c r="BG124" s="391"/>
      <c r="BH124" s="391"/>
      <c r="BI124" s="391"/>
      <c r="BJ124" s="391"/>
      <c r="BK124" s="391"/>
      <c r="BL124" s="391"/>
      <c r="BM124" s="391"/>
      <c r="BN124" s="391"/>
      <c r="BO124" s="391"/>
      <c r="BP124" s="391"/>
      <c r="BQ124" s="391"/>
      <c r="BR124" s="391"/>
      <c r="CL124" s="398"/>
      <c r="CQ124" s="392"/>
    </row>
    <row r="125" spans="9:95">
      <c r="I125" s="404"/>
      <c r="J125" s="404"/>
      <c r="K125" s="404"/>
      <c r="L125" s="404"/>
      <c r="M125" s="404"/>
      <c r="N125" s="404"/>
      <c r="O125" s="404"/>
      <c r="P125" s="404"/>
      <c r="Q125" s="405"/>
      <c r="R125" s="404"/>
      <c r="S125" s="404"/>
      <c r="T125" s="404"/>
      <c r="U125" s="404"/>
      <c r="V125" s="404"/>
      <c r="W125" s="404"/>
      <c r="X125" s="404"/>
      <c r="Y125" s="404"/>
      <c r="Z125" s="404"/>
      <c r="AA125" s="404"/>
      <c r="AB125" s="402"/>
      <c r="AC125" s="403"/>
      <c r="AD125" s="412"/>
      <c r="AE125" s="404"/>
      <c r="AF125" s="403"/>
      <c r="AG125" s="391"/>
      <c r="AH125" s="290"/>
      <c r="AI125" s="391"/>
      <c r="AJ125" s="391"/>
      <c r="AK125" s="391"/>
      <c r="AL125" s="391"/>
      <c r="AM125" s="391"/>
      <c r="AN125" s="396"/>
      <c r="AO125" s="391"/>
      <c r="BD125" s="391"/>
      <c r="BE125" s="391"/>
      <c r="BF125" s="391"/>
      <c r="BG125" s="391"/>
      <c r="BH125" s="391"/>
      <c r="BI125" s="391"/>
      <c r="BJ125" s="391"/>
      <c r="BK125" s="391"/>
      <c r="BL125" s="391"/>
      <c r="BM125" s="391"/>
      <c r="BN125" s="391"/>
      <c r="BO125" s="391"/>
      <c r="BP125" s="391"/>
      <c r="BQ125" s="391"/>
      <c r="BR125" s="391"/>
      <c r="CL125" s="398"/>
      <c r="CQ125" s="392"/>
    </row>
    <row r="126" spans="9:95">
      <c r="I126" s="404"/>
      <c r="J126" s="404"/>
      <c r="K126" s="404"/>
      <c r="L126" s="404"/>
      <c r="M126" s="404"/>
      <c r="N126" s="404"/>
      <c r="O126" s="404"/>
      <c r="P126" s="404"/>
      <c r="Q126" s="405"/>
      <c r="R126" s="404"/>
      <c r="S126" s="404"/>
      <c r="T126" s="404"/>
      <c r="U126" s="404"/>
      <c r="V126" s="404"/>
      <c r="W126" s="404"/>
      <c r="X126" s="404"/>
      <c r="Y126" s="404"/>
      <c r="Z126" s="404"/>
      <c r="AA126" s="404"/>
      <c r="AB126" s="402"/>
      <c r="AC126" s="403"/>
      <c r="AD126" s="412"/>
      <c r="AE126" s="404"/>
      <c r="AF126" s="404"/>
      <c r="AG126" s="391"/>
      <c r="AH126" s="391"/>
      <c r="AI126" s="290"/>
      <c r="AJ126" s="391"/>
      <c r="AK126" s="391"/>
      <c r="AL126" s="391"/>
      <c r="AM126" s="391"/>
      <c r="AN126" s="396"/>
      <c r="AO126" s="391"/>
      <c r="BD126" s="391"/>
      <c r="BE126" s="391"/>
      <c r="BF126" s="391"/>
      <c r="BG126" s="391"/>
      <c r="BH126" s="391"/>
      <c r="BI126" s="391"/>
      <c r="BJ126" s="391"/>
      <c r="BK126" s="391"/>
      <c r="BL126" s="391"/>
      <c r="BM126" s="391"/>
      <c r="BN126" s="391"/>
      <c r="BO126" s="391"/>
      <c r="BP126" s="391"/>
      <c r="BQ126" s="391"/>
      <c r="BR126" s="391"/>
      <c r="CL126" s="398"/>
      <c r="CQ126" s="392"/>
    </row>
    <row r="127" spans="9:95">
      <c r="I127" s="404"/>
      <c r="J127" s="404"/>
      <c r="K127" s="404"/>
      <c r="L127" s="404"/>
      <c r="M127" s="404"/>
      <c r="N127" s="404"/>
      <c r="O127" s="404"/>
      <c r="P127" s="404"/>
      <c r="Q127" s="405"/>
      <c r="R127" s="404"/>
      <c r="S127" s="404"/>
      <c r="T127" s="404"/>
      <c r="U127" s="404"/>
      <c r="V127" s="404"/>
      <c r="W127" s="404"/>
      <c r="X127" s="404"/>
      <c r="Y127" s="404"/>
      <c r="Z127" s="404"/>
      <c r="AA127" s="404"/>
      <c r="AB127" s="404"/>
      <c r="AC127" s="404"/>
      <c r="AD127" s="456"/>
      <c r="AE127" s="404"/>
      <c r="AF127" s="404"/>
      <c r="AH127" s="309"/>
      <c r="BD127" s="391"/>
      <c r="BE127" s="391"/>
      <c r="BF127" s="391"/>
      <c r="BG127" s="391"/>
      <c r="BH127" s="391"/>
      <c r="BI127" s="391"/>
      <c r="BJ127" s="391"/>
      <c r="BK127" s="391"/>
      <c r="BL127" s="391"/>
      <c r="BM127" s="391"/>
      <c r="BN127" s="391"/>
      <c r="BO127" s="391"/>
      <c r="BP127" s="391"/>
      <c r="BQ127" s="391"/>
      <c r="BR127" s="391"/>
      <c r="CL127" s="398"/>
      <c r="CQ127" s="392"/>
    </row>
    <row r="128" spans="9:95">
      <c r="I128" s="404"/>
      <c r="J128" s="404"/>
      <c r="K128" s="404"/>
      <c r="L128" s="404"/>
      <c r="M128" s="404"/>
      <c r="N128" s="404"/>
      <c r="O128" s="404"/>
      <c r="P128" s="404"/>
      <c r="Q128" s="405"/>
      <c r="R128" s="404"/>
      <c r="S128" s="404"/>
      <c r="T128" s="404"/>
      <c r="U128" s="404"/>
      <c r="V128" s="404"/>
      <c r="W128" s="404"/>
      <c r="X128" s="404"/>
      <c r="Y128" s="404"/>
      <c r="Z128" s="404"/>
      <c r="AA128" s="404"/>
      <c r="AB128" s="404"/>
      <c r="AC128" s="404"/>
      <c r="AD128" s="456"/>
      <c r="AE128" s="404"/>
      <c r="AF128" s="404"/>
      <c r="AH128" s="317"/>
      <c r="BD128" s="391"/>
      <c r="BE128" s="391"/>
      <c r="BF128" s="391"/>
      <c r="BG128" s="391"/>
      <c r="BH128" s="391"/>
      <c r="BI128" s="391"/>
      <c r="BJ128" s="391"/>
      <c r="BK128" s="391"/>
      <c r="BL128" s="391"/>
      <c r="BM128" s="391"/>
      <c r="BN128" s="391"/>
      <c r="BO128" s="391"/>
      <c r="BP128" s="391"/>
      <c r="BQ128" s="391"/>
      <c r="BR128" s="391"/>
      <c r="CL128" s="398"/>
      <c r="CQ128" s="392"/>
    </row>
    <row r="129" spans="9:95">
      <c r="I129" s="404"/>
      <c r="J129" s="404"/>
      <c r="K129" s="404"/>
      <c r="L129" s="404"/>
      <c r="M129" s="404"/>
      <c r="N129" s="404"/>
      <c r="O129" s="404"/>
      <c r="P129" s="404"/>
      <c r="Q129" s="405"/>
      <c r="R129" s="404"/>
      <c r="S129" s="404"/>
      <c r="T129" s="404"/>
      <c r="U129" s="404"/>
      <c r="V129" s="404"/>
      <c r="W129" s="404"/>
      <c r="X129" s="404"/>
      <c r="Y129" s="404"/>
      <c r="Z129" s="404"/>
      <c r="AA129" s="404"/>
      <c r="AB129" s="404"/>
      <c r="AC129" s="404"/>
      <c r="AD129" s="456"/>
      <c r="AE129" s="404"/>
      <c r="AF129" s="404"/>
      <c r="AH129" s="309"/>
      <c r="AI129" s="392"/>
      <c r="BD129" s="391"/>
      <c r="BE129" s="391"/>
      <c r="BF129" s="391"/>
      <c r="BG129" s="391"/>
      <c r="BH129" s="391"/>
      <c r="BI129" s="391"/>
      <c r="BJ129" s="391"/>
      <c r="BK129" s="391"/>
      <c r="BL129" s="391"/>
      <c r="BM129" s="391"/>
      <c r="BN129" s="391"/>
      <c r="BO129" s="391"/>
      <c r="BP129" s="391"/>
      <c r="BQ129" s="391"/>
      <c r="BR129" s="391"/>
      <c r="CL129" s="398"/>
      <c r="CQ129" s="392"/>
    </row>
    <row r="130" spans="9:95">
      <c r="I130" s="404"/>
      <c r="J130" s="404"/>
      <c r="K130" s="404"/>
      <c r="L130" s="404"/>
      <c r="M130" s="404"/>
      <c r="N130" s="404"/>
      <c r="O130" s="404"/>
      <c r="P130" s="404"/>
      <c r="Q130" s="405"/>
      <c r="R130" s="404"/>
      <c r="S130" s="404"/>
      <c r="T130" s="404"/>
      <c r="U130" s="404"/>
      <c r="V130" s="404"/>
      <c r="W130" s="404"/>
      <c r="X130" s="404"/>
      <c r="Y130" s="404"/>
      <c r="Z130" s="404"/>
      <c r="AA130" s="404"/>
      <c r="AB130" s="404"/>
      <c r="AC130" s="404"/>
      <c r="AD130" s="456"/>
      <c r="AE130" s="404"/>
      <c r="AF130" s="404"/>
      <c r="AH130" s="309"/>
      <c r="AI130" s="392"/>
      <c r="BD130" s="391"/>
      <c r="BE130" s="391"/>
      <c r="BF130" s="391"/>
      <c r="BG130" s="391"/>
      <c r="BH130" s="391"/>
      <c r="BI130" s="391"/>
      <c r="BJ130" s="391"/>
      <c r="BK130" s="391"/>
      <c r="BL130" s="391"/>
      <c r="BM130" s="391"/>
      <c r="BN130" s="391"/>
      <c r="BO130" s="391"/>
      <c r="BP130" s="391"/>
      <c r="BQ130" s="391"/>
      <c r="BR130" s="391"/>
      <c r="CL130" s="398"/>
      <c r="CQ130" s="392"/>
    </row>
    <row r="131" spans="9:95">
      <c r="I131" s="404"/>
      <c r="J131" s="404"/>
      <c r="K131" s="404"/>
      <c r="L131" s="404"/>
      <c r="M131" s="404"/>
      <c r="N131" s="404"/>
      <c r="O131" s="404"/>
      <c r="P131" s="404"/>
      <c r="Q131" s="405"/>
      <c r="R131" s="404"/>
      <c r="S131" s="404"/>
      <c r="T131" s="404"/>
      <c r="U131" s="404"/>
      <c r="V131" s="404"/>
      <c r="W131" s="404"/>
      <c r="X131" s="404"/>
      <c r="Y131" s="404"/>
      <c r="Z131" s="404"/>
      <c r="AA131" s="404"/>
      <c r="AB131" s="404"/>
      <c r="AC131" s="404"/>
      <c r="AD131" s="456"/>
      <c r="AE131" s="404"/>
      <c r="AF131" s="404"/>
      <c r="AH131" s="309"/>
      <c r="AI131" s="392"/>
      <c r="BD131" s="391"/>
      <c r="BE131" s="391"/>
      <c r="BF131" s="391"/>
      <c r="BG131" s="391"/>
      <c r="BH131" s="391"/>
      <c r="BI131" s="391"/>
      <c r="BK131" s="391"/>
      <c r="BL131" s="391"/>
      <c r="BM131" s="391"/>
      <c r="BN131" s="391"/>
      <c r="BO131" s="391"/>
      <c r="BP131" s="391"/>
      <c r="BQ131" s="391"/>
      <c r="BR131" s="391"/>
      <c r="CL131" s="398"/>
      <c r="CQ131" s="392"/>
    </row>
    <row r="132" spans="9:95">
      <c r="I132" s="404"/>
      <c r="J132" s="404"/>
      <c r="K132" s="404"/>
      <c r="L132" s="404"/>
      <c r="M132" s="404"/>
      <c r="N132" s="404"/>
      <c r="O132" s="404"/>
      <c r="P132" s="404"/>
      <c r="Q132" s="405"/>
      <c r="R132" s="404"/>
      <c r="S132" s="404"/>
      <c r="T132" s="404"/>
      <c r="U132" s="404"/>
      <c r="V132" s="404"/>
      <c r="W132" s="404"/>
      <c r="X132" s="404"/>
      <c r="Y132" s="404"/>
      <c r="Z132" s="404"/>
      <c r="AA132" s="404"/>
      <c r="AB132" s="404"/>
      <c r="AC132" s="404"/>
      <c r="AD132" s="456"/>
      <c r="AE132" s="404"/>
      <c r="AF132" s="404"/>
      <c r="AH132" s="318"/>
      <c r="AI132" s="392"/>
      <c r="BD132" s="391"/>
      <c r="BE132" s="391"/>
      <c r="BF132" s="391"/>
      <c r="BG132" s="391"/>
      <c r="BH132" s="391"/>
      <c r="BI132" s="391"/>
      <c r="BK132" s="391"/>
      <c r="BL132" s="391"/>
      <c r="BM132" s="391"/>
      <c r="BN132" s="391"/>
      <c r="BO132" s="391"/>
      <c r="BP132" s="391"/>
      <c r="BQ132" s="391"/>
      <c r="BR132" s="391"/>
      <c r="CL132" s="398"/>
      <c r="CQ132" s="392"/>
    </row>
    <row r="133" spans="9:95">
      <c r="I133" s="404"/>
      <c r="J133" s="404"/>
      <c r="K133" s="404"/>
      <c r="L133" s="404"/>
      <c r="M133" s="404"/>
      <c r="N133" s="404"/>
      <c r="O133" s="404"/>
      <c r="P133" s="404"/>
      <c r="Q133" s="405"/>
      <c r="R133" s="404"/>
      <c r="S133" s="404"/>
      <c r="T133" s="404"/>
      <c r="U133" s="404"/>
      <c r="V133" s="404"/>
      <c r="W133" s="404"/>
      <c r="X133" s="404"/>
      <c r="Y133" s="404"/>
      <c r="Z133" s="404"/>
      <c r="AA133" s="404"/>
      <c r="AB133" s="404"/>
      <c r="AC133" s="404"/>
      <c r="AD133" s="456"/>
      <c r="AE133" s="404"/>
      <c r="AF133" s="404"/>
      <c r="AH133" s="309"/>
      <c r="AI133" s="392"/>
      <c r="BD133" s="391"/>
      <c r="BE133" s="391"/>
      <c r="BF133" s="391"/>
      <c r="BG133" s="391"/>
      <c r="BH133" s="391"/>
      <c r="BI133" s="391"/>
      <c r="BK133" s="391"/>
      <c r="BL133" s="391"/>
      <c r="BM133" s="391"/>
      <c r="BN133" s="391"/>
      <c r="BO133" s="391"/>
      <c r="BP133" s="391"/>
      <c r="BQ133" s="391"/>
      <c r="BR133" s="391"/>
      <c r="CL133" s="398"/>
      <c r="CQ133" s="392"/>
    </row>
    <row r="134" spans="9:95">
      <c r="I134" s="404"/>
      <c r="J134" s="404"/>
      <c r="K134" s="404"/>
      <c r="L134" s="404"/>
      <c r="M134" s="404"/>
      <c r="N134" s="404"/>
      <c r="O134" s="404"/>
      <c r="P134" s="404"/>
      <c r="Q134" s="405"/>
      <c r="R134" s="404"/>
      <c r="S134" s="404"/>
      <c r="T134" s="404"/>
      <c r="U134" s="404"/>
      <c r="V134" s="404"/>
      <c r="W134" s="404"/>
      <c r="X134" s="404"/>
      <c r="Y134" s="404"/>
      <c r="Z134" s="404"/>
      <c r="AA134" s="404"/>
      <c r="AB134" s="404"/>
      <c r="AC134" s="404"/>
      <c r="AD134" s="456"/>
      <c r="AE134" s="404"/>
      <c r="AF134" s="404"/>
      <c r="AH134" s="309"/>
      <c r="AI134" s="392"/>
      <c r="BD134" s="391"/>
      <c r="BE134" s="391"/>
      <c r="BF134" s="391"/>
      <c r="BG134" s="391"/>
      <c r="BH134" s="391"/>
      <c r="BI134" s="391"/>
      <c r="BK134" s="391"/>
      <c r="BL134" s="391"/>
      <c r="BM134" s="391"/>
      <c r="BN134" s="391"/>
      <c r="BO134" s="391"/>
      <c r="BP134" s="391"/>
      <c r="BQ134" s="391"/>
      <c r="BR134" s="391"/>
      <c r="CL134" s="398"/>
      <c r="CQ134" s="392"/>
    </row>
    <row r="135" spans="9:95">
      <c r="I135" s="404"/>
      <c r="J135" s="404"/>
      <c r="K135" s="404"/>
      <c r="L135" s="404"/>
      <c r="M135" s="404"/>
      <c r="N135" s="404"/>
      <c r="O135" s="404"/>
      <c r="P135" s="404"/>
      <c r="Q135" s="405"/>
      <c r="R135" s="404"/>
      <c r="S135" s="404"/>
      <c r="T135" s="404"/>
      <c r="U135" s="404"/>
      <c r="V135" s="404"/>
      <c r="W135" s="404"/>
      <c r="X135" s="404"/>
      <c r="Y135" s="404"/>
      <c r="Z135" s="404"/>
      <c r="AA135" s="404"/>
      <c r="AB135" s="404"/>
      <c r="AC135" s="404"/>
      <c r="AD135" s="456"/>
      <c r="AE135" s="404"/>
      <c r="AF135" s="404"/>
      <c r="AH135" s="317"/>
      <c r="AI135" s="392"/>
      <c r="BD135" s="391"/>
      <c r="BE135" s="391"/>
      <c r="BF135" s="391"/>
      <c r="BG135" s="391"/>
      <c r="BH135" s="391"/>
      <c r="BI135" s="391"/>
      <c r="BK135" s="290"/>
      <c r="BL135" s="391"/>
      <c r="BM135" s="391"/>
      <c r="BN135" s="391"/>
      <c r="BO135" s="391"/>
      <c r="BP135" s="391"/>
      <c r="BQ135" s="391"/>
      <c r="BR135" s="391"/>
      <c r="CL135" s="398"/>
      <c r="CQ135" s="392"/>
    </row>
    <row r="136" spans="9:95">
      <c r="I136" s="404"/>
      <c r="J136" s="404"/>
      <c r="K136" s="404"/>
      <c r="L136" s="404"/>
      <c r="M136" s="404"/>
      <c r="N136" s="404"/>
      <c r="O136" s="404"/>
      <c r="P136" s="404"/>
      <c r="Q136" s="405"/>
      <c r="R136" s="404"/>
      <c r="S136" s="404"/>
      <c r="T136" s="404"/>
      <c r="U136" s="404"/>
      <c r="V136" s="404"/>
      <c r="W136" s="404"/>
      <c r="X136" s="404"/>
      <c r="Y136" s="404"/>
      <c r="Z136" s="404"/>
      <c r="AA136" s="404"/>
      <c r="AB136" s="404"/>
      <c r="AC136" s="404"/>
      <c r="AD136" s="456"/>
      <c r="AE136" s="404"/>
      <c r="AF136" s="404"/>
      <c r="AH136" s="391"/>
      <c r="AI136" s="392"/>
      <c r="BD136" s="391"/>
      <c r="BE136" s="391"/>
      <c r="BF136" s="391"/>
      <c r="BG136" s="391"/>
      <c r="BH136" s="391"/>
      <c r="BK136" s="391"/>
      <c r="BL136" s="391"/>
      <c r="BM136" s="391"/>
      <c r="BN136" s="391"/>
      <c r="BO136" s="391"/>
      <c r="BP136" s="391"/>
      <c r="BQ136" s="391"/>
      <c r="BR136" s="391"/>
      <c r="CL136" s="398"/>
      <c r="CQ136" s="392"/>
    </row>
    <row r="137" spans="9:95">
      <c r="I137" s="404"/>
      <c r="J137" s="404"/>
      <c r="K137" s="404"/>
      <c r="L137" s="404"/>
      <c r="M137" s="404"/>
      <c r="N137" s="404"/>
      <c r="O137" s="404"/>
      <c r="P137" s="404"/>
      <c r="Q137" s="405"/>
      <c r="R137" s="404"/>
      <c r="S137" s="404"/>
      <c r="T137" s="404"/>
      <c r="U137" s="404"/>
      <c r="V137" s="404"/>
      <c r="W137" s="404"/>
      <c r="X137" s="404"/>
      <c r="Y137" s="404"/>
      <c r="Z137" s="404"/>
      <c r="AA137" s="404"/>
      <c r="AB137" s="404"/>
      <c r="AC137" s="404"/>
      <c r="AD137" s="456"/>
      <c r="AE137" s="404"/>
      <c r="AF137" s="404"/>
      <c r="AH137" s="309"/>
      <c r="AI137" s="392"/>
      <c r="BD137" s="391"/>
      <c r="BE137" s="391"/>
      <c r="BF137" s="391"/>
      <c r="BG137" s="391"/>
      <c r="BH137" s="391"/>
      <c r="BK137" s="391"/>
      <c r="BL137" s="391"/>
      <c r="BM137" s="391"/>
      <c r="BN137" s="391"/>
      <c r="BO137" s="391"/>
      <c r="BP137" s="391"/>
      <c r="BQ137" s="391"/>
      <c r="BR137" s="391"/>
      <c r="CL137" s="398"/>
      <c r="CQ137" s="392"/>
    </row>
    <row r="138" spans="9:95">
      <c r="I138" s="404"/>
      <c r="J138" s="404"/>
      <c r="K138" s="404"/>
      <c r="L138" s="404"/>
      <c r="M138" s="404"/>
      <c r="N138" s="404"/>
      <c r="O138" s="404"/>
      <c r="P138" s="404"/>
      <c r="Q138" s="405"/>
      <c r="R138" s="404"/>
      <c r="S138" s="404"/>
      <c r="T138" s="404"/>
      <c r="U138" s="404"/>
      <c r="V138" s="404"/>
      <c r="W138" s="404"/>
      <c r="X138" s="404"/>
      <c r="Y138" s="404"/>
      <c r="Z138" s="404"/>
      <c r="AA138" s="404"/>
      <c r="AB138" s="404"/>
      <c r="AC138" s="404"/>
      <c r="AD138" s="456"/>
      <c r="AE138" s="404"/>
      <c r="AF138" s="404"/>
      <c r="AH138" s="309"/>
      <c r="AI138" s="392"/>
      <c r="CL138" s="398"/>
      <c r="CQ138" s="392"/>
    </row>
    <row r="139" spans="9:95">
      <c r="I139" s="404"/>
      <c r="J139" s="404"/>
      <c r="K139" s="404"/>
      <c r="L139" s="404"/>
      <c r="M139" s="404"/>
      <c r="N139" s="404"/>
      <c r="O139" s="404"/>
      <c r="P139" s="404"/>
      <c r="Q139" s="405"/>
      <c r="R139" s="404"/>
      <c r="S139" s="404"/>
      <c r="T139" s="404"/>
      <c r="U139" s="404"/>
      <c r="V139" s="404"/>
      <c r="W139" s="404"/>
      <c r="X139" s="404"/>
      <c r="Y139" s="404"/>
      <c r="Z139" s="404"/>
      <c r="AA139" s="404"/>
      <c r="AB139" s="404"/>
      <c r="AC139" s="404"/>
      <c r="AD139" s="456"/>
      <c r="AE139" s="404"/>
      <c r="AF139" s="404"/>
      <c r="AH139" s="317"/>
      <c r="AI139" s="392"/>
      <c r="CL139" s="398"/>
      <c r="CQ139" s="392"/>
    </row>
    <row r="140" spans="9:95">
      <c r="I140" s="404"/>
      <c r="J140" s="404"/>
      <c r="K140" s="404"/>
      <c r="L140" s="404"/>
      <c r="M140" s="404"/>
      <c r="N140" s="404"/>
      <c r="O140" s="404"/>
      <c r="P140" s="404"/>
      <c r="Q140" s="405"/>
      <c r="R140" s="404"/>
      <c r="S140" s="404"/>
      <c r="T140" s="404"/>
      <c r="U140" s="404"/>
      <c r="V140" s="404"/>
      <c r="W140" s="404"/>
      <c r="X140" s="404"/>
      <c r="Y140" s="404"/>
      <c r="Z140" s="404"/>
      <c r="AA140" s="404"/>
      <c r="AB140" s="404"/>
      <c r="AC140" s="404"/>
      <c r="AD140" s="456"/>
      <c r="AE140" s="404"/>
      <c r="AF140" s="404"/>
      <c r="AH140" s="391"/>
      <c r="AI140" s="392"/>
      <c r="CL140" s="398"/>
      <c r="CQ140" s="392"/>
    </row>
    <row r="141" spans="9:95">
      <c r="I141" s="404"/>
      <c r="J141" s="404"/>
      <c r="K141" s="404"/>
      <c r="L141" s="404"/>
      <c r="M141" s="404"/>
      <c r="N141" s="404"/>
      <c r="O141" s="404"/>
      <c r="P141" s="404"/>
      <c r="Q141" s="405"/>
      <c r="R141" s="404"/>
      <c r="S141" s="404"/>
      <c r="T141" s="404"/>
      <c r="U141" s="404"/>
      <c r="V141" s="404"/>
      <c r="W141" s="404"/>
      <c r="X141" s="404"/>
      <c r="Y141" s="404"/>
      <c r="Z141" s="404"/>
      <c r="AA141" s="404"/>
      <c r="AB141" s="404"/>
      <c r="AC141" s="404"/>
      <c r="AD141" s="456"/>
      <c r="AE141" s="404"/>
      <c r="AF141" s="404"/>
      <c r="AH141" s="317"/>
      <c r="AI141" s="392"/>
      <c r="CL141" s="398"/>
      <c r="CQ141" s="392"/>
    </row>
    <row r="142" spans="9:95">
      <c r="I142" s="404"/>
      <c r="J142" s="404"/>
      <c r="K142" s="404"/>
      <c r="L142" s="404"/>
      <c r="M142" s="404"/>
      <c r="N142" s="404"/>
      <c r="O142" s="404"/>
      <c r="P142" s="404"/>
      <c r="Q142" s="405"/>
      <c r="R142" s="404"/>
      <c r="S142" s="404"/>
      <c r="T142" s="404"/>
      <c r="U142" s="404"/>
      <c r="V142" s="404"/>
      <c r="W142" s="404"/>
      <c r="X142" s="404"/>
      <c r="Y142" s="404"/>
      <c r="Z142" s="404"/>
      <c r="AA142" s="404"/>
      <c r="AB142" s="404"/>
      <c r="AC142" s="404"/>
      <c r="AD142" s="456"/>
      <c r="AE142" s="404"/>
      <c r="AF142" s="404"/>
      <c r="AH142" s="309"/>
      <c r="AI142" s="309"/>
      <c r="AJ142" s="309"/>
      <c r="AK142" s="309"/>
      <c r="AL142" s="309"/>
      <c r="CL142" s="398"/>
      <c r="CQ142" s="392"/>
    </row>
    <row r="143" spans="9:95">
      <c r="I143" s="404"/>
      <c r="J143" s="404"/>
      <c r="K143" s="404"/>
      <c r="L143" s="404"/>
      <c r="M143" s="404"/>
      <c r="N143" s="404"/>
      <c r="O143" s="404"/>
      <c r="P143" s="404"/>
      <c r="Q143" s="405"/>
      <c r="R143" s="404"/>
      <c r="S143" s="404"/>
      <c r="T143" s="404"/>
      <c r="U143" s="404"/>
      <c r="V143" s="404"/>
      <c r="W143" s="404"/>
      <c r="X143" s="404"/>
      <c r="Y143" s="404"/>
      <c r="Z143" s="404"/>
      <c r="AA143" s="404"/>
      <c r="AB143" s="404"/>
      <c r="AC143" s="404"/>
      <c r="AD143" s="456"/>
      <c r="AE143" s="404"/>
      <c r="AF143" s="404"/>
      <c r="AH143" s="391"/>
      <c r="AI143" s="319"/>
      <c r="AJ143" s="309"/>
      <c r="AK143" s="309"/>
      <c r="AL143" s="309"/>
      <c r="CL143" s="398"/>
      <c r="CQ143" s="392"/>
    </row>
    <row r="144" spans="9:95">
      <c r="I144" s="404"/>
      <c r="J144" s="404"/>
      <c r="K144" s="404"/>
      <c r="L144" s="404"/>
      <c r="M144" s="404"/>
      <c r="N144" s="404"/>
      <c r="O144" s="404"/>
      <c r="P144" s="404"/>
      <c r="Q144" s="405"/>
      <c r="R144" s="404"/>
      <c r="S144" s="404"/>
      <c r="T144" s="404"/>
      <c r="U144" s="404"/>
      <c r="V144" s="404"/>
      <c r="W144" s="404"/>
      <c r="X144" s="404"/>
      <c r="Y144" s="404"/>
      <c r="Z144" s="404"/>
      <c r="AA144" s="404"/>
      <c r="AB144" s="404"/>
      <c r="AC144" s="404"/>
      <c r="AD144" s="456"/>
      <c r="AE144" s="404"/>
      <c r="AF144" s="404"/>
      <c r="AH144" s="309"/>
      <c r="AI144" s="309"/>
      <c r="AJ144" s="309"/>
      <c r="AK144" s="309"/>
      <c r="AL144" s="309"/>
      <c r="CL144" s="398"/>
      <c r="CQ144" s="392"/>
    </row>
    <row r="145" spans="9:95">
      <c r="I145" s="404"/>
      <c r="J145" s="404"/>
      <c r="K145" s="404"/>
      <c r="L145" s="404"/>
      <c r="M145" s="404"/>
      <c r="N145" s="404"/>
      <c r="O145" s="404"/>
      <c r="P145" s="404"/>
      <c r="Q145" s="405"/>
      <c r="R145" s="404"/>
      <c r="S145" s="404"/>
      <c r="T145" s="404"/>
      <c r="U145" s="404"/>
      <c r="V145" s="404"/>
      <c r="W145" s="404"/>
      <c r="X145" s="404"/>
      <c r="Y145" s="404"/>
      <c r="Z145" s="404"/>
      <c r="AA145" s="404"/>
      <c r="AB145" s="404"/>
      <c r="AC145" s="404"/>
      <c r="AD145" s="456"/>
      <c r="AE145" s="404"/>
      <c r="AF145" s="404"/>
      <c r="AH145" s="309"/>
      <c r="AI145" s="309"/>
      <c r="AJ145" s="309"/>
      <c r="AK145" s="309"/>
      <c r="AL145" s="309"/>
      <c r="CL145" s="398"/>
      <c r="CQ145" s="392"/>
    </row>
    <row r="146" spans="9:95">
      <c r="I146" s="404"/>
      <c r="J146" s="404"/>
      <c r="K146" s="404"/>
      <c r="L146" s="404"/>
      <c r="M146" s="404"/>
      <c r="N146" s="404"/>
      <c r="O146" s="404"/>
      <c r="P146" s="404"/>
      <c r="Q146" s="405"/>
      <c r="R146" s="404"/>
      <c r="S146" s="404"/>
      <c r="T146" s="404"/>
      <c r="U146" s="404"/>
      <c r="V146" s="404"/>
      <c r="W146" s="404"/>
      <c r="X146" s="404"/>
      <c r="Y146" s="404"/>
      <c r="Z146" s="404"/>
      <c r="AA146" s="404"/>
      <c r="AB146" s="404"/>
      <c r="AC146" s="404"/>
      <c r="AD146" s="456"/>
      <c r="AE146" s="404"/>
      <c r="AF146" s="404"/>
      <c r="AH146" s="309"/>
      <c r="AI146" s="309"/>
      <c r="AJ146" s="309"/>
      <c r="AK146" s="309"/>
      <c r="AL146" s="309"/>
      <c r="CL146" s="398"/>
      <c r="CQ146" s="392"/>
    </row>
    <row r="147" spans="9:95">
      <c r="I147" s="404"/>
      <c r="J147" s="404"/>
      <c r="K147" s="404"/>
      <c r="L147" s="404"/>
      <c r="M147" s="404"/>
      <c r="N147" s="404"/>
      <c r="O147" s="404"/>
      <c r="P147" s="404"/>
      <c r="Q147" s="405"/>
      <c r="R147" s="404"/>
      <c r="S147" s="404"/>
      <c r="T147" s="404"/>
      <c r="U147" s="404"/>
      <c r="V147" s="404"/>
      <c r="W147" s="404"/>
      <c r="X147" s="404"/>
      <c r="Y147" s="404"/>
      <c r="Z147" s="404"/>
      <c r="AA147" s="404"/>
      <c r="AB147" s="404"/>
      <c r="AC147" s="404"/>
      <c r="AD147" s="456"/>
      <c r="AE147" s="404"/>
      <c r="AF147" s="404"/>
      <c r="AH147" s="309"/>
      <c r="AI147" s="309"/>
      <c r="AJ147" s="309"/>
      <c r="AK147" s="309"/>
      <c r="AL147" s="309"/>
      <c r="CL147" s="398"/>
      <c r="CQ147" s="392"/>
    </row>
    <row r="148" spans="9:95">
      <c r="I148" s="404"/>
      <c r="J148" s="404"/>
      <c r="K148" s="404"/>
      <c r="L148" s="404"/>
      <c r="M148" s="404"/>
      <c r="N148" s="404"/>
      <c r="O148" s="404"/>
      <c r="P148" s="404"/>
      <c r="Q148" s="405"/>
      <c r="R148" s="404"/>
      <c r="S148" s="404"/>
      <c r="T148" s="404"/>
      <c r="U148" s="404"/>
      <c r="V148" s="404"/>
      <c r="W148" s="404"/>
      <c r="X148" s="404"/>
      <c r="Y148" s="404"/>
      <c r="Z148" s="404"/>
      <c r="AA148" s="404"/>
      <c r="AB148" s="404"/>
      <c r="AC148" s="404"/>
      <c r="AD148" s="456"/>
      <c r="AE148" s="404"/>
      <c r="AF148" s="404"/>
      <c r="AH148" s="309"/>
      <c r="AI148" s="392"/>
      <c r="AJ148" s="309"/>
      <c r="AK148" s="309"/>
      <c r="AL148" s="309"/>
      <c r="CL148" s="398"/>
      <c r="CQ148" s="392"/>
    </row>
    <row r="149" spans="9:95">
      <c r="I149" s="404"/>
      <c r="J149" s="404"/>
      <c r="K149" s="404"/>
      <c r="L149" s="404"/>
      <c r="M149" s="404"/>
      <c r="N149" s="404"/>
      <c r="O149" s="404"/>
      <c r="P149" s="404"/>
      <c r="Q149" s="405"/>
      <c r="R149" s="404"/>
      <c r="S149" s="404"/>
      <c r="T149" s="404"/>
      <c r="U149" s="404"/>
      <c r="V149" s="404"/>
      <c r="W149" s="404"/>
      <c r="X149" s="404"/>
      <c r="Y149" s="404"/>
      <c r="Z149" s="404"/>
      <c r="AA149" s="404"/>
      <c r="AB149" s="404"/>
      <c r="AC149" s="404"/>
      <c r="AD149" s="456"/>
      <c r="AE149" s="404"/>
      <c r="AF149" s="404"/>
      <c r="AH149" s="391"/>
      <c r="AI149" s="392"/>
      <c r="AJ149" s="309"/>
      <c r="AK149" s="309"/>
      <c r="AL149" s="309"/>
      <c r="CL149" s="398"/>
      <c r="CQ149" s="392"/>
    </row>
    <row r="150" spans="9:95">
      <c r="I150" s="404"/>
      <c r="J150" s="404"/>
      <c r="K150" s="404"/>
      <c r="L150" s="404"/>
      <c r="M150" s="404"/>
      <c r="N150" s="404"/>
      <c r="O150" s="404"/>
      <c r="P150" s="404"/>
      <c r="Q150" s="405"/>
      <c r="R150" s="404"/>
      <c r="S150" s="404"/>
      <c r="T150" s="404"/>
      <c r="U150" s="404"/>
      <c r="V150" s="404"/>
      <c r="W150" s="404"/>
      <c r="X150" s="404"/>
      <c r="Y150" s="404"/>
      <c r="Z150" s="404"/>
      <c r="AA150" s="404"/>
      <c r="AB150" s="404"/>
      <c r="AC150" s="404"/>
      <c r="AD150" s="456"/>
      <c r="AE150" s="404"/>
      <c r="AF150" s="404"/>
      <c r="AH150" s="309"/>
      <c r="AI150" s="309"/>
      <c r="AJ150" s="309"/>
      <c r="AK150" s="309"/>
      <c r="AL150" s="309"/>
      <c r="CL150" s="398"/>
      <c r="CQ150" s="392"/>
    </row>
    <row r="151" spans="9:95">
      <c r="I151" s="404"/>
      <c r="J151" s="404"/>
      <c r="K151" s="404"/>
      <c r="L151" s="404"/>
      <c r="M151" s="404"/>
      <c r="N151" s="404"/>
      <c r="O151" s="404"/>
      <c r="P151" s="404"/>
      <c r="Q151" s="405"/>
      <c r="R151" s="404"/>
      <c r="S151" s="404"/>
      <c r="T151" s="404"/>
      <c r="U151" s="404"/>
      <c r="V151" s="404"/>
      <c r="W151" s="404"/>
      <c r="X151" s="404"/>
      <c r="Y151" s="404"/>
      <c r="Z151" s="404"/>
      <c r="AA151" s="404"/>
      <c r="AB151" s="404"/>
      <c r="AC151" s="404"/>
      <c r="AD151" s="456"/>
      <c r="AE151" s="404"/>
      <c r="AF151" s="404"/>
      <c r="AH151" s="317"/>
      <c r="AI151" s="309"/>
      <c r="AJ151" s="405"/>
      <c r="AK151" s="405"/>
      <c r="AL151" s="383"/>
      <c r="CL151" s="398"/>
      <c r="CQ151" s="392"/>
    </row>
    <row r="152" spans="9:95">
      <c r="I152" s="404"/>
      <c r="J152" s="404"/>
      <c r="K152" s="404"/>
      <c r="L152" s="404"/>
      <c r="M152" s="404"/>
      <c r="N152" s="404"/>
      <c r="O152" s="404"/>
      <c r="P152" s="404"/>
      <c r="Q152" s="405"/>
      <c r="R152" s="404"/>
      <c r="S152" s="404"/>
      <c r="T152" s="404"/>
      <c r="U152" s="404"/>
      <c r="V152" s="404"/>
      <c r="W152" s="404"/>
      <c r="X152" s="404"/>
      <c r="Y152" s="404"/>
      <c r="Z152" s="404"/>
      <c r="AA152" s="404"/>
      <c r="AB152" s="404"/>
      <c r="AC152" s="404"/>
      <c r="AD152" s="456"/>
      <c r="AE152" s="404"/>
      <c r="AF152" s="404"/>
      <c r="AH152" s="309"/>
      <c r="AI152" s="309"/>
      <c r="AJ152" s="405"/>
      <c r="AK152" s="405"/>
      <c r="AL152" s="383"/>
      <c r="CL152" s="398"/>
      <c r="CQ152" s="392"/>
    </row>
    <row r="153" spans="9:95">
      <c r="I153" s="404"/>
      <c r="J153" s="404"/>
      <c r="K153" s="404"/>
      <c r="L153" s="404"/>
      <c r="M153" s="404"/>
      <c r="N153" s="404"/>
      <c r="O153" s="404"/>
      <c r="P153" s="404"/>
      <c r="Q153" s="405"/>
      <c r="R153" s="404"/>
      <c r="S153" s="404"/>
      <c r="T153" s="404"/>
      <c r="U153" s="404"/>
      <c r="V153" s="404"/>
      <c r="W153" s="404"/>
      <c r="X153" s="404"/>
      <c r="Y153" s="404"/>
      <c r="Z153" s="404"/>
      <c r="AA153" s="404"/>
      <c r="AB153" s="404"/>
      <c r="AC153" s="404"/>
      <c r="AD153" s="456"/>
      <c r="AE153" s="404"/>
      <c r="AF153" s="404"/>
      <c r="AH153" s="309"/>
      <c r="AI153" s="309"/>
      <c r="AJ153" s="405"/>
      <c r="AK153" s="405"/>
      <c r="AL153" s="383"/>
      <c r="CL153" s="398"/>
      <c r="CQ153" s="392"/>
    </row>
    <row r="154" spans="9:95">
      <c r="I154" s="404"/>
      <c r="J154" s="404"/>
      <c r="K154" s="404"/>
      <c r="L154" s="404"/>
      <c r="M154" s="404"/>
      <c r="N154" s="404"/>
      <c r="O154" s="404"/>
      <c r="P154" s="404"/>
      <c r="Q154" s="405"/>
      <c r="R154" s="404"/>
      <c r="S154" s="404"/>
      <c r="T154" s="404"/>
      <c r="U154" s="404"/>
      <c r="V154" s="404"/>
      <c r="W154" s="404"/>
      <c r="X154" s="404"/>
      <c r="Y154" s="404"/>
      <c r="Z154" s="404"/>
      <c r="AA154" s="404"/>
      <c r="AB154" s="404"/>
      <c r="AC154" s="404"/>
      <c r="AD154" s="456"/>
      <c r="AE154" s="404"/>
      <c r="AF154" s="404"/>
      <c r="AH154" s="317"/>
      <c r="AI154" s="309"/>
      <c r="AJ154" s="405"/>
      <c r="AK154" s="405"/>
      <c r="AL154" s="383"/>
      <c r="CL154" s="398"/>
      <c r="CQ154" s="392"/>
    </row>
    <row r="155" spans="9:95">
      <c r="I155" s="404"/>
      <c r="J155" s="404"/>
      <c r="K155" s="404"/>
      <c r="L155" s="404"/>
      <c r="M155" s="404"/>
      <c r="N155" s="404"/>
      <c r="O155" s="404"/>
      <c r="P155" s="404"/>
      <c r="Q155" s="405"/>
      <c r="R155" s="404"/>
      <c r="S155" s="404"/>
      <c r="T155" s="404"/>
      <c r="U155" s="404"/>
      <c r="V155" s="404"/>
      <c r="W155" s="404"/>
      <c r="X155" s="404"/>
      <c r="Y155" s="404"/>
      <c r="Z155" s="404"/>
      <c r="AA155" s="404"/>
      <c r="AB155" s="404"/>
      <c r="AC155" s="404"/>
      <c r="AD155" s="456"/>
      <c r="AE155" s="404"/>
      <c r="AF155" s="404"/>
      <c r="AH155" s="309"/>
      <c r="AI155" s="309"/>
      <c r="AJ155" s="405"/>
      <c r="AK155" s="405"/>
      <c r="AL155" s="383"/>
      <c r="CL155" s="398"/>
      <c r="CQ155" s="392"/>
    </row>
    <row r="156" spans="9:95">
      <c r="I156" s="404"/>
      <c r="J156" s="404"/>
      <c r="K156" s="404"/>
      <c r="L156" s="404"/>
      <c r="M156" s="404"/>
      <c r="N156" s="404"/>
      <c r="O156" s="404"/>
      <c r="P156" s="404"/>
      <c r="Q156" s="405"/>
      <c r="R156" s="404"/>
      <c r="S156" s="404"/>
      <c r="T156" s="404"/>
      <c r="U156" s="404"/>
      <c r="V156" s="404"/>
      <c r="W156" s="404"/>
      <c r="X156" s="404"/>
      <c r="Y156" s="404"/>
      <c r="Z156" s="404"/>
      <c r="AA156" s="404"/>
      <c r="AB156" s="404"/>
      <c r="AC156" s="404"/>
      <c r="AD156" s="456"/>
      <c r="AE156" s="404"/>
      <c r="AF156" s="404"/>
      <c r="AH156" s="317"/>
      <c r="AI156" s="309"/>
      <c r="AJ156" s="405"/>
      <c r="AK156" s="405"/>
      <c r="AL156" s="383"/>
      <c r="CL156" s="398"/>
      <c r="CQ156" s="392"/>
    </row>
    <row r="157" spans="9:95">
      <c r="I157" s="404"/>
      <c r="J157" s="404"/>
      <c r="K157" s="404"/>
      <c r="L157" s="404"/>
      <c r="M157" s="404"/>
      <c r="N157" s="404"/>
      <c r="O157" s="404"/>
      <c r="P157" s="404"/>
      <c r="Q157" s="405"/>
      <c r="R157" s="404"/>
      <c r="S157" s="404"/>
      <c r="T157" s="404"/>
      <c r="U157" s="404"/>
      <c r="V157" s="404"/>
      <c r="W157" s="404"/>
      <c r="X157" s="404"/>
      <c r="Y157" s="404"/>
      <c r="Z157" s="404"/>
      <c r="AA157" s="404"/>
      <c r="AB157" s="404"/>
      <c r="AC157" s="404"/>
      <c r="AD157" s="456"/>
      <c r="AE157" s="404"/>
      <c r="AF157" s="404"/>
      <c r="AH157" s="309"/>
      <c r="AI157" s="309"/>
      <c r="AJ157" s="405"/>
      <c r="AK157" s="405"/>
      <c r="AL157" s="383"/>
      <c r="CL157" s="398"/>
      <c r="CQ157" s="392"/>
    </row>
    <row r="158" spans="9:95">
      <c r="I158" s="404"/>
      <c r="J158" s="404"/>
      <c r="K158" s="404"/>
      <c r="L158" s="404"/>
      <c r="M158" s="404"/>
      <c r="N158" s="404"/>
      <c r="O158" s="404"/>
      <c r="P158" s="404"/>
      <c r="Q158" s="405"/>
      <c r="R158" s="404"/>
      <c r="S158" s="404"/>
      <c r="T158" s="404"/>
      <c r="U158" s="404"/>
      <c r="V158" s="404"/>
      <c r="W158" s="404"/>
      <c r="X158" s="404"/>
      <c r="Y158" s="404"/>
      <c r="Z158" s="404"/>
      <c r="AA158" s="404"/>
      <c r="AB158" s="404"/>
      <c r="AC158" s="404"/>
      <c r="AD158" s="456"/>
      <c r="AE158" s="404"/>
      <c r="AF158" s="404"/>
      <c r="AH158" s="309"/>
      <c r="AI158" s="309"/>
      <c r="AJ158" s="405"/>
      <c r="AK158" s="405"/>
      <c r="AL158" s="383"/>
      <c r="CL158" s="398"/>
      <c r="CQ158" s="392"/>
    </row>
    <row r="159" spans="9:95">
      <c r="I159" s="404"/>
      <c r="J159" s="404"/>
      <c r="K159" s="404"/>
      <c r="L159" s="404"/>
      <c r="M159" s="404"/>
      <c r="N159" s="404"/>
      <c r="O159" s="404"/>
      <c r="P159" s="404"/>
      <c r="Q159" s="405"/>
      <c r="R159" s="404"/>
      <c r="S159" s="404"/>
      <c r="T159" s="404"/>
      <c r="U159" s="404"/>
      <c r="V159" s="404"/>
      <c r="W159" s="404"/>
      <c r="X159" s="404"/>
      <c r="Y159" s="404"/>
      <c r="Z159" s="404"/>
      <c r="AA159" s="404"/>
      <c r="AB159" s="404"/>
      <c r="AC159" s="404"/>
      <c r="AD159" s="456"/>
      <c r="AE159" s="404"/>
      <c r="AF159" s="404"/>
      <c r="AH159" s="317"/>
      <c r="AI159" s="309"/>
      <c r="AJ159" s="405"/>
      <c r="AK159" s="405"/>
      <c r="AL159" s="383"/>
      <c r="CL159" s="398"/>
      <c r="CQ159" s="392"/>
    </row>
    <row r="160" spans="9:95">
      <c r="I160" s="404"/>
      <c r="J160" s="404"/>
      <c r="K160" s="404"/>
      <c r="L160" s="404"/>
      <c r="M160" s="404"/>
      <c r="N160" s="404"/>
      <c r="O160" s="404"/>
      <c r="P160" s="404"/>
      <c r="Q160" s="405"/>
      <c r="R160" s="404"/>
      <c r="S160" s="404"/>
      <c r="T160" s="404"/>
      <c r="U160" s="404"/>
      <c r="V160" s="404"/>
      <c r="W160" s="404"/>
      <c r="X160" s="404"/>
      <c r="Y160" s="404"/>
      <c r="Z160" s="404"/>
      <c r="AA160" s="404"/>
      <c r="AB160" s="404"/>
      <c r="AC160" s="404"/>
      <c r="AD160" s="456"/>
      <c r="AE160" s="404"/>
      <c r="AF160" s="404"/>
      <c r="AH160" s="309"/>
      <c r="AI160" s="309"/>
      <c r="AJ160" s="405"/>
      <c r="AK160" s="405"/>
      <c r="AL160" s="383"/>
      <c r="CL160" s="398"/>
      <c r="CQ160" s="392"/>
    </row>
    <row r="161" spans="9:95">
      <c r="I161" s="404"/>
      <c r="J161" s="404"/>
      <c r="K161" s="404"/>
      <c r="L161" s="404"/>
      <c r="M161" s="404"/>
      <c r="N161" s="404"/>
      <c r="O161" s="404"/>
      <c r="P161" s="404"/>
      <c r="Q161" s="405"/>
      <c r="R161" s="404"/>
      <c r="S161" s="404"/>
      <c r="T161" s="404"/>
      <c r="U161" s="404"/>
      <c r="V161" s="404"/>
      <c r="W161" s="404"/>
      <c r="X161" s="404"/>
      <c r="Y161" s="404"/>
      <c r="Z161" s="404"/>
      <c r="AA161" s="404"/>
      <c r="AB161" s="404"/>
      <c r="AC161" s="404"/>
      <c r="AD161" s="456"/>
      <c r="AE161" s="404"/>
      <c r="AF161" s="404"/>
      <c r="AH161" s="309"/>
      <c r="AI161" s="392"/>
      <c r="AJ161" s="405"/>
      <c r="AK161" s="405"/>
      <c r="AL161" s="383"/>
      <c r="CL161" s="398"/>
      <c r="CQ161" s="392"/>
    </row>
    <row r="162" spans="9:95">
      <c r="I162" s="404"/>
      <c r="J162" s="404"/>
      <c r="K162" s="404"/>
      <c r="L162" s="404"/>
      <c r="M162" s="404"/>
      <c r="N162" s="404"/>
      <c r="O162" s="404"/>
      <c r="P162" s="404"/>
      <c r="Q162" s="405"/>
      <c r="R162" s="404"/>
      <c r="S162" s="404"/>
      <c r="T162" s="404"/>
      <c r="U162" s="404"/>
      <c r="V162" s="404"/>
      <c r="W162" s="404"/>
      <c r="X162" s="404"/>
      <c r="Y162" s="404"/>
      <c r="Z162" s="404"/>
      <c r="AA162" s="404"/>
      <c r="AB162" s="404"/>
      <c r="AC162" s="404"/>
      <c r="AD162" s="456"/>
      <c r="AE162" s="404"/>
      <c r="AF162" s="404"/>
      <c r="AH162" s="309"/>
      <c r="AI162" s="392"/>
      <c r="AJ162" s="404"/>
      <c r="AK162" s="404"/>
      <c r="AL162" s="389"/>
      <c r="CL162" s="398"/>
      <c r="CQ162" s="392"/>
    </row>
    <row r="163" spans="9:95">
      <c r="I163" s="404"/>
      <c r="J163" s="404"/>
      <c r="K163" s="404"/>
      <c r="L163" s="404"/>
      <c r="M163" s="404"/>
      <c r="N163" s="404"/>
      <c r="O163" s="404"/>
      <c r="P163" s="404"/>
      <c r="Q163" s="405"/>
      <c r="R163" s="404"/>
      <c r="S163" s="404"/>
      <c r="T163" s="404"/>
      <c r="U163" s="404"/>
      <c r="V163" s="404"/>
      <c r="W163" s="404"/>
      <c r="X163" s="404"/>
      <c r="Y163" s="404"/>
      <c r="Z163" s="404"/>
      <c r="AA163" s="404"/>
      <c r="AB163" s="404"/>
      <c r="AC163" s="404"/>
      <c r="AD163" s="456"/>
      <c r="AE163" s="404"/>
      <c r="AF163" s="404"/>
      <c r="AH163" s="309"/>
      <c r="AI163" s="392"/>
      <c r="CL163" s="398"/>
      <c r="CQ163" s="392"/>
    </row>
    <row r="164" spans="9:95">
      <c r="I164" s="404"/>
      <c r="J164" s="404"/>
      <c r="K164" s="404"/>
      <c r="L164" s="404"/>
      <c r="M164" s="404"/>
      <c r="N164" s="404"/>
      <c r="O164" s="404"/>
      <c r="P164" s="404"/>
      <c r="Q164" s="405"/>
      <c r="R164" s="404"/>
      <c r="S164" s="404"/>
      <c r="T164" s="404"/>
      <c r="U164" s="404"/>
      <c r="V164" s="404"/>
      <c r="W164" s="404"/>
      <c r="X164" s="404"/>
      <c r="Y164" s="404"/>
      <c r="Z164" s="404"/>
      <c r="AA164" s="404"/>
      <c r="AB164" s="404"/>
      <c r="AC164" s="404"/>
      <c r="AD164" s="456"/>
      <c r="AE164" s="404"/>
      <c r="AF164" s="404"/>
      <c r="AH164" s="391"/>
      <c r="AI164" s="392"/>
      <c r="CL164" s="398"/>
      <c r="CQ164" s="392"/>
    </row>
    <row r="165" spans="9:95">
      <c r="I165" s="404"/>
      <c r="J165" s="404"/>
      <c r="K165" s="404"/>
      <c r="L165" s="404"/>
      <c r="M165" s="404"/>
      <c r="N165" s="404"/>
      <c r="O165" s="404"/>
      <c r="P165" s="404"/>
      <c r="Q165" s="405"/>
      <c r="R165" s="404"/>
      <c r="S165" s="404"/>
      <c r="T165" s="404"/>
      <c r="U165" s="404"/>
      <c r="V165" s="404"/>
      <c r="W165" s="404"/>
      <c r="X165" s="404"/>
      <c r="Y165" s="404"/>
      <c r="Z165" s="404"/>
      <c r="AA165" s="404"/>
      <c r="AB165" s="404"/>
      <c r="AC165" s="404"/>
      <c r="AD165" s="456"/>
      <c r="AE165" s="404"/>
      <c r="AF165" s="404"/>
      <c r="AH165" s="317"/>
      <c r="AI165" s="392"/>
      <c r="CL165" s="398"/>
      <c r="CQ165" s="392"/>
    </row>
    <row r="166" spans="9:95">
      <c r="I166" s="404"/>
      <c r="J166" s="404"/>
      <c r="K166" s="404"/>
      <c r="L166" s="404"/>
      <c r="M166" s="404"/>
      <c r="N166" s="404"/>
      <c r="O166" s="404"/>
      <c r="P166" s="404"/>
      <c r="Q166" s="405"/>
      <c r="R166" s="404"/>
      <c r="S166" s="404"/>
      <c r="T166" s="404"/>
      <c r="U166" s="404"/>
      <c r="V166" s="404"/>
      <c r="W166" s="404"/>
      <c r="X166" s="404"/>
      <c r="Y166" s="404"/>
      <c r="Z166" s="404"/>
      <c r="AA166" s="404"/>
      <c r="AB166" s="404"/>
      <c r="AC166" s="404"/>
      <c r="AD166" s="456"/>
      <c r="AE166" s="404"/>
      <c r="AF166" s="404"/>
      <c r="AH166" s="309"/>
      <c r="AI166" s="392"/>
      <c r="CL166" s="398"/>
      <c r="CQ166" s="392"/>
    </row>
    <row r="167" spans="9:95">
      <c r="I167" s="404"/>
      <c r="J167" s="404"/>
      <c r="K167" s="404"/>
      <c r="L167" s="404"/>
      <c r="M167" s="404"/>
      <c r="N167" s="404"/>
      <c r="O167" s="404"/>
      <c r="P167" s="404"/>
      <c r="Q167" s="405"/>
      <c r="R167" s="404"/>
      <c r="S167" s="404"/>
      <c r="T167" s="404"/>
      <c r="U167" s="404"/>
      <c r="V167" s="404"/>
      <c r="W167" s="404"/>
      <c r="X167" s="404"/>
      <c r="Y167" s="404"/>
      <c r="Z167" s="404"/>
      <c r="AA167" s="404"/>
      <c r="AB167" s="404"/>
      <c r="AC167" s="404"/>
      <c r="AD167" s="456"/>
      <c r="AE167" s="404"/>
      <c r="AF167" s="404"/>
      <c r="AH167" s="391"/>
      <c r="AI167" s="392"/>
      <c r="CL167" s="398"/>
      <c r="CQ167" s="392"/>
    </row>
    <row r="168" spans="9:95">
      <c r="I168" s="404"/>
      <c r="J168" s="404"/>
      <c r="K168" s="404"/>
      <c r="L168" s="404"/>
      <c r="M168" s="404"/>
      <c r="N168" s="404"/>
      <c r="O168" s="404"/>
      <c r="P168" s="404"/>
      <c r="Q168" s="405"/>
      <c r="R168" s="404"/>
      <c r="S168" s="404"/>
      <c r="T168" s="404"/>
      <c r="U168" s="404"/>
      <c r="V168" s="404"/>
      <c r="W168" s="404"/>
      <c r="X168" s="404"/>
      <c r="Y168" s="404"/>
      <c r="Z168" s="404"/>
      <c r="AA168" s="404"/>
      <c r="AB168" s="404"/>
      <c r="AC168" s="404"/>
      <c r="AD168" s="456"/>
      <c r="AE168" s="404"/>
      <c r="AF168" s="404"/>
      <c r="AH168" s="309"/>
      <c r="AI168" s="392"/>
      <c r="CL168" s="398"/>
      <c r="CQ168" s="392"/>
    </row>
    <row r="169" spans="9:95">
      <c r="I169" s="404"/>
      <c r="J169" s="404"/>
      <c r="K169" s="404"/>
      <c r="L169" s="404"/>
      <c r="M169" s="404"/>
      <c r="N169" s="404"/>
      <c r="O169" s="404"/>
      <c r="P169" s="404"/>
      <c r="Q169" s="405"/>
      <c r="R169" s="404"/>
      <c r="S169" s="404"/>
      <c r="T169" s="404"/>
      <c r="U169" s="404"/>
      <c r="V169" s="404"/>
      <c r="W169" s="404"/>
      <c r="X169" s="404"/>
      <c r="Y169" s="404"/>
      <c r="Z169" s="404"/>
      <c r="AA169" s="404"/>
      <c r="AB169" s="404"/>
      <c r="AC169" s="404"/>
      <c r="AD169" s="456"/>
      <c r="AE169" s="404"/>
      <c r="AF169" s="404"/>
      <c r="AH169" s="391"/>
      <c r="AI169" s="392"/>
      <c r="CL169" s="398"/>
      <c r="CQ169" s="392"/>
    </row>
    <row r="170" spans="9:95">
      <c r="I170" s="404"/>
      <c r="J170" s="404"/>
      <c r="K170" s="404"/>
      <c r="L170" s="404"/>
      <c r="M170" s="404"/>
      <c r="N170" s="404"/>
      <c r="O170" s="404"/>
      <c r="P170" s="404"/>
      <c r="Q170" s="405"/>
      <c r="R170" s="404"/>
      <c r="S170" s="404"/>
      <c r="T170" s="404"/>
      <c r="U170" s="404"/>
      <c r="V170" s="404"/>
      <c r="W170" s="404"/>
      <c r="X170" s="404"/>
      <c r="Y170" s="404"/>
      <c r="Z170" s="404"/>
      <c r="AA170" s="404"/>
      <c r="AB170" s="404"/>
      <c r="AC170" s="404"/>
      <c r="AD170" s="456"/>
      <c r="AE170" s="404"/>
      <c r="AF170" s="404"/>
      <c r="AH170" s="309"/>
      <c r="AI170" s="392"/>
      <c r="CL170" s="398"/>
      <c r="CQ170" s="392"/>
    </row>
    <row r="171" spans="9:95">
      <c r="I171" s="404"/>
      <c r="J171" s="404"/>
      <c r="K171" s="404"/>
      <c r="L171" s="404"/>
      <c r="M171" s="404"/>
      <c r="N171" s="404"/>
      <c r="O171" s="404"/>
      <c r="P171" s="404"/>
      <c r="Q171" s="405"/>
      <c r="R171" s="404"/>
      <c r="S171" s="404"/>
      <c r="T171" s="404"/>
      <c r="U171" s="404"/>
      <c r="V171" s="404"/>
      <c r="W171" s="404"/>
      <c r="X171" s="404"/>
      <c r="Y171" s="404"/>
      <c r="Z171" s="404"/>
      <c r="AA171" s="404"/>
      <c r="AB171" s="404"/>
      <c r="AC171" s="404"/>
      <c r="AD171" s="456"/>
      <c r="AE171" s="404"/>
      <c r="AF171" s="404"/>
      <c r="AH171" s="317"/>
      <c r="AI171" s="392"/>
      <c r="CL171" s="398"/>
      <c r="CQ171" s="392"/>
    </row>
    <row r="172" spans="9:95">
      <c r="I172" s="404"/>
      <c r="J172" s="404"/>
      <c r="K172" s="404"/>
      <c r="L172" s="404"/>
      <c r="M172" s="404"/>
      <c r="N172" s="404"/>
      <c r="O172" s="404"/>
      <c r="P172" s="404"/>
      <c r="Q172" s="405"/>
      <c r="R172" s="404"/>
      <c r="S172" s="404"/>
      <c r="T172" s="404"/>
      <c r="U172" s="404"/>
      <c r="V172" s="404"/>
      <c r="W172" s="404"/>
      <c r="X172" s="404"/>
      <c r="Y172" s="404"/>
      <c r="Z172" s="404"/>
      <c r="AA172" s="404"/>
      <c r="AB172" s="404"/>
      <c r="AC172" s="404"/>
      <c r="AD172" s="456"/>
      <c r="AE172" s="404"/>
      <c r="AF172" s="404"/>
      <c r="AH172" s="317"/>
      <c r="AI172" s="392"/>
      <c r="CL172" s="398"/>
      <c r="CQ172" s="392"/>
    </row>
    <row r="173" spans="9:95">
      <c r="I173" s="404"/>
      <c r="J173" s="404"/>
      <c r="K173" s="404"/>
      <c r="L173" s="404"/>
      <c r="M173" s="404"/>
      <c r="N173" s="404"/>
      <c r="O173" s="404"/>
      <c r="P173" s="404"/>
      <c r="Q173" s="405"/>
      <c r="R173" s="404"/>
      <c r="S173" s="404"/>
      <c r="T173" s="404"/>
      <c r="U173" s="404"/>
      <c r="V173" s="404"/>
      <c r="W173" s="404"/>
      <c r="X173" s="404"/>
      <c r="Y173" s="404"/>
      <c r="Z173" s="404"/>
      <c r="AA173" s="404"/>
      <c r="AB173" s="404"/>
      <c r="AC173" s="404"/>
      <c r="AD173" s="456"/>
      <c r="AE173" s="404"/>
      <c r="AF173" s="404"/>
      <c r="AH173" s="318"/>
      <c r="AI173" s="392"/>
      <c r="CL173" s="398"/>
      <c r="CQ173" s="392"/>
    </row>
    <row r="174" spans="9:95">
      <c r="I174" s="404"/>
      <c r="J174" s="404"/>
      <c r="K174" s="404"/>
      <c r="L174" s="404"/>
      <c r="M174" s="404"/>
      <c r="N174" s="404"/>
      <c r="O174" s="404"/>
      <c r="P174" s="404"/>
      <c r="Q174" s="405"/>
      <c r="R174" s="404"/>
      <c r="S174" s="404"/>
      <c r="T174" s="404"/>
      <c r="U174" s="404"/>
      <c r="V174" s="404"/>
      <c r="W174" s="404"/>
      <c r="X174" s="404"/>
      <c r="Y174" s="404"/>
      <c r="Z174" s="404"/>
      <c r="AA174" s="404"/>
      <c r="AB174" s="404"/>
      <c r="AC174" s="404"/>
      <c r="AD174" s="456"/>
      <c r="AE174" s="404"/>
      <c r="AF174" s="404"/>
      <c r="AH174" s="317"/>
      <c r="AI174" s="392"/>
      <c r="CL174" s="398"/>
      <c r="CQ174" s="392"/>
    </row>
    <row r="175" spans="9:95">
      <c r="I175" s="404"/>
      <c r="J175" s="404"/>
      <c r="K175" s="404"/>
      <c r="L175" s="404"/>
      <c r="M175" s="404"/>
      <c r="N175" s="404"/>
      <c r="O175" s="404"/>
      <c r="P175" s="404"/>
      <c r="Q175" s="405"/>
      <c r="R175" s="404"/>
      <c r="S175" s="404"/>
      <c r="T175" s="404"/>
      <c r="U175" s="404"/>
      <c r="V175" s="404"/>
      <c r="W175" s="404"/>
      <c r="X175" s="404"/>
      <c r="Y175" s="404"/>
      <c r="Z175" s="404"/>
      <c r="AA175" s="404"/>
      <c r="AB175" s="404"/>
      <c r="AC175" s="404"/>
      <c r="AD175" s="456"/>
      <c r="AE175" s="404"/>
      <c r="AF175" s="404"/>
      <c r="AH175" s="317"/>
      <c r="AI175" s="392"/>
      <c r="CL175" s="398"/>
      <c r="CQ175" s="392"/>
    </row>
    <row r="176" spans="9:95">
      <c r="I176" s="404"/>
      <c r="J176" s="404"/>
      <c r="K176" s="404"/>
      <c r="L176" s="404"/>
      <c r="M176" s="404"/>
      <c r="N176" s="404"/>
      <c r="O176" s="404"/>
      <c r="P176" s="404"/>
      <c r="Q176" s="405"/>
      <c r="R176" s="404"/>
      <c r="S176" s="404"/>
      <c r="T176" s="404"/>
      <c r="U176" s="404"/>
      <c r="V176" s="404"/>
      <c r="W176" s="404"/>
      <c r="X176" s="404"/>
      <c r="Y176" s="404"/>
      <c r="Z176" s="404"/>
      <c r="AA176" s="404"/>
      <c r="AB176" s="404"/>
      <c r="AC176" s="404"/>
      <c r="AD176" s="456"/>
      <c r="AE176" s="404"/>
      <c r="AF176" s="404"/>
      <c r="AH176" s="317"/>
      <c r="AI176" s="392"/>
      <c r="CL176" s="398"/>
      <c r="CO176" s="392"/>
    </row>
    <row r="177" spans="9:93">
      <c r="I177" s="404"/>
      <c r="J177" s="404"/>
      <c r="K177" s="404"/>
      <c r="L177" s="404"/>
      <c r="M177" s="404"/>
      <c r="N177" s="404"/>
      <c r="O177" s="404"/>
      <c r="P177" s="404"/>
      <c r="Q177" s="405"/>
      <c r="R177" s="404"/>
      <c r="S177" s="404"/>
      <c r="T177" s="404"/>
      <c r="U177" s="404"/>
      <c r="V177" s="404"/>
      <c r="W177" s="404"/>
      <c r="X177" s="404"/>
      <c r="Y177" s="404"/>
      <c r="Z177" s="404"/>
      <c r="AA177" s="404"/>
      <c r="AB177" s="404"/>
      <c r="AC177" s="404"/>
      <c r="AD177" s="456"/>
      <c r="AE177" s="404"/>
      <c r="AF177" s="404"/>
      <c r="AH177" s="391"/>
      <c r="AI177" s="392"/>
      <c r="CL177" s="398"/>
      <c r="CO177" s="392"/>
    </row>
    <row r="178" spans="9:93">
      <c r="I178" s="404"/>
      <c r="J178" s="404"/>
      <c r="K178" s="404"/>
      <c r="L178" s="404"/>
      <c r="M178" s="404"/>
      <c r="N178" s="404"/>
      <c r="O178" s="404"/>
      <c r="P178" s="404"/>
      <c r="Q178" s="405"/>
      <c r="R178" s="404"/>
      <c r="S178" s="404"/>
      <c r="T178" s="404"/>
      <c r="U178" s="404"/>
      <c r="V178" s="404"/>
      <c r="W178" s="404"/>
      <c r="X178" s="404"/>
      <c r="Y178" s="404"/>
      <c r="Z178" s="404"/>
      <c r="AA178" s="404"/>
      <c r="AB178" s="404"/>
      <c r="AC178" s="404"/>
      <c r="AD178" s="456"/>
      <c r="AE178" s="404"/>
      <c r="AF178" s="404"/>
      <c r="AH178" s="309"/>
      <c r="AI178" s="392"/>
      <c r="CL178" s="398"/>
      <c r="CO178" s="392"/>
    </row>
    <row r="179" spans="9:93">
      <c r="I179" s="404"/>
      <c r="J179" s="404"/>
      <c r="K179" s="404"/>
      <c r="L179" s="404"/>
      <c r="M179" s="404"/>
      <c r="N179" s="404"/>
      <c r="O179" s="404"/>
      <c r="P179" s="404"/>
      <c r="Q179" s="405"/>
      <c r="R179" s="404"/>
      <c r="S179" s="404"/>
      <c r="T179" s="404"/>
      <c r="U179" s="404"/>
      <c r="V179" s="404"/>
      <c r="W179" s="404"/>
      <c r="X179" s="404"/>
      <c r="Y179" s="404"/>
      <c r="Z179" s="404"/>
      <c r="AA179" s="404"/>
      <c r="AB179" s="404"/>
      <c r="AC179" s="404"/>
      <c r="AD179" s="456"/>
      <c r="AE179" s="404"/>
      <c r="AF179" s="404"/>
      <c r="AH179" s="317"/>
      <c r="AI179" s="392"/>
      <c r="CL179" s="398"/>
      <c r="CO179" s="392"/>
    </row>
    <row r="180" spans="9:93">
      <c r="I180" s="404"/>
      <c r="J180" s="404"/>
      <c r="K180" s="404"/>
      <c r="L180" s="404"/>
      <c r="M180" s="404"/>
      <c r="N180" s="404"/>
      <c r="O180" s="404"/>
      <c r="P180" s="404"/>
      <c r="Q180" s="405"/>
      <c r="R180" s="404"/>
      <c r="S180" s="404"/>
      <c r="T180" s="404"/>
      <c r="U180" s="404"/>
      <c r="V180" s="404"/>
      <c r="W180" s="404"/>
      <c r="X180" s="404"/>
      <c r="Y180" s="404"/>
      <c r="Z180" s="404"/>
      <c r="AA180" s="404"/>
      <c r="AB180" s="404"/>
      <c r="AC180" s="404"/>
      <c r="AD180" s="456"/>
      <c r="AE180" s="404"/>
      <c r="AF180" s="404"/>
      <c r="AH180" s="317"/>
      <c r="AI180" s="392"/>
      <c r="CL180" s="398"/>
      <c r="CO180" s="392"/>
    </row>
    <row r="181" spans="9:93">
      <c r="I181" s="404"/>
      <c r="J181" s="404"/>
      <c r="K181" s="404"/>
      <c r="L181" s="404"/>
      <c r="M181" s="404"/>
      <c r="N181" s="404"/>
      <c r="O181" s="404"/>
      <c r="P181" s="404"/>
      <c r="Q181" s="405"/>
      <c r="R181" s="404"/>
      <c r="S181" s="404"/>
      <c r="T181" s="404"/>
      <c r="U181" s="404"/>
      <c r="V181" s="404"/>
      <c r="W181" s="404"/>
      <c r="X181" s="404"/>
      <c r="Y181" s="404"/>
      <c r="Z181" s="404"/>
      <c r="AA181" s="404"/>
      <c r="AB181" s="404"/>
      <c r="AC181" s="404"/>
      <c r="AD181" s="456"/>
      <c r="AE181" s="404"/>
      <c r="AF181" s="404"/>
      <c r="AH181" s="318"/>
      <c r="AI181" s="392"/>
      <c r="CL181" s="398"/>
      <c r="CO181" s="392"/>
    </row>
    <row r="182" spans="9:93">
      <c r="I182" s="404"/>
      <c r="J182" s="404"/>
      <c r="K182" s="404"/>
      <c r="L182" s="404"/>
      <c r="M182" s="404"/>
      <c r="N182" s="404"/>
      <c r="O182" s="404"/>
      <c r="P182" s="404"/>
      <c r="Q182" s="405"/>
      <c r="R182" s="404"/>
      <c r="S182" s="404"/>
      <c r="T182" s="404"/>
      <c r="U182" s="404"/>
      <c r="V182" s="404"/>
      <c r="W182" s="404"/>
      <c r="X182" s="404"/>
      <c r="Y182" s="404"/>
      <c r="Z182" s="404"/>
      <c r="AA182" s="404"/>
      <c r="AB182" s="404"/>
      <c r="AC182" s="404"/>
      <c r="AD182" s="456"/>
      <c r="AE182" s="404"/>
      <c r="AF182" s="404"/>
      <c r="AH182" s="317"/>
      <c r="AI182" s="392"/>
      <c r="CL182" s="398"/>
      <c r="CO182" s="392"/>
    </row>
    <row r="183" spans="9:93">
      <c r="I183" s="404"/>
      <c r="J183" s="404"/>
      <c r="K183" s="404"/>
      <c r="L183" s="404"/>
      <c r="M183" s="404"/>
      <c r="N183" s="404"/>
      <c r="O183" s="404"/>
      <c r="P183" s="404"/>
      <c r="Q183" s="405"/>
      <c r="R183" s="404"/>
      <c r="S183" s="404"/>
      <c r="T183" s="404"/>
      <c r="U183" s="404"/>
      <c r="V183" s="404"/>
      <c r="W183" s="404"/>
      <c r="X183" s="404"/>
      <c r="Y183" s="404"/>
      <c r="Z183" s="404"/>
      <c r="AA183" s="404"/>
      <c r="AB183" s="404"/>
      <c r="AC183" s="404"/>
      <c r="AD183" s="456"/>
      <c r="AE183" s="404"/>
      <c r="AF183" s="404"/>
      <c r="AH183" s="317"/>
      <c r="AI183" s="392"/>
      <c r="CL183" s="398"/>
      <c r="CO183" s="392"/>
    </row>
    <row r="184" spans="9:93">
      <c r="I184" s="404"/>
      <c r="J184" s="404"/>
      <c r="K184" s="404"/>
      <c r="L184" s="404"/>
      <c r="M184" s="404"/>
      <c r="N184" s="404"/>
      <c r="O184" s="404"/>
      <c r="P184" s="404"/>
      <c r="Q184" s="405"/>
      <c r="R184" s="404"/>
      <c r="S184" s="404"/>
      <c r="T184" s="404"/>
      <c r="U184" s="404"/>
      <c r="V184" s="404"/>
      <c r="W184" s="404"/>
      <c r="X184" s="404"/>
      <c r="Y184" s="404"/>
      <c r="Z184" s="404"/>
      <c r="AA184" s="404"/>
      <c r="AB184" s="404"/>
      <c r="AC184" s="404"/>
      <c r="AD184" s="456"/>
      <c r="AE184" s="404"/>
      <c r="AF184" s="404"/>
      <c r="AH184" s="317"/>
      <c r="AI184" s="392"/>
      <c r="CL184" s="398"/>
      <c r="CO184" s="392"/>
    </row>
    <row r="185" spans="9:93">
      <c r="I185" s="404"/>
      <c r="J185" s="404"/>
      <c r="K185" s="404"/>
      <c r="L185" s="404"/>
      <c r="M185" s="404"/>
      <c r="N185" s="404"/>
      <c r="O185" s="404"/>
      <c r="P185" s="404"/>
      <c r="Q185" s="405"/>
      <c r="R185" s="404"/>
      <c r="S185" s="404"/>
      <c r="T185" s="404"/>
      <c r="U185" s="404"/>
      <c r="V185" s="404"/>
      <c r="W185" s="404"/>
      <c r="X185" s="404"/>
      <c r="Y185" s="404"/>
      <c r="Z185" s="404"/>
      <c r="AA185" s="404"/>
      <c r="AB185" s="404"/>
      <c r="AC185" s="404"/>
      <c r="AD185" s="456"/>
      <c r="AE185" s="404"/>
      <c r="AF185" s="404"/>
      <c r="AH185" s="309"/>
      <c r="AI185" s="392"/>
      <c r="CL185" s="398"/>
      <c r="CO185" s="392"/>
    </row>
    <row r="186" spans="9:93">
      <c r="I186" s="404"/>
      <c r="J186" s="404"/>
      <c r="K186" s="404"/>
      <c r="L186" s="404"/>
      <c r="M186" s="404"/>
      <c r="N186" s="404"/>
      <c r="O186" s="404"/>
      <c r="P186" s="404"/>
      <c r="Q186" s="405"/>
      <c r="R186" s="404"/>
      <c r="S186" s="404"/>
      <c r="T186" s="404"/>
      <c r="U186" s="404"/>
      <c r="V186" s="404"/>
      <c r="W186" s="404"/>
      <c r="X186" s="404"/>
      <c r="Y186" s="404"/>
      <c r="Z186" s="404"/>
      <c r="AA186" s="404"/>
      <c r="AB186" s="404"/>
      <c r="AC186" s="404"/>
      <c r="AD186" s="456"/>
      <c r="AE186" s="404"/>
      <c r="AF186" s="404"/>
      <c r="AH186" s="309"/>
      <c r="AI186" s="392"/>
      <c r="CL186" s="398"/>
      <c r="CO186" s="392"/>
    </row>
    <row r="187" spans="9:93">
      <c r="I187" s="404"/>
      <c r="J187" s="404"/>
      <c r="K187" s="404"/>
      <c r="L187" s="404"/>
      <c r="M187" s="404"/>
      <c r="N187" s="404"/>
      <c r="O187" s="404"/>
      <c r="P187" s="404"/>
      <c r="Q187" s="405"/>
      <c r="R187" s="404"/>
      <c r="S187" s="404"/>
      <c r="T187" s="404"/>
      <c r="U187" s="404"/>
      <c r="V187" s="404"/>
      <c r="W187" s="404"/>
      <c r="X187" s="404"/>
      <c r="Y187" s="404"/>
      <c r="Z187" s="404"/>
      <c r="AA187" s="404"/>
      <c r="AB187" s="404"/>
      <c r="AC187" s="404"/>
      <c r="AD187" s="456"/>
      <c r="AE187" s="404"/>
      <c r="AF187" s="404"/>
      <c r="AI187" s="392"/>
      <c r="CL187" s="398"/>
      <c r="CO187" s="392"/>
    </row>
    <row r="188" spans="9:93">
      <c r="I188" s="404"/>
      <c r="J188" s="404"/>
      <c r="K188" s="404"/>
      <c r="L188" s="404"/>
      <c r="M188" s="404"/>
      <c r="N188" s="404"/>
      <c r="O188" s="404"/>
      <c r="P188" s="404"/>
      <c r="Q188" s="405"/>
      <c r="R188" s="404"/>
      <c r="S188" s="404"/>
      <c r="T188" s="404"/>
      <c r="U188" s="404"/>
      <c r="V188" s="404"/>
      <c r="W188" s="404"/>
      <c r="X188" s="404"/>
      <c r="Y188" s="404"/>
      <c r="Z188" s="404"/>
      <c r="AA188" s="404"/>
      <c r="AB188" s="404"/>
      <c r="AC188" s="404"/>
      <c r="AD188" s="456"/>
      <c r="AE188" s="404"/>
      <c r="AF188" s="404"/>
      <c r="AI188" s="392"/>
      <c r="CL188" s="398"/>
      <c r="CO188" s="392"/>
    </row>
    <row r="189" spans="9:93">
      <c r="I189" s="404"/>
      <c r="J189" s="404"/>
      <c r="K189" s="404"/>
      <c r="L189" s="404"/>
      <c r="M189" s="404"/>
      <c r="N189" s="404"/>
      <c r="O189" s="404"/>
      <c r="P189" s="404"/>
      <c r="Q189" s="405"/>
      <c r="R189" s="404"/>
      <c r="S189" s="404"/>
      <c r="T189" s="404"/>
      <c r="U189" s="404"/>
      <c r="V189" s="404"/>
      <c r="W189" s="404"/>
      <c r="X189" s="404"/>
      <c r="Y189" s="404"/>
      <c r="Z189" s="404"/>
      <c r="AA189" s="404"/>
      <c r="AB189" s="404"/>
      <c r="AC189" s="404"/>
      <c r="AD189" s="456"/>
      <c r="AE189" s="404"/>
      <c r="AF189" s="404"/>
      <c r="AI189" s="392"/>
      <c r="CL189" s="398"/>
      <c r="CO189" s="392"/>
    </row>
    <row r="190" spans="9:93">
      <c r="I190" s="404"/>
      <c r="J190" s="404"/>
      <c r="K190" s="404"/>
      <c r="L190" s="404"/>
      <c r="M190" s="404"/>
      <c r="N190" s="404"/>
      <c r="O190" s="404"/>
      <c r="P190" s="404"/>
      <c r="Q190" s="405"/>
      <c r="R190" s="404"/>
      <c r="S190" s="404"/>
      <c r="T190" s="404"/>
      <c r="U190" s="404"/>
      <c r="V190" s="404"/>
      <c r="W190" s="404"/>
      <c r="X190" s="404"/>
      <c r="Y190" s="404"/>
      <c r="Z190" s="404"/>
      <c r="AA190" s="404"/>
      <c r="AB190" s="404"/>
      <c r="AC190" s="404"/>
      <c r="AD190" s="456"/>
      <c r="AE190" s="404"/>
      <c r="AF190" s="404"/>
      <c r="AI190" s="392"/>
      <c r="CL190" s="398"/>
      <c r="CO190" s="392"/>
    </row>
    <row r="191" spans="9:93">
      <c r="I191" s="404"/>
      <c r="J191" s="404"/>
      <c r="K191" s="404"/>
      <c r="L191" s="404"/>
      <c r="M191" s="404"/>
      <c r="N191" s="404"/>
      <c r="O191" s="404"/>
      <c r="P191" s="404"/>
      <c r="Q191" s="405"/>
      <c r="R191" s="404"/>
      <c r="S191" s="404"/>
      <c r="T191" s="404"/>
      <c r="U191" s="404"/>
      <c r="V191" s="404"/>
      <c r="W191" s="404"/>
      <c r="X191" s="404"/>
      <c r="Y191" s="404"/>
      <c r="Z191" s="404"/>
      <c r="AA191" s="404"/>
      <c r="AB191" s="404"/>
      <c r="AC191" s="404"/>
      <c r="AD191" s="456"/>
      <c r="AE191" s="404"/>
      <c r="AF191" s="404"/>
      <c r="AI191" s="392"/>
      <c r="CL191" s="398"/>
      <c r="CO191" s="392"/>
    </row>
    <row r="192" spans="9:93">
      <c r="I192" s="404"/>
      <c r="J192" s="404"/>
      <c r="K192" s="404"/>
      <c r="L192" s="404"/>
      <c r="M192" s="404"/>
      <c r="N192" s="404"/>
      <c r="O192" s="404"/>
      <c r="P192" s="404"/>
      <c r="Q192" s="405"/>
      <c r="R192" s="404"/>
      <c r="S192" s="404"/>
      <c r="T192" s="404"/>
      <c r="U192" s="404"/>
      <c r="V192" s="404"/>
      <c r="W192" s="404"/>
      <c r="X192" s="404"/>
      <c r="Y192" s="404"/>
      <c r="Z192" s="404"/>
      <c r="AA192" s="404"/>
      <c r="AB192" s="404"/>
      <c r="AC192" s="404"/>
      <c r="AD192" s="456"/>
      <c r="AE192" s="404"/>
      <c r="AF192" s="404"/>
      <c r="AI192" s="392"/>
      <c r="CL192" s="398"/>
      <c r="CO192" s="392"/>
    </row>
    <row r="193" spans="9:93">
      <c r="I193" s="404"/>
      <c r="J193" s="404"/>
      <c r="K193" s="404"/>
      <c r="L193" s="404"/>
      <c r="M193" s="404"/>
      <c r="N193" s="404"/>
      <c r="O193" s="404"/>
      <c r="P193" s="404"/>
      <c r="Q193" s="405"/>
      <c r="R193" s="404"/>
      <c r="S193" s="404"/>
      <c r="T193" s="404"/>
      <c r="U193" s="404"/>
      <c r="V193" s="404"/>
      <c r="W193" s="404"/>
      <c r="X193" s="404"/>
      <c r="Y193" s="404"/>
      <c r="Z193" s="404"/>
      <c r="AA193" s="404"/>
      <c r="AB193" s="404"/>
      <c r="AC193" s="404"/>
      <c r="AD193" s="456"/>
      <c r="AE193" s="404"/>
      <c r="AF193" s="404"/>
      <c r="AI193" s="392"/>
      <c r="CL193" s="398"/>
      <c r="CO193" s="392"/>
    </row>
    <row r="194" spans="9:93">
      <c r="I194" s="404"/>
      <c r="J194" s="404"/>
      <c r="K194" s="404"/>
      <c r="L194" s="404"/>
      <c r="M194" s="404"/>
      <c r="N194" s="404"/>
      <c r="O194" s="404"/>
      <c r="P194" s="404"/>
      <c r="Q194" s="405"/>
      <c r="R194" s="404"/>
      <c r="S194" s="404"/>
      <c r="T194" s="404"/>
      <c r="U194" s="404"/>
      <c r="V194" s="404"/>
      <c r="W194" s="404"/>
      <c r="X194" s="404"/>
      <c r="Y194" s="404"/>
      <c r="Z194" s="404"/>
      <c r="AA194" s="404"/>
      <c r="AB194" s="404"/>
      <c r="AC194" s="404"/>
      <c r="AD194" s="456"/>
      <c r="AE194" s="404"/>
      <c r="AF194" s="404"/>
      <c r="AI194" s="392"/>
      <c r="CL194" s="398"/>
      <c r="CO194" s="392"/>
    </row>
    <row r="195" spans="9:93">
      <c r="I195" s="404"/>
      <c r="J195" s="404"/>
      <c r="K195" s="404"/>
      <c r="L195" s="404"/>
      <c r="M195" s="404"/>
      <c r="N195" s="404"/>
      <c r="O195" s="404"/>
      <c r="P195" s="404"/>
      <c r="Q195" s="405"/>
      <c r="R195" s="404"/>
      <c r="S195" s="404"/>
      <c r="T195" s="404"/>
      <c r="U195" s="404"/>
      <c r="V195" s="404"/>
      <c r="W195" s="404"/>
      <c r="X195" s="404"/>
      <c r="Y195" s="404"/>
      <c r="Z195" s="404"/>
      <c r="AA195" s="404"/>
      <c r="AB195" s="404"/>
      <c r="AC195" s="404"/>
      <c r="AD195" s="456"/>
      <c r="AE195" s="404"/>
      <c r="AF195" s="404"/>
      <c r="AI195" s="392"/>
      <c r="CL195" s="398"/>
      <c r="CO195" s="392"/>
    </row>
    <row r="196" spans="9:93">
      <c r="I196" s="404"/>
      <c r="J196" s="404"/>
      <c r="K196" s="404"/>
      <c r="L196" s="404"/>
      <c r="M196" s="404"/>
      <c r="N196" s="404"/>
      <c r="O196" s="404"/>
      <c r="P196" s="404"/>
      <c r="Q196" s="405"/>
      <c r="R196" s="404"/>
      <c r="S196" s="404"/>
      <c r="T196" s="404"/>
      <c r="U196" s="404"/>
      <c r="V196" s="404"/>
      <c r="W196" s="404"/>
      <c r="X196" s="404"/>
      <c r="Y196" s="404"/>
      <c r="Z196" s="404"/>
      <c r="AA196" s="404"/>
      <c r="AB196" s="404"/>
      <c r="AC196" s="404"/>
      <c r="AD196" s="456"/>
      <c r="AE196" s="404"/>
      <c r="AF196" s="404"/>
      <c r="AI196" s="392"/>
      <c r="CL196" s="398"/>
      <c r="CO196" s="392"/>
    </row>
    <row r="197" spans="9:93">
      <c r="I197" s="404"/>
      <c r="J197" s="404"/>
      <c r="K197" s="404"/>
      <c r="L197" s="404"/>
      <c r="M197" s="404"/>
      <c r="N197" s="404"/>
      <c r="O197" s="404"/>
      <c r="P197" s="404"/>
      <c r="Q197" s="405"/>
      <c r="R197" s="404"/>
      <c r="S197" s="404"/>
      <c r="T197" s="404"/>
      <c r="U197" s="404"/>
      <c r="V197" s="404"/>
      <c r="W197" s="404"/>
      <c r="X197" s="404"/>
      <c r="Y197" s="404"/>
      <c r="Z197" s="404"/>
      <c r="AA197" s="404"/>
      <c r="AB197" s="404"/>
      <c r="AC197" s="404"/>
      <c r="AD197" s="456"/>
      <c r="AE197" s="404"/>
      <c r="AF197" s="404"/>
      <c r="AI197" s="392"/>
      <c r="CL197" s="398"/>
      <c r="CO197" s="392"/>
    </row>
    <row r="198" spans="9:93">
      <c r="I198" s="404"/>
      <c r="J198" s="404"/>
      <c r="K198" s="404"/>
      <c r="L198" s="404"/>
      <c r="M198" s="404"/>
      <c r="N198" s="404"/>
      <c r="O198" s="404"/>
      <c r="P198" s="404"/>
      <c r="Q198" s="405"/>
      <c r="R198" s="404"/>
      <c r="S198" s="404"/>
      <c r="T198" s="404"/>
      <c r="U198" s="404"/>
      <c r="V198" s="404"/>
      <c r="W198" s="404"/>
      <c r="X198" s="404"/>
      <c r="Y198" s="404"/>
      <c r="Z198" s="404"/>
      <c r="AA198" s="404"/>
      <c r="AB198" s="404"/>
      <c r="AC198" s="404"/>
      <c r="AD198" s="456"/>
      <c r="AE198" s="404"/>
      <c r="AF198" s="404"/>
      <c r="AI198" s="392"/>
      <c r="CL198" s="398"/>
      <c r="CO198" s="392"/>
    </row>
    <row r="199" spans="9:93">
      <c r="I199" s="404"/>
      <c r="J199" s="404"/>
      <c r="K199" s="404"/>
      <c r="L199" s="404"/>
      <c r="M199" s="404"/>
      <c r="N199" s="404"/>
      <c r="O199" s="404"/>
      <c r="P199" s="404"/>
      <c r="Q199" s="405"/>
      <c r="R199" s="404"/>
      <c r="S199" s="404"/>
      <c r="T199" s="404"/>
      <c r="U199" s="404"/>
      <c r="V199" s="404"/>
      <c r="W199" s="404"/>
      <c r="X199" s="404"/>
      <c r="Y199" s="404"/>
      <c r="Z199" s="404"/>
      <c r="AA199" s="404"/>
      <c r="AB199" s="404"/>
      <c r="AC199" s="404"/>
      <c r="AD199" s="456"/>
      <c r="AE199" s="404"/>
      <c r="AF199" s="404"/>
      <c r="AI199" s="392"/>
      <c r="CL199" s="398"/>
      <c r="CO199" s="392"/>
    </row>
    <row r="200" spans="9:93">
      <c r="I200" s="404"/>
      <c r="J200" s="404"/>
      <c r="K200" s="404"/>
      <c r="L200" s="404"/>
      <c r="M200" s="404"/>
      <c r="N200" s="404"/>
      <c r="O200" s="404"/>
      <c r="P200" s="404"/>
      <c r="Q200" s="405"/>
      <c r="R200" s="404"/>
      <c r="S200" s="404"/>
      <c r="T200" s="404"/>
      <c r="U200" s="404"/>
      <c r="V200" s="404"/>
      <c r="W200" s="404"/>
      <c r="X200" s="404"/>
      <c r="Y200" s="404"/>
      <c r="Z200" s="404"/>
      <c r="AA200" s="404"/>
      <c r="AB200" s="404"/>
      <c r="AC200" s="404"/>
      <c r="AD200" s="456"/>
      <c r="AE200" s="404"/>
      <c r="AF200" s="404"/>
      <c r="CL200" s="398"/>
      <c r="CO200" s="392"/>
    </row>
    <row r="201" spans="9:93">
      <c r="I201" s="404"/>
      <c r="J201" s="404"/>
      <c r="K201" s="404"/>
      <c r="L201" s="404"/>
      <c r="M201" s="404"/>
      <c r="N201" s="404"/>
      <c r="O201" s="404"/>
      <c r="P201" s="404"/>
      <c r="Q201" s="405"/>
      <c r="R201" s="404"/>
      <c r="S201" s="404"/>
      <c r="T201" s="404"/>
      <c r="U201" s="404"/>
      <c r="V201" s="404"/>
      <c r="W201" s="404"/>
      <c r="X201" s="404"/>
      <c r="Y201" s="404"/>
      <c r="Z201" s="404"/>
      <c r="AA201" s="404"/>
      <c r="AB201" s="404"/>
      <c r="AC201" s="404"/>
      <c r="AD201" s="456"/>
      <c r="AE201" s="404"/>
      <c r="AF201" s="404"/>
      <c r="CL201" s="398"/>
      <c r="CO201" s="392"/>
    </row>
    <row r="202" spans="9:93">
      <c r="I202" s="404"/>
      <c r="J202" s="404"/>
      <c r="K202" s="404"/>
      <c r="L202" s="404"/>
      <c r="M202" s="404"/>
      <c r="N202" s="404"/>
      <c r="O202" s="404"/>
      <c r="P202" s="404"/>
      <c r="Q202" s="404"/>
      <c r="R202" s="404"/>
      <c r="S202" s="404"/>
      <c r="T202" s="404"/>
      <c r="U202" s="404"/>
      <c r="V202" s="404"/>
      <c r="W202" s="404"/>
      <c r="X202" s="404"/>
      <c r="Y202" s="404"/>
      <c r="Z202" s="404"/>
      <c r="AA202" s="404"/>
      <c r="AB202" s="404"/>
      <c r="AC202" s="404"/>
      <c r="AD202" s="456"/>
      <c r="AE202" s="404"/>
      <c r="AF202" s="404"/>
      <c r="CL202" s="398"/>
      <c r="CO202" s="392"/>
    </row>
    <row r="203" spans="9:93">
      <c r="I203" s="404"/>
      <c r="J203" s="404"/>
      <c r="K203" s="404"/>
      <c r="L203" s="404"/>
      <c r="M203" s="404"/>
      <c r="N203" s="404"/>
      <c r="O203" s="404"/>
      <c r="P203" s="404"/>
      <c r="Q203" s="404"/>
      <c r="R203" s="404"/>
      <c r="S203" s="404"/>
      <c r="T203" s="404"/>
      <c r="U203" s="404"/>
      <c r="V203" s="404"/>
      <c r="W203" s="404"/>
      <c r="X203" s="404"/>
      <c r="Y203" s="404"/>
      <c r="Z203" s="404"/>
      <c r="AA203" s="404"/>
      <c r="AB203" s="404"/>
      <c r="AC203" s="404"/>
      <c r="AD203" s="456"/>
      <c r="AE203" s="404"/>
      <c r="AF203" s="404"/>
      <c r="AI203" s="317"/>
      <c r="AJ203" s="317"/>
      <c r="CL203" s="398"/>
      <c r="CO203" s="392"/>
    </row>
    <row r="204" spans="9:93">
      <c r="I204" s="404"/>
      <c r="J204" s="404"/>
      <c r="K204" s="404"/>
      <c r="L204" s="404"/>
      <c r="M204" s="404"/>
      <c r="N204" s="404"/>
      <c r="O204" s="404"/>
      <c r="P204" s="404"/>
      <c r="Q204" s="404"/>
      <c r="R204" s="404"/>
      <c r="S204" s="404"/>
      <c r="T204" s="404"/>
      <c r="U204" s="404"/>
      <c r="V204" s="404"/>
      <c r="W204" s="404"/>
      <c r="X204" s="404"/>
      <c r="Y204" s="404"/>
      <c r="Z204" s="404"/>
      <c r="AA204" s="404"/>
      <c r="AB204" s="404"/>
      <c r="AC204" s="404"/>
      <c r="AD204" s="456"/>
      <c r="AE204" s="404"/>
      <c r="AF204" s="404"/>
      <c r="AI204" s="317"/>
      <c r="AJ204" s="317"/>
      <c r="CL204" s="398"/>
      <c r="CO204" s="392"/>
    </row>
    <row r="205" spans="9:93">
      <c r="I205" s="404"/>
      <c r="J205" s="404"/>
      <c r="K205" s="404"/>
      <c r="L205" s="404"/>
      <c r="M205" s="404"/>
      <c r="N205" s="404"/>
      <c r="O205" s="404"/>
      <c r="P205" s="404"/>
      <c r="Q205" s="404"/>
      <c r="R205" s="404"/>
      <c r="S205" s="404"/>
      <c r="T205" s="404"/>
      <c r="U205" s="404"/>
      <c r="V205" s="404"/>
      <c r="W205" s="404"/>
      <c r="X205" s="404"/>
      <c r="Y205" s="404"/>
      <c r="Z205" s="404"/>
      <c r="AA205" s="404"/>
      <c r="AB205" s="404"/>
      <c r="AC205" s="404"/>
      <c r="AD205" s="456"/>
      <c r="AE205" s="404"/>
      <c r="AF205" s="404"/>
      <c r="AI205" s="318"/>
      <c r="AJ205" s="318"/>
      <c r="CL205" s="398"/>
      <c r="CO205" s="392"/>
    </row>
    <row r="206" spans="9:93">
      <c r="I206" s="404"/>
      <c r="J206" s="404"/>
      <c r="K206" s="404"/>
      <c r="L206" s="404"/>
      <c r="M206" s="404"/>
      <c r="N206" s="404"/>
      <c r="O206" s="404"/>
      <c r="P206" s="404"/>
      <c r="Q206" s="404"/>
      <c r="R206" s="404"/>
      <c r="S206" s="404"/>
      <c r="T206" s="404"/>
      <c r="U206" s="404"/>
      <c r="V206" s="404"/>
      <c r="W206" s="404"/>
      <c r="X206" s="404"/>
      <c r="Y206" s="404"/>
      <c r="Z206" s="404"/>
      <c r="AA206" s="404"/>
      <c r="AB206" s="404"/>
      <c r="AC206" s="404"/>
      <c r="AD206" s="456"/>
      <c r="AE206" s="404"/>
      <c r="AF206" s="404"/>
      <c r="AI206" s="317"/>
      <c r="AJ206" s="317"/>
      <c r="CL206" s="398"/>
      <c r="CO206" s="392"/>
    </row>
    <row r="207" spans="9:93">
      <c r="I207" s="404"/>
      <c r="J207" s="404"/>
      <c r="K207" s="404"/>
      <c r="L207" s="404"/>
      <c r="M207" s="404"/>
      <c r="N207" s="404"/>
      <c r="O207" s="404"/>
      <c r="P207" s="404"/>
      <c r="Q207" s="404"/>
      <c r="R207" s="404"/>
      <c r="S207" s="404"/>
      <c r="T207" s="404"/>
      <c r="U207" s="404"/>
      <c r="V207" s="404"/>
      <c r="W207" s="404"/>
      <c r="X207" s="404"/>
      <c r="Y207" s="404"/>
      <c r="Z207" s="404"/>
      <c r="AA207" s="404"/>
      <c r="AB207" s="404"/>
      <c r="AC207" s="404"/>
      <c r="AD207" s="456"/>
      <c r="AE207" s="404"/>
      <c r="AF207" s="404"/>
      <c r="AI207" s="317"/>
      <c r="AJ207" s="317"/>
      <c r="CL207" s="398"/>
      <c r="CO207" s="392"/>
    </row>
    <row r="208" spans="9:93">
      <c r="I208" s="404"/>
      <c r="J208" s="404"/>
      <c r="K208" s="404"/>
      <c r="L208" s="404"/>
      <c r="M208" s="404"/>
      <c r="N208" s="404"/>
      <c r="O208" s="404"/>
      <c r="P208" s="404"/>
      <c r="Q208" s="404"/>
      <c r="R208" s="404"/>
      <c r="S208" s="404"/>
      <c r="T208" s="404"/>
      <c r="U208" s="404"/>
      <c r="V208" s="404"/>
      <c r="W208" s="404"/>
      <c r="X208" s="404"/>
      <c r="Y208" s="404"/>
      <c r="Z208" s="404"/>
      <c r="AA208" s="404"/>
      <c r="AB208" s="404"/>
      <c r="AC208" s="404"/>
      <c r="AD208" s="456"/>
      <c r="AE208" s="404"/>
      <c r="AF208" s="404"/>
      <c r="AI208" s="317"/>
      <c r="AJ208" s="317"/>
      <c r="CL208" s="398"/>
      <c r="CO208" s="392"/>
    </row>
    <row r="209" spans="9:93">
      <c r="I209" s="404"/>
      <c r="J209" s="404"/>
      <c r="K209" s="404"/>
      <c r="L209" s="404"/>
      <c r="M209" s="404"/>
      <c r="N209" s="404"/>
      <c r="O209" s="404"/>
      <c r="P209" s="404"/>
      <c r="Q209" s="404"/>
      <c r="R209" s="404"/>
      <c r="S209" s="404"/>
      <c r="T209" s="404"/>
      <c r="U209" s="404"/>
      <c r="V209" s="404"/>
      <c r="W209" s="404"/>
      <c r="X209" s="404"/>
      <c r="Y209" s="404"/>
      <c r="Z209" s="404"/>
      <c r="AA209" s="404"/>
      <c r="AB209" s="404"/>
      <c r="AC209" s="404"/>
      <c r="AD209" s="456"/>
      <c r="AE209" s="404"/>
      <c r="AF209" s="404"/>
      <c r="AI209" s="317"/>
      <c r="AJ209" s="317"/>
      <c r="CL209" s="398"/>
      <c r="CO209" s="392"/>
    </row>
    <row r="210" spans="9:93">
      <c r="I210" s="404"/>
      <c r="J210" s="404"/>
      <c r="K210" s="404"/>
      <c r="L210" s="404"/>
      <c r="M210" s="404"/>
      <c r="N210" s="404"/>
      <c r="O210" s="404"/>
      <c r="P210" s="404"/>
      <c r="Q210" s="404"/>
      <c r="R210" s="404"/>
      <c r="S210" s="404"/>
      <c r="T210" s="404"/>
      <c r="U210" s="404"/>
      <c r="V210" s="404"/>
      <c r="W210" s="404"/>
      <c r="X210" s="404"/>
      <c r="Y210" s="404"/>
      <c r="Z210" s="404"/>
      <c r="AA210" s="404"/>
      <c r="AB210" s="404"/>
      <c r="AC210" s="404"/>
      <c r="AD210" s="456"/>
      <c r="AE210" s="404"/>
      <c r="AF210" s="404"/>
      <c r="AI210" s="317"/>
      <c r="AJ210" s="317"/>
      <c r="CL210" s="398"/>
      <c r="CO210" s="392"/>
    </row>
    <row r="211" spans="9:93">
      <c r="I211" s="404"/>
      <c r="J211" s="404"/>
      <c r="K211" s="404"/>
      <c r="L211" s="404"/>
      <c r="M211" s="404"/>
      <c r="N211" s="404"/>
      <c r="O211" s="404"/>
      <c r="P211" s="404"/>
      <c r="Q211" s="404"/>
      <c r="R211" s="404"/>
      <c r="S211" s="404"/>
      <c r="T211" s="404"/>
      <c r="U211" s="404"/>
      <c r="V211" s="404"/>
      <c r="W211" s="404"/>
      <c r="X211" s="404"/>
      <c r="Y211" s="404"/>
      <c r="Z211" s="404"/>
      <c r="AA211" s="404"/>
      <c r="AB211" s="404"/>
      <c r="AC211" s="404"/>
      <c r="AD211" s="456"/>
      <c r="AE211" s="404"/>
      <c r="AF211" s="404"/>
      <c r="AI211" s="391"/>
      <c r="AJ211" s="391"/>
    </row>
    <row r="212" spans="9:93">
      <c r="I212" s="404"/>
      <c r="J212" s="404"/>
      <c r="K212" s="404"/>
      <c r="L212" s="404"/>
      <c r="M212" s="404"/>
      <c r="N212" s="404"/>
      <c r="O212" s="404"/>
      <c r="P212" s="404"/>
      <c r="Q212" s="404"/>
      <c r="R212" s="404"/>
      <c r="S212" s="404"/>
      <c r="T212" s="404"/>
      <c r="U212" s="404"/>
      <c r="V212" s="404"/>
      <c r="W212" s="404"/>
      <c r="X212" s="404"/>
      <c r="Y212" s="404"/>
      <c r="Z212" s="404"/>
      <c r="AA212" s="404"/>
      <c r="AB212" s="404"/>
      <c r="AC212" s="404"/>
      <c r="AD212" s="456"/>
      <c r="AE212" s="404"/>
      <c r="AF212" s="404"/>
      <c r="AJ212" s="391"/>
    </row>
    <row r="213" spans="9:93">
      <c r="I213" s="404"/>
      <c r="J213" s="404"/>
      <c r="K213" s="404"/>
      <c r="L213" s="404"/>
      <c r="M213" s="404"/>
      <c r="N213" s="404"/>
      <c r="O213" s="404"/>
      <c r="P213" s="404"/>
      <c r="Q213" s="404"/>
      <c r="R213" s="404"/>
      <c r="S213" s="404"/>
      <c r="T213" s="404"/>
      <c r="U213" s="404"/>
      <c r="V213" s="404"/>
      <c r="W213" s="404"/>
      <c r="X213" s="404"/>
      <c r="Y213" s="404"/>
      <c r="Z213" s="404"/>
      <c r="AA213" s="404"/>
      <c r="AB213" s="404"/>
      <c r="AC213" s="404"/>
      <c r="AD213" s="456"/>
      <c r="AE213" s="404"/>
      <c r="AF213" s="404"/>
      <c r="AJ213" s="391"/>
    </row>
    <row r="214" spans="9:93">
      <c r="I214" s="404"/>
      <c r="J214" s="404"/>
      <c r="K214" s="404"/>
      <c r="L214" s="404"/>
      <c r="M214" s="404"/>
      <c r="N214" s="404"/>
      <c r="O214" s="404"/>
      <c r="P214" s="404"/>
      <c r="Q214" s="404"/>
      <c r="R214" s="404"/>
      <c r="S214" s="404"/>
      <c r="T214" s="404"/>
      <c r="U214" s="404"/>
      <c r="V214" s="404"/>
      <c r="W214" s="404"/>
      <c r="X214" s="404"/>
      <c r="Y214" s="404"/>
      <c r="Z214" s="404"/>
      <c r="AA214" s="404"/>
      <c r="AB214" s="404"/>
      <c r="AC214" s="404"/>
      <c r="AD214" s="456"/>
      <c r="AE214" s="404"/>
      <c r="AF214" s="404"/>
      <c r="AJ214" s="391"/>
    </row>
    <row r="215" spans="9:93">
      <c r="I215" s="404"/>
      <c r="J215" s="404"/>
      <c r="K215" s="404"/>
      <c r="L215" s="404"/>
      <c r="M215" s="404"/>
      <c r="N215" s="404"/>
      <c r="O215" s="404"/>
      <c r="P215" s="404"/>
      <c r="Q215" s="404"/>
      <c r="R215" s="404"/>
      <c r="S215" s="404"/>
      <c r="T215" s="404"/>
      <c r="U215" s="404"/>
      <c r="V215" s="404"/>
      <c r="W215" s="404"/>
      <c r="X215" s="404"/>
      <c r="Y215" s="404"/>
      <c r="Z215" s="404"/>
      <c r="AA215" s="404"/>
      <c r="AB215" s="404"/>
      <c r="AC215" s="404"/>
      <c r="AD215" s="456"/>
      <c r="AE215" s="404"/>
      <c r="AF215" s="404"/>
      <c r="AI215" s="309"/>
    </row>
    <row r="216" spans="9:93">
      <c r="AI216" s="309"/>
    </row>
    <row r="217" spans="9:93">
      <c r="AI217" s="309"/>
    </row>
  </sheetData>
  <sortState ref="N6:N50">
    <sortCondition ref="N6"/>
  </sortState>
  <mergeCells count="12">
    <mergeCell ref="CE6:CG6"/>
    <mergeCell ref="CI6:CK6"/>
    <mergeCell ref="BO16:BQ16"/>
    <mergeCell ref="BS16:BU16"/>
    <mergeCell ref="BW16:BY16"/>
    <mergeCell ref="CA16:CC16"/>
    <mergeCell ref="CE16:CG16"/>
    <mergeCell ref="AA5:AB5"/>
    <mergeCell ref="BO6:BQ6"/>
    <mergeCell ref="BS6:BU6"/>
    <mergeCell ref="BW6:BY6"/>
    <mergeCell ref="CA6:CC6"/>
  </mergeCells>
  <phoneticPr fontId="2" type="noConversion"/>
  <conditionalFormatting sqref="BR14:BR15 BK135:BM135">
    <cfRule type="cellIs" dxfId="301" priority="242" operator="lessThan">
      <formula>0</formula>
    </cfRule>
    <cfRule type="cellIs" dxfId="300" priority="243" operator="greaterThan">
      <formula>45</formula>
    </cfRule>
  </conditionalFormatting>
  <conditionalFormatting sqref="BQ111:BQ136">
    <cfRule type="cellIs" dxfId="299" priority="240" operator="greaterThan">
      <formula>4</formula>
    </cfRule>
    <cfRule type="cellIs" dxfId="298" priority="241" operator="greaterThan">
      <formula>5</formula>
    </cfRule>
  </conditionalFormatting>
  <conditionalFormatting sqref="BL25:BS30 BL17:BN24">
    <cfRule type="cellIs" dxfId="297" priority="233" operator="equal">
      <formula>34</formula>
    </cfRule>
    <cfRule type="cellIs" dxfId="296" priority="234" operator="equal">
      <formula>32</formula>
    </cfRule>
    <cfRule type="cellIs" dxfId="295" priority="235" operator="equal">
      <formula>28</formula>
    </cfRule>
    <cfRule type="cellIs" dxfId="294" priority="236" operator="equal">
      <formula>26</formula>
    </cfRule>
    <cfRule type="cellIs" dxfId="293" priority="237" operator="equal">
      <formula>13</formula>
    </cfRule>
    <cfRule type="cellIs" dxfId="292" priority="238" operator="equal">
      <formula>8</formula>
    </cfRule>
  </conditionalFormatting>
  <conditionalFormatting sqref="BJ129 BK136:BL136">
    <cfRule type="cellIs" dxfId="291" priority="227" operator="equal">
      <formula>44</formula>
    </cfRule>
    <cfRule type="cellIs" dxfId="290" priority="228" operator="equal">
      <formula>34</formula>
    </cfRule>
    <cfRule type="cellIs" dxfId="289" priority="229" operator="equal">
      <formula>31</formula>
    </cfRule>
    <cfRule type="cellIs" dxfId="288" priority="230" operator="equal">
      <formula>26</formula>
    </cfRule>
    <cfRule type="cellIs" dxfId="287" priority="231" operator="equal">
      <formula>18</formula>
    </cfRule>
    <cfRule type="cellIs" dxfId="286" priority="232" operator="equal">
      <formula>13</formula>
    </cfRule>
  </conditionalFormatting>
  <conditionalFormatting sqref="CE35">
    <cfRule type="cellIs" dxfId="285" priority="214" operator="equal">
      <formula>45</formula>
    </cfRule>
    <cfRule type="cellIs" dxfId="284" priority="215" operator="equal">
      <formula>42</formula>
    </cfRule>
    <cfRule type="cellIs" dxfId="283" priority="216" operator="equal">
      <formula>37</formula>
    </cfRule>
    <cfRule type="cellIs" dxfId="282" priority="217" operator="equal">
      <formula>18</formula>
    </cfRule>
    <cfRule type="cellIs" dxfId="281" priority="218" operator="equal">
      <formula>7</formula>
    </cfRule>
    <cfRule type="cellIs" dxfId="280" priority="219" operator="equal">
      <formula>5</formula>
    </cfRule>
  </conditionalFormatting>
  <conditionalFormatting sqref="CH35">
    <cfRule type="cellIs" dxfId="279" priority="201" operator="equal">
      <formula>45</formula>
    </cfRule>
    <cfRule type="cellIs" dxfId="278" priority="202" operator="equal">
      <formula>29</formula>
    </cfRule>
    <cfRule type="cellIs" dxfId="277" priority="203" operator="equal">
      <formula>23</formula>
    </cfRule>
    <cfRule type="cellIs" dxfId="276" priority="204" operator="equal">
      <formula>20</formula>
    </cfRule>
    <cfRule type="cellIs" dxfId="275" priority="205" operator="equal">
      <formula>4</formula>
    </cfRule>
    <cfRule type="cellIs" dxfId="274" priority="206" operator="equal">
      <formula>1</formula>
    </cfRule>
  </conditionalFormatting>
  <conditionalFormatting sqref="CG35">
    <cfRule type="cellIs" dxfId="273" priority="195" operator="equal">
      <formula>32</formula>
    </cfRule>
    <cfRule type="cellIs" dxfId="272" priority="196" operator="equal">
      <formula>31</formula>
    </cfRule>
    <cfRule type="cellIs" dxfId="271" priority="197" operator="equal">
      <formula>17</formula>
    </cfRule>
    <cfRule type="cellIs" dxfId="270" priority="198" operator="equal">
      <formula>16</formula>
    </cfRule>
    <cfRule type="cellIs" dxfId="269" priority="199" operator="equal">
      <formula>10</formula>
    </cfRule>
    <cfRule type="cellIs" dxfId="268" priority="200" operator="equal">
      <formula>5</formula>
    </cfRule>
  </conditionalFormatting>
  <conditionalFormatting sqref="CF35">
    <cfRule type="cellIs" dxfId="267" priority="189" operator="equal">
      <formula>34</formula>
    </cfRule>
    <cfRule type="cellIs" dxfId="266" priority="190" operator="equal">
      <formula>27</formula>
    </cfRule>
    <cfRule type="cellIs" dxfId="265" priority="191" operator="equal">
      <formula>26</formula>
    </cfRule>
    <cfRule type="cellIs" dxfId="264" priority="192" operator="equal">
      <formula>25</formula>
    </cfRule>
    <cfRule type="cellIs" dxfId="263" priority="193" operator="equal">
      <formula>19</formula>
    </cfRule>
    <cfRule type="cellIs" dxfId="262" priority="194" operator="equal">
      <formula>14</formula>
    </cfRule>
  </conditionalFormatting>
  <conditionalFormatting sqref="AL151:AL161">
    <cfRule type="cellIs" dxfId="261" priority="182" operator="greaterThan">
      <formula>0.04</formula>
    </cfRule>
  </conditionalFormatting>
  <conditionalFormatting sqref="AB6:AB50">
    <cfRule type="cellIs" dxfId="260" priority="181" operator="greaterThan">
      <formula>8</formula>
    </cfRule>
  </conditionalFormatting>
  <conditionalFormatting sqref="AP3:AU4 AP51:AU51 AQ5:AV50 AC6:AC50">
    <cfRule type="cellIs" dxfId="259" priority="178" operator="between">
      <formula>5</formula>
      <formula>10</formula>
    </cfRule>
  </conditionalFormatting>
  <conditionalFormatting sqref="BR24">
    <cfRule type="cellIs" dxfId="258" priority="163" operator="lessThan">
      <formula>0</formula>
    </cfRule>
    <cfRule type="cellIs" dxfId="257" priority="164" operator="greaterThan">
      <formula>45</formula>
    </cfRule>
  </conditionalFormatting>
  <conditionalFormatting sqref="AF6:AF50">
    <cfRule type="cellIs" dxfId="256" priority="91" operator="equal">
      <formula>38</formula>
    </cfRule>
    <cfRule type="cellIs" dxfId="255" priority="92" operator="equal">
      <formula>36</formula>
    </cfRule>
    <cfRule type="cellIs" dxfId="254" priority="93" operator="equal">
      <formula>16</formula>
    </cfRule>
    <cfRule type="cellIs" dxfId="253" priority="94" operator="equal">
      <formula>14</formula>
    </cfRule>
    <cfRule type="cellIs" dxfId="252" priority="95" operator="equal">
      <formula>10</formula>
    </cfRule>
    <cfRule type="cellIs" dxfId="251" priority="96" operator="equal">
      <formula>3</formula>
    </cfRule>
  </conditionalFormatting>
  <conditionalFormatting sqref="AF6:AF50">
    <cfRule type="cellIs" dxfId="250" priority="73" operator="equal">
      <formula>38</formula>
    </cfRule>
    <cfRule type="cellIs" dxfId="249" priority="74" operator="equal">
      <formula>36</formula>
    </cfRule>
    <cfRule type="cellIs" dxfId="248" priority="75" operator="equal">
      <formula>16</formula>
    </cfRule>
    <cfRule type="cellIs" dxfId="247" priority="76" operator="equal">
      <formula>14</formula>
    </cfRule>
    <cfRule type="cellIs" dxfId="246" priority="77" operator="equal">
      <formula>10</formula>
    </cfRule>
    <cfRule type="cellIs" dxfId="245" priority="78" operator="equal">
      <formula>3</formula>
    </cfRule>
  </conditionalFormatting>
  <conditionalFormatting sqref="AG6:AG50">
    <cfRule type="cellIs" dxfId="244" priority="67" operator="equal">
      <formula>38</formula>
    </cfRule>
    <cfRule type="cellIs" dxfId="243" priority="68" operator="equal">
      <formula>36</formula>
    </cfRule>
    <cfRule type="cellIs" dxfId="242" priority="69" operator="equal">
      <formula>16</formula>
    </cfRule>
    <cfRule type="cellIs" dxfId="241" priority="70" operator="equal">
      <formula>14</formula>
    </cfRule>
    <cfRule type="cellIs" dxfId="240" priority="71" operator="equal">
      <formula>10</formula>
    </cfRule>
    <cfRule type="cellIs" dxfId="239" priority="72" operator="equal">
      <formula>3</formula>
    </cfRule>
  </conditionalFormatting>
  <conditionalFormatting sqref="AF6:AF50">
    <cfRule type="cellIs" dxfId="238" priority="61" operator="equal">
      <formula>29</formula>
    </cfRule>
    <cfRule type="cellIs" dxfId="237" priority="62" operator="equal">
      <formula>26</formula>
    </cfRule>
    <cfRule type="cellIs" dxfId="236" priority="63" operator="equal">
      <formula>24</formula>
    </cfRule>
    <cfRule type="cellIs" dxfId="235" priority="64" operator="equal">
      <formula>16</formula>
    </cfRule>
    <cfRule type="cellIs" dxfId="234" priority="65" operator="equal">
      <formula>13</formula>
    </cfRule>
    <cfRule type="cellIs" dxfId="233" priority="66" operator="equal">
      <formula>3</formula>
    </cfRule>
  </conditionalFormatting>
  <conditionalFormatting sqref="AF6:AF50">
    <cfRule type="cellIs" dxfId="232" priority="43" operator="equal">
      <formula>38</formula>
    </cfRule>
    <cfRule type="cellIs" dxfId="231" priority="44" operator="equal">
      <formula>36</formula>
    </cfRule>
    <cfRule type="cellIs" dxfId="230" priority="45" operator="equal">
      <formula>16</formula>
    </cfRule>
    <cfRule type="cellIs" dxfId="229" priority="46" operator="equal">
      <formula>14</formula>
    </cfRule>
    <cfRule type="cellIs" dxfId="228" priority="47" operator="equal">
      <formula>10</formula>
    </cfRule>
    <cfRule type="cellIs" dxfId="227" priority="48" operator="equal">
      <formula>3</formula>
    </cfRule>
  </conditionalFormatting>
  <conditionalFormatting sqref="AG6:AG50">
    <cfRule type="cellIs" dxfId="226" priority="37" operator="equal">
      <formula>38</formula>
    </cfRule>
    <cfRule type="cellIs" dxfId="225" priority="38" operator="equal">
      <formula>36</formula>
    </cfRule>
    <cfRule type="cellIs" dxfId="224" priority="39" operator="equal">
      <formula>16</formula>
    </cfRule>
    <cfRule type="cellIs" dxfId="223" priority="40" operator="equal">
      <formula>14</formula>
    </cfRule>
    <cfRule type="cellIs" dxfId="222" priority="41" operator="equal">
      <formula>10</formula>
    </cfRule>
    <cfRule type="cellIs" dxfId="221" priority="42" operator="equal">
      <formula>3</formula>
    </cfRule>
  </conditionalFormatting>
  <conditionalFormatting sqref="AF6:AF50">
    <cfRule type="cellIs" dxfId="220" priority="31" operator="equal">
      <formula>29</formula>
    </cfRule>
    <cfRule type="cellIs" dxfId="219" priority="32" operator="equal">
      <formula>26</formula>
    </cfRule>
    <cfRule type="cellIs" dxfId="218" priority="33" operator="equal">
      <formula>24</formula>
    </cfRule>
    <cfRule type="cellIs" dxfId="217" priority="34" operator="equal">
      <formula>16</formula>
    </cfRule>
    <cfRule type="cellIs" dxfId="216" priority="35" operator="equal">
      <formula>13</formula>
    </cfRule>
    <cfRule type="cellIs" dxfId="215" priority="36" operator="equal">
      <formula>3</formula>
    </cfRule>
  </conditionalFormatting>
  <conditionalFormatting sqref="AG6:AG50">
    <cfRule type="cellIs" dxfId="214" priority="25" operator="equal">
      <formula>38</formula>
    </cfRule>
    <cfRule type="cellIs" dxfId="213" priority="26" operator="equal">
      <formula>36</formula>
    </cfRule>
    <cfRule type="cellIs" dxfId="212" priority="27" operator="equal">
      <formula>16</formula>
    </cfRule>
    <cfRule type="cellIs" dxfId="211" priority="28" operator="equal">
      <formula>14</formula>
    </cfRule>
    <cfRule type="cellIs" dxfId="210" priority="29" operator="equal">
      <formula>10</formula>
    </cfRule>
    <cfRule type="cellIs" dxfId="209" priority="30" operator="equal">
      <formula>3</formula>
    </cfRule>
  </conditionalFormatting>
  <conditionalFormatting sqref="AH6:AH50">
    <cfRule type="cellIs" dxfId="208" priority="19" operator="equal">
      <formula>38</formula>
    </cfRule>
    <cfRule type="cellIs" dxfId="207" priority="20" operator="equal">
      <formula>36</formula>
    </cfRule>
    <cfRule type="cellIs" dxfId="206" priority="21" operator="equal">
      <formula>16</formula>
    </cfRule>
    <cfRule type="cellIs" dxfId="205" priority="22" operator="equal">
      <formula>14</formula>
    </cfRule>
    <cfRule type="cellIs" dxfId="204" priority="23" operator="equal">
      <formula>10</formula>
    </cfRule>
    <cfRule type="cellIs" dxfId="203" priority="24" operator="equal">
      <formula>3</formula>
    </cfRule>
  </conditionalFormatting>
  <conditionalFormatting sqref="AG6:AG50">
    <cfRule type="cellIs" dxfId="202" priority="13" operator="equal">
      <formula>29</formula>
    </cfRule>
    <cfRule type="cellIs" dxfId="201" priority="14" operator="equal">
      <formula>26</formula>
    </cfRule>
    <cfRule type="cellIs" dxfId="200" priority="15" operator="equal">
      <formula>24</formula>
    </cfRule>
    <cfRule type="cellIs" dxfId="199" priority="16" operator="equal">
      <formula>16</formula>
    </cfRule>
    <cfRule type="cellIs" dxfId="198" priority="17" operator="equal">
      <formula>13</formula>
    </cfRule>
    <cfRule type="cellIs" dxfId="197" priority="18" operator="equal">
      <formula>3</formula>
    </cfRule>
  </conditionalFormatting>
  <conditionalFormatting sqref="AF6:AF50">
    <cfRule type="cellIs" dxfId="196" priority="7" operator="equal">
      <formula>44</formula>
    </cfRule>
    <cfRule type="cellIs" dxfId="195" priority="8" operator="equal">
      <formula>41</formula>
    </cfRule>
    <cfRule type="cellIs" dxfId="194" priority="9" operator="equal">
      <formula>33</formula>
    </cfRule>
    <cfRule type="cellIs" dxfId="193" priority="10" operator="equal">
      <formula>31</formula>
    </cfRule>
    <cfRule type="cellIs" dxfId="192" priority="11" operator="equal">
      <formula>28</formula>
    </cfRule>
    <cfRule type="cellIs" dxfId="191" priority="12" operator="equal">
      <formula>10</formula>
    </cfRule>
  </conditionalFormatting>
  <conditionalFormatting sqref="AE6:AE50">
    <cfRule type="cellIs" dxfId="190" priority="1" operator="equal">
      <formula>42</formula>
    </cfRule>
    <cfRule type="cellIs" dxfId="189" priority="2" operator="equal">
      <formula>33</formula>
    </cfRule>
    <cfRule type="cellIs" dxfId="188" priority="3" operator="equal">
      <formula>23</formula>
    </cfRule>
    <cfRule type="cellIs" dxfId="187" priority="4" operator="equal">
      <formula>8</formula>
    </cfRule>
    <cfRule type="cellIs" dxfId="186" priority="5" operator="equal">
      <formula>4</formula>
    </cfRule>
    <cfRule type="cellIs" dxfId="185" priority="6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1:CZ217"/>
  <sheetViews>
    <sheetView zoomScale="60" zoomScaleNormal="60" workbookViewId="0">
      <pane xSplit="3" ySplit="1" topLeftCell="D5" activePane="bottomRight" state="frozen"/>
      <selection pane="topRight" activeCell="D1" sqref="D1"/>
      <selection pane="bottomLeft" activeCell="A3" sqref="A3"/>
      <selection pane="bottomRight" activeCell="F6" sqref="F6:O46"/>
    </sheetView>
  </sheetViews>
  <sheetFormatPr defaultColWidth="4.625" defaultRowHeight="17.25"/>
  <cols>
    <col min="1" max="3" width="4.625" style="476"/>
    <col min="4" max="4" width="9.875" style="476" bestFit="1" customWidth="1"/>
    <col min="5" max="5" width="8.625" style="476" bestFit="1" customWidth="1"/>
    <col min="6" max="6" width="5.625" style="476" bestFit="1" customWidth="1"/>
    <col min="7" max="7" width="7.875" style="476" customWidth="1"/>
    <col min="8" max="8" width="5.875" style="476" customWidth="1"/>
    <col min="9" max="9" width="6.75" style="476" customWidth="1"/>
    <col min="10" max="10" width="6.75" style="476" bestFit="1" customWidth="1"/>
    <col min="11" max="11" width="7" style="476" bestFit="1" customWidth="1"/>
    <col min="12" max="12" width="6.375" style="476" bestFit="1" customWidth="1"/>
    <col min="13" max="13" width="7" style="476" bestFit="1" customWidth="1"/>
    <col min="14" max="14" width="6.375" style="476" bestFit="1" customWidth="1"/>
    <col min="15" max="30" width="5.625" style="476" customWidth="1"/>
    <col min="31" max="31" width="7.25" style="476" bestFit="1" customWidth="1"/>
    <col min="32" max="37" width="5.625" style="476" customWidth="1"/>
    <col min="38" max="38" width="9.25" style="476" bestFit="1" customWidth="1"/>
    <col min="39" max="56" width="5.625" style="476" customWidth="1"/>
    <col min="57" max="57" width="9.5" style="476" bestFit="1" customWidth="1"/>
    <col min="58" max="67" width="5.625" style="476" customWidth="1"/>
    <col min="68" max="68" width="9.75" style="476" bestFit="1" customWidth="1"/>
    <col min="69" max="71" width="5.625" style="476" customWidth="1"/>
    <col min="72" max="72" width="8.25" style="476" bestFit="1" customWidth="1"/>
    <col min="73" max="75" width="5.625" style="476" customWidth="1"/>
    <col min="76" max="76" width="8.25" style="476" bestFit="1" customWidth="1"/>
    <col min="77" max="79" width="5.625" style="476" customWidth="1"/>
    <col min="80" max="80" width="8.25" style="476" bestFit="1" customWidth="1"/>
    <col min="81" max="83" width="5.625" style="476" customWidth="1"/>
    <col min="84" max="84" width="8.25" style="476" bestFit="1" customWidth="1"/>
    <col min="85" max="87" width="5.625" style="476" customWidth="1"/>
    <col min="88" max="88" width="8.25" style="476" bestFit="1" customWidth="1"/>
    <col min="89" max="89" width="5.625" style="476" customWidth="1"/>
    <col min="90" max="90" width="5.625" style="477" customWidth="1"/>
    <col min="91" max="140" width="5.625" style="476" customWidth="1"/>
    <col min="141" max="16384" width="4.625" style="476"/>
  </cols>
  <sheetData>
    <row r="1" spans="4:100">
      <c r="AY1" s="484">
        <v>0</v>
      </c>
      <c r="AZ1" s="484">
        <v>1</v>
      </c>
      <c r="BA1" s="484">
        <v>2</v>
      </c>
      <c r="BB1" s="484">
        <v>3</v>
      </c>
      <c r="BC1" s="484">
        <v>4</v>
      </c>
      <c r="BD1" s="484">
        <v>5</v>
      </c>
      <c r="BE1" s="484">
        <v>6</v>
      </c>
      <c r="BF1" s="484">
        <v>7</v>
      </c>
      <c r="BG1" s="484">
        <v>8</v>
      </c>
      <c r="BH1" s="484">
        <v>9</v>
      </c>
      <c r="BI1" s="484">
        <v>10</v>
      </c>
    </row>
    <row r="3" spans="4:100">
      <c r="D3" s="477"/>
      <c r="E3" s="476" t="s">
        <v>158</v>
      </c>
      <c r="F3" s="476" t="s">
        <v>126</v>
      </c>
      <c r="G3" s="476" t="s">
        <v>126</v>
      </c>
      <c r="H3" s="476" t="s">
        <v>158</v>
      </c>
      <c r="I3" s="476" t="s">
        <v>126</v>
      </c>
      <c r="J3" s="476" t="s">
        <v>126</v>
      </c>
      <c r="K3" s="476" t="s">
        <v>126</v>
      </c>
      <c r="L3" s="476" t="s">
        <v>159</v>
      </c>
      <c r="M3" s="476" t="s">
        <v>126</v>
      </c>
      <c r="AE3" s="474"/>
      <c r="AF3" s="474"/>
      <c r="AG3" s="474"/>
      <c r="AH3" s="474"/>
      <c r="AI3" s="474"/>
      <c r="AJ3" s="474"/>
      <c r="AK3" s="474"/>
      <c r="AL3" s="474"/>
      <c r="AM3" s="474"/>
      <c r="AN3" s="474"/>
      <c r="AO3" s="474">
        <v>680</v>
      </c>
      <c r="AP3" s="474"/>
      <c r="AQ3" s="474"/>
      <c r="AR3" s="474"/>
      <c r="AS3" s="474"/>
      <c r="AT3" s="474"/>
      <c r="AU3" s="474"/>
      <c r="AV3" s="474"/>
      <c r="AW3" s="474"/>
      <c r="AX3" s="474"/>
      <c r="AY3" s="476">
        <f t="shared" ref="AY3:AY4" si="0">COUNTIF(AP3:AU3,0)</f>
        <v>0</v>
      </c>
      <c r="AZ3" s="476">
        <f t="shared" ref="AZ3:AZ4" si="1">COUNTIF(AP3:AU3,1)</f>
        <v>0</v>
      </c>
      <c r="BA3" s="476">
        <f t="shared" ref="BA3:BA4" si="2">COUNTIF(AP3:AU3,2)</f>
        <v>0</v>
      </c>
      <c r="BB3" s="476">
        <f t="shared" ref="BB3:BB4" si="3">COUNTIF(AP3:AU3,3)</f>
        <v>0</v>
      </c>
      <c r="BC3" s="476">
        <f t="shared" ref="BC3:BC4" si="4">COUNTIF(AP3:AU3,4)</f>
        <v>0</v>
      </c>
      <c r="BD3" s="476">
        <f t="shared" ref="BD3:BD4" si="5">COUNTIF(AP3:AU3,5)</f>
        <v>0</v>
      </c>
      <c r="BE3" s="476">
        <f t="shared" ref="BE3:BE4" si="6">COUNTIF(AP3:AU3,6)</f>
        <v>0</v>
      </c>
      <c r="BF3" s="476">
        <f t="shared" ref="BF3:BF4" si="7">COUNTIF(AP3:AU3,7)</f>
        <v>0</v>
      </c>
      <c r="BG3" s="476">
        <f t="shared" ref="BG3:BG4" si="8">COUNTIF(AP3:AU3,8)</f>
        <v>0</v>
      </c>
      <c r="BH3" s="476">
        <f t="shared" ref="BH3:BH4" si="9">COUNTIF(AP3:AU3,9)</f>
        <v>0</v>
      </c>
      <c r="BI3" s="476">
        <f t="shared" ref="BI3:BI4" si="10">COUNTIF(AP3:AU3,10)</f>
        <v>0</v>
      </c>
      <c r="BJ3" s="474"/>
      <c r="BK3" s="474"/>
      <c r="BL3" s="474"/>
      <c r="BM3" s="474"/>
      <c r="BN3" s="474"/>
      <c r="BO3" s="474"/>
      <c r="BP3" s="474"/>
      <c r="BQ3" s="474"/>
      <c r="BR3" s="474"/>
      <c r="BS3" s="474"/>
      <c r="BT3" s="474"/>
      <c r="BU3" s="474"/>
      <c r="BV3" s="474"/>
      <c r="BW3" s="474"/>
      <c r="BX3" s="474"/>
      <c r="CJ3" s="477"/>
      <c r="CL3" s="476"/>
    </row>
    <row r="4" spans="4:100">
      <c r="D4" s="477"/>
      <c r="E4" s="478">
        <v>1</v>
      </c>
      <c r="F4" s="481">
        <v>2</v>
      </c>
      <c r="G4" s="481">
        <v>3</v>
      </c>
      <c r="H4" s="481">
        <v>4</v>
      </c>
      <c r="I4" s="481">
        <v>5</v>
      </c>
      <c r="J4" s="481">
        <v>6</v>
      </c>
      <c r="K4" s="481">
        <v>7</v>
      </c>
      <c r="L4" s="289">
        <v>8</v>
      </c>
      <c r="M4" s="412">
        <v>9</v>
      </c>
      <c r="N4" s="412">
        <v>10</v>
      </c>
      <c r="O4" s="412"/>
      <c r="P4" s="412"/>
      <c r="Q4" s="412"/>
      <c r="R4" s="412"/>
      <c r="S4" s="412"/>
      <c r="T4" s="412"/>
      <c r="U4" s="412"/>
      <c r="V4" s="412"/>
      <c r="W4" s="412"/>
      <c r="X4" s="412"/>
      <c r="Y4" s="412"/>
      <c r="Z4" s="412"/>
      <c r="AD4" s="476">
        <v>345</v>
      </c>
      <c r="AE4" s="474"/>
      <c r="AF4" s="474"/>
      <c r="AG4" s="474"/>
      <c r="AH4" s="474"/>
      <c r="AI4" s="474"/>
      <c r="AJ4" s="474"/>
      <c r="AK4" s="474"/>
      <c r="AL4" s="474"/>
      <c r="AM4" s="474"/>
      <c r="AN4" s="474"/>
      <c r="AO4" s="474">
        <v>681</v>
      </c>
      <c r="AP4" s="474"/>
      <c r="AQ4" s="474"/>
      <c r="AR4" s="474"/>
      <c r="AS4" s="474"/>
      <c r="AT4" s="474"/>
      <c r="AU4" s="474"/>
      <c r="AV4" s="474"/>
      <c r="AW4" s="474"/>
      <c r="AX4" s="474"/>
      <c r="AY4" s="476">
        <f t="shared" si="0"/>
        <v>0</v>
      </c>
      <c r="AZ4" s="476">
        <f t="shared" si="1"/>
        <v>0</v>
      </c>
      <c r="BA4" s="476">
        <f t="shared" si="2"/>
        <v>0</v>
      </c>
      <c r="BB4" s="476">
        <f t="shared" si="3"/>
        <v>0</v>
      </c>
      <c r="BC4" s="476">
        <f t="shared" si="4"/>
        <v>0</v>
      </c>
      <c r="BD4" s="476">
        <f t="shared" si="5"/>
        <v>0</v>
      </c>
      <c r="BE4" s="476">
        <f t="shared" si="6"/>
        <v>0</v>
      </c>
      <c r="BF4" s="476">
        <f t="shared" si="7"/>
        <v>0</v>
      </c>
      <c r="BG4" s="476">
        <f t="shared" si="8"/>
        <v>0</v>
      </c>
      <c r="BH4" s="476">
        <f t="shared" si="9"/>
        <v>0</v>
      </c>
      <c r="BI4" s="476">
        <f t="shared" si="10"/>
        <v>0</v>
      </c>
      <c r="BJ4" s="474"/>
      <c r="BK4" s="474"/>
      <c r="BL4" s="474"/>
      <c r="BM4" s="474"/>
      <c r="BN4" s="474"/>
      <c r="BO4" s="474"/>
      <c r="BP4" s="474"/>
      <c r="BQ4" s="474"/>
      <c r="BR4" s="474"/>
      <c r="BS4" s="474"/>
      <c r="BT4" s="474"/>
      <c r="BU4" s="474"/>
      <c r="BV4" s="474"/>
      <c r="BW4" s="474"/>
      <c r="BX4" s="474"/>
      <c r="CJ4" s="477"/>
      <c r="CL4" s="476"/>
    </row>
    <row r="5" spans="4:100" ht="69">
      <c r="D5" s="477"/>
      <c r="E5" s="381" t="s">
        <v>485</v>
      </c>
      <c r="F5" s="490" t="s">
        <v>494</v>
      </c>
      <c r="G5" s="381" t="s">
        <v>486</v>
      </c>
      <c r="H5" s="490" t="s">
        <v>515</v>
      </c>
      <c r="I5" s="490" t="s">
        <v>516</v>
      </c>
      <c r="J5" s="490" t="s">
        <v>517</v>
      </c>
      <c r="K5" s="426" t="s">
        <v>498</v>
      </c>
      <c r="L5" s="426" t="s">
        <v>499</v>
      </c>
      <c r="M5" s="426" t="s">
        <v>519</v>
      </c>
      <c r="N5" s="490" t="s">
        <v>501</v>
      </c>
      <c r="O5" s="381"/>
      <c r="P5" s="381"/>
      <c r="Q5" s="381"/>
      <c r="R5" s="381"/>
      <c r="S5" s="381"/>
      <c r="T5" s="381"/>
      <c r="U5" s="381"/>
      <c r="V5" s="381"/>
      <c r="W5" s="381"/>
      <c r="X5" s="381"/>
      <c r="Y5" s="381"/>
      <c r="Z5" s="385"/>
      <c r="AA5" s="634" t="s">
        <v>125</v>
      </c>
      <c r="AB5" s="635"/>
      <c r="AC5" s="475"/>
      <c r="AD5" s="474"/>
      <c r="AE5" s="501"/>
      <c r="AF5" s="501"/>
      <c r="AG5" s="501"/>
      <c r="AH5" s="501"/>
      <c r="AI5" s="501"/>
      <c r="AJ5" s="474"/>
      <c r="AK5" s="474"/>
      <c r="AL5" s="474"/>
      <c r="AM5" s="474"/>
      <c r="AN5" s="474"/>
      <c r="AO5" s="474">
        <v>682</v>
      </c>
      <c r="AP5" s="474"/>
      <c r="AQ5" s="474"/>
      <c r="AR5" s="474"/>
      <c r="AS5" s="474"/>
      <c r="AT5" s="474"/>
      <c r="AU5" s="474"/>
      <c r="AV5" s="474"/>
      <c r="AW5" s="474"/>
      <c r="AX5" s="474"/>
      <c r="BJ5" s="474"/>
      <c r="BK5" s="474"/>
      <c r="BL5" s="474"/>
      <c r="BM5" s="474"/>
      <c r="BN5" s="474"/>
      <c r="BO5" s="474"/>
      <c r="BP5" s="474"/>
      <c r="BQ5" s="474"/>
      <c r="BR5" s="474"/>
      <c r="BS5" s="474"/>
      <c r="BT5" s="474"/>
      <c r="BU5" s="474"/>
      <c r="BV5" s="474"/>
      <c r="BW5" s="474"/>
      <c r="BX5" s="474"/>
      <c r="CJ5" s="477"/>
      <c r="CL5" s="476"/>
    </row>
    <row r="6" spans="4:100" ht="20.25">
      <c r="D6" s="477"/>
      <c r="F6" s="609"/>
      <c r="G6" s="469"/>
      <c r="H6" s="604"/>
      <c r="I6" s="577"/>
      <c r="J6" s="617"/>
      <c r="L6" s="475"/>
      <c r="M6" s="504"/>
      <c r="N6" s="607"/>
      <c r="O6" s="407"/>
      <c r="P6" s="474"/>
      <c r="Q6" s="474"/>
      <c r="R6" s="474"/>
      <c r="S6" s="474"/>
      <c r="T6" s="474"/>
      <c r="U6" s="474"/>
      <c r="V6" s="474"/>
      <c r="W6" s="474"/>
      <c r="X6" s="474"/>
      <c r="Y6" s="474"/>
      <c r="Z6" s="474"/>
      <c r="AA6" s="384">
        <v>1</v>
      </c>
      <c r="AB6" s="481">
        <f>COUNTIF(E6:J50,AA6)</f>
        <v>0</v>
      </c>
      <c r="AC6" s="481">
        <f>COUNTIF(E6:Y50,AA6)</f>
        <v>0</v>
      </c>
      <c r="AD6" s="474">
        <v>1</v>
      </c>
      <c r="AE6" s="501"/>
      <c r="AF6" s="501"/>
      <c r="AG6" s="501"/>
      <c r="AH6" s="501"/>
      <c r="AI6" s="501"/>
      <c r="AJ6" s="452"/>
      <c r="AK6" s="474"/>
      <c r="AL6" s="474"/>
      <c r="AM6" s="474"/>
      <c r="AN6" s="474"/>
      <c r="AO6" s="474">
        <v>683</v>
      </c>
      <c r="AP6" s="474"/>
      <c r="AQ6" s="474"/>
      <c r="AR6" s="474"/>
      <c r="AS6" s="474"/>
      <c r="AT6" s="474"/>
      <c r="AU6" s="474"/>
      <c r="AV6" s="474"/>
      <c r="AW6" s="474"/>
      <c r="AX6" s="474"/>
      <c r="BJ6" s="474"/>
      <c r="BK6" s="474"/>
      <c r="BL6" s="474"/>
      <c r="BM6" s="474"/>
      <c r="BN6" s="638">
        <v>0</v>
      </c>
      <c r="BO6" s="638"/>
      <c r="BP6" s="638"/>
      <c r="BQ6" s="474"/>
      <c r="BR6" s="638">
        <v>1</v>
      </c>
      <c r="BS6" s="638"/>
      <c r="BT6" s="638"/>
      <c r="BU6" s="474"/>
      <c r="BV6" s="638">
        <v>2</v>
      </c>
      <c r="BW6" s="638"/>
      <c r="BX6" s="638"/>
      <c r="BZ6" s="638">
        <v>3</v>
      </c>
      <c r="CA6" s="638"/>
      <c r="CB6" s="638"/>
      <c r="CD6" s="638">
        <v>4</v>
      </c>
      <c r="CE6" s="638"/>
      <c r="CF6" s="638"/>
      <c r="CH6" s="638">
        <v>5</v>
      </c>
      <c r="CI6" s="638"/>
      <c r="CJ6" s="638"/>
      <c r="CL6" s="476"/>
    </row>
    <row r="7" spans="4:100" ht="20.25">
      <c r="D7" s="477"/>
      <c r="F7" s="609"/>
      <c r="G7" s="470"/>
      <c r="H7" s="604"/>
      <c r="I7" s="612"/>
      <c r="J7" s="617"/>
      <c r="L7" s="475"/>
      <c r="M7" s="505"/>
      <c r="N7" s="607"/>
      <c r="O7" s="474"/>
      <c r="P7" s="474"/>
      <c r="Q7" s="474"/>
      <c r="R7" s="474"/>
      <c r="S7" s="474"/>
      <c r="T7" s="474"/>
      <c r="U7" s="474"/>
      <c r="V7" s="474"/>
      <c r="W7" s="474"/>
      <c r="X7" s="474"/>
      <c r="Y7" s="474"/>
      <c r="Z7" s="474"/>
      <c r="AA7" s="384">
        <v>2</v>
      </c>
      <c r="AB7" s="481">
        <f>COUNTIF(E6:J50,AA7)</f>
        <v>0</v>
      </c>
      <c r="AC7" s="481">
        <f>COUNTIF(E6:Y50,AA7)</f>
        <v>0</v>
      </c>
      <c r="AD7" s="474">
        <v>2</v>
      </c>
      <c r="AE7" s="501"/>
      <c r="AF7" s="501"/>
      <c r="AG7" s="501"/>
      <c r="AH7" s="501"/>
      <c r="AI7" s="501"/>
      <c r="AJ7" s="452"/>
      <c r="AO7" s="474">
        <v>684</v>
      </c>
      <c r="BN7" s="479">
        <v>0</v>
      </c>
      <c r="BO7" s="485">
        <f>COUNTIF(AY3:AY61,BN7)</f>
        <v>25</v>
      </c>
      <c r="BP7" s="483">
        <f>BO7/BO14</f>
        <v>1</v>
      </c>
      <c r="BR7" s="479">
        <v>0</v>
      </c>
      <c r="BS7" s="485">
        <f>COUNTIF(AZ3:AZ61,BR7)</f>
        <v>21</v>
      </c>
      <c r="BT7" s="483">
        <f>BS7/BS14</f>
        <v>0.84</v>
      </c>
      <c r="BV7" s="479">
        <v>0</v>
      </c>
      <c r="BW7" s="485">
        <f>COUNTIF(BA3:BA61,BV7)</f>
        <v>19</v>
      </c>
      <c r="BX7" s="483">
        <f>BW7/BW14</f>
        <v>0.76</v>
      </c>
      <c r="BZ7" s="479">
        <v>0</v>
      </c>
      <c r="CA7" s="485">
        <f>COUNTIF(BB3:BB61,BZ7)</f>
        <v>9</v>
      </c>
      <c r="CB7" s="483">
        <f>CA7/CA14</f>
        <v>0.36</v>
      </c>
      <c r="CD7" s="479">
        <v>0</v>
      </c>
      <c r="CE7" s="485">
        <f>COUNTIF(BC3:BC61,CD7)</f>
        <v>7</v>
      </c>
      <c r="CF7" s="483">
        <f>CE7/CE14</f>
        <v>0.28000000000000003</v>
      </c>
      <c r="CH7" s="479">
        <v>0</v>
      </c>
      <c r="CI7" s="485">
        <f>COUNTIF(BD3:BD61,CH7)</f>
        <v>3</v>
      </c>
      <c r="CJ7" s="483">
        <f>CI7/CI14</f>
        <v>0.12</v>
      </c>
      <c r="CL7" s="476"/>
    </row>
    <row r="8" spans="4:100" ht="20.25">
      <c r="D8" s="477"/>
      <c r="F8" s="609"/>
      <c r="G8" s="470"/>
      <c r="H8" s="605"/>
      <c r="I8" s="610"/>
      <c r="J8" s="616"/>
      <c r="L8" s="475"/>
      <c r="M8" s="503"/>
      <c r="N8" s="607"/>
      <c r="O8" s="474"/>
      <c r="P8" s="474"/>
      <c r="Q8" s="474"/>
      <c r="R8" s="474"/>
      <c r="S8" s="474"/>
      <c r="T8" s="474"/>
      <c r="U8" s="474"/>
      <c r="V8" s="474"/>
      <c r="W8" s="474"/>
      <c r="X8" s="474"/>
      <c r="Y8" s="474"/>
      <c r="Z8" s="474"/>
      <c r="AA8" s="384">
        <v>3</v>
      </c>
      <c r="AB8" s="481">
        <f>COUNTIF(E6:J50,AA8)</f>
        <v>0</v>
      </c>
      <c r="AC8" s="481">
        <f>COUNTIF(E6:Y50,AA8)</f>
        <v>0</v>
      </c>
      <c r="AD8" s="474">
        <v>3</v>
      </c>
      <c r="AE8" s="501"/>
      <c r="AF8" s="501"/>
      <c r="AG8" s="501"/>
      <c r="AH8" s="501"/>
      <c r="AI8" s="501"/>
      <c r="AJ8" s="452"/>
      <c r="AO8" s="474">
        <v>685</v>
      </c>
      <c r="BN8" s="479">
        <v>1</v>
      </c>
      <c r="BO8" s="485">
        <f>COUNTIF(AY3:AY61,BN8)</f>
        <v>0</v>
      </c>
      <c r="BP8" s="483">
        <f>BO8/BO14</f>
        <v>0</v>
      </c>
      <c r="BR8" s="479">
        <v>1</v>
      </c>
      <c r="BS8" s="485">
        <f>COUNTIF(AZ3:AZ61,BR8)</f>
        <v>2</v>
      </c>
      <c r="BT8" s="483">
        <f>BS8/BS14</f>
        <v>0.08</v>
      </c>
      <c r="BV8" s="479">
        <v>1</v>
      </c>
      <c r="BW8" s="485">
        <f>COUNTIF(BA3:BA61,BV8)</f>
        <v>4</v>
      </c>
      <c r="BX8" s="483">
        <f>BW8/BW14</f>
        <v>0.16</v>
      </c>
      <c r="BZ8" s="479">
        <v>1</v>
      </c>
      <c r="CA8" s="485">
        <f>COUNTIF(BB3:BB61,BZ8)</f>
        <v>11</v>
      </c>
      <c r="CB8" s="483">
        <f>CA8/CA14</f>
        <v>0.44</v>
      </c>
      <c r="CD8" s="479">
        <v>1</v>
      </c>
      <c r="CE8" s="485">
        <f>COUNTIF(BC3:BC61,CD8)</f>
        <v>4</v>
      </c>
      <c r="CF8" s="483">
        <f>CE8/CE14</f>
        <v>0.16</v>
      </c>
      <c r="CH8" s="479">
        <v>1</v>
      </c>
      <c r="CI8" s="485">
        <f>COUNTIF(BD3:BD61,CH8)</f>
        <v>6</v>
      </c>
      <c r="CJ8" s="483">
        <f>CI8/CI14</f>
        <v>0.24</v>
      </c>
      <c r="CL8" s="476"/>
    </row>
    <row r="9" spans="4:100" ht="20.25">
      <c r="D9" s="477"/>
      <c r="F9" s="609"/>
      <c r="G9" s="471"/>
      <c r="H9" s="603"/>
      <c r="I9" s="613"/>
      <c r="J9" s="614"/>
      <c r="L9" s="475"/>
      <c r="M9" s="504"/>
      <c r="N9" s="607"/>
      <c r="O9" s="474"/>
      <c r="P9" s="474"/>
      <c r="Q9" s="474"/>
      <c r="R9" s="474"/>
      <c r="S9" s="474"/>
      <c r="T9" s="474"/>
      <c r="U9" s="474"/>
      <c r="V9" s="474"/>
      <c r="W9" s="474"/>
      <c r="X9" s="474"/>
      <c r="Y9" s="474"/>
      <c r="Z9" s="474"/>
      <c r="AA9" s="384">
        <v>4</v>
      </c>
      <c r="AB9" s="481">
        <f>COUNTIF(E6:J50,AA9)</f>
        <v>0</v>
      </c>
      <c r="AC9" s="481">
        <f>COUNTIF(E6:Y50,AA9)</f>
        <v>0</v>
      </c>
      <c r="AD9" s="474">
        <v>4</v>
      </c>
      <c r="AE9" s="501"/>
      <c r="AF9" s="501"/>
      <c r="AG9" s="501"/>
      <c r="AH9" s="501"/>
      <c r="AI9" s="501"/>
      <c r="AJ9" s="452"/>
      <c r="AO9" s="474">
        <v>686</v>
      </c>
      <c r="BN9" s="479">
        <v>2</v>
      </c>
      <c r="BO9" s="485">
        <f>COUNTIF(AY3:AY61,BN9)</f>
        <v>0</v>
      </c>
      <c r="BP9" s="483">
        <f>BO9/BO14</f>
        <v>0</v>
      </c>
      <c r="BR9" s="479">
        <v>2</v>
      </c>
      <c r="BS9" s="485">
        <f>COUNTIF(AZ3:AZ61,BR9)</f>
        <v>2</v>
      </c>
      <c r="BT9" s="483">
        <f>BS9/BS14</f>
        <v>0.08</v>
      </c>
      <c r="BV9" s="479">
        <v>2</v>
      </c>
      <c r="BW9" s="485">
        <f>COUNTIF(BA3:BA61,BV9)</f>
        <v>2</v>
      </c>
      <c r="BX9" s="483">
        <f>BW9/BW14</f>
        <v>0.08</v>
      </c>
      <c r="BZ9" s="479">
        <v>2</v>
      </c>
      <c r="CA9" s="485">
        <f>COUNTIF(BB3:BB61,BZ9)</f>
        <v>4</v>
      </c>
      <c r="CB9" s="483">
        <f>CA9/CA14</f>
        <v>0.16</v>
      </c>
      <c r="CD9" s="479">
        <v>2</v>
      </c>
      <c r="CE9" s="485">
        <f>COUNTIF(BC3:BC61,CD9)</f>
        <v>10</v>
      </c>
      <c r="CF9" s="483">
        <f>CE9/CE14</f>
        <v>0.4</v>
      </c>
      <c r="CH9" s="479">
        <v>2</v>
      </c>
      <c r="CI9" s="485">
        <f>COUNTIF(BD3:BD61,CH9)</f>
        <v>3</v>
      </c>
      <c r="CJ9" s="483">
        <f>CI9/CI14</f>
        <v>0.12</v>
      </c>
      <c r="CL9" s="476"/>
    </row>
    <row r="10" spans="4:100" ht="20.25">
      <c r="D10" s="477"/>
      <c r="F10" s="609"/>
      <c r="G10" s="469"/>
      <c r="H10" s="606"/>
      <c r="I10" s="610"/>
      <c r="J10" s="615"/>
      <c r="L10" s="475"/>
      <c r="M10" s="503"/>
      <c r="N10" s="607"/>
      <c r="O10" s="474"/>
      <c r="P10" s="474"/>
      <c r="Q10" s="474"/>
      <c r="R10" s="474"/>
      <c r="S10" s="474"/>
      <c r="T10" s="474"/>
      <c r="U10" s="474"/>
      <c r="V10" s="474"/>
      <c r="W10" s="474"/>
      <c r="X10" s="474"/>
      <c r="Y10" s="474"/>
      <c r="Z10" s="474"/>
      <c r="AA10" s="384">
        <v>5</v>
      </c>
      <c r="AB10" s="481">
        <f>COUNTIF(E6:J50,AA10)</f>
        <v>0</v>
      </c>
      <c r="AC10" s="481">
        <f>COUNTIF(E6:Y50,AA10)</f>
        <v>0</v>
      </c>
      <c r="AD10" s="474">
        <v>5</v>
      </c>
      <c r="AE10" s="501"/>
      <c r="AF10" s="501"/>
      <c r="AG10" s="501"/>
      <c r="AH10" s="501"/>
      <c r="AI10" s="501"/>
      <c r="AJ10" s="452"/>
      <c r="AO10" s="474">
        <v>687</v>
      </c>
      <c r="BN10" s="479">
        <v>3</v>
      </c>
      <c r="BO10" s="485">
        <f>COUNTIF(AY3:AY61,BN10)</f>
        <v>0</v>
      </c>
      <c r="BP10" s="483">
        <f>BO10/BO14</f>
        <v>0</v>
      </c>
      <c r="BR10" s="479">
        <v>3</v>
      </c>
      <c r="BS10" s="485">
        <f>COUNTIF(AZ3:AZ61,BR10)</f>
        <v>0</v>
      </c>
      <c r="BT10" s="483">
        <f>BS10/BS14</f>
        <v>0</v>
      </c>
      <c r="BV10" s="479">
        <v>3</v>
      </c>
      <c r="BW10" s="485">
        <f>COUNTIF(BA3:BA61,BV10)</f>
        <v>0</v>
      </c>
      <c r="BX10" s="483">
        <f>BW10/BW14</f>
        <v>0</v>
      </c>
      <c r="BZ10" s="479">
        <v>3</v>
      </c>
      <c r="CA10" s="485">
        <f>COUNTIF(BB3:BB61,BZ10)</f>
        <v>0</v>
      </c>
      <c r="CB10" s="483">
        <f>CA10/CA14</f>
        <v>0</v>
      </c>
      <c r="CD10" s="479">
        <v>3</v>
      </c>
      <c r="CE10" s="485">
        <f>COUNTIF(BC3:BC61,CD10)</f>
        <v>3</v>
      </c>
      <c r="CF10" s="483">
        <f>CE10/CE14</f>
        <v>0.12</v>
      </c>
      <c r="CH10" s="479">
        <v>3</v>
      </c>
      <c r="CI10" s="485">
        <f>COUNTIF(BD3:BD61,CH10)</f>
        <v>7</v>
      </c>
      <c r="CJ10" s="483">
        <f>CI10/CI14</f>
        <v>0.28000000000000003</v>
      </c>
      <c r="CL10" s="476"/>
    </row>
    <row r="11" spans="4:100" ht="20.25">
      <c r="D11" s="477"/>
      <c r="F11" s="609"/>
      <c r="G11" s="471"/>
      <c r="H11" s="606"/>
      <c r="I11" s="613"/>
      <c r="J11" s="615"/>
      <c r="L11" s="475"/>
      <c r="M11" s="504"/>
      <c r="N11" s="607"/>
      <c r="O11" s="474"/>
      <c r="P11" s="474"/>
      <c r="Q11" s="474"/>
      <c r="R11" s="474"/>
      <c r="S11" s="474"/>
      <c r="T11" s="474"/>
      <c r="U11" s="474"/>
      <c r="V11" s="474"/>
      <c r="W11" s="474"/>
      <c r="X11" s="474"/>
      <c r="Y11" s="474"/>
      <c r="Z11" s="412"/>
      <c r="AA11" s="384">
        <v>6</v>
      </c>
      <c r="AB11" s="481">
        <f>COUNTIF(E6:J50,AA11)</f>
        <v>0</v>
      </c>
      <c r="AC11" s="481">
        <f>COUNTIF(E6:Y50,AA11)</f>
        <v>0</v>
      </c>
      <c r="AD11" s="516">
        <v>6</v>
      </c>
      <c r="AE11" s="501"/>
      <c r="AF11" s="501"/>
      <c r="AG11" s="501"/>
      <c r="AH11" s="501"/>
      <c r="AI11" s="501"/>
      <c r="AJ11" s="452"/>
      <c r="AO11" s="474">
        <v>688</v>
      </c>
      <c r="BN11" s="479">
        <v>4</v>
      </c>
      <c r="BO11" s="485">
        <f>COUNTIF(AY3:AY61,BN11)</f>
        <v>0</v>
      </c>
      <c r="BP11" s="483">
        <f>BO11/BO14</f>
        <v>0</v>
      </c>
      <c r="BR11" s="479">
        <v>4</v>
      </c>
      <c r="BS11" s="485">
        <f>COUNTIF(AZ3:AZ61,BR11)</f>
        <v>0</v>
      </c>
      <c r="BT11" s="483">
        <f>BS11/BS14</f>
        <v>0</v>
      </c>
      <c r="BV11" s="479">
        <v>4</v>
      </c>
      <c r="BW11" s="485">
        <f>COUNTIF(BA3:BA61,BV11)</f>
        <v>0</v>
      </c>
      <c r="BX11" s="483">
        <f>BW11/BW14</f>
        <v>0</v>
      </c>
      <c r="BZ11" s="479">
        <v>4</v>
      </c>
      <c r="CA11" s="485">
        <f>COUNTIF(BB3:BB61,BZ11)</f>
        <v>1</v>
      </c>
      <c r="CB11" s="483">
        <f>CA11/CA14</f>
        <v>0.04</v>
      </c>
      <c r="CD11" s="479">
        <v>4</v>
      </c>
      <c r="CE11" s="485">
        <f>COUNTIF(BC3:BC61,CD11)</f>
        <v>1</v>
      </c>
      <c r="CF11" s="483">
        <f>CE11/CE14</f>
        <v>0.04</v>
      </c>
      <c r="CH11" s="479">
        <v>4</v>
      </c>
      <c r="CI11" s="485">
        <f>COUNTIF(BD3:BD61,CH11)</f>
        <v>5</v>
      </c>
      <c r="CJ11" s="483">
        <f>CI11/CI14</f>
        <v>0.2</v>
      </c>
      <c r="CL11" s="476"/>
    </row>
    <row r="12" spans="4:100" ht="20.25">
      <c r="D12" s="477"/>
      <c r="F12" s="609"/>
      <c r="G12" s="472"/>
      <c r="H12" s="603"/>
      <c r="I12" s="610"/>
      <c r="J12" s="615"/>
      <c r="L12" s="475"/>
      <c r="M12" s="502"/>
      <c r="N12" s="607"/>
      <c r="O12" s="474"/>
      <c r="P12" s="474"/>
      <c r="Q12" s="474"/>
      <c r="R12" s="474"/>
      <c r="S12" s="474"/>
      <c r="T12" s="474"/>
      <c r="U12" s="474"/>
      <c r="V12" s="474"/>
      <c r="W12" s="474"/>
      <c r="X12" s="474"/>
      <c r="Y12" s="474"/>
      <c r="Z12" s="474"/>
      <c r="AA12" s="384">
        <v>7</v>
      </c>
      <c r="AB12" s="481">
        <f>COUNTIF(E6:J50,AA12)</f>
        <v>0</v>
      </c>
      <c r="AC12" s="481">
        <f>COUNTIF(E6:Y50,AA12)</f>
        <v>0</v>
      </c>
      <c r="AD12" s="516">
        <v>7</v>
      </c>
      <c r="AE12" s="501"/>
      <c r="AF12" s="501"/>
      <c r="AG12" s="501"/>
      <c r="AH12" s="501"/>
      <c r="AI12" s="501"/>
      <c r="AJ12" s="452"/>
      <c r="AO12" s="474">
        <v>689</v>
      </c>
      <c r="BN12" s="479">
        <v>5</v>
      </c>
      <c r="BO12" s="485">
        <f>COUNTIF(AY3:AY61,BN12)</f>
        <v>0</v>
      </c>
      <c r="BP12" s="483">
        <f>BO12/BO14</f>
        <v>0</v>
      </c>
      <c r="BR12" s="479">
        <v>5</v>
      </c>
      <c r="BS12" s="485">
        <f>COUNTIF(AZ3:AZ61,BR12)</f>
        <v>0</v>
      </c>
      <c r="BT12" s="483">
        <f>BS12/BS14</f>
        <v>0</v>
      </c>
      <c r="BV12" s="479">
        <v>5</v>
      </c>
      <c r="BW12" s="485">
        <f>COUNTIF(BA3:BA61,BV12)</f>
        <v>0</v>
      </c>
      <c r="BX12" s="483">
        <f>BW12/BW14</f>
        <v>0</v>
      </c>
      <c r="BZ12" s="479">
        <v>5</v>
      </c>
      <c r="CA12" s="485">
        <f>COUNTIF(BB3:BB61,BZ12)</f>
        <v>0</v>
      </c>
      <c r="CB12" s="483">
        <f>CA12/CA14</f>
        <v>0</v>
      </c>
      <c r="CD12" s="479">
        <v>5</v>
      </c>
      <c r="CE12" s="485">
        <f>COUNTIF(BC3:BC61,CD12)</f>
        <v>0</v>
      </c>
      <c r="CF12" s="483">
        <f>CE12/CE14</f>
        <v>0</v>
      </c>
      <c r="CH12" s="479">
        <v>5</v>
      </c>
      <c r="CI12" s="485">
        <f>COUNTIF(BD3:BD61,CH12)</f>
        <v>1</v>
      </c>
      <c r="CJ12" s="483">
        <f>CI12/CI14</f>
        <v>0.04</v>
      </c>
      <c r="CL12" s="476"/>
    </row>
    <row r="13" spans="4:100" ht="20.25">
      <c r="D13" s="477"/>
      <c r="F13" s="609"/>
      <c r="G13" s="470"/>
      <c r="H13" s="604"/>
      <c r="I13" s="611"/>
      <c r="J13" s="615"/>
      <c r="L13" s="475"/>
      <c r="M13" s="503"/>
      <c r="N13" s="607"/>
      <c r="O13" s="474"/>
      <c r="P13" s="474"/>
      <c r="Q13" s="474"/>
      <c r="R13" s="474"/>
      <c r="S13" s="474"/>
      <c r="T13" s="474"/>
      <c r="U13" s="474"/>
      <c r="V13" s="474"/>
      <c r="W13" s="474"/>
      <c r="X13" s="474"/>
      <c r="Y13" s="474"/>
      <c r="Z13" s="474"/>
      <c r="AA13" s="384">
        <v>8</v>
      </c>
      <c r="AB13" s="481">
        <f>COUNTIF(E6:J50,AA13)</f>
        <v>0</v>
      </c>
      <c r="AC13" s="481">
        <f>COUNTIF(E6:Y50,AA13)</f>
        <v>0</v>
      </c>
      <c r="AD13" s="516">
        <v>8</v>
      </c>
      <c r="AE13" s="501"/>
      <c r="AF13" s="501"/>
      <c r="AG13" s="501"/>
      <c r="AH13" s="501"/>
      <c r="AI13" s="501"/>
      <c r="AJ13" s="452"/>
      <c r="AO13" s="474">
        <v>690</v>
      </c>
      <c r="BJ13" s="477"/>
      <c r="BK13" s="477"/>
      <c r="BL13" s="477"/>
      <c r="BM13" s="477"/>
      <c r="BN13" s="481">
        <v>6</v>
      </c>
      <c r="BO13" s="485">
        <f>COUNTIF(AY3:AY61,BN13)</f>
        <v>0</v>
      </c>
      <c r="BP13" s="483">
        <f>BO13/BO14</f>
        <v>0</v>
      </c>
      <c r="BQ13" s="477"/>
      <c r="BR13" s="481">
        <v>6</v>
      </c>
      <c r="BS13" s="485">
        <f>COUNTIF(AZ3:AZ61,BR13)</f>
        <v>0</v>
      </c>
      <c r="BT13" s="483">
        <f>BS13/BS14</f>
        <v>0</v>
      </c>
      <c r="BU13" s="477"/>
      <c r="BV13" s="481">
        <v>6</v>
      </c>
      <c r="BW13" s="485">
        <f>COUNTIF(BA3:BA61,BV13)</f>
        <v>0</v>
      </c>
      <c r="BX13" s="483">
        <f>BW13/BW14</f>
        <v>0</v>
      </c>
      <c r="BY13" s="477"/>
      <c r="BZ13" s="481">
        <v>6</v>
      </c>
      <c r="CA13" s="485">
        <f>COUNTIF(BB3:BB61,BZ13)</f>
        <v>0</v>
      </c>
      <c r="CB13" s="483">
        <f>CA13/CA14</f>
        <v>0</v>
      </c>
      <c r="CC13" s="477"/>
      <c r="CD13" s="481">
        <v>6</v>
      </c>
      <c r="CE13" s="485">
        <f>COUNTIF(BC3:BC61,CD13)</f>
        <v>0</v>
      </c>
      <c r="CF13" s="483">
        <f>CE13/CE14</f>
        <v>0</v>
      </c>
      <c r="CG13" s="477"/>
      <c r="CH13" s="481">
        <v>6</v>
      </c>
      <c r="CI13" s="485">
        <f>COUNTIF(BD3:BD61,CH13)</f>
        <v>0</v>
      </c>
      <c r="CJ13" s="483">
        <f>CI13/CI14</f>
        <v>0</v>
      </c>
      <c r="CK13" s="477"/>
      <c r="CM13" s="477"/>
      <c r="CN13" s="477"/>
      <c r="CO13" s="477"/>
      <c r="CP13" s="477"/>
      <c r="CQ13" s="477"/>
      <c r="CR13" s="477"/>
      <c r="CS13" s="477"/>
      <c r="CT13" s="477"/>
      <c r="CU13" s="477"/>
      <c r="CV13" s="477"/>
    </row>
    <row r="14" spans="4:100" ht="20.25">
      <c r="D14" s="477"/>
      <c r="F14" s="609"/>
      <c r="G14" s="472"/>
      <c r="H14" s="605"/>
      <c r="I14" s="610"/>
      <c r="J14" s="617"/>
      <c r="L14" s="475"/>
      <c r="M14" s="503"/>
      <c r="N14" s="607"/>
      <c r="O14" s="474"/>
      <c r="P14" s="474"/>
      <c r="Q14" s="474"/>
      <c r="R14" s="474"/>
      <c r="S14" s="474"/>
      <c r="T14" s="474"/>
      <c r="U14" s="474"/>
      <c r="V14" s="474"/>
      <c r="W14" s="474"/>
      <c r="X14" s="474"/>
      <c r="Y14" s="474"/>
      <c r="Z14" s="474"/>
      <c r="AA14" s="384">
        <v>9</v>
      </c>
      <c r="AB14" s="481">
        <f>COUNTIF(E6:J50,AA14)</f>
        <v>0</v>
      </c>
      <c r="AC14" s="481">
        <f>COUNTIF(E6:Y50,AA14)</f>
        <v>0</v>
      </c>
      <c r="AD14" s="516">
        <v>9</v>
      </c>
      <c r="AE14" s="501"/>
      <c r="AF14" s="501"/>
      <c r="AG14" s="501"/>
      <c r="AH14" s="501"/>
      <c r="AI14" s="501"/>
      <c r="AJ14" s="452"/>
      <c r="AO14" s="474">
        <v>691</v>
      </c>
      <c r="BJ14" s="477"/>
      <c r="BK14" s="477"/>
      <c r="BL14" s="477"/>
      <c r="BM14" s="477"/>
      <c r="BN14" s="481"/>
      <c r="BO14" s="481">
        <f>SUM(BO7:BO13)</f>
        <v>25</v>
      </c>
      <c r="BP14" s="466">
        <f>SUM(BP7:BP13)</f>
        <v>1</v>
      </c>
      <c r="BQ14" s="412"/>
      <c r="BR14" s="481"/>
      <c r="BS14" s="481">
        <f>SUM(BS7:BS13)</f>
        <v>25</v>
      </c>
      <c r="BT14" s="466">
        <f>SUM(BT7:BT13)</f>
        <v>0.99999999999999989</v>
      </c>
      <c r="BU14" s="477"/>
      <c r="BV14" s="481"/>
      <c r="BW14" s="481">
        <f>SUM(BW7:BW13)</f>
        <v>25</v>
      </c>
      <c r="BX14" s="466">
        <f>SUM(BX7:BX13)</f>
        <v>1</v>
      </c>
      <c r="BY14" s="477"/>
      <c r="BZ14" s="481"/>
      <c r="CA14" s="481">
        <f>SUM(CA7:CA13)</f>
        <v>25</v>
      </c>
      <c r="CB14" s="466">
        <f>SUM(CB7:CB13)</f>
        <v>1</v>
      </c>
      <c r="CC14" s="477"/>
      <c r="CD14" s="481"/>
      <c r="CE14" s="481">
        <f>SUM(CE7:CE13)</f>
        <v>25</v>
      </c>
      <c r="CF14" s="466">
        <f>SUM(CF7:CF13)</f>
        <v>1</v>
      </c>
      <c r="CG14" s="477"/>
      <c r="CH14" s="481"/>
      <c r="CI14" s="481">
        <f>SUM(CI7:CI13)</f>
        <v>25</v>
      </c>
      <c r="CJ14" s="466">
        <f>SUM(CJ7:CJ13)</f>
        <v>1</v>
      </c>
      <c r="CK14" s="477"/>
      <c r="CM14" s="477"/>
      <c r="CN14" s="477"/>
      <c r="CO14" s="477"/>
      <c r="CP14" s="477"/>
      <c r="CQ14" s="477"/>
      <c r="CR14" s="477"/>
      <c r="CS14" s="477"/>
      <c r="CT14" s="477"/>
      <c r="CU14" s="477"/>
      <c r="CV14" s="477"/>
    </row>
    <row r="15" spans="4:100" ht="20.25">
      <c r="D15" s="477"/>
      <c r="F15" s="609"/>
      <c r="G15" s="472"/>
      <c r="H15" s="606"/>
      <c r="I15" s="611"/>
      <c r="J15" s="615"/>
      <c r="L15" s="475"/>
      <c r="M15" s="505"/>
      <c r="N15" s="607"/>
      <c r="O15" s="474"/>
      <c r="P15" s="474"/>
      <c r="Q15" s="474"/>
      <c r="R15" s="474"/>
      <c r="S15" s="474"/>
      <c r="T15" s="474"/>
      <c r="U15" s="474"/>
      <c r="V15" s="474"/>
      <c r="W15" s="474"/>
      <c r="X15" s="474"/>
      <c r="Y15" s="474"/>
      <c r="Z15" s="474"/>
      <c r="AA15" s="384">
        <v>10</v>
      </c>
      <c r="AB15" s="481">
        <f>COUNTIF(E6:J50,AA15)</f>
        <v>0</v>
      </c>
      <c r="AC15" s="481">
        <f>COUNTIF(E6:Y50,AA15)</f>
        <v>0</v>
      </c>
      <c r="AD15" s="516">
        <v>10</v>
      </c>
      <c r="AE15" s="501"/>
      <c r="AF15" s="501"/>
      <c r="AG15" s="501"/>
      <c r="AH15" s="501"/>
      <c r="AI15" s="501"/>
      <c r="AJ15" s="452"/>
      <c r="AO15" s="474">
        <v>692</v>
      </c>
      <c r="BJ15" s="477"/>
      <c r="BK15" s="477"/>
      <c r="BL15" s="477"/>
      <c r="BM15" s="477"/>
      <c r="BN15" s="477"/>
      <c r="BO15" s="477"/>
      <c r="BP15" s="477"/>
      <c r="BQ15" s="412"/>
      <c r="BR15" s="477"/>
      <c r="BS15" s="477"/>
      <c r="BT15" s="477"/>
      <c r="BU15" s="477"/>
      <c r="BV15" s="477"/>
      <c r="BW15" s="477"/>
      <c r="BX15" s="477"/>
      <c r="BY15" s="477"/>
      <c r="BZ15" s="477"/>
      <c r="CA15" s="477"/>
      <c r="CB15" s="477"/>
      <c r="CC15" s="477"/>
      <c r="CD15" s="477"/>
      <c r="CE15" s="477"/>
      <c r="CF15" s="477"/>
      <c r="CG15" s="477"/>
      <c r="CH15" s="477"/>
      <c r="CI15" s="477"/>
      <c r="CJ15" s="477"/>
      <c r="CK15" s="477"/>
      <c r="CM15" s="477"/>
      <c r="CN15" s="477"/>
      <c r="CO15" s="477"/>
      <c r="CP15" s="477"/>
      <c r="CQ15" s="477"/>
      <c r="CR15" s="477"/>
      <c r="CS15" s="477"/>
      <c r="CT15" s="477"/>
      <c r="CU15" s="477"/>
      <c r="CV15" s="477"/>
    </row>
    <row r="16" spans="4:100" ht="20.25">
      <c r="D16" s="477"/>
      <c r="F16" s="609"/>
      <c r="G16" s="469"/>
      <c r="H16" s="606"/>
      <c r="I16" s="613"/>
      <c r="J16" s="614"/>
      <c r="L16" s="475"/>
      <c r="M16" s="503"/>
      <c r="N16" s="607"/>
      <c r="O16" s="474"/>
      <c r="P16" s="474"/>
      <c r="Q16" s="474"/>
      <c r="R16" s="474"/>
      <c r="S16" s="474"/>
      <c r="T16" s="474"/>
      <c r="U16" s="474"/>
      <c r="V16" s="474"/>
      <c r="W16" s="474"/>
      <c r="X16" s="474"/>
      <c r="Y16" s="474"/>
      <c r="Z16" s="474"/>
      <c r="AA16" s="384">
        <v>11</v>
      </c>
      <c r="AB16" s="481">
        <f>COUNTIF(E6:J50,AA16)</f>
        <v>0</v>
      </c>
      <c r="AC16" s="481">
        <f>COUNTIF(E6:Y50,AA16)</f>
        <v>0</v>
      </c>
      <c r="AD16" s="516">
        <v>11</v>
      </c>
      <c r="AE16" s="501"/>
      <c r="AF16" s="501"/>
      <c r="AG16" s="501"/>
      <c r="AH16" s="501"/>
      <c r="AI16" s="501"/>
      <c r="AJ16" s="452"/>
      <c r="AO16" s="474">
        <v>693</v>
      </c>
      <c r="BJ16" s="477"/>
      <c r="BK16" s="382"/>
      <c r="BL16" s="382"/>
      <c r="BM16" s="382"/>
      <c r="BN16" s="638">
        <v>6</v>
      </c>
      <c r="BO16" s="638"/>
      <c r="BP16" s="638"/>
      <c r="BQ16" s="474"/>
      <c r="BR16" s="638">
        <v>7</v>
      </c>
      <c r="BS16" s="638"/>
      <c r="BT16" s="638"/>
      <c r="BU16" s="474"/>
      <c r="BV16" s="638">
        <v>8</v>
      </c>
      <c r="BW16" s="638"/>
      <c r="BX16" s="638"/>
      <c r="BZ16" s="638">
        <v>9</v>
      </c>
      <c r="CA16" s="638"/>
      <c r="CB16" s="638"/>
      <c r="CD16" s="638">
        <v>10</v>
      </c>
      <c r="CE16" s="638"/>
      <c r="CF16" s="638"/>
      <c r="CG16" s="477"/>
      <c r="CH16" s="477"/>
      <c r="CI16" s="477"/>
      <c r="CJ16" s="477"/>
      <c r="CK16" s="477"/>
      <c r="CM16" s="477"/>
      <c r="CN16" s="477"/>
      <c r="CO16" s="477"/>
      <c r="CP16" s="477"/>
      <c r="CQ16" s="477"/>
      <c r="CR16" s="477"/>
      <c r="CS16" s="477"/>
      <c r="CT16" s="477"/>
      <c r="CU16" s="477"/>
      <c r="CV16" s="477"/>
    </row>
    <row r="17" spans="4:100" ht="20.25">
      <c r="D17" s="477"/>
      <c r="F17" s="609"/>
      <c r="G17" s="471"/>
      <c r="H17" s="603"/>
      <c r="I17" s="611"/>
      <c r="J17" s="614"/>
      <c r="L17" s="475"/>
      <c r="M17" s="505"/>
      <c r="N17" s="607"/>
      <c r="O17" s="474"/>
      <c r="P17" s="474"/>
      <c r="Q17" s="474"/>
      <c r="R17" s="474"/>
      <c r="S17" s="474"/>
      <c r="T17" s="474"/>
      <c r="U17" s="474"/>
      <c r="V17" s="474"/>
      <c r="W17" s="474"/>
      <c r="X17" s="474"/>
      <c r="Y17" s="474"/>
      <c r="Z17" s="474"/>
      <c r="AA17" s="384">
        <v>12</v>
      </c>
      <c r="AB17" s="481">
        <f>COUNTIF(E6:J50,AA17)</f>
        <v>0</v>
      </c>
      <c r="AC17" s="481">
        <f>COUNTIF(E6:Y50,AA17)</f>
        <v>0</v>
      </c>
      <c r="AD17" s="516">
        <v>12</v>
      </c>
      <c r="AE17" s="501"/>
      <c r="AF17" s="501"/>
      <c r="AG17" s="501"/>
      <c r="AH17" s="501"/>
      <c r="AI17" s="501"/>
      <c r="AJ17" s="452"/>
      <c r="AO17" s="474">
        <v>694</v>
      </c>
      <c r="BJ17" s="477"/>
      <c r="BK17" s="474"/>
      <c r="BL17" s="474"/>
      <c r="BM17" s="474"/>
      <c r="BN17" s="479">
        <v>0</v>
      </c>
      <c r="BO17" s="485">
        <f>COUNTIF(BE3:BE61,BN17)</f>
        <v>25</v>
      </c>
      <c r="BP17" s="483">
        <f>BO17/BO24</f>
        <v>1</v>
      </c>
      <c r="BR17" s="479">
        <v>0</v>
      </c>
      <c r="BS17" s="485">
        <f>COUNTIF(BF3:BF61,BR17)</f>
        <v>25</v>
      </c>
      <c r="BT17" s="483">
        <f>BS17/BS24</f>
        <v>1</v>
      </c>
      <c r="BV17" s="479">
        <v>0</v>
      </c>
      <c r="BW17" s="485">
        <f>COUNTIF(BG3:BG61,BV17)</f>
        <v>25</v>
      </c>
      <c r="BX17" s="483">
        <f>BW17/BW24</f>
        <v>1</v>
      </c>
      <c r="BZ17" s="479">
        <v>0</v>
      </c>
      <c r="CA17" s="485">
        <f>COUNTIF(BH3:BH61,BZ17)</f>
        <v>25</v>
      </c>
      <c r="CB17" s="483">
        <f>CA17/CA24</f>
        <v>1</v>
      </c>
      <c r="CD17" s="479">
        <v>0</v>
      </c>
      <c r="CE17" s="485">
        <f>COUNTIF(BI3:BI61,CD17)</f>
        <v>25</v>
      </c>
      <c r="CF17" s="483">
        <f>CE17/CE24</f>
        <v>1</v>
      </c>
      <c r="CG17" s="477"/>
      <c r="CH17" s="477"/>
      <c r="CI17" s="477"/>
      <c r="CJ17" s="477"/>
      <c r="CK17" s="477"/>
      <c r="CM17" s="477"/>
      <c r="CN17" s="477"/>
      <c r="CO17" s="477"/>
      <c r="CP17" s="477"/>
      <c r="CQ17" s="477"/>
      <c r="CR17" s="477"/>
      <c r="CS17" s="477"/>
      <c r="CT17" s="477"/>
      <c r="CU17" s="477"/>
      <c r="CV17" s="477"/>
    </row>
    <row r="18" spans="4:100" ht="20.25">
      <c r="D18" s="477"/>
      <c r="F18" s="609"/>
      <c r="G18" s="469"/>
      <c r="H18" s="606"/>
      <c r="I18" s="610"/>
      <c r="J18" s="617"/>
      <c r="L18" s="475"/>
      <c r="M18" s="503"/>
      <c r="N18" s="607"/>
      <c r="O18" s="474"/>
      <c r="P18" s="474"/>
      <c r="Q18" s="474"/>
      <c r="R18" s="474"/>
      <c r="S18" s="474"/>
      <c r="T18" s="474"/>
      <c r="U18" s="474"/>
      <c r="V18" s="474"/>
      <c r="W18" s="474"/>
      <c r="X18" s="474"/>
      <c r="Y18" s="474"/>
      <c r="Z18" s="474"/>
      <c r="AA18" s="384">
        <v>13</v>
      </c>
      <c r="AB18" s="481">
        <f>COUNTIF(E6:J50,AA18)</f>
        <v>0</v>
      </c>
      <c r="AC18" s="481">
        <f>COUNTIF(E6:Y50,AA18)</f>
        <v>0</v>
      </c>
      <c r="AD18" s="516">
        <v>13</v>
      </c>
      <c r="AE18" s="501"/>
      <c r="AF18" s="501"/>
      <c r="AG18" s="501"/>
      <c r="AH18" s="501"/>
      <c r="AI18" s="501"/>
      <c r="AJ18" s="452"/>
      <c r="AO18" s="474">
        <v>695</v>
      </c>
      <c r="BJ18" s="477"/>
      <c r="BK18" s="474"/>
      <c r="BL18" s="477"/>
      <c r="BM18" s="474"/>
      <c r="BN18" s="479">
        <v>1</v>
      </c>
      <c r="BO18" s="485">
        <f>COUNTIF(BE3:BE61,BN18)</f>
        <v>0</v>
      </c>
      <c r="BP18" s="483">
        <f>BO18/BO24</f>
        <v>0</v>
      </c>
      <c r="BR18" s="479">
        <v>1</v>
      </c>
      <c r="BS18" s="485">
        <f>COUNTIF(BF3:BF61,BR18)</f>
        <v>0</v>
      </c>
      <c r="BT18" s="483">
        <f>BS18/BS24</f>
        <v>0</v>
      </c>
      <c r="BV18" s="479">
        <v>1</v>
      </c>
      <c r="BW18" s="485">
        <f>COUNTIF(BG3:BG61,BV18)</f>
        <v>0</v>
      </c>
      <c r="BX18" s="483">
        <f>BW18/BW24</f>
        <v>0</v>
      </c>
      <c r="BZ18" s="479">
        <v>1</v>
      </c>
      <c r="CA18" s="485">
        <f>COUNTIF(BH3:BH61,BZ18)</f>
        <v>0</v>
      </c>
      <c r="CB18" s="483">
        <f>CA18/CA24</f>
        <v>0</v>
      </c>
      <c r="CD18" s="479">
        <v>1</v>
      </c>
      <c r="CE18" s="485">
        <f>COUNTIF(BI3:BI61,CD18)</f>
        <v>0</v>
      </c>
      <c r="CF18" s="483">
        <f>CE18/CE24</f>
        <v>0</v>
      </c>
      <c r="CG18" s="477"/>
      <c r="CH18" s="477"/>
      <c r="CI18" s="477"/>
      <c r="CJ18" s="477"/>
      <c r="CK18" s="477"/>
      <c r="CM18" s="477"/>
      <c r="CN18" s="477"/>
      <c r="CO18" s="477"/>
      <c r="CP18" s="477"/>
      <c r="CQ18" s="477"/>
      <c r="CR18" s="477"/>
      <c r="CS18" s="477"/>
      <c r="CT18" s="477"/>
      <c r="CU18" s="477"/>
      <c r="CV18" s="477"/>
    </row>
    <row r="19" spans="4:100" ht="20.25">
      <c r="D19" s="477"/>
      <c r="F19" s="609"/>
      <c r="G19" s="470"/>
      <c r="H19" s="603"/>
      <c r="I19" s="611"/>
      <c r="J19" s="614"/>
      <c r="L19" s="475"/>
      <c r="M19" s="505"/>
      <c r="N19" s="607"/>
      <c r="O19" s="474"/>
      <c r="P19" s="474"/>
      <c r="Q19" s="474"/>
      <c r="R19" s="474"/>
      <c r="S19" s="474"/>
      <c r="T19" s="474"/>
      <c r="U19" s="474"/>
      <c r="V19" s="474"/>
      <c r="W19" s="474"/>
      <c r="X19" s="474"/>
      <c r="Y19" s="474"/>
      <c r="Z19" s="474"/>
      <c r="AA19" s="384">
        <v>14</v>
      </c>
      <c r="AB19" s="481">
        <f>COUNTIF(E6:J50,AA19)</f>
        <v>0</v>
      </c>
      <c r="AC19" s="481">
        <f>COUNTIF(E6:Y50,AA19)</f>
        <v>0</v>
      </c>
      <c r="AD19" s="516">
        <v>14</v>
      </c>
      <c r="AE19" s="501"/>
      <c r="AF19" s="501"/>
      <c r="AG19" s="501"/>
      <c r="AH19" s="501"/>
      <c r="AI19" s="501"/>
      <c r="AJ19" s="452"/>
      <c r="AO19" s="474">
        <v>696</v>
      </c>
      <c r="BJ19" s="477"/>
      <c r="BK19" s="474"/>
      <c r="BL19" s="412"/>
      <c r="BM19" s="474"/>
      <c r="BN19" s="479">
        <v>2</v>
      </c>
      <c r="BO19" s="485">
        <f>COUNTIF(BE3:BE61,BN19)</f>
        <v>0</v>
      </c>
      <c r="BP19" s="483">
        <f>BO19/BO24</f>
        <v>0</v>
      </c>
      <c r="BR19" s="479">
        <v>2</v>
      </c>
      <c r="BS19" s="485">
        <f>COUNTIF(BF3:BF61,BR19)</f>
        <v>0</v>
      </c>
      <c r="BT19" s="483">
        <f>BS19/BS24</f>
        <v>0</v>
      </c>
      <c r="BV19" s="479">
        <v>2</v>
      </c>
      <c r="BW19" s="485">
        <f>COUNTIF(BG3:BG61,BV19)</f>
        <v>0</v>
      </c>
      <c r="BX19" s="483">
        <f>BW19/BW24</f>
        <v>0</v>
      </c>
      <c r="BZ19" s="479">
        <v>2</v>
      </c>
      <c r="CA19" s="485">
        <f>COUNTIF(BH3:BH61,BZ19)</f>
        <v>0</v>
      </c>
      <c r="CB19" s="483">
        <f>CA19/CA24</f>
        <v>0</v>
      </c>
      <c r="CD19" s="479">
        <v>2</v>
      </c>
      <c r="CE19" s="485">
        <f>COUNTIF(BI3:BI61,CD19)</f>
        <v>0</v>
      </c>
      <c r="CF19" s="483">
        <f>CE19/CE24</f>
        <v>0</v>
      </c>
      <c r="CG19" s="477"/>
      <c r="CH19" s="477"/>
      <c r="CI19" s="477"/>
      <c r="CJ19" s="477"/>
      <c r="CK19" s="477"/>
      <c r="CM19" s="477"/>
      <c r="CN19" s="477"/>
      <c r="CO19" s="477"/>
      <c r="CP19" s="477"/>
      <c r="CQ19" s="477"/>
      <c r="CR19" s="477"/>
      <c r="CS19" s="477"/>
      <c r="CT19" s="477"/>
      <c r="CU19" s="477"/>
      <c r="CV19" s="477"/>
    </row>
    <row r="20" spans="4:100" ht="20.25">
      <c r="D20" s="477"/>
      <c r="F20" s="609"/>
      <c r="G20" s="469"/>
      <c r="H20" s="603"/>
      <c r="I20" s="612"/>
      <c r="J20" s="615"/>
      <c r="L20" s="475"/>
      <c r="M20" s="502"/>
      <c r="N20" s="607"/>
      <c r="O20" s="474"/>
      <c r="P20" s="474"/>
      <c r="Q20" s="474"/>
      <c r="R20" s="474"/>
      <c r="S20" s="474"/>
      <c r="T20" s="474"/>
      <c r="U20" s="474"/>
      <c r="V20" s="474"/>
      <c r="W20" s="474"/>
      <c r="X20" s="474"/>
      <c r="Y20" s="474"/>
      <c r="Z20" s="474"/>
      <c r="AA20" s="384">
        <v>15</v>
      </c>
      <c r="AB20" s="481">
        <f>COUNTIF(E6:J50,AA20)</f>
        <v>0</v>
      </c>
      <c r="AC20" s="481">
        <f>COUNTIF(E6:Y50,AA20)</f>
        <v>0</v>
      </c>
      <c r="AD20" s="516">
        <v>15</v>
      </c>
      <c r="AE20" s="501"/>
      <c r="AF20" s="501"/>
      <c r="AG20" s="501"/>
      <c r="AH20" s="501"/>
      <c r="AI20" s="501"/>
      <c r="AJ20" s="452"/>
      <c r="AO20" s="474">
        <v>697</v>
      </c>
      <c r="BJ20" s="477"/>
      <c r="BK20" s="474"/>
      <c r="BL20" s="474"/>
      <c r="BM20" s="474"/>
      <c r="BN20" s="479">
        <v>3</v>
      </c>
      <c r="BO20" s="485">
        <f>COUNTIF(BE3:BE61,BN20)</f>
        <v>0</v>
      </c>
      <c r="BP20" s="483">
        <f>BO20/BO24</f>
        <v>0</v>
      </c>
      <c r="BR20" s="479">
        <v>3</v>
      </c>
      <c r="BS20" s="485">
        <f>COUNTIF(BF3:BF61,BR20)</f>
        <v>0</v>
      </c>
      <c r="BT20" s="483">
        <f>BS20/BS24</f>
        <v>0</v>
      </c>
      <c r="BV20" s="479">
        <v>3</v>
      </c>
      <c r="BW20" s="485">
        <f>COUNTIF(BG3:BG61,BV20)</f>
        <v>0</v>
      </c>
      <c r="BX20" s="483">
        <f>BW20/BW24</f>
        <v>0</v>
      </c>
      <c r="BZ20" s="479">
        <v>3</v>
      </c>
      <c r="CA20" s="485">
        <f>COUNTIF(BH3:BH61,BZ20)</f>
        <v>0</v>
      </c>
      <c r="CB20" s="483">
        <f>CA20/CA24</f>
        <v>0</v>
      </c>
      <c r="CD20" s="479">
        <v>3</v>
      </c>
      <c r="CE20" s="485">
        <f>COUNTIF(BI3:BI61,CD20)</f>
        <v>0</v>
      </c>
      <c r="CF20" s="483">
        <f>CE20/CE24</f>
        <v>0</v>
      </c>
      <c r="CG20" s="477"/>
      <c r="CH20" s="477"/>
      <c r="CI20" s="477"/>
      <c r="CJ20" s="477"/>
      <c r="CK20" s="477"/>
      <c r="CM20" s="477"/>
      <c r="CN20" s="477"/>
      <c r="CO20" s="477"/>
      <c r="CP20" s="477"/>
      <c r="CQ20" s="477"/>
      <c r="CR20" s="477"/>
      <c r="CS20" s="477"/>
      <c r="CT20" s="477"/>
      <c r="CU20" s="477"/>
      <c r="CV20" s="477"/>
    </row>
    <row r="21" spans="4:100" ht="20.25">
      <c r="D21" s="477"/>
      <c r="F21" s="609"/>
      <c r="G21" s="471"/>
      <c r="H21" s="605"/>
      <c r="I21" s="613"/>
      <c r="J21" s="615"/>
      <c r="L21" s="475"/>
      <c r="M21" s="504"/>
      <c r="N21" s="607"/>
      <c r="O21" s="474"/>
      <c r="P21" s="474"/>
      <c r="Q21" s="474"/>
      <c r="R21" s="474"/>
      <c r="S21" s="474"/>
      <c r="T21" s="474"/>
      <c r="U21" s="474"/>
      <c r="V21" s="474"/>
      <c r="W21" s="474"/>
      <c r="X21" s="474"/>
      <c r="Y21" s="474"/>
      <c r="Z21" s="474"/>
      <c r="AA21" s="384">
        <v>16</v>
      </c>
      <c r="AB21" s="481">
        <f>COUNTIF(E6:J50,AA21)</f>
        <v>0</v>
      </c>
      <c r="AC21" s="481">
        <f>COUNTIF(E6:Y50,AA21)</f>
        <v>0</v>
      </c>
      <c r="AD21" s="516">
        <v>16</v>
      </c>
      <c r="AE21" s="501"/>
      <c r="AF21" s="501"/>
      <c r="AG21" s="501"/>
      <c r="AH21" s="501"/>
      <c r="AI21" s="501"/>
      <c r="AJ21" s="452"/>
      <c r="AO21" s="474">
        <v>698</v>
      </c>
      <c r="BJ21" s="477"/>
      <c r="BK21" s="412"/>
      <c r="BL21" s="412"/>
      <c r="BM21" s="412"/>
      <c r="BN21" s="479">
        <v>4</v>
      </c>
      <c r="BO21" s="485">
        <f>COUNTIF(BE3:BE61,BN21)</f>
        <v>0</v>
      </c>
      <c r="BP21" s="483">
        <f>BO21/BO24</f>
        <v>0</v>
      </c>
      <c r="BR21" s="479">
        <v>4</v>
      </c>
      <c r="BS21" s="485">
        <f>COUNTIF(BF3:BF61,BR21)</f>
        <v>0</v>
      </c>
      <c r="BT21" s="483">
        <f>BS21/BS24</f>
        <v>0</v>
      </c>
      <c r="BV21" s="479">
        <v>4</v>
      </c>
      <c r="BW21" s="485">
        <f>COUNTIF(BG3:BG61,BV21)</f>
        <v>0</v>
      </c>
      <c r="BX21" s="483">
        <f>BW21/BW24</f>
        <v>0</v>
      </c>
      <c r="BZ21" s="479">
        <v>4</v>
      </c>
      <c r="CA21" s="485">
        <f>COUNTIF(BH3:BH61,BZ21)</f>
        <v>0</v>
      </c>
      <c r="CB21" s="483">
        <f>CA21/CA24</f>
        <v>0</v>
      </c>
      <c r="CD21" s="479">
        <v>4</v>
      </c>
      <c r="CE21" s="485">
        <f>COUNTIF(BI3:BI61,CD21)</f>
        <v>0</v>
      </c>
      <c r="CF21" s="483">
        <f>CE21/CE24</f>
        <v>0</v>
      </c>
      <c r="CG21" s="477"/>
      <c r="CH21" s="477"/>
      <c r="CI21" s="477"/>
      <c r="CJ21" s="477"/>
      <c r="CK21" s="477"/>
      <c r="CM21" s="477"/>
      <c r="CN21" s="477"/>
      <c r="CO21" s="477"/>
      <c r="CP21" s="477"/>
      <c r="CQ21" s="477"/>
      <c r="CR21" s="477"/>
      <c r="CS21" s="477"/>
      <c r="CT21" s="477"/>
      <c r="CU21" s="477"/>
      <c r="CV21" s="477"/>
    </row>
    <row r="22" spans="4:100" ht="20.25">
      <c r="D22" s="477"/>
      <c r="F22" s="609"/>
      <c r="G22" s="470"/>
      <c r="H22" s="604"/>
      <c r="I22" s="611"/>
      <c r="J22" s="617"/>
      <c r="L22" s="475"/>
      <c r="M22" s="504"/>
      <c r="N22" s="607"/>
      <c r="O22" s="474"/>
      <c r="P22" s="474"/>
      <c r="Q22" s="474"/>
      <c r="R22" s="474"/>
      <c r="S22" s="474"/>
      <c r="T22" s="474"/>
      <c r="U22" s="474"/>
      <c r="V22" s="474"/>
      <c r="W22" s="474"/>
      <c r="X22" s="474"/>
      <c r="Y22" s="474"/>
      <c r="Z22" s="474"/>
      <c r="AA22" s="384">
        <v>17</v>
      </c>
      <c r="AB22" s="481">
        <f>COUNTIF(E6:J50,AA22)</f>
        <v>0</v>
      </c>
      <c r="AC22" s="481">
        <f>COUNTIF(E6:Y50,AA22)</f>
        <v>0</v>
      </c>
      <c r="AD22" s="516">
        <v>17</v>
      </c>
      <c r="AE22" s="501"/>
      <c r="AF22" s="501"/>
      <c r="AG22" s="501"/>
      <c r="AH22" s="501"/>
      <c r="AI22" s="501"/>
      <c r="AJ22" s="452"/>
      <c r="AO22" s="474">
        <v>699</v>
      </c>
      <c r="BJ22" s="477"/>
      <c r="BK22" s="412"/>
      <c r="BL22" s="474"/>
      <c r="BM22" s="412"/>
      <c r="BN22" s="479">
        <v>5</v>
      </c>
      <c r="BO22" s="485">
        <f>COUNTIF(BE3:BE61,BN22)</f>
        <v>0</v>
      </c>
      <c r="BP22" s="483">
        <f>BO22/BO24</f>
        <v>0</v>
      </c>
      <c r="BR22" s="479">
        <v>5</v>
      </c>
      <c r="BS22" s="485">
        <f>COUNTIF(BF3:BF61,BR22)</f>
        <v>0</v>
      </c>
      <c r="BT22" s="483">
        <f>BS22/BS24</f>
        <v>0</v>
      </c>
      <c r="BV22" s="479">
        <v>5</v>
      </c>
      <c r="BW22" s="485">
        <f>COUNTIF(BG3:BG61,BV22)</f>
        <v>0</v>
      </c>
      <c r="BX22" s="483">
        <f>BW22/BW24</f>
        <v>0</v>
      </c>
      <c r="BZ22" s="479">
        <v>5</v>
      </c>
      <c r="CA22" s="485">
        <f>COUNTIF(BH3:BH61,BZ22)</f>
        <v>0</v>
      </c>
      <c r="CB22" s="483">
        <f>CA22/CA24</f>
        <v>0</v>
      </c>
      <c r="CD22" s="479">
        <v>5</v>
      </c>
      <c r="CE22" s="485">
        <f>COUNTIF(BI3:BI61,CD22)</f>
        <v>0</v>
      </c>
      <c r="CF22" s="483">
        <f>CE22/CE24</f>
        <v>0</v>
      </c>
      <c r="CG22" s="477"/>
      <c r="CH22" s="477"/>
      <c r="CI22" s="477"/>
      <c r="CJ22" s="477"/>
      <c r="CK22" s="477"/>
      <c r="CM22" s="477"/>
      <c r="CN22" s="477"/>
      <c r="CO22" s="477"/>
      <c r="CP22" s="477"/>
      <c r="CQ22" s="477"/>
      <c r="CR22" s="477"/>
      <c r="CS22" s="477"/>
      <c r="CT22" s="477"/>
      <c r="CU22" s="477"/>
      <c r="CV22" s="477"/>
    </row>
    <row r="23" spans="4:100" ht="20.25">
      <c r="D23" s="477"/>
      <c r="F23" s="609"/>
      <c r="G23" s="470"/>
      <c r="H23" s="606"/>
      <c r="I23" s="612"/>
      <c r="J23" s="615"/>
      <c r="L23" s="475"/>
      <c r="M23" s="504"/>
      <c r="N23" s="607"/>
      <c r="O23" s="474"/>
      <c r="P23" s="474"/>
      <c r="Q23" s="474"/>
      <c r="R23" s="474"/>
      <c r="S23" s="474"/>
      <c r="T23" s="474"/>
      <c r="U23" s="474"/>
      <c r="V23" s="474"/>
      <c r="W23" s="474"/>
      <c r="X23" s="474"/>
      <c r="Y23" s="474"/>
      <c r="Z23" s="412"/>
      <c r="AA23" s="384">
        <v>18</v>
      </c>
      <c r="AB23" s="481">
        <f>COUNTIF(E6:J50,AA23)</f>
        <v>0</v>
      </c>
      <c r="AC23" s="481">
        <f>COUNTIF(E6:Y50,AA23)</f>
        <v>0</v>
      </c>
      <c r="AD23" s="516">
        <v>18</v>
      </c>
      <c r="AE23" s="501"/>
      <c r="AF23" s="501"/>
      <c r="AG23" s="501"/>
      <c r="AH23" s="501"/>
      <c r="AI23" s="501"/>
      <c r="AJ23" s="452"/>
      <c r="AO23" s="474">
        <v>700</v>
      </c>
      <c r="AP23" s="476">
        <v>2</v>
      </c>
      <c r="AQ23" s="476">
        <v>5</v>
      </c>
      <c r="AR23" s="476">
        <v>5</v>
      </c>
      <c r="AS23" s="476">
        <v>5</v>
      </c>
      <c r="AT23" s="476">
        <v>4</v>
      </c>
      <c r="AU23" s="476">
        <v>4</v>
      </c>
      <c r="AY23" s="515">
        <f t="shared" ref="AY23:AY31" si="11">COUNTIF(AP23:AU23,0)</f>
        <v>0</v>
      </c>
      <c r="AZ23" s="515">
        <f t="shared" ref="AZ23:AZ29" si="12">COUNTIF(AP23:AU23,1)</f>
        <v>0</v>
      </c>
      <c r="BA23" s="515">
        <f t="shared" ref="BA23:BA31" si="13">COUNTIF(AP23:AU23,2)</f>
        <v>1</v>
      </c>
      <c r="BB23" s="515">
        <f t="shared" ref="BB23:BB31" si="14">COUNTIF(AP23:AU23,3)</f>
        <v>0</v>
      </c>
      <c r="BC23" s="515">
        <f t="shared" ref="BC23:BC31" si="15">COUNTIF(AP23:AU23,4)</f>
        <v>2</v>
      </c>
      <c r="BD23" s="515">
        <f t="shared" ref="BD23:BD31" si="16">COUNTIF(AP23:AU23,5)</f>
        <v>3</v>
      </c>
      <c r="BE23" s="515">
        <f t="shared" ref="BE23:BE31" si="17">COUNTIF(AP23:AU23,6)</f>
        <v>0</v>
      </c>
      <c r="BF23" s="515">
        <f t="shared" ref="BF23:BF31" si="18">COUNTIF(AP23:AU23,7)</f>
        <v>0</v>
      </c>
      <c r="BG23" s="515">
        <f t="shared" ref="BG23:BG31" si="19">COUNTIF(AP23:AU23,8)</f>
        <v>0</v>
      </c>
      <c r="BH23" s="515">
        <f t="shared" ref="BH23:BH31" si="20">COUNTIF(AP23:AU23,9)</f>
        <v>0</v>
      </c>
      <c r="BI23" s="515">
        <f t="shared" ref="BI23:BI31" si="21">COUNTIF(AP23:AU23,10)</f>
        <v>0</v>
      </c>
      <c r="BJ23" s="477"/>
      <c r="BK23" s="474"/>
      <c r="BL23" s="412"/>
      <c r="BM23" s="474"/>
      <c r="BN23" s="481">
        <v>6</v>
      </c>
      <c r="BO23" s="485">
        <f>COUNTIF(BE3:BE61,BN23)</f>
        <v>0</v>
      </c>
      <c r="BP23" s="483">
        <f>BO23/BO24</f>
        <v>0</v>
      </c>
      <c r="BQ23" s="477"/>
      <c r="BR23" s="481">
        <v>6</v>
      </c>
      <c r="BS23" s="485">
        <f>COUNTIF(BF3:BF61,BR23)</f>
        <v>0</v>
      </c>
      <c r="BT23" s="483">
        <f>BS23/BS24</f>
        <v>0</v>
      </c>
      <c r="BU23" s="477"/>
      <c r="BV23" s="481">
        <v>6</v>
      </c>
      <c r="BW23" s="485">
        <f>COUNTIF(BG3:BG61,BV23)</f>
        <v>0</v>
      </c>
      <c r="BX23" s="483">
        <f>BW23/BW24</f>
        <v>0</v>
      </c>
      <c r="BY23" s="477"/>
      <c r="BZ23" s="481">
        <v>6</v>
      </c>
      <c r="CA23" s="485">
        <f>COUNTIF(BH3:BH61,BZ23)</f>
        <v>0</v>
      </c>
      <c r="CB23" s="483">
        <f>CA23/CA24</f>
        <v>0</v>
      </c>
      <c r="CC23" s="477"/>
      <c r="CD23" s="481">
        <v>6</v>
      </c>
      <c r="CE23" s="485">
        <f>COUNTIF(BI3:BI61,CD23)</f>
        <v>0</v>
      </c>
      <c r="CF23" s="483">
        <f>CE23/CE24</f>
        <v>0</v>
      </c>
      <c r="CG23" s="477"/>
      <c r="CH23" s="477"/>
      <c r="CI23" s="477"/>
      <c r="CJ23" s="477"/>
      <c r="CK23" s="477"/>
      <c r="CM23" s="477"/>
      <c r="CN23" s="477"/>
      <c r="CO23" s="477"/>
      <c r="CP23" s="477"/>
      <c r="CQ23" s="477"/>
      <c r="CR23" s="477"/>
      <c r="CS23" s="477"/>
      <c r="CT23" s="477"/>
      <c r="CU23" s="477"/>
      <c r="CV23" s="477"/>
    </row>
    <row r="24" spans="4:100" ht="20.25">
      <c r="D24" s="477"/>
      <c r="F24" s="609"/>
      <c r="G24" s="470"/>
      <c r="H24" s="606"/>
      <c r="I24" s="611"/>
      <c r="J24" s="617"/>
      <c r="L24" s="475"/>
      <c r="M24" s="503"/>
      <c r="N24" s="607"/>
      <c r="O24" s="474"/>
      <c r="P24" s="474"/>
      <c r="Q24" s="474"/>
      <c r="R24" s="474"/>
      <c r="S24" s="474"/>
      <c r="T24" s="474"/>
      <c r="U24" s="474"/>
      <c r="V24" s="474"/>
      <c r="W24" s="474"/>
      <c r="X24" s="474"/>
      <c r="Y24" s="474"/>
      <c r="Z24" s="474"/>
      <c r="AA24" s="384">
        <v>19</v>
      </c>
      <c r="AB24" s="481">
        <f>COUNTIF(E6:J50,AA24)</f>
        <v>0</v>
      </c>
      <c r="AC24" s="481">
        <f>COUNTIF(E6:Y50,AA24)</f>
        <v>0</v>
      </c>
      <c r="AD24" s="516">
        <v>19</v>
      </c>
      <c r="AE24" s="501"/>
      <c r="AF24" s="501"/>
      <c r="AG24" s="501"/>
      <c r="AH24" s="501"/>
      <c r="AI24" s="501"/>
      <c r="AJ24" s="452"/>
      <c r="AO24" s="474">
        <v>701</v>
      </c>
      <c r="AP24" s="476">
        <v>4</v>
      </c>
      <c r="AQ24" s="476">
        <v>4</v>
      </c>
      <c r="AR24" s="476">
        <v>5</v>
      </c>
      <c r="AS24" s="476">
        <v>4</v>
      </c>
      <c r="AT24" s="476">
        <v>5</v>
      </c>
      <c r="AU24" s="476">
        <v>4</v>
      </c>
      <c r="AY24" s="515">
        <f t="shared" si="11"/>
        <v>0</v>
      </c>
      <c r="AZ24" s="515">
        <f t="shared" si="12"/>
        <v>0</v>
      </c>
      <c r="BA24" s="515">
        <f t="shared" si="13"/>
        <v>0</v>
      </c>
      <c r="BB24" s="515">
        <f t="shared" si="14"/>
        <v>0</v>
      </c>
      <c r="BC24" s="515">
        <f t="shared" si="15"/>
        <v>4</v>
      </c>
      <c r="BD24" s="515">
        <f t="shared" si="16"/>
        <v>2</v>
      </c>
      <c r="BE24" s="515">
        <f t="shared" si="17"/>
        <v>0</v>
      </c>
      <c r="BF24" s="515">
        <f t="shared" si="18"/>
        <v>0</v>
      </c>
      <c r="BG24" s="515">
        <f t="shared" si="19"/>
        <v>0</v>
      </c>
      <c r="BH24" s="515">
        <f t="shared" si="20"/>
        <v>0</v>
      </c>
      <c r="BI24" s="515">
        <f t="shared" si="21"/>
        <v>0</v>
      </c>
      <c r="BJ24" s="477"/>
      <c r="BK24" s="412"/>
      <c r="BL24" s="412"/>
      <c r="BM24" s="412"/>
      <c r="BN24" s="481"/>
      <c r="BO24" s="481">
        <f>SUM(BO17:BO23)</f>
        <v>25</v>
      </c>
      <c r="BP24" s="466">
        <f>SUM(BP17:BP23)</f>
        <v>1</v>
      </c>
      <c r="BQ24" s="412"/>
      <c r="BR24" s="481"/>
      <c r="BS24" s="481">
        <f>SUM(BS17:BS23)</f>
        <v>25</v>
      </c>
      <c r="BT24" s="466">
        <f>SUM(BT17:BT23)</f>
        <v>1</v>
      </c>
      <c r="BU24" s="477"/>
      <c r="BV24" s="481"/>
      <c r="BW24" s="481">
        <f>SUM(BW17:BW23)</f>
        <v>25</v>
      </c>
      <c r="BX24" s="466">
        <f>SUM(BX17:BX23)</f>
        <v>1</v>
      </c>
      <c r="BY24" s="477"/>
      <c r="BZ24" s="481"/>
      <c r="CA24" s="481">
        <f>SUM(CA17:CA23)</f>
        <v>25</v>
      </c>
      <c r="CB24" s="466">
        <f>SUM(CB17:CB23)</f>
        <v>1</v>
      </c>
      <c r="CC24" s="477"/>
      <c r="CD24" s="481"/>
      <c r="CE24" s="481">
        <f>SUM(CE17:CE23)</f>
        <v>25</v>
      </c>
      <c r="CF24" s="466">
        <f>SUM(CF17:CF23)</f>
        <v>1</v>
      </c>
      <c r="CG24" s="477"/>
      <c r="CH24" s="477"/>
      <c r="CI24" s="477"/>
      <c r="CJ24" s="477"/>
      <c r="CK24" s="477"/>
      <c r="CM24" s="477"/>
      <c r="CN24" s="477"/>
      <c r="CO24" s="477"/>
      <c r="CP24" s="477"/>
      <c r="CQ24" s="477"/>
      <c r="CR24" s="477"/>
      <c r="CS24" s="477"/>
      <c r="CT24" s="477"/>
      <c r="CU24" s="477"/>
      <c r="CV24" s="477"/>
    </row>
    <row r="25" spans="4:100" ht="20.25">
      <c r="D25" s="477"/>
      <c r="F25" s="609"/>
      <c r="G25" s="471"/>
      <c r="H25" s="605"/>
      <c r="I25" s="611"/>
      <c r="J25" s="617"/>
      <c r="L25" s="475"/>
      <c r="M25" s="502"/>
      <c r="N25" s="607"/>
      <c r="O25" s="474"/>
      <c r="P25" s="474"/>
      <c r="Q25" s="474"/>
      <c r="R25" s="474"/>
      <c r="S25" s="474"/>
      <c r="T25" s="474"/>
      <c r="U25" s="474"/>
      <c r="V25" s="474"/>
      <c r="W25" s="474"/>
      <c r="X25" s="474"/>
      <c r="Y25" s="474"/>
      <c r="Z25" s="474"/>
      <c r="AA25" s="384">
        <v>20</v>
      </c>
      <c r="AB25" s="481">
        <f>COUNTIF(E6:J50,AA25)</f>
        <v>0</v>
      </c>
      <c r="AC25" s="481">
        <f>COUNTIF(E6:Y50,AA25)</f>
        <v>0</v>
      </c>
      <c r="AD25" s="516">
        <v>20</v>
      </c>
      <c r="AE25" s="501"/>
      <c r="AF25" s="501"/>
      <c r="AG25" s="501"/>
      <c r="AH25" s="501"/>
      <c r="AI25" s="501"/>
      <c r="AJ25" s="452"/>
      <c r="AO25" s="474">
        <v>702</v>
      </c>
      <c r="AP25" s="476">
        <v>4</v>
      </c>
      <c r="AQ25" s="476">
        <v>5</v>
      </c>
      <c r="AR25" s="476">
        <v>4</v>
      </c>
      <c r="AS25" s="476">
        <v>5</v>
      </c>
      <c r="AT25" s="476">
        <v>4</v>
      </c>
      <c r="AU25" s="476">
        <v>5</v>
      </c>
      <c r="AY25" s="515">
        <f t="shared" si="11"/>
        <v>0</v>
      </c>
      <c r="AZ25" s="515">
        <f t="shared" si="12"/>
        <v>0</v>
      </c>
      <c r="BA25" s="515">
        <f t="shared" si="13"/>
        <v>0</v>
      </c>
      <c r="BB25" s="515">
        <f t="shared" si="14"/>
        <v>0</v>
      </c>
      <c r="BC25" s="515">
        <f t="shared" si="15"/>
        <v>3</v>
      </c>
      <c r="BD25" s="515">
        <f t="shared" si="16"/>
        <v>3</v>
      </c>
      <c r="BE25" s="515">
        <f t="shared" si="17"/>
        <v>0</v>
      </c>
      <c r="BF25" s="515">
        <f t="shared" si="18"/>
        <v>0</v>
      </c>
      <c r="BG25" s="515">
        <f t="shared" si="19"/>
        <v>0</v>
      </c>
      <c r="BH25" s="515">
        <f t="shared" si="20"/>
        <v>0</v>
      </c>
      <c r="BI25" s="515">
        <f t="shared" si="21"/>
        <v>0</v>
      </c>
      <c r="BJ25" s="477"/>
      <c r="BK25" s="412"/>
      <c r="BL25" s="412"/>
      <c r="BM25" s="412"/>
      <c r="BN25" s="412"/>
      <c r="BO25" s="412"/>
      <c r="BP25" s="412"/>
      <c r="BQ25" s="412"/>
      <c r="BR25" s="412"/>
      <c r="BS25" s="474"/>
      <c r="BT25" s="477"/>
      <c r="BU25" s="477"/>
      <c r="BV25" s="477"/>
      <c r="BW25" s="477"/>
      <c r="BX25" s="477"/>
      <c r="BY25" s="477"/>
      <c r="BZ25" s="477"/>
      <c r="CA25" s="477"/>
      <c r="CB25" s="477"/>
      <c r="CC25" s="477"/>
      <c r="CD25" s="477"/>
      <c r="CE25" s="477"/>
      <c r="CF25" s="477"/>
      <c r="CG25" s="477"/>
      <c r="CH25" s="477"/>
      <c r="CI25" s="477"/>
      <c r="CJ25" s="477"/>
      <c r="CK25" s="477"/>
      <c r="CM25" s="477"/>
      <c r="CN25" s="477"/>
      <c r="CO25" s="477"/>
      <c r="CP25" s="477"/>
      <c r="CQ25" s="477"/>
      <c r="CR25" s="477"/>
      <c r="CS25" s="477"/>
      <c r="CT25" s="477"/>
      <c r="CU25" s="477"/>
      <c r="CV25" s="477"/>
    </row>
    <row r="26" spans="4:100" ht="20.25">
      <c r="D26" s="477"/>
      <c r="F26" s="609"/>
      <c r="G26" s="471"/>
      <c r="H26" s="606"/>
      <c r="I26" s="611"/>
      <c r="J26" s="614"/>
      <c r="L26" s="475"/>
      <c r="M26" s="505"/>
      <c r="N26" s="607"/>
      <c r="O26" s="474"/>
      <c r="P26" s="474"/>
      <c r="Q26" s="474"/>
      <c r="R26" s="474"/>
      <c r="S26" s="474"/>
      <c r="T26" s="474"/>
      <c r="U26" s="474"/>
      <c r="V26" s="474"/>
      <c r="W26" s="474"/>
      <c r="X26" s="474"/>
      <c r="Y26" s="474"/>
      <c r="Z26" s="474"/>
      <c r="AA26" s="384">
        <v>21</v>
      </c>
      <c r="AB26" s="481">
        <f>COUNTIF(E6:J50,AA26)</f>
        <v>0</v>
      </c>
      <c r="AC26" s="481">
        <f>COUNTIF(E6:Y50,AA26)</f>
        <v>0</v>
      </c>
      <c r="AD26" s="516">
        <v>21</v>
      </c>
      <c r="AE26" s="501"/>
      <c r="AF26" s="501"/>
      <c r="AG26" s="501"/>
      <c r="AH26" s="501"/>
      <c r="AI26" s="501"/>
      <c r="AJ26" s="452"/>
      <c r="AO26" s="474">
        <v>703</v>
      </c>
      <c r="AP26" s="476">
        <v>5</v>
      </c>
      <c r="AQ26" s="476">
        <v>5</v>
      </c>
      <c r="AR26" s="476">
        <v>2</v>
      </c>
      <c r="AS26" s="476">
        <v>3</v>
      </c>
      <c r="AT26" s="476">
        <v>2</v>
      </c>
      <c r="AU26" s="476">
        <v>5</v>
      </c>
      <c r="AY26" s="515">
        <f t="shared" si="11"/>
        <v>0</v>
      </c>
      <c r="AZ26" s="515">
        <f t="shared" si="12"/>
        <v>0</v>
      </c>
      <c r="BA26" s="515">
        <f t="shared" si="13"/>
        <v>2</v>
      </c>
      <c r="BB26" s="515">
        <f t="shared" si="14"/>
        <v>1</v>
      </c>
      <c r="BC26" s="515">
        <f t="shared" si="15"/>
        <v>0</v>
      </c>
      <c r="BD26" s="515">
        <f t="shared" si="16"/>
        <v>3</v>
      </c>
      <c r="BE26" s="515">
        <f t="shared" si="17"/>
        <v>0</v>
      </c>
      <c r="BF26" s="515">
        <f t="shared" si="18"/>
        <v>0</v>
      </c>
      <c r="BG26" s="515">
        <f t="shared" si="19"/>
        <v>0</v>
      </c>
      <c r="BH26" s="515">
        <f t="shared" si="20"/>
        <v>0</v>
      </c>
      <c r="BI26" s="515">
        <f t="shared" si="21"/>
        <v>0</v>
      </c>
      <c r="BJ26" s="477"/>
      <c r="BK26" s="412"/>
      <c r="BL26" s="412"/>
      <c r="BM26" s="412"/>
      <c r="BN26" s="412"/>
      <c r="BO26" s="412"/>
      <c r="BP26" s="412"/>
      <c r="BQ26" s="412"/>
      <c r="BR26" s="412"/>
      <c r="BS26" s="477"/>
      <c r="BT26" s="477"/>
      <c r="BU26" s="477"/>
      <c r="BV26" s="477"/>
      <c r="BW26" s="477"/>
      <c r="BX26" s="477"/>
      <c r="BY26" s="477"/>
      <c r="BZ26" s="477"/>
      <c r="CA26" s="477"/>
      <c r="CB26" s="477"/>
      <c r="CC26" s="477"/>
      <c r="CD26" s="477"/>
      <c r="CE26" s="477"/>
      <c r="CF26" s="477"/>
      <c r="CG26" s="477"/>
      <c r="CH26" s="477"/>
      <c r="CI26" s="477"/>
      <c r="CJ26" s="477"/>
      <c r="CK26" s="477"/>
      <c r="CM26" s="477"/>
      <c r="CN26" s="477"/>
      <c r="CO26" s="477"/>
      <c r="CP26" s="477"/>
      <c r="CQ26" s="477"/>
      <c r="CR26" s="477"/>
      <c r="CS26" s="477"/>
      <c r="CT26" s="477"/>
      <c r="CU26" s="477"/>
      <c r="CV26" s="477"/>
    </row>
    <row r="27" spans="4:100" ht="20.25">
      <c r="D27" s="477"/>
      <c r="F27" s="609"/>
      <c r="G27" s="469"/>
      <c r="H27" s="605"/>
      <c r="I27" s="611"/>
      <c r="J27" s="616"/>
      <c r="L27" s="475"/>
      <c r="M27" s="503"/>
      <c r="N27" s="607"/>
      <c r="O27" s="474"/>
      <c r="P27" s="474"/>
      <c r="Q27" s="474"/>
      <c r="R27" s="474"/>
      <c r="S27" s="474"/>
      <c r="T27" s="474"/>
      <c r="U27" s="474"/>
      <c r="V27" s="474"/>
      <c r="W27" s="474"/>
      <c r="X27" s="474"/>
      <c r="Y27" s="474"/>
      <c r="Z27" s="474"/>
      <c r="AA27" s="384">
        <v>22</v>
      </c>
      <c r="AB27" s="481">
        <f>COUNTIF(E6:J50,AA27)</f>
        <v>0</v>
      </c>
      <c r="AC27" s="481">
        <f>COUNTIF(E6:Y50,AA27)</f>
        <v>0</v>
      </c>
      <c r="AD27" s="516">
        <v>22</v>
      </c>
      <c r="AE27" s="501"/>
      <c r="AF27" s="501"/>
      <c r="AG27" s="501"/>
      <c r="AH27" s="501"/>
      <c r="AI27" s="501"/>
      <c r="AJ27" s="452"/>
      <c r="AO27" s="474">
        <v>704</v>
      </c>
      <c r="AP27" s="476">
        <v>5</v>
      </c>
      <c r="AQ27" s="476">
        <v>5</v>
      </c>
      <c r="AR27" s="476">
        <v>5</v>
      </c>
      <c r="AS27" s="476">
        <v>5</v>
      </c>
      <c r="AT27" s="476">
        <v>1</v>
      </c>
      <c r="AU27" s="476">
        <v>5</v>
      </c>
      <c r="AY27" s="515">
        <f t="shared" si="11"/>
        <v>0</v>
      </c>
      <c r="AZ27" s="515">
        <f t="shared" si="12"/>
        <v>1</v>
      </c>
      <c r="BA27" s="515">
        <f t="shared" si="13"/>
        <v>0</v>
      </c>
      <c r="BB27" s="515">
        <f t="shared" si="14"/>
        <v>0</v>
      </c>
      <c r="BC27" s="515">
        <f t="shared" si="15"/>
        <v>0</v>
      </c>
      <c r="BD27" s="515">
        <f t="shared" si="16"/>
        <v>5</v>
      </c>
      <c r="BE27" s="515">
        <f t="shared" si="17"/>
        <v>0</v>
      </c>
      <c r="BF27" s="515">
        <f t="shared" si="18"/>
        <v>0</v>
      </c>
      <c r="BG27" s="515">
        <f t="shared" si="19"/>
        <v>0</v>
      </c>
      <c r="BH27" s="515">
        <f t="shared" si="20"/>
        <v>0</v>
      </c>
      <c r="BI27" s="515">
        <f t="shared" si="21"/>
        <v>0</v>
      </c>
      <c r="BJ27" s="477"/>
      <c r="BK27" s="477"/>
      <c r="BL27" s="412"/>
      <c r="BM27" s="412"/>
      <c r="BN27" s="412"/>
      <c r="BO27" s="412"/>
      <c r="BP27" s="412"/>
      <c r="BQ27" s="412"/>
      <c r="BR27" s="412"/>
      <c r="BS27" s="477"/>
      <c r="BT27" s="477"/>
      <c r="BU27" s="477"/>
      <c r="BV27" s="477"/>
      <c r="BW27" s="477"/>
      <c r="BX27" s="477"/>
      <c r="BY27" s="477"/>
      <c r="BZ27" s="477"/>
      <c r="CA27" s="477"/>
      <c r="CB27" s="477"/>
      <c r="CC27" s="477"/>
      <c r="CD27" s="477"/>
      <c r="CE27" s="477"/>
      <c r="CF27" s="477"/>
      <c r="CG27" s="477"/>
      <c r="CH27" s="477"/>
      <c r="CI27" s="477"/>
      <c r="CJ27" s="477"/>
      <c r="CK27" s="477"/>
      <c r="CM27" s="477"/>
      <c r="CN27" s="477"/>
      <c r="CO27" s="477"/>
      <c r="CP27" s="477"/>
      <c r="CQ27" s="477"/>
      <c r="CR27" s="477"/>
      <c r="CS27" s="477"/>
      <c r="CT27" s="477"/>
      <c r="CU27" s="477"/>
      <c r="CV27" s="477"/>
    </row>
    <row r="28" spans="4:100" ht="20.25">
      <c r="D28" s="477"/>
      <c r="F28" s="609"/>
      <c r="G28" s="469"/>
      <c r="H28" s="606"/>
      <c r="I28" s="612"/>
      <c r="J28" s="617"/>
      <c r="L28" s="475"/>
      <c r="M28" s="504"/>
      <c r="N28" s="607"/>
      <c r="O28" s="474"/>
      <c r="P28" s="474"/>
      <c r="Q28" s="474"/>
      <c r="R28" s="474"/>
      <c r="S28" s="474"/>
      <c r="T28" s="474"/>
      <c r="U28" s="474"/>
      <c r="V28" s="474"/>
      <c r="W28" s="474"/>
      <c r="X28" s="474"/>
      <c r="Y28" s="474"/>
      <c r="Z28" s="474"/>
      <c r="AA28" s="384">
        <v>23</v>
      </c>
      <c r="AB28" s="481">
        <f>COUNTIF(E6:J50,AA28)</f>
        <v>0</v>
      </c>
      <c r="AC28" s="481">
        <f>COUNTIF(E6:Y50,AA28)</f>
        <v>0</v>
      </c>
      <c r="AD28" s="516">
        <v>23</v>
      </c>
      <c r="AE28" s="501"/>
      <c r="AF28" s="501"/>
      <c r="AG28" s="501"/>
      <c r="AH28" s="501"/>
      <c r="AI28" s="501"/>
      <c r="AJ28" s="452"/>
      <c r="AO28" s="474">
        <v>705</v>
      </c>
      <c r="AP28" s="476">
        <v>5</v>
      </c>
      <c r="AQ28" s="476">
        <v>4</v>
      </c>
      <c r="AR28" s="476">
        <v>3</v>
      </c>
      <c r="AS28" s="476">
        <v>2</v>
      </c>
      <c r="AT28" s="476">
        <v>5</v>
      </c>
      <c r="AU28" s="476">
        <v>4</v>
      </c>
      <c r="AY28" s="515">
        <f t="shared" si="11"/>
        <v>0</v>
      </c>
      <c r="AZ28" s="515">
        <f t="shared" si="12"/>
        <v>0</v>
      </c>
      <c r="BA28" s="515">
        <f t="shared" si="13"/>
        <v>1</v>
      </c>
      <c r="BB28" s="515">
        <f t="shared" si="14"/>
        <v>1</v>
      </c>
      <c r="BC28" s="515">
        <f t="shared" si="15"/>
        <v>2</v>
      </c>
      <c r="BD28" s="515">
        <f t="shared" si="16"/>
        <v>2</v>
      </c>
      <c r="BE28" s="515">
        <f t="shared" si="17"/>
        <v>0</v>
      </c>
      <c r="BF28" s="515">
        <f t="shared" si="18"/>
        <v>0</v>
      </c>
      <c r="BG28" s="515">
        <f t="shared" si="19"/>
        <v>0</v>
      </c>
      <c r="BH28" s="515">
        <f t="shared" si="20"/>
        <v>0</v>
      </c>
      <c r="BI28" s="515">
        <f t="shared" si="21"/>
        <v>0</v>
      </c>
      <c r="BJ28" s="477"/>
      <c r="BK28" s="477"/>
      <c r="BL28" s="412"/>
      <c r="BM28" s="412"/>
      <c r="BN28" s="412"/>
      <c r="BO28" s="412"/>
      <c r="BP28" s="412"/>
      <c r="BQ28" s="412"/>
      <c r="BR28" s="412"/>
      <c r="BS28" s="477"/>
      <c r="BT28" s="477"/>
      <c r="BU28" s="477"/>
      <c r="BV28" s="477"/>
      <c r="BW28" s="477"/>
      <c r="BX28" s="477"/>
      <c r="BY28" s="477"/>
      <c r="BZ28" s="477"/>
      <c r="CA28" s="477"/>
      <c r="CB28" s="477"/>
      <c r="CC28" s="477"/>
      <c r="CD28" s="477"/>
      <c r="CE28" s="477"/>
      <c r="CF28" s="477"/>
      <c r="CG28" s="477"/>
      <c r="CH28" s="477"/>
      <c r="CI28" s="477"/>
      <c r="CJ28" s="477"/>
      <c r="CK28" s="477"/>
      <c r="CM28" s="477"/>
      <c r="CN28" s="477"/>
      <c r="CO28" s="477"/>
      <c r="CP28" s="477"/>
      <c r="CQ28" s="477"/>
      <c r="CR28" s="477"/>
      <c r="CS28" s="477"/>
      <c r="CT28" s="477"/>
      <c r="CU28" s="477"/>
      <c r="CV28" s="477"/>
    </row>
    <row r="29" spans="4:100" ht="20.25">
      <c r="D29" s="477"/>
      <c r="F29" s="609"/>
      <c r="G29" s="472"/>
      <c r="H29" s="606"/>
      <c r="I29" s="613"/>
      <c r="J29" s="615"/>
      <c r="L29" s="475"/>
      <c r="M29" s="505"/>
      <c r="N29" s="607"/>
      <c r="O29" s="474"/>
      <c r="P29" s="474"/>
      <c r="Q29" s="474"/>
      <c r="R29" s="474"/>
      <c r="S29" s="474"/>
      <c r="T29" s="474"/>
      <c r="U29" s="474"/>
      <c r="V29" s="474"/>
      <c r="W29" s="474"/>
      <c r="X29" s="474"/>
      <c r="Y29" s="474"/>
      <c r="Z29" s="474"/>
      <c r="AA29" s="384">
        <v>24</v>
      </c>
      <c r="AB29" s="481">
        <f>COUNTIF(E6:J50,AA29)</f>
        <v>0</v>
      </c>
      <c r="AC29" s="481">
        <f>COUNTIF(E6:Y50,AA29)</f>
        <v>0</v>
      </c>
      <c r="AD29" s="516">
        <v>24</v>
      </c>
      <c r="AE29" s="501"/>
      <c r="AF29" s="501"/>
      <c r="AG29" s="501"/>
      <c r="AH29" s="501"/>
      <c r="AI29" s="501"/>
      <c r="AJ29" s="452"/>
      <c r="AO29" s="474">
        <v>706</v>
      </c>
      <c r="AP29" s="476">
        <v>5</v>
      </c>
      <c r="AQ29" s="476">
        <v>3</v>
      </c>
      <c r="AR29" s="476">
        <v>3</v>
      </c>
      <c r="AS29" s="476">
        <v>5</v>
      </c>
      <c r="AT29" s="476">
        <v>5</v>
      </c>
      <c r="AU29" s="476">
        <v>5</v>
      </c>
      <c r="AY29" s="515">
        <f t="shared" si="11"/>
        <v>0</v>
      </c>
      <c r="AZ29" s="515">
        <f t="shared" si="12"/>
        <v>0</v>
      </c>
      <c r="BA29" s="515">
        <f t="shared" si="13"/>
        <v>0</v>
      </c>
      <c r="BB29" s="515">
        <f t="shared" si="14"/>
        <v>2</v>
      </c>
      <c r="BC29" s="515">
        <f t="shared" si="15"/>
        <v>0</v>
      </c>
      <c r="BD29" s="515">
        <f t="shared" si="16"/>
        <v>4</v>
      </c>
      <c r="BE29" s="515">
        <f t="shared" si="17"/>
        <v>0</v>
      </c>
      <c r="BF29" s="515">
        <f t="shared" si="18"/>
        <v>0</v>
      </c>
      <c r="BG29" s="515">
        <f t="shared" si="19"/>
        <v>0</v>
      </c>
      <c r="BH29" s="515">
        <f t="shared" si="20"/>
        <v>0</v>
      </c>
      <c r="BI29" s="515">
        <f t="shared" si="21"/>
        <v>0</v>
      </c>
      <c r="BJ29" s="477"/>
      <c r="BK29" s="297"/>
      <c r="BL29" s="412"/>
      <c r="BM29" s="412"/>
      <c r="BN29" s="412"/>
      <c r="BO29" s="412"/>
      <c r="BP29" s="412"/>
      <c r="BQ29" s="412"/>
      <c r="BR29" s="412"/>
      <c r="BS29" s="477"/>
      <c r="BT29" s="477"/>
      <c r="BU29" s="477"/>
      <c r="BV29" s="477"/>
      <c r="BW29" s="477"/>
      <c r="BX29" s="477"/>
      <c r="BY29" s="477"/>
      <c r="BZ29" s="477"/>
      <c r="CA29" s="477"/>
      <c r="CB29" s="477"/>
      <c r="CC29" s="477"/>
      <c r="CD29" s="477"/>
      <c r="CE29" s="477"/>
      <c r="CF29" s="477"/>
      <c r="CG29" s="477"/>
      <c r="CH29" s="477"/>
      <c r="CI29" s="477"/>
      <c r="CJ29" s="477"/>
      <c r="CK29" s="477"/>
      <c r="CM29" s="477"/>
      <c r="CN29" s="477"/>
      <c r="CO29" s="477"/>
      <c r="CP29" s="477"/>
      <c r="CQ29" s="477"/>
      <c r="CR29" s="477"/>
      <c r="CS29" s="477"/>
      <c r="CT29" s="477"/>
      <c r="CU29" s="477"/>
      <c r="CV29" s="477"/>
    </row>
    <row r="30" spans="4:100" ht="20.25">
      <c r="F30" s="609"/>
      <c r="G30" s="470"/>
      <c r="H30" s="606"/>
      <c r="I30" s="612"/>
      <c r="J30" s="616"/>
      <c r="L30" s="475"/>
      <c r="M30" s="502"/>
      <c r="N30" s="607"/>
      <c r="O30" s="474"/>
      <c r="P30" s="474"/>
      <c r="Q30" s="474"/>
      <c r="R30" s="474"/>
      <c r="S30" s="474"/>
      <c r="T30" s="474"/>
      <c r="U30" s="474"/>
      <c r="V30" s="474"/>
      <c r="W30" s="474"/>
      <c r="X30" s="474"/>
      <c r="Y30" s="474"/>
      <c r="Z30" s="474"/>
      <c r="AA30" s="384">
        <v>25</v>
      </c>
      <c r="AB30" s="481">
        <f>COUNTIF(E6:J50,AA30)</f>
        <v>0</v>
      </c>
      <c r="AC30" s="481">
        <f>COUNTIF(E6:Y50,AA30)</f>
        <v>0</v>
      </c>
      <c r="AD30" s="516">
        <v>25</v>
      </c>
      <c r="AE30" s="501"/>
      <c r="AF30" s="501"/>
      <c r="AG30" s="501"/>
      <c r="AH30" s="501"/>
      <c r="AI30" s="501"/>
      <c r="AJ30" s="452"/>
      <c r="AO30" s="474">
        <v>707</v>
      </c>
      <c r="AP30" s="476">
        <v>5</v>
      </c>
      <c r="AQ30" s="476">
        <v>4</v>
      </c>
      <c r="AR30" s="476">
        <v>3</v>
      </c>
      <c r="AS30" s="476">
        <v>5</v>
      </c>
      <c r="AT30" s="476">
        <v>5</v>
      </c>
      <c r="AU30" s="476">
        <v>4</v>
      </c>
      <c r="AY30" s="515">
        <f t="shared" si="11"/>
        <v>0</v>
      </c>
      <c r="AZ30" s="515">
        <f>COUNTIF(AP30:AU30,1)</f>
        <v>0</v>
      </c>
      <c r="BA30" s="515">
        <f t="shared" si="13"/>
        <v>0</v>
      </c>
      <c r="BB30" s="515">
        <f t="shared" si="14"/>
        <v>1</v>
      </c>
      <c r="BC30" s="515">
        <f t="shared" si="15"/>
        <v>2</v>
      </c>
      <c r="BD30" s="515">
        <f t="shared" si="16"/>
        <v>3</v>
      </c>
      <c r="BE30" s="515">
        <f t="shared" si="17"/>
        <v>0</v>
      </c>
      <c r="BF30" s="515">
        <f t="shared" si="18"/>
        <v>0</v>
      </c>
      <c r="BG30" s="515">
        <f t="shared" si="19"/>
        <v>0</v>
      </c>
      <c r="BH30" s="515">
        <f t="shared" si="20"/>
        <v>0</v>
      </c>
      <c r="BI30" s="515">
        <f t="shared" si="21"/>
        <v>0</v>
      </c>
      <c r="BJ30" s="477"/>
      <c r="BK30" s="477"/>
      <c r="BL30" s="412"/>
      <c r="BM30" s="412"/>
      <c r="BN30" s="412"/>
      <c r="BO30" s="412"/>
      <c r="BP30" s="412"/>
      <c r="BQ30" s="412"/>
      <c r="BR30" s="412"/>
      <c r="BS30" s="477"/>
      <c r="BT30" s="477"/>
      <c r="BU30" s="477"/>
      <c r="BV30" s="477"/>
      <c r="BW30" s="477"/>
      <c r="BX30" s="477"/>
      <c r="BY30" s="477"/>
      <c r="BZ30" s="477"/>
      <c r="CA30" s="477"/>
      <c r="CB30" s="477"/>
      <c r="CC30" s="477"/>
      <c r="CD30" s="477"/>
      <c r="CE30" s="477"/>
      <c r="CF30" s="477"/>
      <c r="CG30" s="477"/>
      <c r="CH30" s="477"/>
      <c r="CI30" s="477"/>
      <c r="CJ30" s="477"/>
      <c r="CK30" s="477"/>
      <c r="CM30" s="477"/>
      <c r="CN30" s="477"/>
      <c r="CO30" s="477"/>
      <c r="CP30" s="477"/>
      <c r="CQ30" s="477"/>
      <c r="CR30" s="477"/>
      <c r="CS30" s="477"/>
      <c r="CT30" s="477"/>
      <c r="CU30" s="477"/>
      <c r="CV30" s="477"/>
    </row>
    <row r="31" spans="4:100" ht="20.25">
      <c r="F31" s="609"/>
      <c r="G31" s="469"/>
      <c r="H31" s="603"/>
      <c r="I31" s="613"/>
      <c r="J31" s="616"/>
      <c r="L31" s="139"/>
      <c r="M31" s="503"/>
      <c r="N31" s="607"/>
      <c r="O31" s="474"/>
      <c r="P31" s="474"/>
      <c r="Q31" s="474"/>
      <c r="R31" s="474"/>
      <c r="S31" s="474"/>
      <c r="T31" s="474"/>
      <c r="U31" s="474"/>
      <c r="V31" s="474"/>
      <c r="W31" s="474"/>
      <c r="X31" s="474"/>
      <c r="Y31" s="474"/>
      <c r="Z31" s="474"/>
      <c r="AA31" s="384">
        <v>26</v>
      </c>
      <c r="AB31" s="481">
        <f>COUNTIF(E6:J50,AA31)</f>
        <v>0</v>
      </c>
      <c r="AC31" s="481">
        <f>COUNTIF(E6:Y50,AA31)</f>
        <v>0</v>
      </c>
      <c r="AD31" s="516">
        <v>26</v>
      </c>
      <c r="AE31" s="501"/>
      <c r="AF31" s="501"/>
      <c r="AG31" s="501"/>
      <c r="AH31" s="501"/>
      <c r="AI31" s="501"/>
      <c r="AJ31" s="452"/>
      <c r="AO31" s="474">
        <v>709</v>
      </c>
      <c r="AP31" s="476">
        <v>3</v>
      </c>
      <c r="AQ31" s="476">
        <v>5</v>
      </c>
      <c r="AR31" s="476">
        <v>4</v>
      </c>
      <c r="AS31" s="476">
        <v>5</v>
      </c>
      <c r="AT31" s="476">
        <v>5</v>
      </c>
      <c r="AU31" s="476">
        <v>4</v>
      </c>
      <c r="AY31" s="476">
        <f t="shared" si="11"/>
        <v>0</v>
      </c>
      <c r="AZ31" s="476">
        <f>COUNTIF(AP31:AU31,1)</f>
        <v>0</v>
      </c>
      <c r="BA31" s="476">
        <f t="shared" si="13"/>
        <v>0</v>
      </c>
      <c r="BB31" s="476">
        <f t="shared" si="14"/>
        <v>1</v>
      </c>
      <c r="BC31" s="476">
        <f t="shared" si="15"/>
        <v>2</v>
      </c>
      <c r="BD31" s="476">
        <f t="shared" si="16"/>
        <v>3</v>
      </c>
      <c r="BE31" s="476">
        <f t="shared" si="17"/>
        <v>0</v>
      </c>
      <c r="BF31" s="476">
        <f t="shared" si="18"/>
        <v>0</v>
      </c>
      <c r="BG31" s="476">
        <f t="shared" si="19"/>
        <v>0</v>
      </c>
      <c r="BH31" s="476">
        <f t="shared" si="20"/>
        <v>0</v>
      </c>
      <c r="BI31" s="476">
        <f t="shared" si="21"/>
        <v>0</v>
      </c>
      <c r="BJ31" s="477"/>
      <c r="BK31" s="477"/>
      <c r="BL31" s="412"/>
      <c r="BM31" s="412"/>
      <c r="BN31" s="412"/>
      <c r="BO31" s="412"/>
      <c r="BP31" s="412"/>
      <c r="BQ31" s="412"/>
      <c r="BR31" s="412"/>
      <c r="BS31" s="477"/>
      <c r="BT31" s="477"/>
      <c r="BU31" s="477"/>
      <c r="BV31" s="477"/>
      <c r="BW31" s="477"/>
      <c r="BX31" s="477"/>
      <c r="BY31" s="477"/>
      <c r="BZ31" s="477"/>
      <c r="CA31" s="477"/>
      <c r="CB31" s="477"/>
      <c r="CC31" s="477"/>
      <c r="CD31" s="477"/>
      <c r="CE31" s="477"/>
      <c r="CF31" s="477"/>
      <c r="CG31" s="477"/>
      <c r="CH31" s="477"/>
      <c r="CI31" s="477"/>
      <c r="CJ31" s="477"/>
      <c r="CK31" s="477"/>
      <c r="CM31" s="477"/>
      <c r="CN31" s="477"/>
      <c r="CO31" s="477"/>
      <c r="CP31" s="477"/>
      <c r="CQ31" s="477"/>
      <c r="CR31" s="477"/>
      <c r="CS31" s="477"/>
      <c r="CT31" s="477"/>
      <c r="CU31" s="477"/>
      <c r="CV31" s="477"/>
    </row>
    <row r="32" spans="4:100" ht="20.25">
      <c r="F32" s="609"/>
      <c r="G32" s="471"/>
      <c r="H32" s="604"/>
      <c r="I32" s="611"/>
      <c r="J32" s="616"/>
      <c r="L32" s="475"/>
      <c r="M32" s="502"/>
      <c r="N32" s="607"/>
      <c r="O32" s="474"/>
      <c r="P32" s="474"/>
      <c r="Q32" s="474"/>
      <c r="R32" s="474"/>
      <c r="S32" s="474"/>
      <c r="T32" s="474"/>
      <c r="U32" s="474"/>
      <c r="V32" s="474"/>
      <c r="W32" s="474"/>
      <c r="X32" s="474"/>
      <c r="Y32" s="474"/>
      <c r="Z32" s="474"/>
      <c r="AA32" s="384">
        <v>27</v>
      </c>
      <c r="AB32" s="481">
        <f>COUNTIF(E6:J50,AA32)</f>
        <v>0</v>
      </c>
      <c r="AC32" s="481">
        <f>COUNTIF(E6:Y50,AA32)</f>
        <v>0</v>
      </c>
      <c r="AD32" s="516">
        <v>27</v>
      </c>
      <c r="AE32" s="501"/>
      <c r="AF32" s="501"/>
      <c r="AG32" s="501"/>
      <c r="AH32" s="501"/>
      <c r="AI32" s="501"/>
      <c r="AJ32" s="452"/>
      <c r="AO32" s="474">
        <v>709</v>
      </c>
      <c r="AY32" s="550">
        <f t="shared" ref="AY32:AY41" si="22">COUNTIF(AP32:AU32,0)</f>
        <v>0</v>
      </c>
      <c r="AZ32" s="550">
        <f t="shared" ref="AZ32:AZ45" si="23">COUNTIF(AP32:AU32,1)</f>
        <v>0</v>
      </c>
      <c r="BA32" s="550">
        <f t="shared" ref="BA32:BA45" si="24">COUNTIF(AP32:AU32,2)</f>
        <v>0</v>
      </c>
      <c r="BB32" s="550">
        <f t="shared" ref="BB32:BB45" si="25">COUNTIF(AP32:AU32,3)</f>
        <v>0</v>
      </c>
      <c r="BC32" s="550">
        <f t="shared" ref="BC32:BC45" si="26">COUNTIF(AP32:AU32,4)</f>
        <v>0</v>
      </c>
      <c r="BD32" s="550">
        <f t="shared" ref="BD32:BD45" si="27">COUNTIF(AP32:AU32,5)</f>
        <v>0</v>
      </c>
      <c r="BE32" s="550">
        <f t="shared" ref="BE32:BE45" si="28">COUNTIF(AP32:AU32,6)</f>
        <v>0</v>
      </c>
      <c r="BF32" s="550">
        <f t="shared" ref="BF32:BF45" si="29">COUNTIF(AP32:AU32,7)</f>
        <v>0</v>
      </c>
      <c r="BG32" s="550">
        <f t="shared" ref="BG32:BG45" si="30">COUNTIF(AP32:AU32,8)</f>
        <v>0</v>
      </c>
      <c r="BH32" s="550">
        <f t="shared" ref="BH32:BH45" si="31">COUNTIF(AP32:AU32,9)</f>
        <v>0</v>
      </c>
      <c r="BI32" s="550">
        <f t="shared" ref="BI32:BI45" si="32">COUNTIF(AP32:AU32,10)</f>
        <v>0</v>
      </c>
      <c r="BJ32" s="477"/>
      <c r="BK32" s="376"/>
      <c r="BL32" s="412"/>
      <c r="BM32" s="412"/>
      <c r="BN32" s="479">
        <v>1</v>
      </c>
      <c r="BO32" s="479">
        <f>COUNTIF(AW3:AW54,BN32)</f>
        <v>0</v>
      </c>
      <c r="BP32" s="483" t="e">
        <f>BO32/BO38</f>
        <v>#DIV/0!</v>
      </c>
      <c r="BQ32" s="412"/>
      <c r="BR32" s="412"/>
      <c r="BS32" s="477"/>
      <c r="BT32" s="477"/>
      <c r="BU32" s="474"/>
      <c r="BV32" s="477"/>
      <c r="BW32" s="477"/>
      <c r="BX32" s="477"/>
      <c r="BY32" s="477"/>
      <c r="BZ32" s="477"/>
      <c r="CA32" s="477"/>
      <c r="CB32" s="477"/>
      <c r="CC32" s="477"/>
      <c r="CD32" s="477"/>
      <c r="CE32" s="477"/>
      <c r="CF32" s="477"/>
      <c r="CG32" s="477"/>
      <c r="CH32" s="477"/>
      <c r="CI32" s="477"/>
      <c r="CJ32" s="477"/>
      <c r="CK32" s="477"/>
      <c r="CM32" s="477"/>
      <c r="CN32" s="477"/>
      <c r="CO32" s="477"/>
      <c r="CP32" s="477"/>
      <c r="CQ32" s="477"/>
      <c r="CR32" s="477"/>
      <c r="CS32" s="477"/>
      <c r="CT32" s="477"/>
      <c r="CU32" s="477"/>
      <c r="CV32" s="477"/>
    </row>
    <row r="33" spans="5:104" ht="20.25">
      <c r="F33" s="609"/>
      <c r="G33" s="472"/>
      <c r="H33" s="604"/>
      <c r="I33" s="611"/>
      <c r="J33" s="614"/>
      <c r="L33" s="475"/>
      <c r="M33" s="504"/>
      <c r="N33" s="607"/>
      <c r="O33" s="474"/>
      <c r="P33" s="474"/>
      <c r="Q33" s="474"/>
      <c r="R33" s="474"/>
      <c r="S33" s="474"/>
      <c r="T33" s="474"/>
      <c r="U33" s="474"/>
      <c r="V33" s="474"/>
      <c r="W33" s="474"/>
      <c r="X33" s="474"/>
      <c r="Y33" s="474"/>
      <c r="Z33" s="474"/>
      <c r="AA33" s="384">
        <v>28</v>
      </c>
      <c r="AB33" s="481">
        <f>COUNTIF(E6:J50,AA33)</f>
        <v>0</v>
      </c>
      <c r="AC33" s="481">
        <f>COUNTIF(E6:Y50,AA33)</f>
        <v>0</v>
      </c>
      <c r="AD33" s="516">
        <v>28</v>
      </c>
      <c r="AE33" s="501"/>
      <c r="AF33" s="501"/>
      <c r="AG33" s="501"/>
      <c r="AH33" s="501"/>
      <c r="AI33" s="501"/>
      <c r="AJ33" s="452"/>
      <c r="AO33" s="474">
        <v>710</v>
      </c>
      <c r="AP33" s="476">
        <v>3</v>
      </c>
      <c r="AQ33" s="476">
        <v>4</v>
      </c>
      <c r="AR33" s="476">
        <v>2</v>
      </c>
      <c r="AS33" s="476">
        <v>5</v>
      </c>
      <c r="AT33" s="476">
        <v>4</v>
      </c>
      <c r="AU33" s="476">
        <v>1</v>
      </c>
      <c r="AY33" s="550">
        <f t="shared" si="22"/>
        <v>0</v>
      </c>
      <c r="AZ33" s="550">
        <f t="shared" si="23"/>
        <v>1</v>
      </c>
      <c r="BA33" s="550">
        <f t="shared" si="24"/>
        <v>1</v>
      </c>
      <c r="BB33" s="550">
        <f t="shared" si="25"/>
        <v>1</v>
      </c>
      <c r="BC33" s="550">
        <f t="shared" si="26"/>
        <v>2</v>
      </c>
      <c r="BD33" s="550">
        <f t="shared" si="27"/>
        <v>1</v>
      </c>
      <c r="BE33" s="550">
        <f t="shared" si="28"/>
        <v>0</v>
      </c>
      <c r="BF33" s="550">
        <f t="shared" si="29"/>
        <v>0</v>
      </c>
      <c r="BG33" s="550">
        <f t="shared" si="30"/>
        <v>0</v>
      </c>
      <c r="BH33" s="550">
        <f t="shared" si="31"/>
        <v>0</v>
      </c>
      <c r="BI33" s="550">
        <f t="shared" si="32"/>
        <v>0</v>
      </c>
      <c r="BJ33" s="480"/>
      <c r="BK33" s="375"/>
      <c r="BL33" s="412"/>
      <c r="BM33" s="477"/>
      <c r="BN33" s="479">
        <v>2</v>
      </c>
      <c r="BO33" s="479">
        <f>COUNTIF(AW3:AW54,BN33)</f>
        <v>0</v>
      </c>
      <c r="BP33" s="483" t="e">
        <f>BO33/BO38</f>
        <v>#DIV/0!</v>
      </c>
      <c r="BQ33" s="412"/>
      <c r="BR33" s="412"/>
      <c r="BS33" s="477"/>
      <c r="BT33" s="477"/>
      <c r="BU33" s="474"/>
      <c r="BV33" s="477"/>
      <c r="BW33" s="477"/>
      <c r="BX33" s="477"/>
      <c r="BY33" s="477"/>
      <c r="BZ33" s="477"/>
      <c r="CA33" s="477"/>
      <c r="CB33" s="477"/>
      <c r="CC33" s="477"/>
      <c r="CD33" s="477"/>
      <c r="CE33" s="477"/>
      <c r="CF33" s="477"/>
      <c r="CG33" s="477"/>
      <c r="CH33" s="477"/>
      <c r="CI33" s="477"/>
      <c r="CJ33" s="477"/>
      <c r="CK33" s="477"/>
      <c r="CM33" s="477"/>
      <c r="CN33" s="477"/>
      <c r="CO33" s="477"/>
      <c r="CP33" s="477"/>
      <c r="CQ33" s="477"/>
      <c r="CR33" s="477"/>
      <c r="CS33" s="477"/>
      <c r="CT33" s="477"/>
      <c r="CU33" s="477"/>
      <c r="CV33" s="477"/>
    </row>
    <row r="34" spans="5:104" ht="20.25">
      <c r="F34" s="609"/>
      <c r="G34" s="471"/>
      <c r="H34" s="605"/>
      <c r="I34" s="611"/>
      <c r="J34" s="615"/>
      <c r="L34" s="475"/>
      <c r="M34" s="502"/>
      <c r="N34" s="607"/>
      <c r="O34" s="474"/>
      <c r="P34" s="474"/>
      <c r="Q34" s="474"/>
      <c r="R34" s="474"/>
      <c r="S34" s="474"/>
      <c r="T34" s="474"/>
      <c r="U34" s="474"/>
      <c r="V34" s="474"/>
      <c r="W34" s="474"/>
      <c r="X34" s="474"/>
      <c r="Y34" s="474"/>
      <c r="Z34" s="474"/>
      <c r="AA34" s="384">
        <v>29</v>
      </c>
      <c r="AB34" s="481">
        <f>COUNTIF(E6:J50,AA34)</f>
        <v>0</v>
      </c>
      <c r="AC34" s="481">
        <f>COUNTIF(E6:Y50,AA34)</f>
        <v>0</v>
      </c>
      <c r="AD34" s="516">
        <v>29</v>
      </c>
      <c r="AE34" s="501"/>
      <c r="AF34" s="501"/>
      <c r="AG34" s="501"/>
      <c r="AH34" s="501"/>
      <c r="AI34" s="501"/>
      <c r="AJ34" s="452"/>
      <c r="AO34" s="474">
        <v>711</v>
      </c>
      <c r="AP34" s="476">
        <v>5</v>
      </c>
      <c r="AQ34" s="476">
        <v>3</v>
      </c>
      <c r="AR34" s="476">
        <v>3</v>
      </c>
      <c r="AS34" s="476">
        <v>3</v>
      </c>
      <c r="AT34" s="476">
        <v>5</v>
      </c>
      <c r="AU34" s="476">
        <v>3</v>
      </c>
      <c r="AY34" s="550">
        <f t="shared" si="22"/>
        <v>0</v>
      </c>
      <c r="AZ34" s="550">
        <f t="shared" si="23"/>
        <v>0</v>
      </c>
      <c r="BA34" s="550">
        <f t="shared" si="24"/>
        <v>0</v>
      </c>
      <c r="BB34" s="550">
        <f t="shared" si="25"/>
        <v>4</v>
      </c>
      <c r="BC34" s="550">
        <f t="shared" si="26"/>
        <v>0</v>
      </c>
      <c r="BD34" s="550">
        <f t="shared" si="27"/>
        <v>2</v>
      </c>
      <c r="BE34" s="550">
        <f t="shared" si="28"/>
        <v>0</v>
      </c>
      <c r="BF34" s="550">
        <f t="shared" si="29"/>
        <v>0</v>
      </c>
      <c r="BG34" s="550">
        <f t="shared" si="30"/>
        <v>0</v>
      </c>
      <c r="BH34" s="550">
        <f t="shared" si="31"/>
        <v>0</v>
      </c>
      <c r="BI34" s="550">
        <f t="shared" si="32"/>
        <v>0</v>
      </c>
      <c r="BJ34" s="477"/>
      <c r="BK34" s="477"/>
      <c r="BL34" s="477"/>
      <c r="BM34" s="477"/>
      <c r="BN34" s="479">
        <v>3</v>
      </c>
      <c r="BO34" s="479">
        <f>COUNTIF(AW3:AW54,BN34)</f>
        <v>0</v>
      </c>
      <c r="BP34" s="483" t="e">
        <f>BO34/BO38</f>
        <v>#DIV/0!</v>
      </c>
      <c r="BQ34" s="477"/>
      <c r="BR34" s="477"/>
      <c r="BS34" s="477"/>
      <c r="BT34" s="477"/>
      <c r="BU34" s="477"/>
      <c r="BV34" s="477"/>
      <c r="BW34" s="477"/>
      <c r="BX34" s="477"/>
      <c r="BY34" s="477"/>
      <c r="BZ34" s="477"/>
      <c r="CA34" s="477"/>
      <c r="CB34" s="477"/>
      <c r="CC34" s="477"/>
      <c r="CD34" s="477"/>
      <c r="CE34" s="477"/>
      <c r="CF34" s="477"/>
      <c r="CG34" s="477"/>
      <c r="CH34" s="477"/>
      <c r="CI34" s="477"/>
      <c r="CJ34" s="477"/>
      <c r="CK34" s="477"/>
      <c r="CM34" s="477"/>
      <c r="CN34" s="477"/>
      <c r="CO34" s="477"/>
      <c r="CP34" s="477"/>
      <c r="CQ34" s="477"/>
      <c r="CR34" s="477"/>
      <c r="CS34" s="477"/>
      <c r="CT34" s="477"/>
      <c r="CU34" s="477"/>
      <c r="CV34" s="477"/>
    </row>
    <row r="35" spans="5:104" ht="20.25">
      <c r="F35" s="609"/>
      <c r="G35" s="472"/>
      <c r="H35" s="604"/>
      <c r="I35" s="613"/>
      <c r="J35" s="616"/>
      <c r="L35" s="474"/>
      <c r="M35" s="504"/>
      <c r="N35" s="607"/>
      <c r="O35" s="474"/>
      <c r="P35" s="474"/>
      <c r="Q35" s="474"/>
      <c r="R35" s="474"/>
      <c r="S35" s="474"/>
      <c r="T35" s="474"/>
      <c r="U35" s="474"/>
      <c r="V35" s="474"/>
      <c r="W35" s="474"/>
      <c r="X35" s="474"/>
      <c r="Y35" s="474"/>
      <c r="Z35" s="474"/>
      <c r="AA35" s="384">
        <v>30</v>
      </c>
      <c r="AB35" s="481">
        <f>COUNTIF(E6:J50,AA35)</f>
        <v>0</v>
      </c>
      <c r="AC35" s="481">
        <f>COUNTIF(E6:Y50,AA35)</f>
        <v>0</v>
      </c>
      <c r="AD35" s="516">
        <v>30</v>
      </c>
      <c r="AE35" s="501"/>
      <c r="AF35" s="501"/>
      <c r="AG35" s="501"/>
      <c r="AH35" s="501"/>
      <c r="AI35" s="501"/>
      <c r="AJ35" s="452"/>
      <c r="AO35" s="474">
        <v>712</v>
      </c>
      <c r="AP35" s="476">
        <v>4</v>
      </c>
      <c r="AQ35" s="476">
        <v>1</v>
      </c>
      <c r="AR35" s="476">
        <v>4</v>
      </c>
      <c r="AS35" s="476">
        <v>5</v>
      </c>
      <c r="AT35" s="476">
        <v>1</v>
      </c>
      <c r="AU35" s="476">
        <v>3</v>
      </c>
      <c r="AY35" s="550">
        <f t="shared" si="22"/>
        <v>0</v>
      </c>
      <c r="AZ35" s="550">
        <f t="shared" si="23"/>
        <v>2</v>
      </c>
      <c r="BA35" s="550">
        <f t="shared" si="24"/>
        <v>0</v>
      </c>
      <c r="BB35" s="550">
        <f t="shared" si="25"/>
        <v>1</v>
      </c>
      <c r="BC35" s="550">
        <f t="shared" si="26"/>
        <v>2</v>
      </c>
      <c r="BD35" s="550">
        <f t="shared" si="27"/>
        <v>1</v>
      </c>
      <c r="BE35" s="550">
        <f t="shared" si="28"/>
        <v>0</v>
      </c>
      <c r="BF35" s="550">
        <f t="shared" si="29"/>
        <v>0</v>
      </c>
      <c r="BG35" s="550">
        <f t="shared" si="30"/>
        <v>0</v>
      </c>
      <c r="BH35" s="550">
        <f t="shared" si="31"/>
        <v>0</v>
      </c>
      <c r="BI35" s="550">
        <f t="shared" si="32"/>
        <v>0</v>
      </c>
      <c r="BJ35" s="477"/>
      <c r="BK35" s="477"/>
      <c r="BL35" s="477"/>
      <c r="BM35" s="477"/>
      <c r="BN35" s="479">
        <v>4</v>
      </c>
      <c r="BO35" s="479">
        <f>COUNTIF(AW3:AW54,BN35)</f>
        <v>0</v>
      </c>
      <c r="BP35" s="483" t="e">
        <f>BO35/BO38</f>
        <v>#DIV/0!</v>
      </c>
      <c r="BQ35" s="477"/>
      <c r="BR35" s="477"/>
      <c r="BS35" s="477"/>
      <c r="BT35" s="477"/>
      <c r="BU35" s="477"/>
      <c r="BV35" s="477"/>
      <c r="BW35" s="477"/>
      <c r="BX35" s="477"/>
      <c r="BY35" s="477"/>
      <c r="BZ35" s="477"/>
      <c r="CA35" s="477"/>
      <c r="CB35" s="477"/>
      <c r="CC35" s="477"/>
      <c r="CD35" s="477"/>
      <c r="CE35" s="477"/>
      <c r="CF35" s="477"/>
      <c r="CG35" s="477"/>
      <c r="CH35" s="297"/>
      <c r="CI35" s="477"/>
      <c r="CJ35" s="477"/>
      <c r="CK35" s="477"/>
      <c r="CM35" s="477"/>
      <c r="CN35" s="477"/>
      <c r="CO35" s="477"/>
      <c r="CP35" s="477"/>
      <c r="CQ35" s="477"/>
      <c r="CR35" s="477"/>
      <c r="CS35" s="477"/>
      <c r="CT35" s="477"/>
      <c r="CU35" s="477"/>
      <c r="CV35" s="477"/>
      <c r="CY35" s="477"/>
    </row>
    <row r="36" spans="5:104">
      <c r="F36" s="609"/>
      <c r="G36" s="472"/>
      <c r="H36" s="606"/>
      <c r="I36" s="610"/>
      <c r="J36" s="616"/>
      <c r="L36" s="474"/>
      <c r="M36" s="503"/>
      <c r="N36" s="607"/>
      <c r="O36" s="474"/>
      <c r="P36" s="474"/>
      <c r="Q36" s="474"/>
      <c r="R36" s="474"/>
      <c r="S36" s="474"/>
      <c r="T36" s="474"/>
      <c r="U36" s="474"/>
      <c r="V36" s="474"/>
      <c r="W36" s="474"/>
      <c r="X36" s="474"/>
      <c r="Y36" s="474"/>
      <c r="Z36" s="474"/>
      <c r="AA36" s="384">
        <v>31</v>
      </c>
      <c r="AB36" s="481">
        <f>COUNTIF(E6:J50,AA36)</f>
        <v>0</v>
      </c>
      <c r="AC36" s="481">
        <f>COUNTIF(E6:Y50,AA36)</f>
        <v>0</v>
      </c>
      <c r="AD36" s="516">
        <v>31</v>
      </c>
      <c r="AE36" s="501"/>
      <c r="AF36" s="501"/>
      <c r="AG36" s="501"/>
      <c r="AH36" s="501"/>
      <c r="AI36" s="501"/>
      <c r="AO36" s="474">
        <v>713</v>
      </c>
      <c r="AP36" s="476">
        <v>5</v>
      </c>
      <c r="AQ36" s="476">
        <v>5</v>
      </c>
      <c r="AR36" s="476">
        <v>4</v>
      </c>
      <c r="AS36" s="476">
        <v>5</v>
      </c>
      <c r="AT36" s="476">
        <v>4</v>
      </c>
      <c r="AU36" s="476">
        <v>5</v>
      </c>
      <c r="AY36" s="550">
        <f t="shared" si="22"/>
        <v>0</v>
      </c>
      <c r="AZ36" s="550">
        <f t="shared" si="23"/>
        <v>0</v>
      </c>
      <c r="BA36" s="550">
        <f t="shared" si="24"/>
        <v>0</v>
      </c>
      <c r="BB36" s="550">
        <f t="shared" si="25"/>
        <v>0</v>
      </c>
      <c r="BC36" s="550">
        <f t="shared" si="26"/>
        <v>2</v>
      </c>
      <c r="BD36" s="550">
        <f t="shared" si="27"/>
        <v>4</v>
      </c>
      <c r="BE36" s="550">
        <f t="shared" si="28"/>
        <v>0</v>
      </c>
      <c r="BF36" s="550">
        <f t="shared" si="29"/>
        <v>0</v>
      </c>
      <c r="BG36" s="550">
        <f t="shared" si="30"/>
        <v>0</v>
      </c>
      <c r="BH36" s="550">
        <f t="shared" si="31"/>
        <v>0</v>
      </c>
      <c r="BI36" s="550">
        <f t="shared" si="32"/>
        <v>0</v>
      </c>
      <c r="BJ36" s="477"/>
      <c r="BK36" s="477"/>
      <c r="BL36" s="477"/>
      <c r="BM36" s="477"/>
      <c r="BN36" s="479">
        <v>5</v>
      </c>
      <c r="BO36" s="479">
        <f>COUNTIF(AW3:AW54,BN36)</f>
        <v>0</v>
      </c>
      <c r="BP36" s="483" t="e">
        <f>BO36/BO38</f>
        <v>#DIV/0!</v>
      </c>
      <c r="BQ36" s="477"/>
      <c r="BR36" s="477"/>
      <c r="BS36" s="477"/>
      <c r="BT36" s="477"/>
      <c r="BU36" s="412"/>
      <c r="BV36" s="477"/>
      <c r="BW36" s="477"/>
      <c r="BX36" s="477"/>
      <c r="BY36" s="477"/>
      <c r="BZ36" s="477"/>
      <c r="CA36" s="477"/>
      <c r="CB36" s="477"/>
      <c r="CC36" s="477"/>
      <c r="CD36" s="477"/>
      <c r="CE36" s="477"/>
      <c r="CF36" s="477"/>
      <c r="CG36" s="477"/>
      <c r="CH36" s="477"/>
      <c r="CI36" s="477"/>
      <c r="CJ36" s="477"/>
      <c r="CK36" s="477"/>
      <c r="CM36" s="477"/>
      <c r="CN36" s="477"/>
      <c r="CO36" s="477"/>
      <c r="CP36" s="477"/>
      <c r="CQ36" s="477"/>
      <c r="CR36" s="477"/>
      <c r="CS36" s="477"/>
      <c r="CT36" s="477"/>
      <c r="CU36" s="477"/>
      <c r="CV36" s="477"/>
    </row>
    <row r="37" spans="5:104">
      <c r="F37" s="609"/>
      <c r="G37" s="474"/>
      <c r="H37" s="604"/>
      <c r="I37" s="612"/>
      <c r="J37" s="614"/>
      <c r="L37" s="474"/>
      <c r="M37" s="504"/>
      <c r="N37" s="607"/>
      <c r="O37" s="474"/>
      <c r="P37" s="474"/>
      <c r="Q37" s="474"/>
      <c r="R37" s="474"/>
      <c r="S37" s="474"/>
      <c r="T37" s="474"/>
      <c r="U37" s="474"/>
      <c r="V37" s="474"/>
      <c r="W37" s="474"/>
      <c r="X37" s="474"/>
      <c r="Y37" s="474"/>
      <c r="Z37" s="474"/>
      <c r="AA37" s="384">
        <v>32</v>
      </c>
      <c r="AB37" s="481">
        <f>COUNTIF(E6:J50,AA37)</f>
        <v>0</v>
      </c>
      <c r="AC37" s="481">
        <f>COUNTIF(E6:Y50,AA37)</f>
        <v>0</v>
      </c>
      <c r="AD37" s="516">
        <v>32</v>
      </c>
      <c r="AE37" s="501"/>
      <c r="AF37" s="501"/>
      <c r="AG37" s="501"/>
      <c r="AH37" s="501"/>
      <c r="AI37" s="501"/>
      <c r="AO37" s="474">
        <v>714</v>
      </c>
      <c r="AP37" s="476">
        <v>3</v>
      </c>
      <c r="AQ37" s="476">
        <v>4</v>
      </c>
      <c r="AR37" s="476">
        <v>4</v>
      </c>
      <c r="AS37" s="476">
        <v>2</v>
      </c>
      <c r="AT37" s="476">
        <v>5</v>
      </c>
      <c r="AU37" s="476">
        <v>2</v>
      </c>
      <c r="AY37" s="550">
        <f t="shared" si="22"/>
        <v>0</v>
      </c>
      <c r="AZ37" s="550">
        <f t="shared" si="23"/>
        <v>0</v>
      </c>
      <c r="BA37" s="550">
        <f t="shared" si="24"/>
        <v>2</v>
      </c>
      <c r="BB37" s="550">
        <f t="shared" si="25"/>
        <v>1</v>
      </c>
      <c r="BC37" s="550">
        <f t="shared" si="26"/>
        <v>2</v>
      </c>
      <c r="BD37" s="550">
        <f t="shared" si="27"/>
        <v>1</v>
      </c>
      <c r="BE37" s="550">
        <f t="shared" si="28"/>
        <v>0</v>
      </c>
      <c r="BF37" s="550">
        <f t="shared" si="29"/>
        <v>0</v>
      </c>
      <c r="BG37" s="550">
        <f t="shared" si="30"/>
        <v>0</v>
      </c>
      <c r="BH37" s="550">
        <f t="shared" si="31"/>
        <v>0</v>
      </c>
      <c r="BI37" s="550">
        <f t="shared" si="32"/>
        <v>0</v>
      </c>
      <c r="BJ37" s="477"/>
      <c r="BK37" s="382"/>
      <c r="BL37" s="382"/>
      <c r="BM37" s="382"/>
      <c r="BN37" s="479">
        <v>6</v>
      </c>
      <c r="BO37" s="479">
        <f>COUNTIF(AW3:AW54,BN37)</f>
        <v>0</v>
      </c>
      <c r="BP37" s="483" t="e">
        <f>BO37/BO38</f>
        <v>#DIV/0!</v>
      </c>
      <c r="BQ37" s="382"/>
      <c r="BR37" s="382"/>
      <c r="BS37" s="382"/>
      <c r="BT37" s="382"/>
      <c r="BU37" s="382"/>
      <c r="BV37" s="382"/>
      <c r="BW37" s="382"/>
      <c r="BX37" s="382"/>
      <c r="BY37" s="382"/>
      <c r="BZ37" s="382"/>
      <c r="CA37" s="382"/>
      <c r="CB37" s="382"/>
      <c r="CC37" s="382"/>
      <c r="CD37" s="382"/>
      <c r="CE37" s="382"/>
      <c r="CF37" s="477"/>
      <c r="CG37" s="477"/>
      <c r="CH37" s="477"/>
      <c r="CI37" s="477"/>
      <c r="CJ37" s="477"/>
      <c r="CK37" s="477"/>
      <c r="CM37" s="477"/>
      <c r="CN37" s="477"/>
      <c r="CO37" s="477"/>
      <c r="CP37" s="477"/>
      <c r="CQ37" s="477"/>
      <c r="CR37" s="477"/>
      <c r="CS37" s="477"/>
      <c r="CT37" s="477"/>
      <c r="CU37" s="477"/>
      <c r="CV37" s="477"/>
      <c r="CX37" s="474"/>
    </row>
    <row r="38" spans="5:104">
      <c r="F38" s="609"/>
      <c r="G38" s="474"/>
      <c r="H38" s="603"/>
      <c r="I38" s="613"/>
      <c r="J38" s="616"/>
      <c r="L38" s="474"/>
      <c r="M38" s="502"/>
      <c r="N38" s="607"/>
      <c r="O38" s="474"/>
      <c r="P38" s="474"/>
      <c r="Q38" s="474"/>
      <c r="R38" s="474"/>
      <c r="S38" s="474"/>
      <c r="T38" s="474"/>
      <c r="U38" s="474"/>
      <c r="V38" s="474"/>
      <c r="W38" s="474"/>
      <c r="X38" s="474"/>
      <c r="Y38" s="474"/>
      <c r="Z38" s="474"/>
      <c r="AA38" s="384">
        <v>33</v>
      </c>
      <c r="AB38" s="481">
        <f>COUNTIF(E6:J50,AA38)</f>
        <v>0</v>
      </c>
      <c r="AC38" s="481">
        <f>COUNTIF(E6:Y50,AA38)</f>
        <v>0</v>
      </c>
      <c r="AD38" s="516">
        <v>33</v>
      </c>
      <c r="AE38" s="501"/>
      <c r="AF38" s="501"/>
      <c r="AG38" s="501"/>
      <c r="AH38" s="501"/>
      <c r="AI38" s="501"/>
      <c r="AO38" s="474">
        <v>715</v>
      </c>
      <c r="AP38" s="476">
        <v>4</v>
      </c>
      <c r="AQ38" s="476">
        <v>5</v>
      </c>
      <c r="AR38" s="476">
        <v>1</v>
      </c>
      <c r="AS38" s="476">
        <v>1</v>
      </c>
      <c r="AT38" s="476">
        <v>3</v>
      </c>
      <c r="AU38" s="476">
        <v>4</v>
      </c>
      <c r="AY38" s="550">
        <f t="shared" si="22"/>
        <v>0</v>
      </c>
      <c r="AZ38" s="550">
        <f t="shared" si="23"/>
        <v>2</v>
      </c>
      <c r="BA38" s="550">
        <f t="shared" si="24"/>
        <v>0</v>
      </c>
      <c r="BB38" s="550">
        <f t="shared" si="25"/>
        <v>1</v>
      </c>
      <c r="BC38" s="550">
        <f t="shared" si="26"/>
        <v>2</v>
      </c>
      <c r="BD38" s="550">
        <f t="shared" si="27"/>
        <v>1</v>
      </c>
      <c r="BE38" s="550">
        <f t="shared" si="28"/>
        <v>0</v>
      </c>
      <c r="BF38" s="550">
        <f t="shared" si="29"/>
        <v>0</v>
      </c>
      <c r="BG38" s="550">
        <f t="shared" si="30"/>
        <v>0</v>
      </c>
      <c r="BH38" s="550">
        <f t="shared" si="31"/>
        <v>0</v>
      </c>
      <c r="BI38" s="550">
        <f t="shared" si="32"/>
        <v>0</v>
      </c>
      <c r="BJ38" s="477"/>
      <c r="BK38" s="477"/>
      <c r="BL38" s="477"/>
      <c r="BM38" s="477"/>
      <c r="BN38" s="479"/>
      <c r="BO38" s="479">
        <f>SUM(BO32:BO37)</f>
        <v>0</v>
      </c>
      <c r="BP38" s="483" t="e">
        <f>SUM(BP32:BP37)</f>
        <v>#DIV/0!</v>
      </c>
      <c r="BQ38" s="477"/>
      <c r="BR38" s="477"/>
      <c r="BS38" s="477"/>
      <c r="BT38" s="477"/>
      <c r="BU38" s="477"/>
      <c r="BV38" s="477"/>
      <c r="BW38" s="477"/>
      <c r="BX38" s="477"/>
      <c r="BY38" s="477"/>
      <c r="BZ38" s="477"/>
      <c r="CA38" s="477"/>
      <c r="CB38" s="477"/>
      <c r="CC38" s="477"/>
      <c r="CD38" s="477"/>
      <c r="CE38" s="477"/>
      <c r="CF38" s="477"/>
      <c r="CG38" s="477"/>
      <c r="CH38" s="477"/>
      <c r="CI38" s="477"/>
      <c r="CJ38" s="477"/>
      <c r="CK38" s="477"/>
      <c r="CM38" s="477"/>
      <c r="CN38" s="477"/>
      <c r="CO38" s="477"/>
      <c r="CP38" s="477"/>
      <c r="CQ38" s="477"/>
      <c r="CR38" s="412"/>
      <c r="CS38" s="477"/>
      <c r="CT38" s="474"/>
      <c r="CU38" s="474"/>
      <c r="CV38" s="474"/>
      <c r="CW38" s="474"/>
      <c r="CX38" s="474"/>
    </row>
    <row r="39" spans="5:104">
      <c r="F39" s="609"/>
      <c r="G39" s="474"/>
      <c r="H39" s="603"/>
      <c r="I39" s="611"/>
      <c r="J39" s="615"/>
      <c r="L39" s="474"/>
      <c r="M39" s="503"/>
      <c r="N39" s="608"/>
      <c r="O39" s="474"/>
      <c r="P39" s="474"/>
      <c r="Q39" s="474"/>
      <c r="R39" s="474"/>
      <c r="S39" s="474"/>
      <c r="T39" s="474"/>
      <c r="U39" s="474"/>
      <c r="V39" s="474"/>
      <c r="W39" s="474"/>
      <c r="X39" s="474"/>
      <c r="Y39" s="474"/>
      <c r="Z39" s="474"/>
      <c r="AA39" s="384">
        <v>34</v>
      </c>
      <c r="AB39" s="481">
        <f>COUNTIF(E6:J50,AA39)</f>
        <v>0</v>
      </c>
      <c r="AC39" s="481">
        <f>COUNTIF(E6:Y50,AA39)</f>
        <v>0</v>
      </c>
      <c r="AD39" s="516">
        <v>34</v>
      </c>
      <c r="AE39" s="501"/>
      <c r="AF39" s="501"/>
      <c r="AG39" s="501"/>
      <c r="AH39" s="501"/>
      <c r="AI39" s="501"/>
      <c r="AO39" s="474">
        <v>716</v>
      </c>
      <c r="AP39" s="476">
        <v>4</v>
      </c>
      <c r="AQ39" s="476">
        <v>5</v>
      </c>
      <c r="AR39" s="476">
        <v>5</v>
      </c>
      <c r="AS39" s="476">
        <v>5</v>
      </c>
      <c r="AT39" s="476">
        <v>5</v>
      </c>
      <c r="AU39" s="476">
        <v>3</v>
      </c>
      <c r="AY39" s="550">
        <f t="shared" si="22"/>
        <v>0</v>
      </c>
      <c r="AZ39" s="550">
        <f t="shared" si="23"/>
        <v>0</v>
      </c>
      <c r="BA39" s="550">
        <f t="shared" si="24"/>
        <v>0</v>
      </c>
      <c r="BB39" s="550">
        <f t="shared" si="25"/>
        <v>1</v>
      </c>
      <c r="BC39" s="550">
        <f t="shared" si="26"/>
        <v>1</v>
      </c>
      <c r="BD39" s="550">
        <f t="shared" si="27"/>
        <v>4</v>
      </c>
      <c r="BE39" s="550">
        <f t="shared" si="28"/>
        <v>0</v>
      </c>
      <c r="BF39" s="550">
        <f t="shared" si="29"/>
        <v>0</v>
      </c>
      <c r="BG39" s="550">
        <f t="shared" si="30"/>
        <v>0</v>
      </c>
      <c r="BH39" s="550">
        <f t="shared" si="31"/>
        <v>0</v>
      </c>
      <c r="BI39" s="550">
        <f t="shared" si="32"/>
        <v>0</v>
      </c>
      <c r="BJ39" s="477"/>
      <c r="BK39" s="477"/>
      <c r="BL39" s="477"/>
      <c r="BM39" s="477"/>
      <c r="BN39" s="477"/>
      <c r="BO39" s="477"/>
      <c r="BP39" s="477"/>
      <c r="BQ39" s="477"/>
      <c r="BR39" s="477"/>
      <c r="BS39" s="477"/>
      <c r="BT39" s="477"/>
      <c r="BU39" s="477"/>
      <c r="BV39" s="477"/>
      <c r="BW39" s="477"/>
      <c r="BX39" s="477"/>
      <c r="BY39" s="477"/>
      <c r="BZ39" s="477"/>
      <c r="CA39" s="477"/>
      <c r="CB39" s="477"/>
      <c r="CC39" s="477"/>
      <c r="CD39" s="477"/>
      <c r="CE39" s="477"/>
      <c r="CF39" s="477"/>
      <c r="CG39" s="477"/>
      <c r="CH39" s="477"/>
      <c r="CI39" s="477"/>
      <c r="CJ39" s="477"/>
      <c r="CK39" s="477"/>
      <c r="CM39" s="297"/>
      <c r="CN39" s="477"/>
      <c r="CO39" s="477"/>
      <c r="CP39" s="477"/>
      <c r="CQ39" s="477"/>
      <c r="CR39" s="412"/>
      <c r="CS39" s="477"/>
      <c r="CT39" s="412"/>
      <c r="CU39" s="477"/>
      <c r="CV39" s="412"/>
      <c r="CW39" s="477"/>
      <c r="CX39" s="474"/>
    </row>
    <row r="40" spans="5:104">
      <c r="F40" s="609"/>
      <c r="G40" s="474"/>
      <c r="H40" s="606"/>
      <c r="I40" s="612"/>
      <c r="J40" s="615"/>
      <c r="L40" s="474"/>
      <c r="M40" s="502"/>
      <c r="N40" s="607"/>
      <c r="O40" s="474"/>
      <c r="P40" s="474"/>
      <c r="Q40" s="474"/>
      <c r="R40" s="474"/>
      <c r="S40" s="474"/>
      <c r="T40" s="474"/>
      <c r="U40" s="474"/>
      <c r="V40" s="474"/>
      <c r="W40" s="474"/>
      <c r="X40" s="474"/>
      <c r="Y40" s="474"/>
      <c r="Z40" s="474"/>
      <c r="AA40" s="384">
        <v>35</v>
      </c>
      <c r="AB40" s="481">
        <f>COUNTIF(E6:J50,AA40)</f>
        <v>0</v>
      </c>
      <c r="AC40" s="481">
        <f>COUNTIF(E6:Y50,AA40)</f>
        <v>0</v>
      </c>
      <c r="AD40" s="516">
        <v>35</v>
      </c>
      <c r="AE40" s="501"/>
      <c r="AF40" s="501"/>
      <c r="AG40" s="501"/>
      <c r="AH40" s="501"/>
      <c r="AI40" s="501"/>
      <c r="AO40" s="474">
        <v>717</v>
      </c>
      <c r="AP40" s="476">
        <v>3</v>
      </c>
      <c r="AQ40" s="476">
        <v>5</v>
      </c>
      <c r="AR40" s="476">
        <v>4</v>
      </c>
      <c r="AS40" s="476">
        <v>4</v>
      </c>
      <c r="AT40" s="476">
        <v>4</v>
      </c>
      <c r="AU40" s="476">
        <v>3</v>
      </c>
      <c r="AY40" s="476">
        <f t="shared" si="22"/>
        <v>0</v>
      </c>
      <c r="AZ40" s="476">
        <f t="shared" si="23"/>
        <v>0</v>
      </c>
      <c r="BA40" s="476">
        <f t="shared" si="24"/>
        <v>0</v>
      </c>
      <c r="BB40" s="476">
        <f t="shared" si="25"/>
        <v>2</v>
      </c>
      <c r="BC40" s="476">
        <f t="shared" si="26"/>
        <v>3</v>
      </c>
      <c r="BD40" s="476">
        <f t="shared" si="27"/>
        <v>1</v>
      </c>
      <c r="BE40" s="476">
        <f t="shared" si="28"/>
        <v>0</v>
      </c>
      <c r="BF40" s="476">
        <f t="shared" si="29"/>
        <v>0</v>
      </c>
      <c r="BG40" s="476">
        <f t="shared" si="30"/>
        <v>0</v>
      </c>
      <c r="BH40" s="476">
        <f t="shared" si="31"/>
        <v>0</v>
      </c>
      <c r="BI40" s="476">
        <f t="shared" si="32"/>
        <v>0</v>
      </c>
      <c r="BJ40" s="477"/>
      <c r="BK40" s="477"/>
      <c r="BL40" s="477"/>
      <c r="BM40" s="477"/>
      <c r="BN40" s="477"/>
      <c r="BO40" s="477"/>
      <c r="BP40" s="477"/>
      <c r="BQ40" s="477"/>
      <c r="BR40" s="477"/>
      <c r="BS40" s="477"/>
      <c r="BT40" s="477"/>
      <c r="BU40" s="477"/>
      <c r="BV40" s="477"/>
      <c r="BW40" s="477"/>
      <c r="BX40" s="477"/>
      <c r="BY40" s="477"/>
      <c r="BZ40" s="477"/>
      <c r="CA40" s="477"/>
      <c r="CB40" s="477"/>
      <c r="CC40" s="477"/>
      <c r="CD40" s="477"/>
      <c r="CE40" s="477"/>
      <c r="CF40" s="477"/>
      <c r="CG40" s="477"/>
      <c r="CH40" s="477"/>
      <c r="CI40" s="477"/>
      <c r="CJ40" s="477"/>
      <c r="CK40" s="477"/>
      <c r="CM40" s="412"/>
      <c r="CN40" s="412"/>
      <c r="CO40" s="412"/>
      <c r="CP40" s="412"/>
      <c r="CQ40" s="412"/>
      <c r="CR40" s="412"/>
      <c r="CS40" s="412"/>
      <c r="CT40" s="412"/>
      <c r="CU40" s="412"/>
      <c r="CV40" s="412"/>
      <c r="CW40" s="412"/>
      <c r="CX40" s="474"/>
      <c r="CZ40" s="474"/>
    </row>
    <row r="41" spans="5:104">
      <c r="F41" s="609"/>
      <c r="G41" s="474"/>
      <c r="H41" s="606"/>
      <c r="I41" s="612"/>
      <c r="J41" s="617"/>
      <c r="L41" s="474"/>
      <c r="M41" s="502"/>
      <c r="N41" s="607"/>
      <c r="O41" s="474"/>
      <c r="P41" s="474"/>
      <c r="Q41" s="474"/>
      <c r="R41" s="474"/>
      <c r="S41" s="474"/>
      <c r="T41" s="474"/>
      <c r="U41" s="474"/>
      <c r="V41" s="474"/>
      <c r="W41" s="474"/>
      <c r="X41" s="474"/>
      <c r="Y41" s="474"/>
      <c r="Z41" s="474"/>
      <c r="AA41" s="384">
        <v>36</v>
      </c>
      <c r="AB41" s="481">
        <f>COUNTIF(E6:J50,AA41)</f>
        <v>0</v>
      </c>
      <c r="AC41" s="481">
        <f>COUNTIF(E6:Y50,AA41)</f>
        <v>0</v>
      </c>
      <c r="AD41" s="516">
        <v>36</v>
      </c>
      <c r="AE41" s="501"/>
      <c r="AF41" s="501"/>
      <c r="AG41" s="501"/>
      <c r="AH41" s="501"/>
      <c r="AI41" s="501"/>
      <c r="AO41" s="474">
        <v>718</v>
      </c>
      <c r="AP41" s="476">
        <v>5</v>
      </c>
      <c r="AQ41" s="476">
        <v>4</v>
      </c>
      <c r="AR41" s="476">
        <v>4</v>
      </c>
      <c r="AS41" s="476">
        <v>5</v>
      </c>
      <c r="AT41" s="476">
        <v>5</v>
      </c>
      <c r="AU41" s="476">
        <v>5</v>
      </c>
      <c r="AY41" s="476">
        <f t="shared" si="22"/>
        <v>0</v>
      </c>
      <c r="AZ41" s="476">
        <f t="shared" si="23"/>
        <v>0</v>
      </c>
      <c r="BA41" s="476">
        <f t="shared" si="24"/>
        <v>0</v>
      </c>
      <c r="BB41" s="476">
        <f t="shared" si="25"/>
        <v>0</v>
      </c>
      <c r="BC41" s="476">
        <f t="shared" si="26"/>
        <v>2</v>
      </c>
      <c r="BD41" s="476">
        <f t="shared" si="27"/>
        <v>4</v>
      </c>
      <c r="BE41" s="476">
        <f t="shared" si="28"/>
        <v>0</v>
      </c>
      <c r="BF41" s="476">
        <f t="shared" si="29"/>
        <v>0</v>
      </c>
      <c r="BG41" s="476">
        <f t="shared" si="30"/>
        <v>0</v>
      </c>
      <c r="BH41" s="476">
        <f t="shared" si="31"/>
        <v>0</v>
      </c>
      <c r="BI41" s="476">
        <f t="shared" si="32"/>
        <v>0</v>
      </c>
      <c r="BJ41" s="477"/>
      <c r="BK41" s="477"/>
      <c r="BL41" s="477"/>
      <c r="BM41" s="477"/>
      <c r="BN41" s="477"/>
      <c r="BO41" s="477"/>
      <c r="BP41" s="477"/>
      <c r="BQ41" s="477"/>
      <c r="BR41" s="477"/>
      <c r="BS41" s="477"/>
      <c r="BT41" s="477"/>
      <c r="BU41" s="477"/>
      <c r="BV41" s="477"/>
      <c r="BW41" s="477"/>
      <c r="BX41" s="477"/>
      <c r="BY41" s="477"/>
      <c r="BZ41" s="477"/>
      <c r="CA41" s="477"/>
      <c r="CB41" s="477"/>
      <c r="CC41" s="477"/>
      <c r="CD41" s="477"/>
      <c r="CE41" s="477"/>
      <c r="CF41" s="477"/>
      <c r="CG41" s="477"/>
      <c r="CH41" s="477"/>
      <c r="CI41" s="477"/>
      <c r="CJ41" s="477"/>
      <c r="CK41" s="477"/>
      <c r="CM41" s="477"/>
      <c r="CN41" s="412"/>
      <c r="CO41" s="412"/>
      <c r="CP41" s="412"/>
      <c r="CQ41" s="412"/>
      <c r="CR41" s="412"/>
      <c r="CS41" s="412"/>
      <c r="CT41" s="412"/>
      <c r="CU41" s="412"/>
      <c r="CV41" s="412"/>
      <c r="CW41" s="412"/>
      <c r="CX41" s="474"/>
      <c r="CZ41" s="474"/>
    </row>
    <row r="42" spans="5:104">
      <c r="F42" s="567"/>
      <c r="G42" s="474"/>
      <c r="H42" s="603"/>
      <c r="I42" s="610"/>
      <c r="J42" s="615"/>
      <c r="L42" s="474"/>
      <c r="M42" s="505"/>
      <c r="N42" s="607"/>
      <c r="O42" s="474"/>
      <c r="P42" s="474"/>
      <c r="Q42" s="474"/>
      <c r="R42" s="474"/>
      <c r="S42" s="474"/>
      <c r="T42" s="474"/>
      <c r="U42" s="474"/>
      <c r="V42" s="474"/>
      <c r="W42" s="474"/>
      <c r="X42" s="474"/>
      <c r="Y42" s="474"/>
      <c r="Z42" s="474"/>
      <c r="AA42" s="384">
        <v>37</v>
      </c>
      <c r="AB42" s="481">
        <f>COUNTIF(E6:J50,AA42)</f>
        <v>0</v>
      </c>
      <c r="AC42" s="481">
        <f>COUNTIF(E6:Y50,AA42)</f>
        <v>0</v>
      </c>
      <c r="AD42" s="516">
        <v>37</v>
      </c>
      <c r="AE42" s="501"/>
      <c r="AF42" s="501"/>
      <c r="AG42" s="501"/>
      <c r="AH42" s="501"/>
      <c r="AI42" s="501"/>
      <c r="AO42" s="474">
        <v>719</v>
      </c>
      <c r="AP42" s="476">
        <v>5</v>
      </c>
      <c r="AQ42" s="476">
        <v>5</v>
      </c>
      <c r="AR42" s="476">
        <v>5</v>
      </c>
      <c r="AS42" s="476">
        <v>4</v>
      </c>
      <c r="AT42" s="476">
        <v>3</v>
      </c>
      <c r="AU42" s="476">
        <v>2</v>
      </c>
      <c r="AY42" s="476">
        <f>COUNTIF(AP42:AU42,0)</f>
        <v>0</v>
      </c>
      <c r="AZ42" s="476">
        <f t="shared" si="23"/>
        <v>0</v>
      </c>
      <c r="BA42" s="476">
        <f t="shared" si="24"/>
        <v>1</v>
      </c>
      <c r="BB42" s="476">
        <f t="shared" si="25"/>
        <v>1</v>
      </c>
      <c r="BC42" s="476">
        <f t="shared" si="26"/>
        <v>1</v>
      </c>
      <c r="BD42" s="476">
        <f t="shared" si="27"/>
        <v>3</v>
      </c>
      <c r="BE42" s="476">
        <f t="shared" si="28"/>
        <v>0</v>
      </c>
      <c r="BF42" s="476">
        <f t="shared" si="29"/>
        <v>0</v>
      </c>
      <c r="BG42" s="476">
        <f t="shared" si="30"/>
        <v>0</v>
      </c>
      <c r="BH42" s="476">
        <f t="shared" si="31"/>
        <v>0</v>
      </c>
      <c r="BI42" s="476">
        <f t="shared" si="32"/>
        <v>0</v>
      </c>
      <c r="BJ42" s="477"/>
      <c r="BK42" s="477"/>
      <c r="BL42" s="477"/>
      <c r="BM42" s="477"/>
      <c r="BN42" s="477"/>
      <c r="BO42" s="477"/>
      <c r="BP42" s="477"/>
      <c r="BQ42" s="477"/>
      <c r="BR42" s="477"/>
      <c r="BS42" s="477"/>
      <c r="BT42" s="477"/>
      <c r="BU42" s="477"/>
      <c r="BV42" s="477"/>
      <c r="BW42" s="477"/>
      <c r="BX42" s="477"/>
      <c r="BY42" s="477"/>
      <c r="BZ42" s="477"/>
      <c r="CA42" s="477"/>
      <c r="CB42" s="477"/>
      <c r="CC42" s="477"/>
      <c r="CD42" s="477"/>
      <c r="CE42" s="477"/>
      <c r="CF42" s="477"/>
      <c r="CG42" s="477"/>
      <c r="CH42" s="477"/>
      <c r="CI42" s="477"/>
      <c r="CJ42" s="477"/>
      <c r="CK42" s="477"/>
      <c r="CM42" s="477"/>
      <c r="CN42" s="477"/>
      <c r="CO42" s="477"/>
      <c r="CP42" s="477"/>
      <c r="CQ42" s="477"/>
      <c r="CR42" s="412"/>
      <c r="CS42" s="477"/>
      <c r="CT42" s="412"/>
      <c r="CU42" s="477"/>
      <c r="CV42" s="412"/>
      <c r="CW42" s="477"/>
      <c r="CX42" s="474"/>
      <c r="CZ42" s="474"/>
    </row>
    <row r="43" spans="5:104" ht="18" thickBot="1">
      <c r="F43" s="567"/>
      <c r="G43" s="474"/>
      <c r="H43" s="605"/>
      <c r="I43" s="610"/>
      <c r="J43" s="619"/>
      <c r="K43" s="475"/>
      <c r="L43" s="474"/>
      <c r="M43" s="471"/>
      <c r="N43" s="607"/>
      <c r="O43" s="474"/>
      <c r="P43" s="474"/>
      <c r="Q43" s="474"/>
      <c r="R43" s="474"/>
      <c r="S43" s="474"/>
      <c r="T43" s="474"/>
      <c r="U43" s="474"/>
      <c r="V43" s="474"/>
      <c r="W43" s="474"/>
      <c r="X43" s="474"/>
      <c r="Y43" s="474"/>
      <c r="Z43" s="474"/>
      <c r="AA43" s="384">
        <v>38</v>
      </c>
      <c r="AB43" s="481">
        <f>COUNTIF(E6:J50,AA43)</f>
        <v>0</v>
      </c>
      <c r="AC43" s="481">
        <f>COUNTIF(E6:Y50,AA43)</f>
        <v>0</v>
      </c>
      <c r="AD43" s="516">
        <v>38</v>
      </c>
      <c r="AE43" s="501"/>
      <c r="AF43" s="501"/>
      <c r="AG43" s="501"/>
      <c r="AH43" s="501"/>
      <c r="AI43" s="501"/>
      <c r="AO43" s="474">
        <v>720</v>
      </c>
      <c r="AP43" s="476">
        <v>4</v>
      </c>
      <c r="AQ43" s="476">
        <v>3</v>
      </c>
      <c r="AR43" s="476">
        <v>5</v>
      </c>
      <c r="AS43" s="476">
        <v>3</v>
      </c>
      <c r="AT43" s="476">
        <v>5</v>
      </c>
      <c r="AU43" s="476">
        <v>5</v>
      </c>
      <c r="AY43" s="476">
        <f>COUNTIF(AP43:AU43,0)</f>
        <v>0</v>
      </c>
      <c r="AZ43" s="476">
        <f t="shared" si="23"/>
        <v>0</v>
      </c>
      <c r="BA43" s="476">
        <f t="shared" si="24"/>
        <v>0</v>
      </c>
      <c r="BB43" s="476">
        <f t="shared" si="25"/>
        <v>2</v>
      </c>
      <c r="BC43" s="476">
        <f t="shared" si="26"/>
        <v>1</v>
      </c>
      <c r="BD43" s="476">
        <f t="shared" si="27"/>
        <v>3</v>
      </c>
      <c r="BE43" s="476">
        <f t="shared" si="28"/>
        <v>0</v>
      </c>
      <c r="BF43" s="476">
        <f t="shared" si="29"/>
        <v>0</v>
      </c>
      <c r="BG43" s="476">
        <f t="shared" si="30"/>
        <v>0</v>
      </c>
      <c r="BH43" s="476">
        <f t="shared" si="31"/>
        <v>0</v>
      </c>
      <c r="BI43" s="476">
        <f t="shared" si="32"/>
        <v>0</v>
      </c>
      <c r="BJ43" s="477"/>
      <c r="BK43" s="477"/>
      <c r="BL43" s="477"/>
      <c r="BM43" s="477"/>
      <c r="BN43" s="477"/>
      <c r="BO43" s="477"/>
      <c r="BP43" s="477"/>
      <c r="BQ43" s="477"/>
      <c r="BR43" s="477"/>
      <c r="BS43" s="477"/>
      <c r="BT43" s="477"/>
      <c r="BU43" s="477"/>
      <c r="BV43" s="477"/>
      <c r="BW43" s="477"/>
      <c r="BX43" s="477"/>
      <c r="BY43" s="477"/>
      <c r="BZ43" s="477"/>
      <c r="CA43" s="477"/>
      <c r="CB43" s="477"/>
      <c r="CC43" s="477"/>
      <c r="CD43" s="477"/>
      <c r="CE43" s="477"/>
      <c r="CF43" s="477"/>
      <c r="CG43" s="477"/>
      <c r="CH43" s="477"/>
      <c r="CI43" s="477"/>
      <c r="CJ43" s="477"/>
      <c r="CK43" s="477"/>
      <c r="CM43" s="477"/>
      <c r="CN43" s="412"/>
      <c r="CO43" s="412"/>
      <c r="CP43" s="412"/>
      <c r="CQ43" s="412"/>
      <c r="CR43" s="412"/>
      <c r="CS43" s="412"/>
      <c r="CT43" s="412"/>
      <c r="CU43" s="412"/>
      <c r="CV43" s="412"/>
      <c r="CW43" s="412"/>
      <c r="CX43" s="474"/>
      <c r="CZ43" s="474"/>
    </row>
    <row r="44" spans="5:104">
      <c r="F44" s="567"/>
      <c r="G44" s="474"/>
      <c r="H44" s="574"/>
      <c r="I44" s="612"/>
      <c r="J44" s="474"/>
      <c r="K44" s="474"/>
      <c r="L44" s="474"/>
      <c r="M44" s="455"/>
      <c r="N44" s="575"/>
      <c r="O44" s="474"/>
      <c r="P44" s="474"/>
      <c r="Q44" s="474"/>
      <c r="R44" s="474"/>
      <c r="S44" s="474"/>
      <c r="T44" s="474"/>
      <c r="U44" s="474"/>
      <c r="V44" s="474"/>
      <c r="W44" s="474"/>
      <c r="X44" s="474"/>
      <c r="Y44" s="474"/>
      <c r="Z44" s="474"/>
      <c r="AA44" s="384">
        <v>39</v>
      </c>
      <c r="AB44" s="481">
        <f>COUNTIF(E6:J50,AA44)</f>
        <v>0</v>
      </c>
      <c r="AC44" s="481">
        <f>COUNTIF(E6:Y50,AA44)</f>
        <v>0</v>
      </c>
      <c r="AD44" s="516">
        <v>39</v>
      </c>
      <c r="AE44" s="501"/>
      <c r="AF44" s="501"/>
      <c r="AG44" s="501"/>
      <c r="AH44" s="501"/>
      <c r="AI44" s="501"/>
      <c r="AO44" s="474">
        <v>721</v>
      </c>
      <c r="AP44" s="476">
        <v>5</v>
      </c>
      <c r="AQ44" s="476">
        <v>5</v>
      </c>
      <c r="AR44" s="476">
        <v>5</v>
      </c>
      <c r="AS44" s="476">
        <v>5</v>
      </c>
      <c r="AT44" s="476">
        <v>4</v>
      </c>
      <c r="AU44" s="476">
        <v>3</v>
      </c>
      <c r="AY44" s="476">
        <f>COUNTIF(AP44:AU44,0)</f>
        <v>0</v>
      </c>
      <c r="AZ44" s="476">
        <f t="shared" si="23"/>
        <v>0</v>
      </c>
      <c r="BA44" s="476">
        <f t="shared" si="24"/>
        <v>0</v>
      </c>
      <c r="BB44" s="476">
        <f t="shared" si="25"/>
        <v>1</v>
      </c>
      <c r="BC44" s="476">
        <f t="shared" si="26"/>
        <v>1</v>
      </c>
      <c r="BD44" s="476">
        <f t="shared" si="27"/>
        <v>4</v>
      </c>
      <c r="BE44" s="476">
        <f t="shared" si="28"/>
        <v>0</v>
      </c>
      <c r="BF44" s="476">
        <f t="shared" si="29"/>
        <v>0</v>
      </c>
      <c r="BG44" s="476">
        <f t="shared" si="30"/>
        <v>0</v>
      </c>
      <c r="BH44" s="476">
        <f t="shared" si="31"/>
        <v>0</v>
      </c>
      <c r="BI44" s="476">
        <f t="shared" si="32"/>
        <v>0</v>
      </c>
      <c r="BJ44" s="477"/>
      <c r="BK44" s="477"/>
      <c r="BL44" s="477"/>
      <c r="BM44" s="477"/>
      <c r="BN44" s="477"/>
      <c r="BO44" s="477"/>
      <c r="BP44" s="477"/>
      <c r="BQ44" s="477"/>
      <c r="BR44" s="477"/>
      <c r="BS44" s="477"/>
      <c r="BT44" s="477"/>
      <c r="BU44" s="477"/>
      <c r="BV44" s="477"/>
      <c r="BW44" s="477"/>
      <c r="BX44" s="477"/>
      <c r="BY44" s="477"/>
      <c r="BZ44" s="477"/>
      <c r="CA44" s="477"/>
      <c r="CB44" s="477"/>
      <c r="CC44" s="477"/>
      <c r="CD44" s="477"/>
      <c r="CE44" s="477"/>
      <c r="CF44" s="477"/>
      <c r="CG44" s="477"/>
      <c r="CH44" s="477"/>
      <c r="CI44" s="477"/>
      <c r="CJ44" s="477"/>
      <c r="CK44" s="477"/>
      <c r="CM44" s="477"/>
      <c r="CN44" s="412"/>
      <c r="CO44" s="412"/>
      <c r="CP44" s="412"/>
      <c r="CQ44" s="412"/>
      <c r="CR44" s="412"/>
      <c r="CS44" s="412"/>
      <c r="CT44" s="412"/>
      <c r="CU44" s="412"/>
      <c r="CV44" s="412"/>
      <c r="CW44" s="412"/>
      <c r="CX44" s="474"/>
      <c r="CZ44" s="474"/>
    </row>
    <row r="45" spans="5:104">
      <c r="F45" s="567"/>
      <c r="G45" s="474"/>
      <c r="H45" s="548"/>
      <c r="I45" s="613"/>
      <c r="J45" s="474"/>
      <c r="K45" s="474"/>
      <c r="L45" s="474"/>
      <c r="M45" s="469"/>
      <c r="N45" s="575"/>
      <c r="O45" s="474"/>
      <c r="P45" s="474"/>
      <c r="Q45" s="474"/>
      <c r="R45" s="474"/>
      <c r="S45" s="474"/>
      <c r="T45" s="474"/>
      <c r="U45" s="474"/>
      <c r="V45" s="474"/>
      <c r="W45" s="474"/>
      <c r="X45" s="474"/>
      <c r="Y45" s="474"/>
      <c r="Z45" s="474"/>
      <c r="AA45" s="384">
        <v>40</v>
      </c>
      <c r="AB45" s="481">
        <f>COUNTIF(E6:J50,AA45)</f>
        <v>0</v>
      </c>
      <c r="AC45" s="481">
        <f>COUNTIF(E6:Y50,AA45)</f>
        <v>0</v>
      </c>
      <c r="AD45" s="516">
        <v>40</v>
      </c>
      <c r="AE45" s="501"/>
      <c r="AF45" s="501"/>
      <c r="AG45" s="501"/>
      <c r="AH45" s="501"/>
      <c r="AI45" s="501"/>
      <c r="AO45" s="474">
        <v>722</v>
      </c>
      <c r="AP45" s="476">
        <v>4</v>
      </c>
      <c r="AQ45" s="476">
        <v>3</v>
      </c>
      <c r="AR45" s="476">
        <v>3</v>
      </c>
      <c r="AS45" s="476">
        <v>4</v>
      </c>
      <c r="AT45" s="476">
        <v>4</v>
      </c>
      <c r="AU45" s="476">
        <v>5</v>
      </c>
      <c r="AY45" s="476">
        <f>COUNTIF(AP45:AU45,0)</f>
        <v>0</v>
      </c>
      <c r="AZ45" s="476">
        <f t="shared" si="23"/>
        <v>0</v>
      </c>
      <c r="BA45" s="476">
        <f t="shared" si="24"/>
        <v>0</v>
      </c>
      <c r="BB45" s="476">
        <f t="shared" si="25"/>
        <v>2</v>
      </c>
      <c r="BC45" s="476">
        <f t="shared" si="26"/>
        <v>3</v>
      </c>
      <c r="BD45" s="476">
        <f t="shared" si="27"/>
        <v>1</v>
      </c>
      <c r="BE45" s="476">
        <f t="shared" si="28"/>
        <v>0</v>
      </c>
      <c r="BF45" s="476">
        <f t="shared" si="29"/>
        <v>0</v>
      </c>
      <c r="BG45" s="476">
        <f t="shared" si="30"/>
        <v>0</v>
      </c>
      <c r="BH45" s="476">
        <f t="shared" si="31"/>
        <v>0</v>
      </c>
      <c r="BI45" s="476">
        <f t="shared" si="32"/>
        <v>0</v>
      </c>
      <c r="BJ45" s="477"/>
      <c r="BK45" s="477"/>
      <c r="BL45" s="477"/>
      <c r="BM45" s="477"/>
      <c r="BN45" s="477"/>
      <c r="BO45" s="477"/>
      <c r="BP45" s="477"/>
      <c r="BQ45" s="477"/>
      <c r="BR45" s="477"/>
      <c r="BS45" s="477"/>
      <c r="BT45" s="477"/>
      <c r="BU45" s="477"/>
      <c r="BV45" s="477"/>
      <c r="BW45" s="477"/>
      <c r="BX45" s="477"/>
      <c r="BY45" s="477"/>
      <c r="BZ45" s="477"/>
      <c r="CA45" s="477"/>
      <c r="CB45" s="477"/>
      <c r="CC45" s="477"/>
      <c r="CD45" s="477"/>
      <c r="CE45" s="477"/>
      <c r="CF45" s="477"/>
      <c r="CG45" s="477"/>
      <c r="CH45" s="477"/>
      <c r="CI45" s="477"/>
      <c r="CJ45" s="477"/>
      <c r="CK45" s="477"/>
      <c r="CM45" s="477"/>
      <c r="CN45" s="412"/>
      <c r="CO45" s="412"/>
      <c r="CP45" s="412"/>
      <c r="CQ45" s="412"/>
      <c r="CR45" s="412"/>
      <c r="CS45" s="477"/>
      <c r="CT45" s="412"/>
      <c r="CU45" s="412"/>
      <c r="CV45" s="412"/>
      <c r="CW45" s="412"/>
      <c r="CX45" s="474"/>
      <c r="CZ45" s="474"/>
    </row>
    <row r="46" spans="5:104">
      <c r="F46" s="567"/>
      <c r="G46" s="474"/>
      <c r="H46" s="474"/>
      <c r="I46" s="474"/>
      <c r="J46" s="474"/>
      <c r="K46" s="474"/>
      <c r="L46" s="474"/>
      <c r="M46" s="475"/>
      <c r="N46" s="473"/>
      <c r="O46" s="474"/>
      <c r="P46" s="474"/>
      <c r="Q46" s="474"/>
      <c r="R46" s="474"/>
      <c r="S46" s="474"/>
      <c r="T46" s="474"/>
      <c r="U46" s="474"/>
      <c r="V46" s="474"/>
      <c r="W46" s="474"/>
      <c r="X46" s="474"/>
      <c r="Y46" s="474"/>
      <c r="Z46" s="474"/>
      <c r="AA46" s="384">
        <v>41</v>
      </c>
      <c r="AB46" s="481">
        <f>COUNTIF(E6:J50,AA46)</f>
        <v>0</v>
      </c>
      <c r="AC46" s="481">
        <f>COUNTIF(E6:Y50,AA46)</f>
        <v>0</v>
      </c>
      <c r="AD46" s="516">
        <v>41</v>
      </c>
      <c r="AE46" s="501"/>
      <c r="AF46" s="501"/>
      <c r="AG46" s="501"/>
      <c r="AH46" s="501"/>
      <c r="AI46" s="501"/>
      <c r="AO46" s="474">
        <v>723</v>
      </c>
      <c r="BJ46" s="477"/>
      <c r="BK46" s="477"/>
      <c r="BL46" s="477"/>
      <c r="BM46" s="477"/>
      <c r="BN46" s="477"/>
      <c r="BO46" s="477"/>
      <c r="BP46" s="477"/>
      <c r="BQ46" s="477"/>
      <c r="BR46" s="477"/>
      <c r="BS46" s="477"/>
      <c r="BT46" s="477"/>
      <c r="BU46" s="477"/>
      <c r="BV46" s="477"/>
      <c r="BW46" s="477"/>
      <c r="BX46" s="477"/>
      <c r="BY46" s="477"/>
      <c r="BZ46" s="477"/>
      <c r="CA46" s="477"/>
      <c r="CB46" s="477"/>
      <c r="CC46" s="477"/>
      <c r="CD46" s="477"/>
      <c r="CE46" s="477"/>
      <c r="CF46" s="477"/>
      <c r="CG46" s="477"/>
      <c r="CH46" s="477"/>
      <c r="CI46" s="477"/>
      <c r="CJ46" s="477"/>
      <c r="CK46" s="477"/>
      <c r="CM46" s="477"/>
      <c r="CN46" s="412"/>
      <c r="CO46" s="412"/>
      <c r="CP46" s="412"/>
      <c r="CQ46" s="412"/>
      <c r="CR46" s="412"/>
      <c r="CS46" s="412"/>
      <c r="CT46" s="412"/>
      <c r="CU46" s="412"/>
      <c r="CV46" s="412"/>
      <c r="CW46" s="412"/>
      <c r="CX46" s="474"/>
      <c r="CZ46" s="474"/>
    </row>
    <row r="47" spans="5:104" ht="20.25">
      <c r="F47" s="567"/>
      <c r="G47" s="474"/>
      <c r="H47" s="474"/>
      <c r="I47" s="474"/>
      <c r="J47" s="474"/>
      <c r="K47" s="474"/>
      <c r="L47" s="474"/>
      <c r="M47" s="474"/>
      <c r="N47" s="452"/>
      <c r="O47" s="474"/>
      <c r="P47" s="474"/>
      <c r="Q47" s="474"/>
      <c r="R47" s="474"/>
      <c r="S47" s="474"/>
      <c r="T47" s="474"/>
      <c r="U47" s="474"/>
      <c r="V47" s="474"/>
      <c r="W47" s="474"/>
      <c r="X47" s="474"/>
      <c r="Y47" s="474"/>
      <c r="Z47" s="474"/>
      <c r="AA47" s="384">
        <v>42</v>
      </c>
      <c r="AB47" s="481">
        <f>COUNTIF(E6:J50,AA47)</f>
        <v>0</v>
      </c>
      <c r="AC47" s="481">
        <f>COUNTIF(E6:Y50,AA47)</f>
        <v>0</v>
      </c>
      <c r="AD47" s="516">
        <v>42</v>
      </c>
      <c r="AE47" s="501"/>
      <c r="AF47" s="501"/>
      <c r="AG47" s="501"/>
      <c r="AH47" s="501"/>
      <c r="AI47" s="501"/>
      <c r="AO47" s="474">
        <v>724</v>
      </c>
      <c r="BJ47" s="477"/>
      <c r="BK47" s="477"/>
      <c r="BL47" s="477"/>
      <c r="BM47" s="477"/>
      <c r="BN47" s="477"/>
      <c r="BO47" s="477"/>
      <c r="BP47" s="477"/>
      <c r="BQ47" s="477"/>
      <c r="BR47" s="477"/>
      <c r="BS47" s="477"/>
      <c r="BT47" s="477"/>
      <c r="BU47" s="477"/>
      <c r="BV47" s="477"/>
      <c r="BW47" s="477"/>
      <c r="BX47" s="477"/>
      <c r="BY47" s="477"/>
      <c r="BZ47" s="477"/>
      <c r="CA47" s="477"/>
      <c r="CB47" s="477"/>
      <c r="CC47" s="477"/>
      <c r="CD47" s="477"/>
      <c r="CE47" s="477"/>
      <c r="CF47" s="477"/>
      <c r="CG47" s="477"/>
      <c r="CH47" s="477"/>
      <c r="CI47" s="477"/>
      <c r="CJ47" s="477"/>
      <c r="CK47" s="477"/>
      <c r="CM47" s="477"/>
      <c r="CN47" s="412"/>
      <c r="CO47" s="412"/>
      <c r="CP47" s="412"/>
      <c r="CQ47" s="412"/>
      <c r="CR47" s="412"/>
      <c r="CS47" s="412"/>
      <c r="CT47" s="477"/>
      <c r="CU47" s="477"/>
      <c r="CV47" s="477"/>
      <c r="CW47" s="477"/>
      <c r="CX47" s="474"/>
      <c r="CZ47" s="474"/>
    </row>
    <row r="48" spans="5:104">
      <c r="E48" s="474"/>
      <c r="F48" s="567"/>
      <c r="G48" s="474"/>
      <c r="H48" s="474"/>
      <c r="I48" s="474"/>
      <c r="J48" s="474"/>
      <c r="K48" s="474"/>
      <c r="L48" s="474"/>
      <c r="M48" s="474"/>
      <c r="N48" s="473"/>
      <c r="O48" s="474"/>
      <c r="P48" s="474"/>
      <c r="Q48" s="474"/>
      <c r="R48" s="474"/>
      <c r="S48" s="474"/>
      <c r="T48" s="474"/>
      <c r="U48" s="474"/>
      <c r="V48" s="474"/>
      <c r="W48" s="474"/>
      <c r="X48" s="474"/>
      <c r="Y48" s="474"/>
      <c r="Z48" s="474"/>
      <c r="AA48" s="384">
        <v>43</v>
      </c>
      <c r="AB48" s="481">
        <f>COUNTIF(E6:J50,AA48)</f>
        <v>0</v>
      </c>
      <c r="AC48" s="481">
        <f>COUNTIF(E6:Y50,AA48)</f>
        <v>0</v>
      </c>
      <c r="AD48" s="516">
        <v>43</v>
      </c>
      <c r="AE48" s="501"/>
      <c r="AF48" s="501"/>
      <c r="AG48" s="501"/>
      <c r="AH48" s="501"/>
      <c r="AI48" s="501"/>
      <c r="AO48" s="474">
        <v>725</v>
      </c>
      <c r="BJ48" s="477"/>
      <c r="BK48" s="477"/>
      <c r="BL48" s="477"/>
      <c r="BM48" s="477"/>
      <c r="BN48" s="477"/>
      <c r="BO48" s="477"/>
      <c r="BP48" s="477"/>
      <c r="BQ48" s="477"/>
      <c r="BR48" s="477"/>
      <c r="BS48" s="477"/>
      <c r="BT48" s="477"/>
      <c r="BU48" s="477"/>
      <c r="BV48" s="477"/>
      <c r="BW48" s="477"/>
      <c r="BX48" s="477"/>
      <c r="BY48" s="477"/>
      <c r="BZ48" s="477"/>
      <c r="CA48" s="477"/>
      <c r="CB48" s="477"/>
      <c r="CC48" s="477"/>
      <c r="CD48" s="477"/>
      <c r="CE48" s="477"/>
      <c r="CF48" s="477"/>
      <c r="CG48" s="477"/>
      <c r="CH48" s="477"/>
      <c r="CI48" s="477"/>
      <c r="CJ48" s="477"/>
      <c r="CK48" s="477"/>
      <c r="CM48" s="477"/>
      <c r="CN48" s="412"/>
      <c r="CO48" s="477"/>
      <c r="CP48" s="477"/>
      <c r="CQ48" s="412"/>
      <c r="CR48" s="412"/>
      <c r="CS48" s="412"/>
      <c r="CT48" s="412"/>
      <c r="CU48" s="477"/>
      <c r="CV48" s="412"/>
      <c r="CW48" s="477"/>
      <c r="CX48" s="474"/>
      <c r="CZ48" s="474"/>
    </row>
    <row r="49" spans="5:104">
      <c r="E49" s="474"/>
      <c r="F49" s="567"/>
      <c r="G49" s="474"/>
      <c r="H49" s="474"/>
      <c r="I49" s="474"/>
      <c r="J49" s="474"/>
      <c r="K49" s="474"/>
      <c r="L49" s="474"/>
      <c r="M49" s="474"/>
      <c r="N49" s="473"/>
      <c r="O49" s="474"/>
      <c r="P49" s="474"/>
      <c r="Q49" s="474"/>
      <c r="R49" s="474"/>
      <c r="S49" s="474"/>
      <c r="T49" s="474"/>
      <c r="U49" s="474"/>
      <c r="V49" s="474"/>
      <c r="W49" s="474"/>
      <c r="X49" s="474"/>
      <c r="Y49" s="474"/>
      <c r="Z49" s="474"/>
      <c r="AA49" s="384">
        <v>44</v>
      </c>
      <c r="AB49" s="481">
        <f>COUNTIF(E6:J50,AA49)</f>
        <v>0</v>
      </c>
      <c r="AC49" s="481">
        <f>COUNTIF(E6:Y50,AA49)</f>
        <v>0</v>
      </c>
      <c r="AD49" s="516">
        <v>44</v>
      </c>
      <c r="AE49" s="501"/>
      <c r="AF49" s="501"/>
      <c r="AG49" s="501"/>
      <c r="AH49" s="501"/>
      <c r="AI49" s="501"/>
      <c r="AO49" s="474">
        <v>726</v>
      </c>
      <c r="BJ49" s="477"/>
      <c r="BK49" s="477"/>
      <c r="BL49" s="477"/>
      <c r="BM49" s="477"/>
      <c r="BN49" s="477"/>
      <c r="BO49" s="477"/>
      <c r="BP49" s="477"/>
      <c r="BQ49" s="477"/>
      <c r="BR49" s="477"/>
      <c r="BS49" s="477"/>
      <c r="BT49" s="477"/>
      <c r="BU49" s="477"/>
      <c r="BV49" s="477"/>
      <c r="BW49" s="477"/>
      <c r="BX49" s="477"/>
      <c r="BY49" s="477"/>
      <c r="BZ49" s="477"/>
      <c r="CA49" s="477"/>
      <c r="CB49" s="477"/>
      <c r="CC49" s="477"/>
      <c r="CD49" s="477"/>
      <c r="CE49" s="477"/>
      <c r="CF49" s="477"/>
      <c r="CG49" s="477"/>
      <c r="CH49" s="477"/>
      <c r="CI49" s="477"/>
      <c r="CJ49" s="477"/>
      <c r="CK49" s="477"/>
      <c r="CM49" s="477"/>
      <c r="CN49" s="412"/>
      <c r="CO49" s="412"/>
      <c r="CP49" s="412"/>
      <c r="CQ49" s="412"/>
      <c r="CR49" s="477"/>
      <c r="CS49" s="412"/>
      <c r="CT49" s="412"/>
      <c r="CU49" s="477"/>
      <c r="CV49" s="412"/>
      <c r="CW49" s="477"/>
      <c r="CX49" s="474"/>
      <c r="CZ49" s="474"/>
    </row>
    <row r="50" spans="5:104">
      <c r="E50" s="474"/>
      <c r="F50" s="567"/>
      <c r="G50" s="474"/>
      <c r="H50" s="474"/>
      <c r="I50" s="474"/>
      <c r="J50" s="474"/>
      <c r="K50" s="474"/>
      <c r="L50" s="474"/>
      <c r="M50" s="474"/>
      <c r="N50" s="473"/>
      <c r="O50" s="474"/>
      <c r="P50" s="474"/>
      <c r="Q50" s="474"/>
      <c r="R50" s="474"/>
      <c r="S50" s="474"/>
      <c r="T50" s="474"/>
      <c r="U50" s="474"/>
      <c r="V50" s="474"/>
      <c r="W50" s="474"/>
      <c r="X50" s="474"/>
      <c r="Y50" s="474"/>
      <c r="Z50" s="474"/>
      <c r="AA50" s="384">
        <v>45</v>
      </c>
      <c r="AB50" s="481">
        <f>COUNTIF(E6:J50,AA50)</f>
        <v>0</v>
      </c>
      <c r="AC50" s="481">
        <f>COUNTIF(E6:Y50,AA50)</f>
        <v>0</v>
      </c>
      <c r="AD50" s="516">
        <v>45</v>
      </c>
      <c r="AE50" s="501"/>
      <c r="AF50" s="501"/>
      <c r="AG50" s="501"/>
      <c r="AH50" s="501"/>
      <c r="AI50" s="501"/>
      <c r="AO50" s="474">
        <v>727</v>
      </c>
      <c r="BJ50" s="477"/>
      <c r="BK50" s="477"/>
      <c r="BL50" s="477"/>
      <c r="BM50" s="477"/>
      <c r="BN50" s="477"/>
      <c r="BO50" s="477"/>
      <c r="BP50" s="477"/>
      <c r="BQ50" s="477"/>
      <c r="BR50" s="477"/>
      <c r="BS50" s="477"/>
      <c r="BT50" s="477"/>
      <c r="BU50" s="477"/>
      <c r="BV50" s="477"/>
      <c r="BW50" s="477"/>
      <c r="BX50" s="477"/>
      <c r="BY50" s="477"/>
      <c r="BZ50" s="477"/>
      <c r="CA50" s="477"/>
      <c r="CB50" s="477"/>
      <c r="CC50" s="477"/>
      <c r="CD50" s="477"/>
      <c r="CE50" s="477"/>
      <c r="CF50" s="477"/>
      <c r="CG50" s="477"/>
      <c r="CH50" s="477"/>
      <c r="CI50" s="477"/>
      <c r="CJ50" s="477"/>
      <c r="CK50" s="477"/>
      <c r="CM50" s="477"/>
      <c r="CN50" s="412"/>
      <c r="CO50" s="412"/>
      <c r="CP50" s="412"/>
      <c r="CQ50" s="477"/>
      <c r="CR50" s="477"/>
      <c r="CS50" s="477"/>
      <c r="CT50" s="412"/>
      <c r="CU50" s="477"/>
      <c r="CV50" s="412"/>
      <c r="CW50" s="477"/>
      <c r="CX50" s="474"/>
      <c r="CZ50" s="474"/>
    </row>
    <row r="51" spans="5:104">
      <c r="I51" s="474"/>
      <c r="J51" s="474"/>
      <c r="K51" s="474"/>
      <c r="L51" s="474"/>
      <c r="M51" s="474"/>
      <c r="N51" s="474"/>
      <c r="O51" s="474"/>
      <c r="P51" s="475"/>
      <c r="Q51" s="475"/>
      <c r="R51" s="475"/>
      <c r="S51" s="474"/>
      <c r="T51" s="475"/>
      <c r="U51" s="475"/>
      <c r="V51" s="475"/>
      <c r="W51" s="475"/>
      <c r="X51" s="475"/>
      <c r="Y51" s="474"/>
      <c r="Z51" s="475"/>
      <c r="AA51" s="475"/>
      <c r="AB51" s="474"/>
      <c r="AC51" s="474"/>
      <c r="AD51" s="474"/>
      <c r="AE51" s="389"/>
      <c r="AF51" s="474"/>
      <c r="AO51" s="474">
        <v>728</v>
      </c>
      <c r="BJ51" s="477"/>
      <c r="BK51" s="477"/>
      <c r="BL51" s="477"/>
      <c r="BM51" s="477"/>
      <c r="BN51" s="477"/>
      <c r="BO51" s="477"/>
      <c r="BP51" s="477"/>
      <c r="BQ51" s="477"/>
      <c r="BR51" s="477"/>
      <c r="BS51" s="477"/>
      <c r="BT51" s="477"/>
      <c r="BU51" s="477"/>
      <c r="BV51" s="477"/>
      <c r="BW51" s="477"/>
      <c r="BX51" s="477"/>
      <c r="BY51" s="477"/>
      <c r="BZ51" s="477"/>
      <c r="CA51" s="477"/>
      <c r="CB51" s="477"/>
      <c r="CC51" s="477"/>
      <c r="CD51" s="477"/>
      <c r="CE51" s="477"/>
      <c r="CF51" s="477"/>
      <c r="CG51" s="477"/>
      <c r="CH51" s="477"/>
      <c r="CI51" s="477"/>
      <c r="CJ51" s="477"/>
      <c r="CK51" s="477"/>
      <c r="CM51" s="477"/>
      <c r="CN51" s="412"/>
      <c r="CO51" s="412"/>
      <c r="CP51" s="477"/>
      <c r="CQ51" s="477"/>
      <c r="CR51" s="477"/>
      <c r="CS51" s="477"/>
      <c r="CT51" s="412"/>
      <c r="CU51" s="477"/>
      <c r="CV51" s="412"/>
      <c r="CW51" s="477"/>
      <c r="CX51" s="474"/>
      <c r="CZ51" s="474"/>
    </row>
    <row r="52" spans="5:104">
      <c r="I52" s="474"/>
      <c r="J52" s="474"/>
      <c r="K52" s="474"/>
      <c r="L52" s="474"/>
      <c r="M52" s="474"/>
      <c r="N52" s="474"/>
      <c r="O52" s="474"/>
      <c r="P52" s="475"/>
      <c r="Q52" s="475"/>
      <c r="R52" s="475"/>
      <c r="S52" s="474"/>
      <c r="T52" s="474"/>
      <c r="U52" s="475"/>
      <c r="V52" s="475"/>
      <c r="W52" s="475"/>
      <c r="X52" s="475"/>
      <c r="Y52" s="474"/>
      <c r="Z52" s="475"/>
      <c r="AA52" s="475"/>
      <c r="AB52" s="474"/>
      <c r="AC52" s="474"/>
      <c r="AD52" s="474"/>
      <c r="AE52" s="474"/>
      <c r="BJ52" s="477"/>
      <c r="BK52" s="477"/>
      <c r="BL52" s="477"/>
      <c r="BM52" s="477"/>
      <c r="BN52" s="477"/>
      <c r="BO52" s="477"/>
      <c r="BP52" s="477"/>
      <c r="BQ52" s="477"/>
      <c r="BR52" s="477"/>
      <c r="BS52" s="477"/>
      <c r="BT52" s="477"/>
      <c r="BU52" s="477"/>
      <c r="BV52" s="477"/>
      <c r="BW52" s="477"/>
      <c r="BX52" s="477"/>
      <c r="BY52" s="477"/>
      <c r="BZ52" s="477"/>
      <c r="CA52" s="477"/>
      <c r="CB52" s="477"/>
      <c r="CC52" s="477"/>
      <c r="CD52" s="477"/>
      <c r="CE52" s="477"/>
      <c r="CF52" s="477"/>
      <c r="CG52" s="477"/>
      <c r="CH52" s="477"/>
      <c r="CI52" s="477"/>
      <c r="CJ52" s="477"/>
      <c r="CK52" s="477"/>
      <c r="CM52" s="477"/>
      <c r="CN52" s="477"/>
      <c r="CO52" s="477"/>
      <c r="CP52" s="477"/>
      <c r="CQ52" s="477"/>
      <c r="CR52" s="477"/>
      <c r="CS52" s="477"/>
      <c r="CT52" s="412"/>
      <c r="CU52" s="412"/>
      <c r="CV52" s="412"/>
      <c r="CW52" s="412"/>
      <c r="CX52" s="474"/>
      <c r="CZ52" s="474"/>
    </row>
    <row r="53" spans="5:104" s="474" customFormat="1">
      <c r="P53" s="475"/>
      <c r="Q53" s="475"/>
      <c r="AE53" s="389"/>
      <c r="CV53" s="412"/>
      <c r="CW53" s="412"/>
    </row>
    <row r="54" spans="5:104" s="474" customFormat="1">
      <c r="P54" s="475"/>
      <c r="Q54" s="475"/>
      <c r="AE54" s="389"/>
      <c r="CV54" s="412"/>
      <c r="CW54" s="412"/>
    </row>
    <row r="55" spans="5:104" s="474" customFormat="1">
      <c r="P55" s="475"/>
      <c r="Q55" s="475"/>
      <c r="AE55" s="389"/>
      <c r="CV55" s="412"/>
      <c r="CW55" s="412"/>
    </row>
    <row r="56" spans="5:104" s="474" customFormat="1">
      <c r="Q56" s="475"/>
      <c r="AE56" s="389"/>
      <c r="BP56" s="412"/>
      <c r="BQ56" s="412"/>
      <c r="CV56" s="412"/>
      <c r="CW56" s="412"/>
    </row>
    <row r="57" spans="5:104" s="474" customFormat="1">
      <c r="P57" s="475"/>
      <c r="Q57" s="475"/>
      <c r="AE57" s="389"/>
      <c r="BK57" s="412"/>
      <c r="BM57" s="412"/>
      <c r="BN57" s="412"/>
      <c r="BO57" s="412"/>
      <c r="BP57" s="412"/>
      <c r="BQ57" s="412"/>
      <c r="CV57" s="412"/>
      <c r="CW57" s="412"/>
    </row>
    <row r="58" spans="5:104" s="474" customFormat="1">
      <c r="E58" s="52"/>
      <c r="BK58" s="412"/>
      <c r="BM58" s="412"/>
      <c r="BN58" s="412"/>
      <c r="BO58" s="412"/>
      <c r="BP58" s="412"/>
      <c r="BQ58" s="412"/>
    </row>
    <row r="59" spans="5:104" s="474" customFormat="1">
      <c r="E59" s="52"/>
      <c r="AE59" s="389"/>
      <c r="BK59" s="412"/>
      <c r="BM59" s="412"/>
      <c r="BN59" s="412"/>
      <c r="BO59" s="412"/>
      <c r="BP59" s="412"/>
      <c r="BQ59" s="412"/>
    </row>
    <row r="60" spans="5:104" s="474" customFormat="1">
      <c r="E60" s="52"/>
      <c r="AE60" s="389"/>
      <c r="BK60" s="412"/>
      <c r="BM60" s="412"/>
      <c r="BN60" s="412"/>
      <c r="BO60" s="412"/>
      <c r="BP60" s="412"/>
      <c r="BQ60" s="412"/>
    </row>
    <row r="61" spans="5:104" s="474" customFormat="1">
      <c r="E61" s="52"/>
      <c r="AP61" s="306"/>
      <c r="AQ61" s="306"/>
    </row>
    <row r="62" spans="5:104" s="474" customFormat="1">
      <c r="E62" s="52"/>
      <c r="P62" s="475"/>
      <c r="Q62" s="475"/>
      <c r="AE62" s="389"/>
      <c r="BI62" s="412"/>
      <c r="BK62" s="412"/>
      <c r="BL62" s="412"/>
      <c r="BM62" s="412"/>
      <c r="BN62" s="412"/>
      <c r="BO62" s="412"/>
    </row>
    <row r="63" spans="5:104" s="474" customFormat="1" ht="18.75">
      <c r="E63" s="52"/>
      <c r="H63" s="432"/>
      <c r="Q63" s="475"/>
      <c r="AE63" s="389"/>
      <c r="BI63" s="412"/>
      <c r="BJ63" s="307"/>
      <c r="BK63" s="412"/>
      <c r="BL63" s="412"/>
      <c r="BM63" s="412"/>
      <c r="BN63" s="412"/>
      <c r="BO63" s="412"/>
      <c r="BP63" s="412"/>
      <c r="BQ63" s="412"/>
      <c r="BR63" s="412"/>
    </row>
    <row r="64" spans="5:104" s="474" customFormat="1" ht="18.75">
      <c r="E64" s="52"/>
      <c r="H64" s="432"/>
      <c r="Q64" s="475"/>
      <c r="R64" s="475"/>
      <c r="AE64" s="389"/>
    </row>
    <row r="65" spans="5:99" s="474" customFormat="1">
      <c r="E65" s="52"/>
      <c r="Q65" s="475"/>
      <c r="R65" s="475"/>
      <c r="AE65" s="389"/>
    </row>
    <row r="66" spans="5:99" s="474" customFormat="1">
      <c r="E66" s="52"/>
      <c r="Q66" s="475"/>
      <c r="R66" s="475"/>
      <c r="AE66" s="389"/>
      <c r="BI66" s="386"/>
      <c r="BJ66" s="386"/>
      <c r="BK66" s="386"/>
      <c r="BL66" s="386"/>
      <c r="BM66" s="386"/>
      <c r="BN66" s="386"/>
      <c r="BO66" s="386"/>
      <c r="BP66" s="386"/>
      <c r="BQ66" s="386"/>
      <c r="BR66" s="386"/>
      <c r="BS66" s="386"/>
      <c r="BT66" s="386"/>
      <c r="BU66" s="386"/>
      <c r="BV66" s="386"/>
      <c r="BW66" s="386"/>
      <c r="BX66" s="386"/>
      <c r="BY66" s="386"/>
      <c r="BZ66" s="386"/>
      <c r="CA66" s="386"/>
      <c r="CB66" s="386"/>
      <c r="CC66" s="386"/>
    </row>
    <row r="67" spans="5:99" s="474" customFormat="1">
      <c r="E67" s="52"/>
      <c r="Q67" s="475"/>
      <c r="R67" s="475"/>
      <c r="AE67" s="389"/>
      <c r="AI67" s="228"/>
      <c r="BM67" s="412"/>
      <c r="CI67" s="412"/>
      <c r="CJ67" s="412"/>
      <c r="CL67" s="412"/>
      <c r="CM67" s="412"/>
      <c r="CO67" s="412"/>
      <c r="CP67" s="412"/>
      <c r="CQ67" s="412"/>
      <c r="CR67" s="412"/>
      <c r="CS67" s="412"/>
      <c r="CT67" s="412"/>
      <c r="CU67" s="412"/>
    </row>
    <row r="68" spans="5:99" s="474" customFormat="1">
      <c r="E68" s="52"/>
      <c r="Q68" s="475"/>
      <c r="AE68" s="389"/>
      <c r="AI68" s="228"/>
      <c r="AO68" s="400"/>
      <c r="AP68" s="400"/>
      <c r="AQ68" s="400"/>
      <c r="CI68" s="412"/>
      <c r="CJ68" s="412"/>
      <c r="CL68" s="412"/>
      <c r="CM68" s="412"/>
      <c r="CO68" s="412"/>
      <c r="CP68" s="412"/>
      <c r="CQ68" s="412"/>
      <c r="CR68" s="412"/>
      <c r="CS68" s="412"/>
      <c r="CT68" s="412"/>
      <c r="CU68" s="412"/>
    </row>
    <row r="69" spans="5:99" s="474" customFormat="1">
      <c r="E69" s="52"/>
      <c r="Q69" s="475"/>
      <c r="AE69" s="389"/>
      <c r="AI69" s="228"/>
      <c r="AO69" s="400"/>
      <c r="AP69" s="400"/>
      <c r="AQ69" s="400"/>
      <c r="CI69" s="412"/>
      <c r="CJ69" s="412"/>
      <c r="CL69" s="412"/>
      <c r="CM69" s="412"/>
      <c r="CO69" s="412"/>
      <c r="CP69" s="412"/>
      <c r="CQ69" s="412"/>
      <c r="CR69" s="412"/>
      <c r="CS69" s="412"/>
      <c r="CT69" s="412"/>
      <c r="CU69" s="412"/>
    </row>
    <row r="70" spans="5:99" s="474" customFormat="1" ht="18.75">
      <c r="E70" s="52"/>
      <c r="H70" s="432"/>
      <c r="Q70" s="475"/>
      <c r="AI70" s="228"/>
      <c r="CI70" s="412"/>
      <c r="CJ70" s="412"/>
      <c r="CL70" s="412"/>
      <c r="CM70" s="412"/>
      <c r="CO70" s="412"/>
      <c r="CP70" s="412"/>
      <c r="CQ70" s="412"/>
      <c r="CR70" s="412"/>
      <c r="CS70" s="412"/>
      <c r="CT70" s="412"/>
    </row>
    <row r="71" spans="5:99" s="474" customFormat="1" ht="18.75">
      <c r="E71" s="52"/>
      <c r="H71" s="432"/>
      <c r="Q71" s="475"/>
      <c r="AI71" s="228"/>
      <c r="CI71" s="412"/>
      <c r="CJ71" s="412"/>
      <c r="CL71" s="412"/>
      <c r="CM71" s="412"/>
      <c r="CN71" s="412"/>
      <c r="CO71" s="412"/>
      <c r="CP71" s="412"/>
      <c r="CQ71" s="412"/>
      <c r="CR71" s="412"/>
      <c r="CS71" s="412"/>
      <c r="CT71" s="412"/>
    </row>
    <row r="72" spans="5:99" s="474" customFormat="1" ht="18.75">
      <c r="E72" s="52"/>
      <c r="H72" s="432"/>
      <c r="Q72" s="475"/>
      <c r="AE72" s="389"/>
      <c r="AI72" s="228"/>
      <c r="CI72" s="412"/>
      <c r="CJ72" s="412"/>
      <c r="CL72" s="412"/>
      <c r="CM72" s="412"/>
      <c r="CO72" s="412"/>
      <c r="CP72" s="412"/>
      <c r="CQ72" s="412"/>
      <c r="CR72" s="412"/>
      <c r="CS72" s="412"/>
      <c r="CT72" s="412"/>
    </row>
    <row r="73" spans="5:99" s="474" customFormat="1" ht="18.75">
      <c r="E73" s="52"/>
      <c r="H73" s="432"/>
      <c r="Q73" s="475"/>
      <c r="AE73" s="389"/>
      <c r="AI73" s="228"/>
      <c r="CI73" s="412"/>
      <c r="CJ73" s="412"/>
      <c r="CL73" s="412"/>
      <c r="CM73" s="412"/>
      <c r="CO73" s="412"/>
      <c r="CP73" s="412"/>
      <c r="CQ73" s="412"/>
      <c r="CR73" s="412"/>
      <c r="CS73" s="412"/>
      <c r="CT73" s="412"/>
      <c r="CU73" s="412"/>
    </row>
    <row r="74" spans="5:99" s="474" customFormat="1" ht="18.75">
      <c r="E74" s="52"/>
      <c r="H74" s="432"/>
      <c r="Q74" s="475"/>
      <c r="AE74" s="389"/>
      <c r="AI74" s="228"/>
      <c r="CI74" s="412"/>
      <c r="CJ74" s="412"/>
      <c r="CL74" s="412"/>
      <c r="CM74" s="412"/>
      <c r="CN74" s="412"/>
      <c r="CO74" s="412"/>
      <c r="CP74" s="412"/>
      <c r="CQ74" s="412"/>
      <c r="CR74" s="412"/>
      <c r="CS74" s="412"/>
      <c r="CT74" s="412"/>
      <c r="CU74" s="412"/>
    </row>
    <row r="75" spans="5:99" s="474" customFormat="1" ht="18.75">
      <c r="E75" s="52"/>
      <c r="H75" s="432"/>
      <c r="Q75" s="475"/>
      <c r="AE75" s="389"/>
      <c r="AI75" s="228"/>
      <c r="CI75" s="412"/>
      <c r="CJ75" s="412"/>
      <c r="CL75" s="412"/>
      <c r="CO75" s="412"/>
      <c r="CP75" s="412"/>
      <c r="CQ75" s="412"/>
      <c r="CR75" s="412"/>
      <c r="CS75" s="412"/>
      <c r="CT75" s="412"/>
      <c r="CU75" s="412"/>
    </row>
    <row r="76" spans="5:99" s="474" customFormat="1" ht="18.75">
      <c r="E76" s="52"/>
      <c r="H76" s="432"/>
      <c r="Q76" s="475"/>
      <c r="AE76" s="389"/>
      <c r="AI76" s="228"/>
      <c r="CI76" s="412"/>
      <c r="CJ76" s="412"/>
      <c r="CO76" s="412"/>
      <c r="CP76" s="412"/>
      <c r="CQ76" s="412"/>
      <c r="CR76" s="412"/>
      <c r="CS76" s="412"/>
      <c r="CT76" s="412"/>
    </row>
    <row r="77" spans="5:99" s="474" customFormat="1" ht="18.75">
      <c r="E77" s="52"/>
      <c r="H77" s="432"/>
      <c r="Q77" s="475"/>
      <c r="AE77" s="389"/>
      <c r="AI77" s="228"/>
      <c r="CI77" s="412"/>
      <c r="CJ77" s="412"/>
      <c r="CL77" s="412"/>
      <c r="CM77" s="412"/>
      <c r="CO77" s="412"/>
      <c r="CP77" s="412"/>
      <c r="CQ77" s="412"/>
      <c r="CR77" s="412"/>
      <c r="CS77" s="412"/>
      <c r="CT77" s="412"/>
      <c r="CU77" s="412"/>
    </row>
    <row r="78" spans="5:99" s="474" customFormat="1" ht="18.75">
      <c r="E78" s="52"/>
      <c r="H78" s="432"/>
      <c r="Q78" s="475"/>
      <c r="S78" s="412"/>
      <c r="U78" s="412"/>
      <c r="V78" s="412"/>
      <c r="W78" s="412"/>
      <c r="AE78" s="389"/>
      <c r="AI78" s="228"/>
      <c r="CI78" s="412"/>
      <c r="CJ78" s="412"/>
      <c r="CL78" s="412"/>
      <c r="CM78" s="412"/>
      <c r="CO78" s="412"/>
      <c r="CP78" s="412"/>
      <c r="CQ78" s="412"/>
      <c r="CR78" s="412"/>
      <c r="CS78" s="412"/>
      <c r="CT78" s="412"/>
      <c r="CU78" s="412"/>
    </row>
    <row r="79" spans="5:99" s="474" customFormat="1" ht="18.75">
      <c r="E79" s="52"/>
      <c r="H79" s="432"/>
      <c r="Q79" s="475"/>
      <c r="AE79" s="389"/>
      <c r="AI79" s="228"/>
      <c r="CI79" s="412"/>
      <c r="CJ79" s="412"/>
      <c r="CL79" s="412"/>
      <c r="CM79" s="412"/>
      <c r="CO79" s="412"/>
      <c r="CP79" s="412"/>
      <c r="CQ79" s="412"/>
      <c r="CR79" s="412"/>
      <c r="CS79" s="412"/>
      <c r="CT79" s="412"/>
    </row>
    <row r="80" spans="5:99" s="474" customFormat="1" ht="18.75">
      <c r="E80" s="52"/>
      <c r="H80" s="432"/>
      <c r="Q80" s="475"/>
      <c r="AI80" s="228"/>
      <c r="CI80" s="412"/>
      <c r="CJ80" s="412"/>
      <c r="CL80" s="412"/>
      <c r="CM80" s="412"/>
      <c r="CN80" s="412"/>
      <c r="CP80" s="412"/>
      <c r="CQ80" s="412"/>
      <c r="CR80" s="412"/>
      <c r="CS80" s="412"/>
      <c r="CT80" s="412"/>
    </row>
    <row r="81" spans="5:99" s="474" customFormat="1" ht="18.75">
      <c r="E81" s="52"/>
      <c r="H81" s="432"/>
      <c r="Q81" s="475"/>
      <c r="AI81" s="228"/>
      <c r="CI81" s="412"/>
      <c r="CJ81" s="412"/>
      <c r="CL81" s="412"/>
      <c r="CM81" s="412"/>
      <c r="CQ81" s="412"/>
      <c r="CS81" s="412"/>
      <c r="CU81" s="412"/>
    </row>
    <row r="82" spans="5:99" s="474" customFormat="1" ht="18.75">
      <c r="E82" s="52"/>
      <c r="H82" s="432"/>
      <c r="Q82" s="475"/>
      <c r="AI82" s="228"/>
      <c r="CQ82" s="412"/>
      <c r="CS82" s="412"/>
    </row>
    <row r="83" spans="5:99" s="474" customFormat="1" ht="18.75">
      <c r="E83" s="52"/>
      <c r="H83" s="432"/>
      <c r="Q83" s="475"/>
      <c r="AI83" s="228"/>
      <c r="BS83" s="412"/>
    </row>
    <row r="84" spans="5:99" s="474" customFormat="1" ht="18.75">
      <c r="E84" s="52"/>
      <c r="H84" s="432"/>
      <c r="Q84" s="475"/>
      <c r="AI84" s="228"/>
    </row>
    <row r="85" spans="5:99" s="474" customFormat="1" ht="18.75">
      <c r="E85" s="52"/>
      <c r="H85" s="432"/>
      <c r="Q85" s="475"/>
      <c r="AI85" s="228"/>
    </row>
    <row r="86" spans="5:99" s="474" customFormat="1" ht="18.75">
      <c r="E86" s="52"/>
      <c r="H86" s="432"/>
      <c r="Q86" s="475"/>
      <c r="AI86" s="228"/>
    </row>
    <row r="87" spans="5:99" s="474" customFormat="1" ht="18.75">
      <c r="E87" s="52"/>
      <c r="H87" s="432"/>
      <c r="Q87" s="475"/>
      <c r="AI87" s="228"/>
    </row>
    <row r="88" spans="5:99" s="474" customFormat="1" ht="18.75">
      <c r="E88" s="52"/>
      <c r="H88" s="432"/>
      <c r="Q88" s="475"/>
      <c r="AI88" s="228"/>
    </row>
    <row r="89" spans="5:99" s="474" customFormat="1" ht="18.75">
      <c r="E89" s="52"/>
      <c r="H89" s="432"/>
      <c r="Q89" s="475"/>
      <c r="AI89" s="228"/>
      <c r="AO89" s="400"/>
      <c r="BI89" s="475"/>
      <c r="BJ89" s="402"/>
    </row>
    <row r="90" spans="5:99" s="474" customFormat="1" ht="18.75">
      <c r="E90" s="52"/>
      <c r="H90" s="432"/>
      <c r="Q90" s="475"/>
      <c r="AI90" s="228"/>
      <c r="AO90" s="400"/>
      <c r="BD90" s="412"/>
    </row>
    <row r="91" spans="5:99" s="474" customFormat="1" ht="18.75">
      <c r="E91" s="52"/>
      <c r="H91" s="432"/>
      <c r="Q91" s="475"/>
      <c r="AC91" s="386"/>
      <c r="AD91" s="386"/>
      <c r="AE91" s="386"/>
      <c r="AF91" s="386"/>
      <c r="AG91" s="386"/>
      <c r="AI91" s="386"/>
      <c r="AJ91" s="386"/>
      <c r="AK91" s="386"/>
      <c r="AL91" s="386"/>
      <c r="AM91" s="386"/>
      <c r="AO91" s="400"/>
      <c r="BD91" s="475"/>
      <c r="BE91" s="475"/>
      <c r="BF91" s="475"/>
      <c r="BG91" s="475"/>
      <c r="BH91" s="475"/>
    </row>
    <row r="92" spans="5:99" s="474" customFormat="1" ht="18.75">
      <c r="H92" s="432"/>
      <c r="Q92" s="475"/>
      <c r="AO92" s="400"/>
      <c r="BE92" s="402"/>
    </row>
    <row r="93" spans="5:99" s="474" customFormat="1" ht="18.75">
      <c r="H93" s="432"/>
      <c r="Q93" s="475"/>
      <c r="AO93" s="317"/>
    </row>
    <row r="94" spans="5:99" s="474" customFormat="1" ht="18.75">
      <c r="H94" s="432"/>
      <c r="Q94" s="475"/>
      <c r="AO94" s="317"/>
      <c r="BI94" s="402"/>
    </row>
    <row r="95" spans="5:99" s="474" customFormat="1" ht="18.75">
      <c r="H95" s="432"/>
      <c r="Q95" s="475"/>
      <c r="AO95" s="318"/>
      <c r="BE95" s="412"/>
      <c r="BI95" s="412"/>
    </row>
    <row r="96" spans="5:99" s="474" customFormat="1" ht="18.75">
      <c r="H96" s="432"/>
      <c r="Q96" s="475"/>
      <c r="AO96" s="317"/>
    </row>
    <row r="97" spans="9:95" s="474" customFormat="1">
      <c r="Q97" s="475"/>
      <c r="AO97" s="317"/>
    </row>
    <row r="98" spans="9:95" s="474" customFormat="1">
      <c r="Q98" s="475"/>
      <c r="AO98" s="317"/>
    </row>
    <row r="99" spans="9:95" s="474" customFormat="1">
      <c r="Q99" s="475"/>
      <c r="AO99" s="317"/>
    </row>
    <row r="100" spans="9:95" s="474" customFormat="1">
      <c r="Q100" s="475"/>
    </row>
    <row r="101" spans="9:95" s="474" customFormat="1">
      <c r="Q101" s="475"/>
      <c r="BJ101" s="412"/>
    </row>
    <row r="102" spans="9:95" s="474" customFormat="1">
      <c r="Q102" s="475"/>
      <c r="BG102" s="412"/>
    </row>
    <row r="103" spans="9:95" s="474" customFormat="1">
      <c r="Q103" s="475"/>
      <c r="AC103" s="412"/>
      <c r="AD103" s="412"/>
    </row>
    <row r="104" spans="9:95" s="474" customFormat="1">
      <c r="Q104" s="475"/>
      <c r="AB104" s="475"/>
      <c r="BH104" s="412"/>
    </row>
    <row r="105" spans="9:95" s="474" customFormat="1">
      <c r="Q105" s="475"/>
      <c r="AB105" s="475"/>
    </row>
    <row r="106" spans="9:95" s="474" customFormat="1">
      <c r="Q106" s="475"/>
      <c r="AB106" s="475"/>
      <c r="AC106" s="412"/>
      <c r="AD106" s="412"/>
    </row>
    <row r="107" spans="9:95" s="474" customFormat="1">
      <c r="Q107" s="475"/>
      <c r="AB107" s="475"/>
      <c r="AC107" s="412"/>
      <c r="AD107" s="412"/>
      <c r="AF107" s="412"/>
      <c r="BK107" s="412"/>
      <c r="BL107" s="412"/>
      <c r="BM107" s="412"/>
      <c r="BN107" s="412"/>
      <c r="BO107" s="412"/>
    </row>
    <row r="108" spans="9:95" s="474" customFormat="1">
      <c r="Q108" s="475"/>
      <c r="AB108" s="475"/>
      <c r="AC108" s="412"/>
      <c r="AD108" s="412"/>
      <c r="AE108" s="412"/>
      <c r="AF108" s="412"/>
      <c r="BH108" s="402"/>
    </row>
    <row r="109" spans="9:95" s="474" customFormat="1">
      <c r="Q109" s="475"/>
      <c r="AB109" s="475"/>
      <c r="AE109" s="412"/>
      <c r="AF109" s="412"/>
      <c r="AG109" s="412"/>
    </row>
    <row r="110" spans="9:95" s="474" customFormat="1">
      <c r="Q110" s="475"/>
      <c r="AB110" s="475"/>
      <c r="AE110" s="412"/>
      <c r="AG110" s="412"/>
      <c r="AH110" s="412"/>
    </row>
    <row r="111" spans="9:95">
      <c r="I111" s="474"/>
      <c r="J111" s="474"/>
      <c r="K111" s="474"/>
      <c r="L111" s="474"/>
      <c r="M111" s="474"/>
      <c r="N111" s="474"/>
      <c r="O111" s="474"/>
      <c r="P111" s="474"/>
      <c r="Q111" s="475"/>
      <c r="R111" s="474"/>
      <c r="S111" s="474"/>
      <c r="T111" s="474"/>
      <c r="U111" s="474"/>
      <c r="V111" s="474"/>
      <c r="W111" s="474"/>
      <c r="X111" s="474"/>
      <c r="Y111" s="474"/>
      <c r="Z111" s="474"/>
      <c r="AA111" s="474"/>
      <c r="AB111" s="475"/>
      <c r="AC111" s="474"/>
      <c r="AD111" s="474"/>
      <c r="AE111" s="474"/>
      <c r="AF111" s="474"/>
      <c r="AG111" s="412"/>
      <c r="AH111" s="412"/>
      <c r="AI111" s="412"/>
      <c r="AJ111" s="474"/>
      <c r="AK111" s="474"/>
      <c r="AL111" s="474"/>
      <c r="AM111" s="474"/>
      <c r="AN111" s="482"/>
      <c r="AO111" s="474"/>
      <c r="BD111" s="474"/>
      <c r="BE111" s="474"/>
      <c r="BF111" s="474"/>
      <c r="BG111" s="412"/>
      <c r="BH111" s="474"/>
      <c r="BI111" s="474"/>
      <c r="BJ111" s="474"/>
      <c r="BK111" s="474"/>
      <c r="BL111" s="474"/>
      <c r="BM111" s="474"/>
      <c r="BN111" s="474"/>
      <c r="BO111" s="474"/>
      <c r="BP111" s="474"/>
      <c r="BQ111" s="474"/>
      <c r="BR111" s="474"/>
      <c r="CL111" s="476"/>
      <c r="CQ111" s="477"/>
    </row>
    <row r="112" spans="9:95">
      <c r="I112" s="474"/>
      <c r="J112" s="474"/>
      <c r="K112" s="474"/>
      <c r="L112" s="474"/>
      <c r="M112" s="474"/>
      <c r="N112" s="474"/>
      <c r="O112" s="474"/>
      <c r="P112" s="474"/>
      <c r="Q112" s="475"/>
      <c r="R112" s="474"/>
      <c r="S112" s="474"/>
      <c r="T112" s="474"/>
      <c r="U112" s="474"/>
      <c r="V112" s="474"/>
      <c r="W112" s="474"/>
      <c r="X112" s="474"/>
      <c r="Y112" s="474"/>
      <c r="Z112" s="474"/>
      <c r="AA112" s="474"/>
      <c r="AB112" s="475"/>
      <c r="AC112" s="474"/>
      <c r="AD112" s="474"/>
      <c r="AE112" s="474"/>
      <c r="AF112" s="412"/>
      <c r="AG112" s="474"/>
      <c r="AH112" s="412"/>
      <c r="AI112" s="412"/>
      <c r="AJ112" s="412"/>
      <c r="AK112" s="474"/>
      <c r="AL112" s="474"/>
      <c r="AM112" s="474"/>
      <c r="AN112" s="482"/>
      <c r="AO112" s="474"/>
      <c r="BD112" s="474"/>
      <c r="BE112" s="474"/>
      <c r="BF112" s="474"/>
      <c r="BG112" s="474"/>
      <c r="BH112" s="474"/>
      <c r="BI112" s="474"/>
      <c r="BJ112" s="474"/>
      <c r="BK112" s="474"/>
      <c r="BL112" s="474"/>
      <c r="BM112" s="474"/>
      <c r="BN112" s="474"/>
      <c r="BO112" s="474"/>
      <c r="BP112" s="474"/>
      <c r="BQ112" s="474"/>
      <c r="BR112" s="474"/>
      <c r="CL112" s="476"/>
      <c r="CQ112" s="477"/>
    </row>
    <row r="113" spans="9:95">
      <c r="I113" s="474"/>
      <c r="J113" s="474"/>
      <c r="K113" s="474"/>
      <c r="L113" s="474"/>
      <c r="M113" s="474"/>
      <c r="N113" s="474"/>
      <c r="O113" s="474"/>
      <c r="P113" s="474"/>
      <c r="Q113" s="475"/>
      <c r="R113" s="474"/>
      <c r="S113" s="474"/>
      <c r="T113" s="474"/>
      <c r="U113" s="474"/>
      <c r="V113" s="474"/>
      <c r="W113" s="474"/>
      <c r="X113" s="474"/>
      <c r="Y113" s="474"/>
      <c r="Z113" s="474"/>
      <c r="AA113" s="474"/>
      <c r="AB113" s="475"/>
      <c r="AC113" s="475"/>
      <c r="AD113" s="475"/>
      <c r="AE113" s="474"/>
      <c r="AF113" s="412"/>
      <c r="AG113" s="474"/>
      <c r="AH113" s="474"/>
      <c r="AI113" s="412"/>
      <c r="AJ113" s="412"/>
      <c r="AK113" s="474"/>
      <c r="AL113" s="474"/>
      <c r="AM113" s="474"/>
      <c r="AN113" s="482"/>
      <c r="AO113" s="474"/>
      <c r="BD113" s="474"/>
      <c r="BE113" s="474"/>
      <c r="BF113" s="474"/>
      <c r="BG113" s="474"/>
      <c r="BH113" s="474"/>
      <c r="BI113" s="474"/>
      <c r="BJ113" s="474"/>
      <c r="BK113" s="474"/>
      <c r="BL113" s="474"/>
      <c r="BM113" s="402"/>
      <c r="BN113" s="402"/>
      <c r="BO113" s="402"/>
      <c r="BP113" s="474"/>
      <c r="BQ113" s="474"/>
      <c r="BR113" s="474"/>
      <c r="CL113" s="476"/>
      <c r="CQ113" s="477"/>
    </row>
    <row r="114" spans="9:95">
      <c r="I114" s="474"/>
      <c r="J114" s="474"/>
      <c r="K114" s="474"/>
      <c r="L114" s="474"/>
      <c r="M114" s="474"/>
      <c r="N114" s="474"/>
      <c r="O114" s="474"/>
      <c r="P114" s="474"/>
      <c r="Q114" s="475"/>
      <c r="R114" s="474"/>
      <c r="S114" s="474"/>
      <c r="T114" s="474"/>
      <c r="U114" s="474"/>
      <c r="V114" s="474"/>
      <c r="W114" s="474"/>
      <c r="X114" s="474"/>
      <c r="Y114" s="474"/>
      <c r="Z114" s="474"/>
      <c r="AA114" s="474"/>
      <c r="AB114" s="475"/>
      <c r="AC114" s="474"/>
      <c r="AD114" s="474"/>
      <c r="AE114" s="474"/>
      <c r="AF114" s="475"/>
      <c r="AG114" s="474"/>
      <c r="AH114" s="474"/>
      <c r="AI114" s="474"/>
      <c r="AJ114" s="412"/>
      <c r="AK114" s="474"/>
      <c r="AL114" s="474"/>
      <c r="AM114" s="474"/>
      <c r="AN114" s="482"/>
      <c r="AO114" s="474"/>
      <c r="BD114" s="474"/>
      <c r="BE114" s="474"/>
      <c r="BF114" s="474"/>
      <c r="BG114" s="474"/>
      <c r="BH114" s="474"/>
      <c r="BI114" s="474"/>
      <c r="BJ114" s="474"/>
      <c r="BK114" s="412"/>
      <c r="BL114" s="474"/>
      <c r="BM114" s="474"/>
      <c r="BN114" s="474"/>
      <c r="BO114" s="474"/>
      <c r="BP114" s="474"/>
      <c r="BQ114" s="474"/>
      <c r="BR114" s="474"/>
      <c r="CL114" s="476"/>
      <c r="CQ114" s="477"/>
    </row>
    <row r="115" spans="9:95">
      <c r="I115" s="474"/>
      <c r="J115" s="474"/>
      <c r="K115" s="474"/>
      <c r="L115" s="474"/>
      <c r="M115" s="474"/>
      <c r="N115" s="474"/>
      <c r="O115" s="474"/>
      <c r="P115" s="474"/>
      <c r="Q115" s="475"/>
      <c r="R115" s="474"/>
      <c r="S115" s="474"/>
      <c r="T115" s="474"/>
      <c r="U115" s="474"/>
      <c r="V115" s="474"/>
      <c r="W115" s="474"/>
      <c r="X115" s="474"/>
      <c r="Y115" s="474"/>
      <c r="Z115" s="474"/>
      <c r="AA115" s="474"/>
      <c r="AB115" s="475"/>
      <c r="AC115" s="474"/>
      <c r="AD115" s="474"/>
      <c r="AE115" s="475"/>
      <c r="AF115" s="474"/>
      <c r="AG115" s="474"/>
      <c r="AH115" s="474"/>
      <c r="AI115" s="474"/>
      <c r="AJ115" s="474"/>
      <c r="AK115" s="474"/>
      <c r="AL115" s="474"/>
      <c r="AM115" s="474"/>
      <c r="AN115" s="482"/>
      <c r="AO115" s="474"/>
      <c r="BD115" s="474"/>
      <c r="BE115" s="474"/>
      <c r="BF115" s="474"/>
      <c r="BG115" s="474"/>
      <c r="BH115" s="474"/>
      <c r="BI115" s="474"/>
      <c r="BJ115" s="474"/>
      <c r="BK115" s="474"/>
      <c r="BL115" s="474"/>
      <c r="BM115" s="474"/>
      <c r="BN115" s="474"/>
      <c r="BO115" s="474"/>
      <c r="BP115" s="474"/>
      <c r="BQ115" s="474"/>
      <c r="BR115" s="474"/>
      <c r="CL115" s="476"/>
      <c r="CQ115" s="477"/>
    </row>
    <row r="116" spans="9:95">
      <c r="I116" s="474"/>
      <c r="J116" s="474"/>
      <c r="K116" s="474"/>
      <c r="L116" s="474"/>
      <c r="M116" s="474"/>
      <c r="N116" s="474"/>
      <c r="O116" s="474"/>
      <c r="P116" s="474"/>
      <c r="Q116" s="475"/>
      <c r="R116" s="474"/>
      <c r="S116" s="474"/>
      <c r="T116" s="474"/>
      <c r="U116" s="474"/>
      <c r="V116" s="474"/>
      <c r="W116" s="474"/>
      <c r="X116" s="474"/>
      <c r="Y116" s="474"/>
      <c r="Z116" s="474"/>
      <c r="AA116" s="474"/>
      <c r="AB116" s="402"/>
      <c r="AC116" s="474"/>
      <c r="AD116" s="474"/>
      <c r="AE116" s="474"/>
      <c r="AF116" s="474"/>
      <c r="AG116" s="474"/>
      <c r="AH116" s="474"/>
      <c r="AI116" s="412"/>
      <c r="AJ116" s="474"/>
      <c r="AK116" s="474"/>
      <c r="AL116" s="474"/>
      <c r="AM116" s="474"/>
      <c r="AN116" s="482"/>
      <c r="AO116" s="474"/>
      <c r="BD116" s="474"/>
      <c r="BE116" s="474"/>
      <c r="BF116" s="474"/>
      <c r="BG116" s="474"/>
      <c r="BH116" s="474"/>
      <c r="BI116" s="474"/>
      <c r="BJ116" s="474"/>
      <c r="BK116" s="474"/>
      <c r="BL116" s="474"/>
      <c r="BM116" s="474"/>
      <c r="BN116" s="474"/>
      <c r="BO116" s="474"/>
      <c r="BP116" s="474"/>
      <c r="BQ116" s="474"/>
      <c r="BR116" s="474"/>
      <c r="CL116" s="476"/>
      <c r="CQ116" s="477"/>
    </row>
    <row r="117" spans="9:95">
      <c r="I117" s="474"/>
      <c r="J117" s="474"/>
      <c r="K117" s="474"/>
      <c r="L117" s="474"/>
      <c r="M117" s="474"/>
      <c r="N117" s="474"/>
      <c r="O117" s="474"/>
      <c r="P117" s="474"/>
      <c r="Q117" s="475"/>
      <c r="R117" s="474"/>
      <c r="S117" s="474"/>
      <c r="T117" s="474"/>
      <c r="U117" s="474"/>
      <c r="V117" s="474"/>
      <c r="W117" s="474"/>
      <c r="X117" s="474"/>
      <c r="Y117" s="474"/>
      <c r="Z117" s="474"/>
      <c r="AA117" s="474"/>
      <c r="AB117" s="402"/>
      <c r="AC117" s="474"/>
      <c r="AD117" s="474"/>
      <c r="AE117" s="474"/>
      <c r="AF117" s="474"/>
      <c r="AG117" s="474"/>
      <c r="AH117" s="474"/>
      <c r="AI117" s="412"/>
      <c r="AJ117" s="412"/>
      <c r="AK117" s="474"/>
      <c r="AL117" s="474"/>
      <c r="AM117" s="474"/>
      <c r="AN117" s="482"/>
      <c r="AO117" s="474"/>
      <c r="BD117" s="474"/>
      <c r="BE117" s="474"/>
      <c r="BF117" s="474"/>
      <c r="BG117" s="474"/>
      <c r="BH117" s="474"/>
      <c r="BI117" s="474"/>
      <c r="BJ117" s="474"/>
      <c r="BK117" s="474"/>
      <c r="BL117" s="474"/>
      <c r="BM117" s="412"/>
      <c r="BN117" s="412"/>
      <c r="BO117" s="412"/>
      <c r="BP117" s="474"/>
      <c r="BQ117" s="474"/>
      <c r="BR117" s="474"/>
      <c r="CL117" s="476"/>
      <c r="CQ117" s="477"/>
    </row>
    <row r="118" spans="9:95">
      <c r="I118" s="474"/>
      <c r="J118" s="474"/>
      <c r="K118" s="474"/>
      <c r="L118" s="474"/>
      <c r="M118" s="474"/>
      <c r="N118" s="474"/>
      <c r="O118" s="474"/>
      <c r="P118" s="474"/>
      <c r="Q118" s="475"/>
      <c r="R118" s="474"/>
      <c r="S118" s="474"/>
      <c r="T118" s="474"/>
      <c r="U118" s="474"/>
      <c r="V118" s="474"/>
      <c r="W118" s="474"/>
      <c r="X118" s="474"/>
      <c r="Y118" s="474"/>
      <c r="Z118" s="474"/>
      <c r="AA118" s="474"/>
      <c r="AB118" s="402"/>
      <c r="AC118" s="412"/>
      <c r="AD118" s="412"/>
      <c r="AE118" s="474"/>
      <c r="AF118" s="474"/>
      <c r="AG118" s="474"/>
      <c r="AH118" s="474"/>
      <c r="AI118" s="475"/>
      <c r="AJ118" s="412"/>
      <c r="AK118" s="474"/>
      <c r="AL118" s="474"/>
      <c r="AM118" s="474"/>
      <c r="AN118" s="482"/>
      <c r="AO118" s="474"/>
      <c r="BD118" s="474"/>
      <c r="BE118" s="474"/>
      <c r="BF118" s="412"/>
      <c r="BG118" s="474"/>
      <c r="BH118" s="474"/>
      <c r="BI118" s="474"/>
      <c r="BJ118" s="474"/>
      <c r="BK118" s="474"/>
      <c r="BL118" s="474"/>
      <c r="BM118" s="474"/>
      <c r="BN118" s="474"/>
      <c r="BO118" s="474"/>
      <c r="BP118" s="474"/>
      <c r="BQ118" s="474"/>
      <c r="BR118" s="474"/>
      <c r="CL118" s="476"/>
      <c r="CQ118" s="477"/>
    </row>
    <row r="119" spans="9:95">
      <c r="I119" s="474"/>
      <c r="J119" s="474"/>
      <c r="K119" s="474"/>
      <c r="L119" s="474"/>
      <c r="M119" s="474"/>
      <c r="N119" s="474"/>
      <c r="O119" s="474"/>
      <c r="P119" s="474"/>
      <c r="Q119" s="475"/>
      <c r="R119" s="474"/>
      <c r="S119" s="474"/>
      <c r="T119" s="474"/>
      <c r="U119" s="474"/>
      <c r="V119" s="474"/>
      <c r="W119" s="474"/>
      <c r="X119" s="474"/>
      <c r="Y119" s="474"/>
      <c r="Z119" s="474"/>
      <c r="AA119" s="474"/>
      <c r="AB119" s="402"/>
      <c r="AC119" s="474"/>
      <c r="AD119" s="474"/>
      <c r="AE119" s="474"/>
      <c r="AF119" s="412"/>
      <c r="AG119" s="474"/>
      <c r="AH119" s="474"/>
      <c r="AI119" s="474"/>
      <c r="AJ119" s="475"/>
      <c r="AK119" s="474"/>
      <c r="AL119" s="474"/>
      <c r="AM119" s="474"/>
      <c r="AN119" s="482"/>
      <c r="AO119" s="474"/>
      <c r="BD119" s="474"/>
      <c r="BE119" s="474"/>
      <c r="BF119" s="474"/>
      <c r="BG119" s="474"/>
      <c r="BH119" s="474"/>
      <c r="BI119" s="474"/>
      <c r="BJ119" s="474"/>
      <c r="BK119" s="474"/>
      <c r="BL119" s="474"/>
      <c r="BM119" s="474"/>
      <c r="BN119" s="474"/>
      <c r="BO119" s="474"/>
      <c r="BP119" s="474"/>
      <c r="BQ119" s="474"/>
      <c r="BR119" s="474"/>
      <c r="CL119" s="476"/>
      <c r="CQ119" s="477"/>
    </row>
    <row r="120" spans="9:95">
      <c r="I120" s="474"/>
      <c r="J120" s="474"/>
      <c r="K120" s="474"/>
      <c r="L120" s="474"/>
      <c r="M120" s="474"/>
      <c r="N120" s="474"/>
      <c r="O120" s="474"/>
      <c r="P120" s="474"/>
      <c r="Q120" s="475"/>
      <c r="R120" s="474"/>
      <c r="S120" s="474"/>
      <c r="T120" s="474"/>
      <c r="U120" s="474"/>
      <c r="V120" s="474"/>
      <c r="W120" s="474"/>
      <c r="X120" s="474"/>
      <c r="Y120" s="474"/>
      <c r="Z120" s="474"/>
      <c r="AA120" s="474"/>
      <c r="AB120" s="402"/>
      <c r="AC120" s="412"/>
      <c r="AD120" s="412"/>
      <c r="AE120" s="412"/>
      <c r="AF120" s="474"/>
      <c r="AG120" s="474"/>
      <c r="AH120" s="474"/>
      <c r="AI120" s="474"/>
      <c r="AJ120" s="412"/>
      <c r="AK120" s="474"/>
      <c r="AL120" s="474"/>
      <c r="AM120" s="474"/>
      <c r="AN120" s="482"/>
      <c r="AO120" s="474"/>
      <c r="BD120" s="474"/>
      <c r="BE120" s="474"/>
      <c r="BF120" s="474"/>
      <c r="BG120" s="474"/>
      <c r="BH120" s="474"/>
      <c r="BI120" s="474"/>
      <c r="BJ120" s="474"/>
      <c r="BK120" s="474"/>
      <c r="BL120" s="474"/>
      <c r="BM120" s="474"/>
      <c r="BN120" s="474"/>
      <c r="BO120" s="474"/>
      <c r="BP120" s="474"/>
      <c r="BQ120" s="474"/>
      <c r="BR120" s="474"/>
      <c r="CL120" s="476"/>
      <c r="CQ120" s="477"/>
    </row>
    <row r="121" spans="9:95">
      <c r="I121" s="474"/>
      <c r="J121" s="474"/>
      <c r="K121" s="474"/>
      <c r="L121" s="474"/>
      <c r="M121" s="474"/>
      <c r="N121" s="474"/>
      <c r="O121" s="474"/>
      <c r="P121" s="474"/>
      <c r="Q121" s="475"/>
      <c r="R121" s="474"/>
      <c r="S121" s="474"/>
      <c r="T121" s="474"/>
      <c r="U121" s="474"/>
      <c r="V121" s="474"/>
      <c r="W121" s="474"/>
      <c r="X121" s="474"/>
      <c r="Y121" s="474"/>
      <c r="Z121" s="474"/>
      <c r="AA121" s="474"/>
      <c r="AB121" s="402"/>
      <c r="AC121" s="412"/>
      <c r="AD121" s="412"/>
      <c r="AE121" s="474"/>
      <c r="AF121" s="474"/>
      <c r="AG121" s="412"/>
      <c r="AH121" s="474"/>
      <c r="AI121" s="474"/>
      <c r="AJ121" s="412"/>
      <c r="AK121" s="474"/>
      <c r="AL121" s="474"/>
      <c r="AM121" s="474"/>
      <c r="AN121" s="482"/>
      <c r="AO121" s="474"/>
      <c r="BD121" s="474"/>
      <c r="BE121" s="474"/>
      <c r="BF121" s="474"/>
      <c r="BG121" s="474"/>
      <c r="BH121" s="474"/>
      <c r="BI121" s="474"/>
      <c r="BJ121" s="474"/>
      <c r="BK121" s="474"/>
      <c r="BL121" s="474"/>
      <c r="BM121" s="474"/>
      <c r="BN121" s="474"/>
      <c r="BO121" s="474"/>
      <c r="BP121" s="474"/>
      <c r="BQ121" s="474"/>
      <c r="BR121" s="474"/>
      <c r="CL121" s="476"/>
      <c r="CQ121" s="477"/>
    </row>
    <row r="122" spans="9:95">
      <c r="I122" s="474"/>
      <c r="J122" s="474"/>
      <c r="K122" s="474"/>
      <c r="L122" s="474"/>
      <c r="M122" s="474"/>
      <c r="N122" s="474"/>
      <c r="O122" s="474"/>
      <c r="P122" s="474"/>
      <c r="Q122" s="475"/>
      <c r="R122" s="474"/>
      <c r="S122" s="474"/>
      <c r="T122" s="474"/>
      <c r="U122" s="474"/>
      <c r="V122" s="474"/>
      <c r="W122" s="474"/>
      <c r="X122" s="474"/>
      <c r="Y122" s="474"/>
      <c r="Z122" s="474"/>
      <c r="AA122" s="474"/>
      <c r="AB122" s="402"/>
      <c r="AC122" s="412"/>
      <c r="AD122" s="412"/>
      <c r="AE122" s="474"/>
      <c r="AF122" s="412"/>
      <c r="AG122" s="474"/>
      <c r="AH122" s="412"/>
      <c r="AI122" s="474"/>
      <c r="AJ122" s="412"/>
      <c r="AK122" s="474"/>
      <c r="AL122" s="474"/>
      <c r="AM122" s="474"/>
      <c r="AN122" s="482"/>
      <c r="AO122" s="474"/>
      <c r="BD122" s="474"/>
      <c r="BE122" s="474"/>
      <c r="BF122" s="402"/>
      <c r="BG122" s="474"/>
      <c r="BH122" s="474"/>
      <c r="BI122" s="474"/>
      <c r="BJ122" s="474"/>
      <c r="BK122" s="474"/>
      <c r="BL122" s="474"/>
      <c r="BM122" s="474"/>
      <c r="BN122" s="474"/>
      <c r="BO122" s="474"/>
      <c r="BP122" s="474"/>
      <c r="BQ122" s="474"/>
      <c r="BR122" s="474"/>
      <c r="CL122" s="476"/>
      <c r="CQ122" s="477"/>
    </row>
    <row r="123" spans="9:95">
      <c r="I123" s="474"/>
      <c r="J123" s="474"/>
      <c r="K123" s="474"/>
      <c r="L123" s="474"/>
      <c r="M123" s="474"/>
      <c r="N123" s="474"/>
      <c r="O123" s="474"/>
      <c r="P123" s="474"/>
      <c r="Q123" s="475"/>
      <c r="R123" s="474"/>
      <c r="S123" s="474"/>
      <c r="T123" s="474"/>
      <c r="U123" s="474"/>
      <c r="V123" s="474"/>
      <c r="W123" s="474"/>
      <c r="X123" s="474"/>
      <c r="Y123" s="474"/>
      <c r="Z123" s="474"/>
      <c r="AA123" s="474"/>
      <c r="AB123" s="402"/>
      <c r="AC123" s="412"/>
      <c r="AD123" s="412"/>
      <c r="AE123" s="412"/>
      <c r="AF123" s="412"/>
      <c r="AG123" s="412"/>
      <c r="AH123" s="474"/>
      <c r="AI123" s="412"/>
      <c r="AJ123" s="474"/>
      <c r="AK123" s="474"/>
      <c r="AL123" s="474"/>
      <c r="AM123" s="474"/>
      <c r="AN123" s="482"/>
      <c r="AO123" s="474"/>
      <c r="BD123" s="474"/>
      <c r="BE123" s="474"/>
      <c r="BF123" s="474"/>
      <c r="BG123" s="474"/>
      <c r="BH123" s="474"/>
      <c r="BI123" s="474"/>
      <c r="BJ123" s="474"/>
      <c r="BK123" s="474"/>
      <c r="BL123" s="474"/>
      <c r="BM123" s="474"/>
      <c r="BN123" s="474"/>
      <c r="BO123" s="474"/>
      <c r="BP123" s="474"/>
      <c r="BQ123" s="474"/>
      <c r="BR123" s="474"/>
      <c r="CL123" s="476"/>
      <c r="CQ123" s="477"/>
    </row>
    <row r="124" spans="9:95">
      <c r="I124" s="474"/>
      <c r="J124" s="474"/>
      <c r="K124" s="474"/>
      <c r="L124" s="474"/>
      <c r="M124" s="474"/>
      <c r="N124" s="474"/>
      <c r="O124" s="474"/>
      <c r="P124" s="474"/>
      <c r="Q124" s="475"/>
      <c r="R124" s="474"/>
      <c r="S124" s="474"/>
      <c r="T124" s="474"/>
      <c r="U124" s="474"/>
      <c r="V124" s="474"/>
      <c r="W124" s="474"/>
      <c r="X124" s="474"/>
      <c r="Y124" s="474"/>
      <c r="Z124" s="474"/>
      <c r="AA124" s="474"/>
      <c r="AB124" s="402"/>
      <c r="AC124" s="412"/>
      <c r="AD124" s="412"/>
      <c r="AE124" s="474"/>
      <c r="AF124" s="474"/>
      <c r="AG124" s="412"/>
      <c r="AH124" s="474"/>
      <c r="AI124" s="474"/>
      <c r="AJ124" s="412"/>
      <c r="AK124" s="474"/>
      <c r="AL124" s="474"/>
      <c r="AM124" s="474"/>
      <c r="AN124" s="482"/>
      <c r="AO124" s="474"/>
      <c r="BD124" s="474"/>
      <c r="BE124" s="474"/>
      <c r="BF124" s="474"/>
      <c r="BG124" s="474"/>
      <c r="BH124" s="474"/>
      <c r="BI124" s="474"/>
      <c r="BJ124" s="474"/>
      <c r="BK124" s="474"/>
      <c r="BL124" s="474"/>
      <c r="BM124" s="474"/>
      <c r="BN124" s="474"/>
      <c r="BO124" s="474"/>
      <c r="BP124" s="474"/>
      <c r="BQ124" s="474"/>
      <c r="BR124" s="474"/>
      <c r="CL124" s="476"/>
      <c r="CQ124" s="477"/>
    </row>
    <row r="125" spans="9:95">
      <c r="I125" s="474"/>
      <c r="J125" s="474"/>
      <c r="K125" s="474"/>
      <c r="L125" s="474"/>
      <c r="M125" s="474"/>
      <c r="N125" s="474"/>
      <c r="O125" s="474"/>
      <c r="P125" s="474"/>
      <c r="Q125" s="475"/>
      <c r="R125" s="474"/>
      <c r="S125" s="474"/>
      <c r="T125" s="474"/>
      <c r="U125" s="474"/>
      <c r="V125" s="474"/>
      <c r="W125" s="474"/>
      <c r="X125" s="474"/>
      <c r="Y125" s="474"/>
      <c r="Z125" s="474"/>
      <c r="AA125" s="474"/>
      <c r="AB125" s="402"/>
      <c r="AC125" s="412"/>
      <c r="AD125" s="412"/>
      <c r="AE125" s="474"/>
      <c r="AF125" s="412"/>
      <c r="AG125" s="474"/>
      <c r="AH125" s="412"/>
      <c r="AI125" s="474"/>
      <c r="AJ125" s="474"/>
      <c r="AK125" s="474"/>
      <c r="AL125" s="474"/>
      <c r="AM125" s="474"/>
      <c r="AN125" s="482"/>
      <c r="AO125" s="474"/>
      <c r="BD125" s="474"/>
      <c r="BE125" s="474"/>
      <c r="BF125" s="474"/>
      <c r="BG125" s="474"/>
      <c r="BH125" s="474"/>
      <c r="BI125" s="474"/>
      <c r="BJ125" s="474"/>
      <c r="BK125" s="474"/>
      <c r="BL125" s="474"/>
      <c r="BM125" s="474"/>
      <c r="BN125" s="474"/>
      <c r="BO125" s="474"/>
      <c r="BP125" s="474"/>
      <c r="BQ125" s="474"/>
      <c r="BR125" s="474"/>
      <c r="CL125" s="476"/>
      <c r="CQ125" s="477"/>
    </row>
    <row r="126" spans="9:95">
      <c r="I126" s="474"/>
      <c r="J126" s="474"/>
      <c r="K126" s="474"/>
      <c r="L126" s="474"/>
      <c r="M126" s="474"/>
      <c r="N126" s="474"/>
      <c r="O126" s="474"/>
      <c r="P126" s="474"/>
      <c r="Q126" s="475"/>
      <c r="R126" s="474"/>
      <c r="S126" s="474"/>
      <c r="T126" s="474"/>
      <c r="U126" s="474"/>
      <c r="V126" s="474"/>
      <c r="W126" s="474"/>
      <c r="X126" s="474"/>
      <c r="Y126" s="474"/>
      <c r="Z126" s="474"/>
      <c r="AA126" s="474"/>
      <c r="AB126" s="402"/>
      <c r="AC126" s="412"/>
      <c r="AD126" s="412"/>
      <c r="AE126" s="474"/>
      <c r="AF126" s="474"/>
      <c r="AG126" s="474"/>
      <c r="AH126" s="474"/>
      <c r="AI126" s="412"/>
      <c r="AJ126" s="474"/>
      <c r="AK126" s="474"/>
      <c r="AL126" s="474"/>
      <c r="AM126" s="474"/>
      <c r="AN126" s="482"/>
      <c r="AO126" s="474"/>
      <c r="BD126" s="474"/>
      <c r="BE126" s="474"/>
      <c r="BF126" s="474"/>
      <c r="BG126" s="474"/>
      <c r="BH126" s="474"/>
      <c r="BI126" s="474"/>
      <c r="BJ126" s="474"/>
      <c r="BK126" s="474"/>
      <c r="BL126" s="474"/>
      <c r="BM126" s="474"/>
      <c r="BN126" s="474"/>
      <c r="BO126" s="474"/>
      <c r="BP126" s="474"/>
      <c r="BQ126" s="474"/>
      <c r="BR126" s="474"/>
      <c r="CL126" s="476"/>
      <c r="CQ126" s="477"/>
    </row>
    <row r="127" spans="9:95">
      <c r="I127" s="474"/>
      <c r="J127" s="474"/>
      <c r="K127" s="474"/>
      <c r="L127" s="474"/>
      <c r="M127" s="474"/>
      <c r="N127" s="474"/>
      <c r="O127" s="474"/>
      <c r="P127" s="474"/>
      <c r="Q127" s="475"/>
      <c r="R127" s="474"/>
      <c r="S127" s="474"/>
      <c r="T127" s="474"/>
      <c r="U127" s="474"/>
      <c r="V127" s="474"/>
      <c r="W127" s="474"/>
      <c r="X127" s="474"/>
      <c r="Y127" s="474"/>
      <c r="Z127" s="474"/>
      <c r="AA127" s="474"/>
      <c r="AB127" s="474"/>
      <c r="AC127" s="474"/>
      <c r="AD127" s="474"/>
      <c r="AE127" s="474"/>
      <c r="AF127" s="474"/>
      <c r="AH127" s="400"/>
      <c r="BD127" s="474"/>
      <c r="BE127" s="474"/>
      <c r="BF127" s="474"/>
      <c r="BG127" s="474"/>
      <c r="BH127" s="474"/>
      <c r="BI127" s="474"/>
      <c r="BJ127" s="474"/>
      <c r="BK127" s="474"/>
      <c r="BL127" s="474"/>
      <c r="BM127" s="474"/>
      <c r="BN127" s="474"/>
      <c r="BO127" s="474"/>
      <c r="BP127" s="474"/>
      <c r="BQ127" s="474"/>
      <c r="BR127" s="474"/>
      <c r="CL127" s="476"/>
      <c r="CQ127" s="477"/>
    </row>
    <row r="128" spans="9:95">
      <c r="I128" s="474"/>
      <c r="J128" s="474"/>
      <c r="K128" s="474"/>
      <c r="L128" s="474"/>
      <c r="M128" s="474"/>
      <c r="N128" s="474"/>
      <c r="O128" s="474"/>
      <c r="P128" s="474"/>
      <c r="Q128" s="475"/>
      <c r="R128" s="474"/>
      <c r="S128" s="474"/>
      <c r="T128" s="474"/>
      <c r="U128" s="474"/>
      <c r="V128" s="474"/>
      <c r="W128" s="474"/>
      <c r="X128" s="474"/>
      <c r="Y128" s="474"/>
      <c r="Z128" s="474"/>
      <c r="AA128" s="474"/>
      <c r="AB128" s="474"/>
      <c r="AC128" s="474"/>
      <c r="AD128" s="474"/>
      <c r="AE128" s="474"/>
      <c r="AF128" s="474"/>
      <c r="AH128" s="317"/>
      <c r="BD128" s="474"/>
      <c r="BE128" s="474"/>
      <c r="BF128" s="474"/>
      <c r="BG128" s="474"/>
      <c r="BH128" s="474"/>
      <c r="BI128" s="474"/>
      <c r="BJ128" s="474"/>
      <c r="BK128" s="474"/>
      <c r="BL128" s="474"/>
      <c r="BM128" s="474"/>
      <c r="BN128" s="474"/>
      <c r="BO128" s="474"/>
      <c r="BP128" s="474"/>
      <c r="BQ128" s="474"/>
      <c r="BR128" s="474"/>
      <c r="CL128" s="476"/>
      <c r="CQ128" s="477"/>
    </row>
    <row r="129" spans="9:95">
      <c r="I129" s="474"/>
      <c r="J129" s="474"/>
      <c r="K129" s="474"/>
      <c r="L129" s="474"/>
      <c r="M129" s="474"/>
      <c r="N129" s="474"/>
      <c r="O129" s="474"/>
      <c r="P129" s="474"/>
      <c r="Q129" s="475"/>
      <c r="R129" s="474"/>
      <c r="S129" s="474"/>
      <c r="T129" s="474"/>
      <c r="U129" s="474"/>
      <c r="V129" s="474"/>
      <c r="W129" s="474"/>
      <c r="X129" s="474"/>
      <c r="Y129" s="474"/>
      <c r="Z129" s="474"/>
      <c r="AA129" s="474"/>
      <c r="AB129" s="474"/>
      <c r="AC129" s="474"/>
      <c r="AD129" s="474"/>
      <c r="AE129" s="474"/>
      <c r="AF129" s="474"/>
      <c r="AH129" s="400"/>
      <c r="AI129" s="477"/>
      <c r="BD129" s="474"/>
      <c r="BE129" s="474"/>
      <c r="BF129" s="474"/>
      <c r="BG129" s="474"/>
      <c r="BH129" s="474"/>
      <c r="BI129" s="474"/>
      <c r="BJ129" s="474"/>
      <c r="BK129" s="474"/>
      <c r="BL129" s="474"/>
      <c r="BM129" s="474"/>
      <c r="BN129" s="474"/>
      <c r="BO129" s="474"/>
      <c r="BP129" s="474"/>
      <c r="BQ129" s="474"/>
      <c r="BR129" s="474"/>
      <c r="CL129" s="476"/>
      <c r="CQ129" s="477"/>
    </row>
    <row r="130" spans="9:95">
      <c r="I130" s="474"/>
      <c r="J130" s="474"/>
      <c r="K130" s="474"/>
      <c r="L130" s="474"/>
      <c r="M130" s="474"/>
      <c r="N130" s="474"/>
      <c r="O130" s="474"/>
      <c r="P130" s="474"/>
      <c r="Q130" s="475"/>
      <c r="R130" s="474"/>
      <c r="S130" s="474"/>
      <c r="T130" s="474"/>
      <c r="U130" s="474"/>
      <c r="V130" s="474"/>
      <c r="W130" s="474"/>
      <c r="X130" s="474"/>
      <c r="Y130" s="474"/>
      <c r="Z130" s="474"/>
      <c r="AA130" s="474"/>
      <c r="AB130" s="474"/>
      <c r="AC130" s="474"/>
      <c r="AD130" s="474"/>
      <c r="AE130" s="474"/>
      <c r="AF130" s="474"/>
      <c r="AH130" s="400"/>
      <c r="AI130" s="477"/>
      <c r="BD130" s="474"/>
      <c r="BE130" s="474"/>
      <c r="BF130" s="474"/>
      <c r="BG130" s="474"/>
      <c r="BH130" s="474"/>
      <c r="BI130" s="474"/>
      <c r="BJ130" s="474"/>
      <c r="BK130" s="474"/>
      <c r="BL130" s="474"/>
      <c r="BM130" s="474"/>
      <c r="BN130" s="474"/>
      <c r="BO130" s="474"/>
      <c r="BP130" s="474"/>
      <c r="BQ130" s="474"/>
      <c r="BR130" s="474"/>
      <c r="CL130" s="476"/>
      <c r="CQ130" s="477"/>
    </row>
    <row r="131" spans="9:95">
      <c r="I131" s="474"/>
      <c r="J131" s="474"/>
      <c r="K131" s="474"/>
      <c r="L131" s="474"/>
      <c r="M131" s="474"/>
      <c r="N131" s="474"/>
      <c r="O131" s="474"/>
      <c r="P131" s="474"/>
      <c r="Q131" s="475"/>
      <c r="R131" s="474"/>
      <c r="S131" s="474"/>
      <c r="T131" s="474"/>
      <c r="U131" s="474"/>
      <c r="V131" s="474"/>
      <c r="W131" s="474"/>
      <c r="X131" s="474"/>
      <c r="Y131" s="474"/>
      <c r="Z131" s="474"/>
      <c r="AA131" s="474"/>
      <c r="AB131" s="474"/>
      <c r="AC131" s="474"/>
      <c r="AD131" s="474"/>
      <c r="AE131" s="474"/>
      <c r="AF131" s="474"/>
      <c r="AH131" s="400"/>
      <c r="AI131" s="477"/>
      <c r="BD131" s="474"/>
      <c r="BE131" s="474"/>
      <c r="BF131" s="474"/>
      <c r="BG131" s="474"/>
      <c r="BH131" s="474"/>
      <c r="BI131" s="474"/>
      <c r="BK131" s="474"/>
      <c r="BL131" s="474"/>
      <c r="BM131" s="474"/>
      <c r="BN131" s="474"/>
      <c r="BO131" s="474"/>
      <c r="BP131" s="474"/>
      <c r="BQ131" s="474"/>
      <c r="BR131" s="474"/>
      <c r="CL131" s="476"/>
      <c r="CQ131" s="477"/>
    </row>
    <row r="132" spans="9:95">
      <c r="I132" s="474"/>
      <c r="J132" s="474"/>
      <c r="K132" s="474"/>
      <c r="L132" s="474"/>
      <c r="M132" s="474"/>
      <c r="N132" s="474"/>
      <c r="O132" s="474"/>
      <c r="P132" s="474"/>
      <c r="Q132" s="475"/>
      <c r="R132" s="474"/>
      <c r="S132" s="474"/>
      <c r="T132" s="474"/>
      <c r="U132" s="474"/>
      <c r="V132" s="474"/>
      <c r="W132" s="474"/>
      <c r="X132" s="474"/>
      <c r="Y132" s="474"/>
      <c r="Z132" s="474"/>
      <c r="AA132" s="474"/>
      <c r="AB132" s="474"/>
      <c r="AC132" s="474"/>
      <c r="AD132" s="474"/>
      <c r="AE132" s="474"/>
      <c r="AF132" s="474"/>
      <c r="AH132" s="318"/>
      <c r="AI132" s="477"/>
      <c r="BD132" s="474"/>
      <c r="BE132" s="474"/>
      <c r="BF132" s="474"/>
      <c r="BG132" s="474"/>
      <c r="BH132" s="474"/>
      <c r="BI132" s="474"/>
      <c r="BK132" s="474"/>
      <c r="BL132" s="474"/>
      <c r="BM132" s="474"/>
      <c r="BN132" s="474"/>
      <c r="BO132" s="474"/>
      <c r="BP132" s="474"/>
      <c r="BQ132" s="474"/>
      <c r="BR132" s="474"/>
      <c r="CL132" s="476"/>
      <c r="CQ132" s="477"/>
    </row>
    <row r="133" spans="9:95">
      <c r="I133" s="474"/>
      <c r="J133" s="474"/>
      <c r="K133" s="474"/>
      <c r="L133" s="474"/>
      <c r="M133" s="474"/>
      <c r="N133" s="474"/>
      <c r="O133" s="474"/>
      <c r="P133" s="474"/>
      <c r="Q133" s="475"/>
      <c r="R133" s="474"/>
      <c r="S133" s="474"/>
      <c r="T133" s="474"/>
      <c r="U133" s="474"/>
      <c r="V133" s="474"/>
      <c r="W133" s="474"/>
      <c r="X133" s="474"/>
      <c r="Y133" s="474"/>
      <c r="Z133" s="474"/>
      <c r="AA133" s="474"/>
      <c r="AB133" s="474"/>
      <c r="AC133" s="474"/>
      <c r="AD133" s="474"/>
      <c r="AE133" s="474"/>
      <c r="AF133" s="474"/>
      <c r="AH133" s="400"/>
      <c r="AI133" s="477"/>
      <c r="BD133" s="474"/>
      <c r="BE133" s="474"/>
      <c r="BF133" s="474"/>
      <c r="BG133" s="474"/>
      <c r="BH133" s="474"/>
      <c r="BI133" s="474"/>
      <c r="BK133" s="474"/>
      <c r="BL133" s="474"/>
      <c r="BM133" s="474"/>
      <c r="BN133" s="474"/>
      <c r="BO133" s="474"/>
      <c r="BP133" s="474"/>
      <c r="BQ133" s="474"/>
      <c r="BR133" s="474"/>
      <c r="CL133" s="476"/>
      <c r="CQ133" s="477"/>
    </row>
    <row r="134" spans="9:95">
      <c r="I134" s="474"/>
      <c r="J134" s="474"/>
      <c r="K134" s="474"/>
      <c r="L134" s="474"/>
      <c r="M134" s="474"/>
      <c r="N134" s="474"/>
      <c r="O134" s="474"/>
      <c r="P134" s="474"/>
      <c r="Q134" s="475"/>
      <c r="R134" s="474"/>
      <c r="S134" s="474"/>
      <c r="T134" s="474"/>
      <c r="U134" s="474"/>
      <c r="V134" s="474"/>
      <c r="W134" s="474"/>
      <c r="X134" s="474"/>
      <c r="Y134" s="474"/>
      <c r="Z134" s="474"/>
      <c r="AA134" s="474"/>
      <c r="AB134" s="474"/>
      <c r="AC134" s="474"/>
      <c r="AD134" s="474"/>
      <c r="AE134" s="474"/>
      <c r="AF134" s="474"/>
      <c r="AH134" s="400"/>
      <c r="AI134" s="477"/>
      <c r="BD134" s="474"/>
      <c r="BE134" s="474"/>
      <c r="BF134" s="474"/>
      <c r="BG134" s="474"/>
      <c r="BH134" s="474"/>
      <c r="BI134" s="474"/>
      <c r="BK134" s="474"/>
      <c r="BL134" s="474"/>
      <c r="BM134" s="474"/>
      <c r="BN134" s="474"/>
      <c r="BO134" s="474"/>
      <c r="BP134" s="474"/>
      <c r="BQ134" s="474"/>
      <c r="BR134" s="474"/>
      <c r="CL134" s="476"/>
      <c r="CQ134" s="477"/>
    </row>
    <row r="135" spans="9:95">
      <c r="I135" s="474"/>
      <c r="J135" s="474"/>
      <c r="K135" s="474"/>
      <c r="L135" s="474"/>
      <c r="M135" s="474"/>
      <c r="N135" s="474"/>
      <c r="O135" s="474"/>
      <c r="P135" s="474"/>
      <c r="Q135" s="475"/>
      <c r="R135" s="474"/>
      <c r="S135" s="474"/>
      <c r="T135" s="474"/>
      <c r="U135" s="474"/>
      <c r="V135" s="474"/>
      <c r="W135" s="474"/>
      <c r="X135" s="474"/>
      <c r="Y135" s="474"/>
      <c r="Z135" s="474"/>
      <c r="AA135" s="474"/>
      <c r="AB135" s="474"/>
      <c r="AC135" s="474"/>
      <c r="AD135" s="474"/>
      <c r="AE135" s="474"/>
      <c r="AF135" s="474"/>
      <c r="AH135" s="317"/>
      <c r="AI135" s="477"/>
      <c r="BD135" s="474"/>
      <c r="BE135" s="474"/>
      <c r="BF135" s="474"/>
      <c r="BG135" s="474"/>
      <c r="BH135" s="474"/>
      <c r="BI135" s="474"/>
      <c r="BK135" s="412"/>
      <c r="BL135" s="474"/>
      <c r="BM135" s="474"/>
      <c r="BN135" s="474"/>
      <c r="BO135" s="474"/>
      <c r="BP135" s="474"/>
      <c r="BQ135" s="474"/>
      <c r="BR135" s="474"/>
      <c r="CL135" s="476"/>
      <c r="CQ135" s="477"/>
    </row>
    <row r="136" spans="9:95">
      <c r="I136" s="474"/>
      <c r="J136" s="474"/>
      <c r="K136" s="474"/>
      <c r="L136" s="474"/>
      <c r="M136" s="474"/>
      <c r="N136" s="474"/>
      <c r="O136" s="474"/>
      <c r="P136" s="474"/>
      <c r="Q136" s="475"/>
      <c r="R136" s="474"/>
      <c r="S136" s="474"/>
      <c r="T136" s="474"/>
      <c r="U136" s="474"/>
      <c r="V136" s="474"/>
      <c r="W136" s="474"/>
      <c r="X136" s="474"/>
      <c r="Y136" s="474"/>
      <c r="Z136" s="474"/>
      <c r="AA136" s="474"/>
      <c r="AB136" s="474"/>
      <c r="AC136" s="474"/>
      <c r="AD136" s="474"/>
      <c r="AE136" s="474"/>
      <c r="AF136" s="474"/>
      <c r="AH136" s="474"/>
      <c r="AI136" s="477"/>
      <c r="BD136" s="474"/>
      <c r="BE136" s="474"/>
      <c r="BF136" s="474"/>
      <c r="BG136" s="474"/>
      <c r="BH136" s="474"/>
      <c r="BK136" s="474"/>
      <c r="BL136" s="474"/>
      <c r="BM136" s="474"/>
      <c r="BN136" s="474"/>
      <c r="BO136" s="474"/>
      <c r="BP136" s="474"/>
      <c r="BQ136" s="474"/>
      <c r="BR136" s="474"/>
      <c r="CL136" s="476"/>
      <c r="CQ136" s="477"/>
    </row>
    <row r="137" spans="9:95">
      <c r="I137" s="474"/>
      <c r="J137" s="474"/>
      <c r="K137" s="474"/>
      <c r="L137" s="474"/>
      <c r="M137" s="474"/>
      <c r="N137" s="474"/>
      <c r="O137" s="474"/>
      <c r="P137" s="474"/>
      <c r="Q137" s="475"/>
      <c r="R137" s="474"/>
      <c r="S137" s="474"/>
      <c r="T137" s="474"/>
      <c r="U137" s="474"/>
      <c r="V137" s="474"/>
      <c r="W137" s="474"/>
      <c r="X137" s="474"/>
      <c r="Y137" s="474"/>
      <c r="Z137" s="474"/>
      <c r="AA137" s="474"/>
      <c r="AB137" s="474"/>
      <c r="AC137" s="474"/>
      <c r="AD137" s="474"/>
      <c r="AE137" s="474"/>
      <c r="AF137" s="474"/>
      <c r="AH137" s="400"/>
      <c r="AI137" s="477"/>
      <c r="BD137" s="474"/>
      <c r="BE137" s="474"/>
      <c r="BF137" s="474"/>
      <c r="BG137" s="474"/>
      <c r="BH137" s="474"/>
      <c r="BK137" s="474"/>
      <c r="BL137" s="474"/>
      <c r="BM137" s="474"/>
      <c r="BN137" s="474"/>
      <c r="BO137" s="474"/>
      <c r="BP137" s="474"/>
      <c r="BQ137" s="474"/>
      <c r="BR137" s="474"/>
      <c r="CL137" s="476"/>
      <c r="CQ137" s="477"/>
    </row>
    <row r="138" spans="9:95">
      <c r="I138" s="474"/>
      <c r="J138" s="474"/>
      <c r="K138" s="474"/>
      <c r="L138" s="474"/>
      <c r="M138" s="474"/>
      <c r="N138" s="474"/>
      <c r="O138" s="474"/>
      <c r="P138" s="474"/>
      <c r="Q138" s="475"/>
      <c r="R138" s="474"/>
      <c r="S138" s="474"/>
      <c r="T138" s="474"/>
      <c r="U138" s="474"/>
      <c r="V138" s="474"/>
      <c r="W138" s="474"/>
      <c r="X138" s="474"/>
      <c r="Y138" s="474"/>
      <c r="Z138" s="474"/>
      <c r="AA138" s="474"/>
      <c r="AB138" s="474"/>
      <c r="AC138" s="474"/>
      <c r="AD138" s="474"/>
      <c r="AE138" s="474"/>
      <c r="AF138" s="474"/>
      <c r="AH138" s="400"/>
      <c r="AI138" s="477"/>
      <c r="CL138" s="476"/>
      <c r="CQ138" s="477"/>
    </row>
    <row r="139" spans="9:95">
      <c r="I139" s="474"/>
      <c r="J139" s="474"/>
      <c r="K139" s="474"/>
      <c r="L139" s="474"/>
      <c r="M139" s="474"/>
      <c r="N139" s="474"/>
      <c r="O139" s="474"/>
      <c r="P139" s="474"/>
      <c r="Q139" s="475"/>
      <c r="R139" s="474"/>
      <c r="S139" s="474"/>
      <c r="T139" s="474"/>
      <c r="U139" s="474"/>
      <c r="V139" s="474"/>
      <c r="W139" s="474"/>
      <c r="X139" s="474"/>
      <c r="Y139" s="474"/>
      <c r="Z139" s="474"/>
      <c r="AA139" s="474"/>
      <c r="AB139" s="474"/>
      <c r="AC139" s="474"/>
      <c r="AD139" s="474"/>
      <c r="AE139" s="474"/>
      <c r="AF139" s="474"/>
      <c r="AH139" s="317"/>
      <c r="AI139" s="477"/>
      <c r="CL139" s="476"/>
      <c r="CQ139" s="477"/>
    </row>
    <row r="140" spans="9:95">
      <c r="I140" s="474"/>
      <c r="J140" s="474"/>
      <c r="K140" s="474"/>
      <c r="L140" s="474"/>
      <c r="M140" s="474"/>
      <c r="N140" s="474"/>
      <c r="O140" s="474"/>
      <c r="P140" s="474"/>
      <c r="Q140" s="475"/>
      <c r="R140" s="474"/>
      <c r="S140" s="474"/>
      <c r="T140" s="474"/>
      <c r="U140" s="474"/>
      <c r="V140" s="474"/>
      <c r="W140" s="474"/>
      <c r="X140" s="474"/>
      <c r="Y140" s="474"/>
      <c r="Z140" s="474"/>
      <c r="AA140" s="474"/>
      <c r="AB140" s="474"/>
      <c r="AC140" s="474"/>
      <c r="AD140" s="474"/>
      <c r="AE140" s="474"/>
      <c r="AF140" s="474"/>
      <c r="AH140" s="474"/>
      <c r="AI140" s="477"/>
      <c r="CL140" s="476"/>
      <c r="CQ140" s="477"/>
    </row>
    <row r="141" spans="9:95">
      <c r="I141" s="474"/>
      <c r="J141" s="474"/>
      <c r="K141" s="474"/>
      <c r="L141" s="474"/>
      <c r="M141" s="474"/>
      <c r="N141" s="474"/>
      <c r="O141" s="474"/>
      <c r="P141" s="474"/>
      <c r="Q141" s="475"/>
      <c r="R141" s="474"/>
      <c r="S141" s="474"/>
      <c r="T141" s="474"/>
      <c r="U141" s="474"/>
      <c r="V141" s="474"/>
      <c r="W141" s="474"/>
      <c r="X141" s="474"/>
      <c r="Y141" s="474"/>
      <c r="Z141" s="474"/>
      <c r="AA141" s="474"/>
      <c r="AB141" s="474"/>
      <c r="AC141" s="474"/>
      <c r="AD141" s="474"/>
      <c r="AE141" s="474"/>
      <c r="AF141" s="474"/>
      <c r="AH141" s="317"/>
      <c r="AI141" s="477"/>
      <c r="CL141" s="476"/>
      <c r="CQ141" s="477"/>
    </row>
    <row r="142" spans="9:95">
      <c r="I142" s="474"/>
      <c r="J142" s="474"/>
      <c r="K142" s="474"/>
      <c r="L142" s="474"/>
      <c r="M142" s="474"/>
      <c r="N142" s="474"/>
      <c r="O142" s="474"/>
      <c r="P142" s="474"/>
      <c r="Q142" s="475"/>
      <c r="R142" s="474"/>
      <c r="S142" s="474"/>
      <c r="T142" s="474"/>
      <c r="U142" s="474"/>
      <c r="V142" s="474"/>
      <c r="W142" s="474"/>
      <c r="X142" s="474"/>
      <c r="Y142" s="474"/>
      <c r="Z142" s="474"/>
      <c r="AA142" s="474"/>
      <c r="AB142" s="474"/>
      <c r="AC142" s="474"/>
      <c r="AD142" s="474"/>
      <c r="AE142" s="474"/>
      <c r="AF142" s="474"/>
      <c r="AH142" s="400"/>
      <c r="AI142" s="400"/>
      <c r="AJ142" s="400"/>
      <c r="AK142" s="400"/>
      <c r="AL142" s="400"/>
      <c r="CL142" s="476"/>
      <c r="CQ142" s="477"/>
    </row>
    <row r="143" spans="9:95">
      <c r="I143" s="474"/>
      <c r="J143" s="474"/>
      <c r="K143" s="474"/>
      <c r="L143" s="474"/>
      <c r="M143" s="474"/>
      <c r="N143" s="474"/>
      <c r="O143" s="474"/>
      <c r="P143" s="474"/>
      <c r="Q143" s="475"/>
      <c r="R143" s="474"/>
      <c r="S143" s="474"/>
      <c r="T143" s="474"/>
      <c r="U143" s="474"/>
      <c r="V143" s="474"/>
      <c r="W143" s="474"/>
      <c r="X143" s="474"/>
      <c r="Y143" s="474"/>
      <c r="Z143" s="474"/>
      <c r="AA143" s="474"/>
      <c r="AB143" s="474"/>
      <c r="AC143" s="474"/>
      <c r="AD143" s="474"/>
      <c r="AE143" s="474"/>
      <c r="AF143" s="474"/>
      <c r="AH143" s="474"/>
      <c r="AI143" s="319"/>
      <c r="AJ143" s="400"/>
      <c r="AK143" s="400"/>
      <c r="AL143" s="400"/>
      <c r="CL143" s="476"/>
      <c r="CQ143" s="477"/>
    </row>
    <row r="144" spans="9:95">
      <c r="I144" s="474"/>
      <c r="J144" s="474"/>
      <c r="K144" s="474"/>
      <c r="L144" s="474"/>
      <c r="M144" s="474"/>
      <c r="N144" s="474"/>
      <c r="O144" s="474"/>
      <c r="P144" s="474"/>
      <c r="Q144" s="475"/>
      <c r="R144" s="474"/>
      <c r="S144" s="474"/>
      <c r="T144" s="474"/>
      <c r="U144" s="474"/>
      <c r="V144" s="474"/>
      <c r="W144" s="474"/>
      <c r="X144" s="474"/>
      <c r="Y144" s="474"/>
      <c r="Z144" s="474"/>
      <c r="AA144" s="474"/>
      <c r="AB144" s="474"/>
      <c r="AC144" s="474"/>
      <c r="AD144" s="474"/>
      <c r="AE144" s="474"/>
      <c r="AF144" s="474"/>
      <c r="AH144" s="400"/>
      <c r="AI144" s="400"/>
      <c r="AJ144" s="400"/>
      <c r="AK144" s="400"/>
      <c r="AL144" s="400"/>
      <c r="CL144" s="476"/>
      <c r="CQ144" s="477"/>
    </row>
    <row r="145" spans="9:95">
      <c r="I145" s="474"/>
      <c r="J145" s="474"/>
      <c r="K145" s="474"/>
      <c r="L145" s="474"/>
      <c r="M145" s="474"/>
      <c r="N145" s="474"/>
      <c r="O145" s="474"/>
      <c r="P145" s="474"/>
      <c r="Q145" s="475"/>
      <c r="R145" s="474"/>
      <c r="S145" s="474"/>
      <c r="T145" s="474"/>
      <c r="U145" s="474"/>
      <c r="V145" s="474"/>
      <c r="W145" s="474"/>
      <c r="X145" s="474"/>
      <c r="Y145" s="474"/>
      <c r="Z145" s="474"/>
      <c r="AA145" s="474"/>
      <c r="AB145" s="474"/>
      <c r="AC145" s="474"/>
      <c r="AD145" s="474"/>
      <c r="AE145" s="474"/>
      <c r="AF145" s="474"/>
      <c r="AH145" s="400"/>
      <c r="AI145" s="400"/>
      <c r="AJ145" s="400"/>
      <c r="AK145" s="400"/>
      <c r="AL145" s="400"/>
      <c r="CL145" s="476"/>
      <c r="CQ145" s="477"/>
    </row>
    <row r="146" spans="9:95">
      <c r="I146" s="474"/>
      <c r="J146" s="474"/>
      <c r="K146" s="474"/>
      <c r="L146" s="474"/>
      <c r="M146" s="474"/>
      <c r="N146" s="474"/>
      <c r="O146" s="474"/>
      <c r="P146" s="474"/>
      <c r="Q146" s="475"/>
      <c r="R146" s="474"/>
      <c r="S146" s="474"/>
      <c r="T146" s="474"/>
      <c r="U146" s="474"/>
      <c r="V146" s="474"/>
      <c r="W146" s="474"/>
      <c r="X146" s="474"/>
      <c r="Y146" s="474"/>
      <c r="Z146" s="474"/>
      <c r="AA146" s="474"/>
      <c r="AB146" s="474"/>
      <c r="AC146" s="474"/>
      <c r="AD146" s="474"/>
      <c r="AE146" s="474"/>
      <c r="AF146" s="474"/>
      <c r="AH146" s="400"/>
      <c r="AI146" s="400"/>
      <c r="AJ146" s="400"/>
      <c r="AK146" s="400"/>
      <c r="AL146" s="400"/>
      <c r="CL146" s="476"/>
      <c r="CQ146" s="477"/>
    </row>
    <row r="147" spans="9:95">
      <c r="I147" s="474"/>
      <c r="J147" s="474"/>
      <c r="K147" s="474"/>
      <c r="L147" s="474"/>
      <c r="M147" s="474"/>
      <c r="N147" s="474"/>
      <c r="O147" s="474"/>
      <c r="P147" s="474"/>
      <c r="Q147" s="475"/>
      <c r="R147" s="474"/>
      <c r="S147" s="474"/>
      <c r="T147" s="474"/>
      <c r="U147" s="474"/>
      <c r="V147" s="474"/>
      <c r="W147" s="474"/>
      <c r="X147" s="474"/>
      <c r="Y147" s="474"/>
      <c r="Z147" s="474"/>
      <c r="AA147" s="474"/>
      <c r="AB147" s="474"/>
      <c r="AC147" s="474"/>
      <c r="AD147" s="474"/>
      <c r="AE147" s="474"/>
      <c r="AF147" s="474"/>
      <c r="AH147" s="400"/>
      <c r="AI147" s="400"/>
      <c r="AJ147" s="400"/>
      <c r="AK147" s="400"/>
      <c r="AL147" s="400"/>
      <c r="CL147" s="476"/>
      <c r="CQ147" s="477"/>
    </row>
    <row r="148" spans="9:95">
      <c r="I148" s="474"/>
      <c r="J148" s="474"/>
      <c r="K148" s="474"/>
      <c r="L148" s="474"/>
      <c r="M148" s="474"/>
      <c r="N148" s="474"/>
      <c r="O148" s="474"/>
      <c r="P148" s="474"/>
      <c r="Q148" s="475"/>
      <c r="R148" s="474"/>
      <c r="S148" s="474"/>
      <c r="T148" s="474"/>
      <c r="U148" s="474"/>
      <c r="V148" s="474"/>
      <c r="W148" s="474"/>
      <c r="X148" s="474"/>
      <c r="Y148" s="474"/>
      <c r="Z148" s="474"/>
      <c r="AA148" s="474"/>
      <c r="AB148" s="474"/>
      <c r="AC148" s="474"/>
      <c r="AD148" s="474"/>
      <c r="AE148" s="474"/>
      <c r="AF148" s="474"/>
      <c r="AH148" s="400"/>
      <c r="AI148" s="477"/>
      <c r="AJ148" s="400"/>
      <c r="AK148" s="400"/>
      <c r="AL148" s="400"/>
      <c r="CL148" s="476"/>
      <c r="CQ148" s="477"/>
    </row>
    <row r="149" spans="9:95">
      <c r="I149" s="474"/>
      <c r="J149" s="474"/>
      <c r="K149" s="474"/>
      <c r="L149" s="474"/>
      <c r="M149" s="474"/>
      <c r="N149" s="474"/>
      <c r="O149" s="474"/>
      <c r="P149" s="474"/>
      <c r="Q149" s="475"/>
      <c r="R149" s="474"/>
      <c r="S149" s="474"/>
      <c r="T149" s="474"/>
      <c r="U149" s="474"/>
      <c r="V149" s="474"/>
      <c r="W149" s="474"/>
      <c r="X149" s="474"/>
      <c r="Y149" s="474"/>
      <c r="Z149" s="474"/>
      <c r="AA149" s="474"/>
      <c r="AB149" s="474"/>
      <c r="AC149" s="474"/>
      <c r="AD149" s="474"/>
      <c r="AE149" s="474"/>
      <c r="AF149" s="474"/>
      <c r="AH149" s="474"/>
      <c r="AI149" s="477"/>
      <c r="AJ149" s="400"/>
      <c r="AK149" s="400"/>
      <c r="AL149" s="400"/>
      <c r="CL149" s="476"/>
      <c r="CQ149" s="477"/>
    </row>
    <row r="150" spans="9:95">
      <c r="I150" s="474"/>
      <c r="J150" s="474"/>
      <c r="K150" s="474"/>
      <c r="L150" s="474"/>
      <c r="M150" s="474"/>
      <c r="N150" s="474"/>
      <c r="O150" s="474"/>
      <c r="P150" s="474"/>
      <c r="Q150" s="475"/>
      <c r="R150" s="474"/>
      <c r="S150" s="474"/>
      <c r="T150" s="474"/>
      <c r="U150" s="474"/>
      <c r="V150" s="474"/>
      <c r="W150" s="474"/>
      <c r="X150" s="474"/>
      <c r="Y150" s="474"/>
      <c r="Z150" s="474"/>
      <c r="AA150" s="474"/>
      <c r="AB150" s="474"/>
      <c r="AC150" s="474"/>
      <c r="AD150" s="474"/>
      <c r="AE150" s="474"/>
      <c r="AF150" s="474"/>
      <c r="AH150" s="400"/>
      <c r="AI150" s="400"/>
      <c r="AJ150" s="400"/>
      <c r="AK150" s="400"/>
      <c r="AL150" s="400"/>
      <c r="CL150" s="476"/>
      <c r="CQ150" s="477"/>
    </row>
    <row r="151" spans="9:95">
      <c r="I151" s="474"/>
      <c r="J151" s="474"/>
      <c r="K151" s="474"/>
      <c r="L151" s="474"/>
      <c r="M151" s="474"/>
      <c r="N151" s="474"/>
      <c r="O151" s="474"/>
      <c r="P151" s="474"/>
      <c r="Q151" s="475"/>
      <c r="R151" s="474"/>
      <c r="S151" s="474"/>
      <c r="T151" s="474"/>
      <c r="U151" s="474"/>
      <c r="V151" s="474"/>
      <c r="W151" s="474"/>
      <c r="X151" s="474"/>
      <c r="Y151" s="474"/>
      <c r="Z151" s="474"/>
      <c r="AA151" s="474"/>
      <c r="AB151" s="474"/>
      <c r="AC151" s="474"/>
      <c r="AD151" s="474"/>
      <c r="AE151" s="474"/>
      <c r="AF151" s="474"/>
      <c r="AH151" s="317"/>
      <c r="AI151" s="400"/>
      <c r="AJ151" s="475"/>
      <c r="AK151" s="475"/>
      <c r="AL151" s="383"/>
      <c r="CL151" s="476"/>
      <c r="CQ151" s="477"/>
    </row>
    <row r="152" spans="9:95">
      <c r="I152" s="474"/>
      <c r="J152" s="474"/>
      <c r="K152" s="474"/>
      <c r="L152" s="474"/>
      <c r="M152" s="474"/>
      <c r="N152" s="474"/>
      <c r="O152" s="474"/>
      <c r="P152" s="474"/>
      <c r="Q152" s="475"/>
      <c r="R152" s="474"/>
      <c r="S152" s="474"/>
      <c r="T152" s="474"/>
      <c r="U152" s="474"/>
      <c r="V152" s="474"/>
      <c r="W152" s="474"/>
      <c r="X152" s="474"/>
      <c r="Y152" s="474"/>
      <c r="Z152" s="474"/>
      <c r="AA152" s="474"/>
      <c r="AB152" s="474"/>
      <c r="AC152" s="474"/>
      <c r="AD152" s="474"/>
      <c r="AE152" s="474"/>
      <c r="AF152" s="474"/>
      <c r="AH152" s="400"/>
      <c r="AI152" s="400"/>
      <c r="AJ152" s="475"/>
      <c r="AK152" s="475"/>
      <c r="AL152" s="383"/>
      <c r="CL152" s="476"/>
      <c r="CQ152" s="477"/>
    </row>
    <row r="153" spans="9:95">
      <c r="I153" s="474"/>
      <c r="J153" s="474"/>
      <c r="K153" s="474"/>
      <c r="L153" s="474"/>
      <c r="M153" s="474"/>
      <c r="N153" s="474"/>
      <c r="O153" s="474"/>
      <c r="P153" s="474"/>
      <c r="Q153" s="475"/>
      <c r="R153" s="474"/>
      <c r="S153" s="474"/>
      <c r="T153" s="474"/>
      <c r="U153" s="474"/>
      <c r="V153" s="474"/>
      <c r="W153" s="474"/>
      <c r="X153" s="474"/>
      <c r="Y153" s="474"/>
      <c r="Z153" s="474"/>
      <c r="AA153" s="474"/>
      <c r="AB153" s="474"/>
      <c r="AC153" s="474"/>
      <c r="AD153" s="474"/>
      <c r="AE153" s="474"/>
      <c r="AF153" s="474"/>
      <c r="AH153" s="400"/>
      <c r="AI153" s="400"/>
      <c r="AJ153" s="475"/>
      <c r="AK153" s="475"/>
      <c r="AL153" s="383"/>
      <c r="CL153" s="476"/>
      <c r="CQ153" s="477"/>
    </row>
    <row r="154" spans="9:95">
      <c r="I154" s="474"/>
      <c r="J154" s="474"/>
      <c r="K154" s="474"/>
      <c r="L154" s="474"/>
      <c r="M154" s="474"/>
      <c r="N154" s="474"/>
      <c r="O154" s="474"/>
      <c r="P154" s="474"/>
      <c r="Q154" s="475"/>
      <c r="R154" s="474"/>
      <c r="S154" s="474"/>
      <c r="T154" s="474"/>
      <c r="U154" s="474"/>
      <c r="V154" s="474"/>
      <c r="W154" s="474"/>
      <c r="X154" s="474"/>
      <c r="Y154" s="474"/>
      <c r="Z154" s="474"/>
      <c r="AA154" s="474"/>
      <c r="AB154" s="474"/>
      <c r="AC154" s="474"/>
      <c r="AD154" s="474"/>
      <c r="AE154" s="474"/>
      <c r="AF154" s="474"/>
      <c r="AH154" s="317"/>
      <c r="AI154" s="400"/>
      <c r="AJ154" s="475"/>
      <c r="AK154" s="475"/>
      <c r="AL154" s="383"/>
      <c r="CL154" s="476"/>
      <c r="CQ154" s="477"/>
    </row>
    <row r="155" spans="9:95">
      <c r="I155" s="474"/>
      <c r="J155" s="474"/>
      <c r="K155" s="474"/>
      <c r="L155" s="474"/>
      <c r="M155" s="474"/>
      <c r="N155" s="474"/>
      <c r="O155" s="474"/>
      <c r="P155" s="474"/>
      <c r="Q155" s="475"/>
      <c r="R155" s="474"/>
      <c r="S155" s="474"/>
      <c r="T155" s="474"/>
      <c r="U155" s="474"/>
      <c r="V155" s="474"/>
      <c r="W155" s="474"/>
      <c r="X155" s="474"/>
      <c r="Y155" s="474"/>
      <c r="Z155" s="474"/>
      <c r="AA155" s="474"/>
      <c r="AB155" s="474"/>
      <c r="AC155" s="474"/>
      <c r="AD155" s="474"/>
      <c r="AE155" s="474"/>
      <c r="AF155" s="474"/>
      <c r="AH155" s="400"/>
      <c r="AI155" s="400"/>
      <c r="AJ155" s="475"/>
      <c r="AK155" s="475"/>
      <c r="AL155" s="383"/>
      <c r="CL155" s="476"/>
      <c r="CQ155" s="477"/>
    </row>
    <row r="156" spans="9:95">
      <c r="I156" s="474"/>
      <c r="J156" s="474"/>
      <c r="K156" s="474"/>
      <c r="L156" s="474"/>
      <c r="M156" s="474"/>
      <c r="N156" s="474"/>
      <c r="O156" s="474"/>
      <c r="P156" s="474"/>
      <c r="Q156" s="475"/>
      <c r="R156" s="474"/>
      <c r="S156" s="474"/>
      <c r="T156" s="474"/>
      <c r="U156" s="474"/>
      <c r="V156" s="474"/>
      <c r="W156" s="474"/>
      <c r="X156" s="474"/>
      <c r="Y156" s="474"/>
      <c r="Z156" s="474"/>
      <c r="AA156" s="474"/>
      <c r="AB156" s="474"/>
      <c r="AC156" s="474"/>
      <c r="AD156" s="474"/>
      <c r="AE156" s="474"/>
      <c r="AF156" s="474"/>
      <c r="AH156" s="317"/>
      <c r="AI156" s="400"/>
      <c r="AJ156" s="475"/>
      <c r="AK156" s="475"/>
      <c r="AL156" s="383"/>
      <c r="CL156" s="476"/>
      <c r="CQ156" s="477"/>
    </row>
    <row r="157" spans="9:95">
      <c r="I157" s="474"/>
      <c r="J157" s="474"/>
      <c r="K157" s="474"/>
      <c r="L157" s="474"/>
      <c r="M157" s="474"/>
      <c r="N157" s="474"/>
      <c r="O157" s="474"/>
      <c r="P157" s="474"/>
      <c r="Q157" s="475"/>
      <c r="R157" s="474"/>
      <c r="S157" s="474"/>
      <c r="T157" s="474"/>
      <c r="U157" s="474"/>
      <c r="V157" s="474"/>
      <c r="W157" s="474"/>
      <c r="X157" s="474"/>
      <c r="Y157" s="474"/>
      <c r="Z157" s="474"/>
      <c r="AA157" s="474"/>
      <c r="AB157" s="474"/>
      <c r="AC157" s="474"/>
      <c r="AD157" s="474"/>
      <c r="AE157" s="474"/>
      <c r="AF157" s="474"/>
      <c r="AH157" s="400"/>
      <c r="AI157" s="400"/>
      <c r="AJ157" s="475"/>
      <c r="AK157" s="475"/>
      <c r="AL157" s="383"/>
      <c r="CL157" s="476"/>
      <c r="CQ157" s="477"/>
    </row>
    <row r="158" spans="9:95">
      <c r="I158" s="474"/>
      <c r="J158" s="474"/>
      <c r="K158" s="474"/>
      <c r="L158" s="474"/>
      <c r="M158" s="474"/>
      <c r="N158" s="474"/>
      <c r="O158" s="474"/>
      <c r="P158" s="474"/>
      <c r="Q158" s="475"/>
      <c r="R158" s="474"/>
      <c r="S158" s="474"/>
      <c r="T158" s="474"/>
      <c r="U158" s="474"/>
      <c r="V158" s="474"/>
      <c r="W158" s="474"/>
      <c r="X158" s="474"/>
      <c r="Y158" s="474"/>
      <c r="Z158" s="474"/>
      <c r="AA158" s="474"/>
      <c r="AB158" s="474"/>
      <c r="AC158" s="474"/>
      <c r="AD158" s="474"/>
      <c r="AE158" s="474"/>
      <c r="AF158" s="474"/>
      <c r="AH158" s="400"/>
      <c r="AI158" s="400"/>
      <c r="AJ158" s="475"/>
      <c r="AK158" s="475"/>
      <c r="AL158" s="383"/>
      <c r="CL158" s="476"/>
      <c r="CQ158" s="477"/>
    </row>
    <row r="159" spans="9:95">
      <c r="I159" s="474"/>
      <c r="J159" s="474"/>
      <c r="K159" s="474"/>
      <c r="L159" s="474"/>
      <c r="M159" s="474"/>
      <c r="N159" s="474"/>
      <c r="O159" s="474"/>
      <c r="P159" s="474"/>
      <c r="Q159" s="475"/>
      <c r="R159" s="474"/>
      <c r="S159" s="474"/>
      <c r="T159" s="474"/>
      <c r="U159" s="474"/>
      <c r="V159" s="474"/>
      <c r="W159" s="474"/>
      <c r="X159" s="474"/>
      <c r="Y159" s="474"/>
      <c r="Z159" s="474"/>
      <c r="AA159" s="474"/>
      <c r="AB159" s="474"/>
      <c r="AC159" s="474"/>
      <c r="AD159" s="474"/>
      <c r="AE159" s="474"/>
      <c r="AF159" s="474"/>
      <c r="AH159" s="317"/>
      <c r="AI159" s="400"/>
      <c r="AJ159" s="475"/>
      <c r="AK159" s="475"/>
      <c r="AL159" s="383"/>
      <c r="CL159" s="476"/>
      <c r="CQ159" s="477"/>
    </row>
    <row r="160" spans="9:95">
      <c r="I160" s="474"/>
      <c r="J160" s="474"/>
      <c r="K160" s="474"/>
      <c r="L160" s="474"/>
      <c r="M160" s="474"/>
      <c r="N160" s="474"/>
      <c r="O160" s="474"/>
      <c r="P160" s="474"/>
      <c r="Q160" s="475"/>
      <c r="R160" s="474"/>
      <c r="S160" s="474"/>
      <c r="T160" s="474"/>
      <c r="U160" s="474"/>
      <c r="V160" s="474"/>
      <c r="W160" s="474"/>
      <c r="X160" s="474"/>
      <c r="Y160" s="474"/>
      <c r="Z160" s="474"/>
      <c r="AA160" s="474"/>
      <c r="AB160" s="474"/>
      <c r="AC160" s="474"/>
      <c r="AD160" s="474"/>
      <c r="AE160" s="474"/>
      <c r="AF160" s="474"/>
      <c r="AH160" s="400"/>
      <c r="AI160" s="400"/>
      <c r="AJ160" s="475"/>
      <c r="AK160" s="475"/>
      <c r="AL160" s="383"/>
      <c r="CL160" s="476"/>
      <c r="CQ160" s="477"/>
    </row>
    <row r="161" spans="9:95">
      <c r="I161" s="474"/>
      <c r="J161" s="474"/>
      <c r="K161" s="474"/>
      <c r="L161" s="474"/>
      <c r="M161" s="474"/>
      <c r="N161" s="474"/>
      <c r="O161" s="474"/>
      <c r="P161" s="474"/>
      <c r="Q161" s="475"/>
      <c r="R161" s="474"/>
      <c r="S161" s="474"/>
      <c r="T161" s="474"/>
      <c r="U161" s="474"/>
      <c r="V161" s="474"/>
      <c r="W161" s="474"/>
      <c r="X161" s="474"/>
      <c r="Y161" s="474"/>
      <c r="Z161" s="474"/>
      <c r="AA161" s="474"/>
      <c r="AB161" s="474"/>
      <c r="AC161" s="474"/>
      <c r="AD161" s="474"/>
      <c r="AE161" s="474"/>
      <c r="AF161" s="474"/>
      <c r="AH161" s="400"/>
      <c r="AI161" s="477"/>
      <c r="AJ161" s="475"/>
      <c r="AK161" s="475"/>
      <c r="AL161" s="383"/>
      <c r="CL161" s="476"/>
      <c r="CQ161" s="477"/>
    </row>
    <row r="162" spans="9:95">
      <c r="I162" s="474"/>
      <c r="J162" s="474"/>
      <c r="K162" s="474"/>
      <c r="L162" s="474"/>
      <c r="M162" s="474"/>
      <c r="N162" s="474"/>
      <c r="O162" s="474"/>
      <c r="P162" s="474"/>
      <c r="Q162" s="475"/>
      <c r="R162" s="474"/>
      <c r="S162" s="474"/>
      <c r="T162" s="474"/>
      <c r="U162" s="474"/>
      <c r="V162" s="474"/>
      <c r="W162" s="474"/>
      <c r="X162" s="474"/>
      <c r="Y162" s="474"/>
      <c r="Z162" s="474"/>
      <c r="AA162" s="474"/>
      <c r="AB162" s="474"/>
      <c r="AC162" s="474"/>
      <c r="AD162" s="474"/>
      <c r="AE162" s="474"/>
      <c r="AF162" s="474"/>
      <c r="AH162" s="400"/>
      <c r="AI162" s="477"/>
      <c r="AJ162" s="474"/>
      <c r="AK162" s="474"/>
      <c r="AL162" s="389"/>
      <c r="CL162" s="476"/>
      <c r="CQ162" s="477"/>
    </row>
    <row r="163" spans="9:95">
      <c r="I163" s="474"/>
      <c r="J163" s="474"/>
      <c r="K163" s="474"/>
      <c r="L163" s="474"/>
      <c r="M163" s="474"/>
      <c r="N163" s="474"/>
      <c r="O163" s="474"/>
      <c r="P163" s="474"/>
      <c r="Q163" s="475"/>
      <c r="R163" s="474"/>
      <c r="S163" s="474"/>
      <c r="T163" s="474"/>
      <c r="U163" s="474"/>
      <c r="V163" s="474"/>
      <c r="W163" s="474"/>
      <c r="X163" s="474"/>
      <c r="Y163" s="474"/>
      <c r="Z163" s="474"/>
      <c r="AA163" s="474"/>
      <c r="AB163" s="474"/>
      <c r="AC163" s="474"/>
      <c r="AD163" s="474"/>
      <c r="AE163" s="474"/>
      <c r="AF163" s="474"/>
      <c r="AH163" s="400"/>
      <c r="AI163" s="477"/>
      <c r="CL163" s="476"/>
      <c r="CQ163" s="477"/>
    </row>
    <row r="164" spans="9:95">
      <c r="I164" s="474"/>
      <c r="J164" s="474"/>
      <c r="K164" s="474"/>
      <c r="L164" s="474"/>
      <c r="M164" s="474"/>
      <c r="N164" s="474"/>
      <c r="O164" s="474"/>
      <c r="P164" s="474"/>
      <c r="Q164" s="475"/>
      <c r="R164" s="474"/>
      <c r="S164" s="474"/>
      <c r="T164" s="474"/>
      <c r="U164" s="474"/>
      <c r="V164" s="474"/>
      <c r="W164" s="474"/>
      <c r="X164" s="474"/>
      <c r="Y164" s="474"/>
      <c r="Z164" s="474"/>
      <c r="AA164" s="474"/>
      <c r="AB164" s="474"/>
      <c r="AC164" s="474"/>
      <c r="AD164" s="474"/>
      <c r="AE164" s="474"/>
      <c r="AF164" s="474"/>
      <c r="AH164" s="474"/>
      <c r="AI164" s="477"/>
      <c r="CL164" s="476"/>
      <c r="CQ164" s="477"/>
    </row>
    <row r="165" spans="9:95">
      <c r="I165" s="474"/>
      <c r="J165" s="474"/>
      <c r="K165" s="474"/>
      <c r="L165" s="474"/>
      <c r="M165" s="474"/>
      <c r="N165" s="474"/>
      <c r="O165" s="474"/>
      <c r="P165" s="474"/>
      <c r="Q165" s="475"/>
      <c r="R165" s="474"/>
      <c r="S165" s="474"/>
      <c r="T165" s="474"/>
      <c r="U165" s="474"/>
      <c r="V165" s="474"/>
      <c r="W165" s="474"/>
      <c r="X165" s="474"/>
      <c r="Y165" s="474"/>
      <c r="Z165" s="474"/>
      <c r="AA165" s="474"/>
      <c r="AB165" s="474"/>
      <c r="AC165" s="474"/>
      <c r="AD165" s="474"/>
      <c r="AE165" s="474"/>
      <c r="AF165" s="474"/>
      <c r="AH165" s="317"/>
      <c r="AI165" s="477"/>
      <c r="CL165" s="476"/>
      <c r="CQ165" s="477"/>
    </row>
    <row r="166" spans="9:95">
      <c r="I166" s="474"/>
      <c r="J166" s="474"/>
      <c r="K166" s="474"/>
      <c r="L166" s="474"/>
      <c r="M166" s="474"/>
      <c r="N166" s="474"/>
      <c r="O166" s="474"/>
      <c r="P166" s="474"/>
      <c r="Q166" s="475"/>
      <c r="R166" s="474"/>
      <c r="S166" s="474"/>
      <c r="T166" s="474"/>
      <c r="U166" s="474"/>
      <c r="V166" s="474"/>
      <c r="W166" s="474"/>
      <c r="X166" s="474"/>
      <c r="Y166" s="474"/>
      <c r="Z166" s="474"/>
      <c r="AA166" s="474"/>
      <c r="AB166" s="474"/>
      <c r="AC166" s="474"/>
      <c r="AD166" s="474"/>
      <c r="AE166" s="474"/>
      <c r="AF166" s="474"/>
      <c r="AH166" s="400"/>
      <c r="AI166" s="477"/>
      <c r="CL166" s="476"/>
      <c r="CQ166" s="477"/>
    </row>
    <row r="167" spans="9:95">
      <c r="I167" s="474"/>
      <c r="J167" s="474"/>
      <c r="K167" s="474"/>
      <c r="L167" s="474"/>
      <c r="M167" s="474"/>
      <c r="N167" s="474"/>
      <c r="O167" s="474"/>
      <c r="P167" s="474"/>
      <c r="Q167" s="475"/>
      <c r="R167" s="474"/>
      <c r="S167" s="474"/>
      <c r="T167" s="474"/>
      <c r="U167" s="474"/>
      <c r="V167" s="474"/>
      <c r="W167" s="474"/>
      <c r="X167" s="474"/>
      <c r="Y167" s="474"/>
      <c r="Z167" s="474"/>
      <c r="AA167" s="474"/>
      <c r="AB167" s="474"/>
      <c r="AC167" s="474"/>
      <c r="AD167" s="474"/>
      <c r="AE167" s="474"/>
      <c r="AF167" s="474"/>
      <c r="AH167" s="474"/>
      <c r="AI167" s="477"/>
      <c r="CL167" s="476"/>
      <c r="CQ167" s="477"/>
    </row>
    <row r="168" spans="9:95">
      <c r="I168" s="474"/>
      <c r="J168" s="474"/>
      <c r="K168" s="474"/>
      <c r="L168" s="474"/>
      <c r="M168" s="474"/>
      <c r="N168" s="474"/>
      <c r="O168" s="474"/>
      <c r="P168" s="474"/>
      <c r="Q168" s="475"/>
      <c r="R168" s="474"/>
      <c r="S168" s="474"/>
      <c r="T168" s="474"/>
      <c r="U168" s="474"/>
      <c r="V168" s="474"/>
      <c r="W168" s="474"/>
      <c r="X168" s="474"/>
      <c r="Y168" s="474"/>
      <c r="Z168" s="474"/>
      <c r="AA168" s="474"/>
      <c r="AB168" s="474"/>
      <c r="AC168" s="474"/>
      <c r="AD168" s="474"/>
      <c r="AE168" s="474"/>
      <c r="AF168" s="474"/>
      <c r="AH168" s="400"/>
      <c r="AI168" s="477"/>
      <c r="CL168" s="476"/>
      <c r="CQ168" s="477"/>
    </row>
    <row r="169" spans="9:95">
      <c r="I169" s="474"/>
      <c r="J169" s="474"/>
      <c r="K169" s="474"/>
      <c r="L169" s="474"/>
      <c r="M169" s="474"/>
      <c r="N169" s="474"/>
      <c r="O169" s="474"/>
      <c r="P169" s="474"/>
      <c r="Q169" s="475"/>
      <c r="R169" s="474"/>
      <c r="S169" s="474"/>
      <c r="T169" s="474"/>
      <c r="U169" s="474"/>
      <c r="V169" s="474"/>
      <c r="W169" s="474"/>
      <c r="X169" s="474"/>
      <c r="Y169" s="474"/>
      <c r="Z169" s="474"/>
      <c r="AA169" s="474"/>
      <c r="AB169" s="474"/>
      <c r="AC169" s="474"/>
      <c r="AD169" s="474"/>
      <c r="AE169" s="474"/>
      <c r="AF169" s="474"/>
      <c r="AH169" s="474"/>
      <c r="AI169" s="477"/>
      <c r="CL169" s="476"/>
      <c r="CQ169" s="477"/>
    </row>
    <row r="170" spans="9:95">
      <c r="I170" s="474"/>
      <c r="J170" s="474"/>
      <c r="K170" s="474"/>
      <c r="L170" s="474"/>
      <c r="M170" s="474"/>
      <c r="N170" s="474"/>
      <c r="O170" s="474"/>
      <c r="P170" s="474"/>
      <c r="Q170" s="475"/>
      <c r="R170" s="474"/>
      <c r="S170" s="474"/>
      <c r="T170" s="474"/>
      <c r="U170" s="474"/>
      <c r="V170" s="474"/>
      <c r="W170" s="474"/>
      <c r="X170" s="474"/>
      <c r="Y170" s="474"/>
      <c r="Z170" s="474"/>
      <c r="AA170" s="474"/>
      <c r="AB170" s="474"/>
      <c r="AC170" s="474"/>
      <c r="AD170" s="474"/>
      <c r="AE170" s="474"/>
      <c r="AF170" s="474"/>
      <c r="AH170" s="400"/>
      <c r="AI170" s="477"/>
      <c r="CL170" s="476"/>
      <c r="CQ170" s="477"/>
    </row>
    <row r="171" spans="9:95">
      <c r="I171" s="474"/>
      <c r="J171" s="474"/>
      <c r="K171" s="474"/>
      <c r="L171" s="474"/>
      <c r="M171" s="474"/>
      <c r="N171" s="474"/>
      <c r="O171" s="474"/>
      <c r="P171" s="474"/>
      <c r="Q171" s="475"/>
      <c r="R171" s="474"/>
      <c r="S171" s="474"/>
      <c r="T171" s="474"/>
      <c r="U171" s="474"/>
      <c r="V171" s="474"/>
      <c r="W171" s="474"/>
      <c r="X171" s="474"/>
      <c r="Y171" s="474"/>
      <c r="Z171" s="474"/>
      <c r="AA171" s="474"/>
      <c r="AB171" s="474"/>
      <c r="AC171" s="474"/>
      <c r="AD171" s="474"/>
      <c r="AE171" s="474"/>
      <c r="AF171" s="474"/>
      <c r="AH171" s="317"/>
      <c r="AI171" s="477"/>
      <c r="CL171" s="476"/>
      <c r="CQ171" s="477"/>
    </row>
    <row r="172" spans="9:95">
      <c r="I172" s="474"/>
      <c r="J172" s="474"/>
      <c r="K172" s="474"/>
      <c r="L172" s="474"/>
      <c r="M172" s="474"/>
      <c r="N172" s="474"/>
      <c r="O172" s="474"/>
      <c r="P172" s="474"/>
      <c r="Q172" s="475"/>
      <c r="R172" s="474"/>
      <c r="S172" s="474"/>
      <c r="T172" s="474"/>
      <c r="U172" s="474"/>
      <c r="V172" s="474"/>
      <c r="W172" s="474"/>
      <c r="X172" s="474"/>
      <c r="Y172" s="474"/>
      <c r="Z172" s="474"/>
      <c r="AA172" s="474"/>
      <c r="AB172" s="474"/>
      <c r="AC172" s="474"/>
      <c r="AD172" s="474"/>
      <c r="AE172" s="474"/>
      <c r="AF172" s="474"/>
      <c r="AH172" s="317"/>
      <c r="AI172" s="477"/>
      <c r="CL172" s="476"/>
      <c r="CQ172" s="477"/>
    </row>
    <row r="173" spans="9:95">
      <c r="I173" s="474"/>
      <c r="J173" s="474"/>
      <c r="K173" s="474"/>
      <c r="L173" s="474"/>
      <c r="M173" s="474"/>
      <c r="N173" s="474"/>
      <c r="O173" s="474"/>
      <c r="P173" s="474"/>
      <c r="Q173" s="475"/>
      <c r="R173" s="474"/>
      <c r="S173" s="474"/>
      <c r="T173" s="474"/>
      <c r="U173" s="474"/>
      <c r="V173" s="474"/>
      <c r="W173" s="474"/>
      <c r="X173" s="474"/>
      <c r="Y173" s="474"/>
      <c r="Z173" s="474"/>
      <c r="AA173" s="474"/>
      <c r="AB173" s="474"/>
      <c r="AC173" s="474"/>
      <c r="AD173" s="474"/>
      <c r="AE173" s="474"/>
      <c r="AF173" s="474"/>
      <c r="AH173" s="318"/>
      <c r="AI173" s="477"/>
      <c r="CL173" s="476"/>
      <c r="CQ173" s="477"/>
    </row>
    <row r="174" spans="9:95">
      <c r="I174" s="474"/>
      <c r="J174" s="474"/>
      <c r="K174" s="474"/>
      <c r="L174" s="474"/>
      <c r="M174" s="474"/>
      <c r="N174" s="474"/>
      <c r="O174" s="474"/>
      <c r="P174" s="474"/>
      <c r="Q174" s="475"/>
      <c r="R174" s="474"/>
      <c r="S174" s="474"/>
      <c r="T174" s="474"/>
      <c r="U174" s="474"/>
      <c r="V174" s="474"/>
      <c r="W174" s="474"/>
      <c r="X174" s="474"/>
      <c r="Y174" s="474"/>
      <c r="Z174" s="474"/>
      <c r="AA174" s="474"/>
      <c r="AB174" s="474"/>
      <c r="AC174" s="474"/>
      <c r="AD174" s="474"/>
      <c r="AE174" s="474"/>
      <c r="AF174" s="474"/>
      <c r="AH174" s="317"/>
      <c r="AI174" s="477"/>
      <c r="CL174" s="476"/>
      <c r="CQ174" s="477"/>
    </row>
    <row r="175" spans="9:95">
      <c r="I175" s="474"/>
      <c r="J175" s="474"/>
      <c r="K175" s="474"/>
      <c r="L175" s="474"/>
      <c r="M175" s="474"/>
      <c r="N175" s="474"/>
      <c r="O175" s="474"/>
      <c r="P175" s="474"/>
      <c r="Q175" s="475"/>
      <c r="R175" s="474"/>
      <c r="S175" s="474"/>
      <c r="T175" s="474"/>
      <c r="U175" s="474"/>
      <c r="V175" s="474"/>
      <c r="W175" s="474"/>
      <c r="X175" s="474"/>
      <c r="Y175" s="474"/>
      <c r="Z175" s="474"/>
      <c r="AA175" s="474"/>
      <c r="AB175" s="474"/>
      <c r="AC175" s="474"/>
      <c r="AD175" s="474"/>
      <c r="AE175" s="474"/>
      <c r="AF175" s="474"/>
      <c r="AH175" s="317"/>
      <c r="AI175" s="477"/>
      <c r="CL175" s="476"/>
      <c r="CQ175" s="477"/>
    </row>
    <row r="176" spans="9:95">
      <c r="I176" s="474"/>
      <c r="J176" s="474"/>
      <c r="K176" s="474"/>
      <c r="L176" s="474"/>
      <c r="M176" s="474"/>
      <c r="N176" s="474"/>
      <c r="O176" s="474"/>
      <c r="P176" s="474"/>
      <c r="Q176" s="475"/>
      <c r="R176" s="474"/>
      <c r="S176" s="474"/>
      <c r="T176" s="474"/>
      <c r="U176" s="474"/>
      <c r="V176" s="474"/>
      <c r="W176" s="474"/>
      <c r="X176" s="474"/>
      <c r="Y176" s="474"/>
      <c r="Z176" s="474"/>
      <c r="AA176" s="474"/>
      <c r="AB176" s="474"/>
      <c r="AC176" s="474"/>
      <c r="AD176" s="474"/>
      <c r="AE176" s="474"/>
      <c r="AF176" s="474"/>
      <c r="AH176" s="317"/>
      <c r="AI176" s="477"/>
      <c r="CL176" s="476"/>
      <c r="CO176" s="477"/>
    </row>
    <row r="177" spans="9:93">
      <c r="I177" s="474"/>
      <c r="J177" s="474"/>
      <c r="K177" s="474"/>
      <c r="L177" s="474"/>
      <c r="M177" s="474"/>
      <c r="N177" s="474"/>
      <c r="O177" s="474"/>
      <c r="P177" s="474"/>
      <c r="Q177" s="475"/>
      <c r="R177" s="474"/>
      <c r="S177" s="474"/>
      <c r="T177" s="474"/>
      <c r="U177" s="474"/>
      <c r="V177" s="474"/>
      <c r="W177" s="474"/>
      <c r="X177" s="474"/>
      <c r="Y177" s="474"/>
      <c r="Z177" s="474"/>
      <c r="AA177" s="474"/>
      <c r="AB177" s="474"/>
      <c r="AC177" s="474"/>
      <c r="AD177" s="474"/>
      <c r="AE177" s="474"/>
      <c r="AF177" s="474"/>
      <c r="AH177" s="474"/>
      <c r="AI177" s="477"/>
      <c r="CL177" s="476"/>
      <c r="CO177" s="477"/>
    </row>
    <row r="178" spans="9:93">
      <c r="I178" s="474"/>
      <c r="J178" s="474"/>
      <c r="K178" s="474"/>
      <c r="L178" s="474"/>
      <c r="M178" s="474"/>
      <c r="N178" s="474"/>
      <c r="O178" s="474"/>
      <c r="P178" s="474"/>
      <c r="Q178" s="475"/>
      <c r="R178" s="474"/>
      <c r="S178" s="474"/>
      <c r="T178" s="474"/>
      <c r="U178" s="474"/>
      <c r="V178" s="474"/>
      <c r="W178" s="474"/>
      <c r="X178" s="474"/>
      <c r="Y178" s="474"/>
      <c r="Z178" s="474"/>
      <c r="AA178" s="474"/>
      <c r="AB178" s="474"/>
      <c r="AC178" s="474"/>
      <c r="AD178" s="474"/>
      <c r="AE178" s="474"/>
      <c r="AF178" s="474"/>
      <c r="AH178" s="400"/>
      <c r="AI178" s="477"/>
      <c r="CL178" s="476"/>
      <c r="CO178" s="477"/>
    </row>
    <row r="179" spans="9:93">
      <c r="I179" s="474"/>
      <c r="J179" s="474"/>
      <c r="K179" s="474"/>
      <c r="L179" s="474"/>
      <c r="M179" s="474"/>
      <c r="N179" s="474"/>
      <c r="O179" s="474"/>
      <c r="P179" s="474"/>
      <c r="Q179" s="475"/>
      <c r="R179" s="474"/>
      <c r="S179" s="474"/>
      <c r="T179" s="474"/>
      <c r="U179" s="474"/>
      <c r="V179" s="474"/>
      <c r="W179" s="474"/>
      <c r="X179" s="474"/>
      <c r="Y179" s="474"/>
      <c r="Z179" s="474"/>
      <c r="AA179" s="474"/>
      <c r="AB179" s="474"/>
      <c r="AC179" s="474"/>
      <c r="AD179" s="474"/>
      <c r="AE179" s="474"/>
      <c r="AF179" s="474"/>
      <c r="AH179" s="317"/>
      <c r="AI179" s="477"/>
      <c r="CL179" s="476"/>
      <c r="CO179" s="477"/>
    </row>
    <row r="180" spans="9:93">
      <c r="I180" s="474"/>
      <c r="J180" s="474"/>
      <c r="K180" s="474"/>
      <c r="L180" s="474"/>
      <c r="M180" s="474"/>
      <c r="N180" s="474"/>
      <c r="O180" s="474"/>
      <c r="P180" s="474"/>
      <c r="Q180" s="475"/>
      <c r="R180" s="474"/>
      <c r="S180" s="474"/>
      <c r="T180" s="474"/>
      <c r="U180" s="474"/>
      <c r="V180" s="474"/>
      <c r="W180" s="474"/>
      <c r="X180" s="474"/>
      <c r="Y180" s="474"/>
      <c r="Z180" s="474"/>
      <c r="AA180" s="474"/>
      <c r="AB180" s="474"/>
      <c r="AC180" s="474"/>
      <c r="AD180" s="474"/>
      <c r="AE180" s="474"/>
      <c r="AF180" s="474"/>
      <c r="AH180" s="317"/>
      <c r="AI180" s="477"/>
      <c r="CL180" s="476"/>
      <c r="CO180" s="477"/>
    </row>
    <row r="181" spans="9:93">
      <c r="I181" s="474"/>
      <c r="J181" s="474"/>
      <c r="K181" s="474"/>
      <c r="L181" s="474"/>
      <c r="M181" s="474"/>
      <c r="N181" s="474"/>
      <c r="O181" s="474"/>
      <c r="P181" s="474"/>
      <c r="Q181" s="475"/>
      <c r="R181" s="474"/>
      <c r="S181" s="474"/>
      <c r="T181" s="474"/>
      <c r="U181" s="474"/>
      <c r="V181" s="474"/>
      <c r="W181" s="474"/>
      <c r="X181" s="474"/>
      <c r="Y181" s="474"/>
      <c r="Z181" s="474"/>
      <c r="AA181" s="474"/>
      <c r="AB181" s="474"/>
      <c r="AC181" s="474"/>
      <c r="AD181" s="474"/>
      <c r="AE181" s="474"/>
      <c r="AF181" s="474"/>
      <c r="AH181" s="318"/>
      <c r="AI181" s="477"/>
      <c r="CL181" s="476"/>
      <c r="CO181" s="477"/>
    </row>
    <row r="182" spans="9:93">
      <c r="I182" s="474"/>
      <c r="J182" s="474"/>
      <c r="K182" s="474"/>
      <c r="L182" s="474"/>
      <c r="M182" s="474"/>
      <c r="N182" s="474"/>
      <c r="O182" s="474"/>
      <c r="P182" s="474"/>
      <c r="Q182" s="475"/>
      <c r="R182" s="474"/>
      <c r="S182" s="474"/>
      <c r="T182" s="474"/>
      <c r="U182" s="474"/>
      <c r="V182" s="474"/>
      <c r="W182" s="474"/>
      <c r="X182" s="474"/>
      <c r="Y182" s="474"/>
      <c r="Z182" s="474"/>
      <c r="AA182" s="474"/>
      <c r="AB182" s="474"/>
      <c r="AC182" s="474"/>
      <c r="AD182" s="474"/>
      <c r="AE182" s="474"/>
      <c r="AF182" s="474"/>
      <c r="AH182" s="317"/>
      <c r="AI182" s="477"/>
      <c r="CL182" s="476"/>
      <c r="CO182" s="477"/>
    </row>
    <row r="183" spans="9:93">
      <c r="I183" s="474"/>
      <c r="J183" s="474"/>
      <c r="K183" s="474"/>
      <c r="L183" s="474"/>
      <c r="M183" s="474"/>
      <c r="N183" s="474"/>
      <c r="O183" s="474"/>
      <c r="P183" s="474"/>
      <c r="Q183" s="475"/>
      <c r="R183" s="474"/>
      <c r="S183" s="474"/>
      <c r="T183" s="474"/>
      <c r="U183" s="474"/>
      <c r="V183" s="474"/>
      <c r="W183" s="474"/>
      <c r="X183" s="474"/>
      <c r="Y183" s="474"/>
      <c r="Z183" s="474"/>
      <c r="AA183" s="474"/>
      <c r="AB183" s="474"/>
      <c r="AC183" s="474"/>
      <c r="AD183" s="474"/>
      <c r="AE183" s="474"/>
      <c r="AF183" s="474"/>
      <c r="AH183" s="317"/>
      <c r="AI183" s="477"/>
      <c r="CL183" s="476"/>
      <c r="CO183" s="477"/>
    </row>
    <row r="184" spans="9:93">
      <c r="I184" s="474"/>
      <c r="J184" s="474"/>
      <c r="K184" s="474"/>
      <c r="L184" s="474"/>
      <c r="M184" s="474"/>
      <c r="N184" s="474"/>
      <c r="O184" s="474"/>
      <c r="P184" s="474"/>
      <c r="Q184" s="475"/>
      <c r="R184" s="474"/>
      <c r="S184" s="474"/>
      <c r="T184" s="474"/>
      <c r="U184" s="474"/>
      <c r="V184" s="474"/>
      <c r="W184" s="474"/>
      <c r="X184" s="474"/>
      <c r="Y184" s="474"/>
      <c r="Z184" s="474"/>
      <c r="AA184" s="474"/>
      <c r="AB184" s="474"/>
      <c r="AC184" s="474"/>
      <c r="AD184" s="474"/>
      <c r="AE184" s="474"/>
      <c r="AF184" s="474"/>
      <c r="AH184" s="317"/>
      <c r="AI184" s="477"/>
      <c r="CL184" s="476"/>
      <c r="CO184" s="477"/>
    </row>
    <row r="185" spans="9:93">
      <c r="I185" s="474"/>
      <c r="J185" s="474"/>
      <c r="K185" s="474"/>
      <c r="L185" s="474"/>
      <c r="M185" s="474"/>
      <c r="N185" s="474"/>
      <c r="O185" s="474"/>
      <c r="P185" s="474"/>
      <c r="Q185" s="475"/>
      <c r="R185" s="474"/>
      <c r="S185" s="474"/>
      <c r="T185" s="474"/>
      <c r="U185" s="474"/>
      <c r="V185" s="474"/>
      <c r="W185" s="474"/>
      <c r="X185" s="474"/>
      <c r="Y185" s="474"/>
      <c r="Z185" s="474"/>
      <c r="AA185" s="474"/>
      <c r="AB185" s="474"/>
      <c r="AC185" s="474"/>
      <c r="AD185" s="474"/>
      <c r="AE185" s="474"/>
      <c r="AF185" s="474"/>
      <c r="AH185" s="400"/>
      <c r="AI185" s="477"/>
      <c r="CL185" s="476"/>
      <c r="CO185" s="477"/>
    </row>
    <row r="186" spans="9:93">
      <c r="I186" s="474"/>
      <c r="J186" s="474"/>
      <c r="K186" s="474"/>
      <c r="L186" s="474"/>
      <c r="M186" s="474"/>
      <c r="N186" s="474"/>
      <c r="O186" s="474"/>
      <c r="P186" s="474"/>
      <c r="Q186" s="475"/>
      <c r="R186" s="474"/>
      <c r="S186" s="474"/>
      <c r="T186" s="474"/>
      <c r="U186" s="474"/>
      <c r="V186" s="474"/>
      <c r="W186" s="474"/>
      <c r="X186" s="474"/>
      <c r="Y186" s="474"/>
      <c r="Z186" s="474"/>
      <c r="AA186" s="474"/>
      <c r="AB186" s="474"/>
      <c r="AC186" s="474"/>
      <c r="AD186" s="474"/>
      <c r="AE186" s="474"/>
      <c r="AF186" s="474"/>
      <c r="AH186" s="400"/>
      <c r="AI186" s="477"/>
      <c r="CL186" s="476"/>
      <c r="CO186" s="477"/>
    </row>
    <row r="187" spans="9:93">
      <c r="I187" s="474"/>
      <c r="J187" s="474"/>
      <c r="K187" s="474"/>
      <c r="L187" s="474"/>
      <c r="M187" s="474"/>
      <c r="N187" s="474"/>
      <c r="O187" s="474"/>
      <c r="P187" s="474"/>
      <c r="Q187" s="475"/>
      <c r="R187" s="474"/>
      <c r="S187" s="474"/>
      <c r="T187" s="474"/>
      <c r="U187" s="474"/>
      <c r="V187" s="474"/>
      <c r="W187" s="474"/>
      <c r="X187" s="474"/>
      <c r="Y187" s="474"/>
      <c r="Z187" s="474"/>
      <c r="AA187" s="474"/>
      <c r="AB187" s="474"/>
      <c r="AC187" s="474"/>
      <c r="AD187" s="474"/>
      <c r="AE187" s="474"/>
      <c r="AF187" s="474"/>
      <c r="AI187" s="477"/>
      <c r="CL187" s="476"/>
      <c r="CO187" s="477"/>
    </row>
    <row r="188" spans="9:93">
      <c r="I188" s="474"/>
      <c r="J188" s="474"/>
      <c r="K188" s="474"/>
      <c r="L188" s="474"/>
      <c r="M188" s="474"/>
      <c r="N188" s="474"/>
      <c r="O188" s="474"/>
      <c r="P188" s="474"/>
      <c r="Q188" s="475"/>
      <c r="R188" s="474"/>
      <c r="S188" s="474"/>
      <c r="T188" s="474"/>
      <c r="U188" s="474"/>
      <c r="V188" s="474"/>
      <c r="W188" s="474"/>
      <c r="X188" s="474"/>
      <c r="Y188" s="474"/>
      <c r="Z188" s="474"/>
      <c r="AA188" s="474"/>
      <c r="AB188" s="474"/>
      <c r="AC188" s="474"/>
      <c r="AD188" s="474"/>
      <c r="AE188" s="474"/>
      <c r="AF188" s="474"/>
      <c r="AI188" s="477"/>
      <c r="CL188" s="476"/>
      <c r="CO188" s="477"/>
    </row>
    <row r="189" spans="9:93">
      <c r="I189" s="474"/>
      <c r="J189" s="474"/>
      <c r="K189" s="474"/>
      <c r="L189" s="474"/>
      <c r="M189" s="474"/>
      <c r="N189" s="474"/>
      <c r="O189" s="474"/>
      <c r="P189" s="474"/>
      <c r="Q189" s="475"/>
      <c r="R189" s="474"/>
      <c r="S189" s="474"/>
      <c r="T189" s="474"/>
      <c r="U189" s="474"/>
      <c r="V189" s="474"/>
      <c r="W189" s="474"/>
      <c r="X189" s="474"/>
      <c r="Y189" s="474"/>
      <c r="Z189" s="474"/>
      <c r="AA189" s="474"/>
      <c r="AB189" s="474"/>
      <c r="AC189" s="474"/>
      <c r="AD189" s="474"/>
      <c r="AE189" s="474"/>
      <c r="AF189" s="474"/>
      <c r="AI189" s="477"/>
      <c r="CL189" s="476"/>
      <c r="CO189" s="477"/>
    </row>
    <row r="190" spans="9:93">
      <c r="I190" s="474"/>
      <c r="J190" s="474"/>
      <c r="K190" s="474"/>
      <c r="L190" s="474"/>
      <c r="M190" s="474"/>
      <c r="N190" s="474"/>
      <c r="O190" s="474"/>
      <c r="P190" s="474"/>
      <c r="Q190" s="475"/>
      <c r="R190" s="474"/>
      <c r="S190" s="474"/>
      <c r="T190" s="474"/>
      <c r="U190" s="474"/>
      <c r="V190" s="474"/>
      <c r="W190" s="474"/>
      <c r="X190" s="474"/>
      <c r="Y190" s="474"/>
      <c r="Z190" s="474"/>
      <c r="AA190" s="474"/>
      <c r="AB190" s="474"/>
      <c r="AC190" s="474"/>
      <c r="AD190" s="474"/>
      <c r="AE190" s="474"/>
      <c r="AF190" s="474"/>
      <c r="AI190" s="477"/>
      <c r="CL190" s="476"/>
      <c r="CO190" s="477"/>
    </row>
    <row r="191" spans="9:93">
      <c r="I191" s="474"/>
      <c r="J191" s="474"/>
      <c r="K191" s="474"/>
      <c r="L191" s="474"/>
      <c r="M191" s="474"/>
      <c r="N191" s="474"/>
      <c r="O191" s="474"/>
      <c r="P191" s="474"/>
      <c r="Q191" s="475"/>
      <c r="R191" s="474"/>
      <c r="S191" s="474"/>
      <c r="T191" s="474"/>
      <c r="U191" s="474"/>
      <c r="V191" s="474"/>
      <c r="W191" s="474"/>
      <c r="X191" s="474"/>
      <c r="Y191" s="474"/>
      <c r="Z191" s="474"/>
      <c r="AA191" s="474"/>
      <c r="AB191" s="474"/>
      <c r="AC191" s="474"/>
      <c r="AD191" s="474"/>
      <c r="AE191" s="474"/>
      <c r="AF191" s="474"/>
      <c r="AI191" s="477"/>
      <c r="CL191" s="476"/>
      <c r="CO191" s="477"/>
    </row>
    <row r="192" spans="9:93">
      <c r="I192" s="474"/>
      <c r="J192" s="474"/>
      <c r="K192" s="474"/>
      <c r="L192" s="474"/>
      <c r="M192" s="474"/>
      <c r="N192" s="474"/>
      <c r="O192" s="474"/>
      <c r="P192" s="474"/>
      <c r="Q192" s="475"/>
      <c r="R192" s="474"/>
      <c r="S192" s="474"/>
      <c r="T192" s="474"/>
      <c r="U192" s="474"/>
      <c r="V192" s="474"/>
      <c r="W192" s="474"/>
      <c r="X192" s="474"/>
      <c r="Y192" s="474"/>
      <c r="Z192" s="474"/>
      <c r="AA192" s="474"/>
      <c r="AB192" s="474"/>
      <c r="AC192" s="474"/>
      <c r="AD192" s="474"/>
      <c r="AE192" s="474"/>
      <c r="AF192" s="474"/>
      <c r="AI192" s="477"/>
      <c r="CL192" s="476"/>
      <c r="CO192" s="477"/>
    </row>
    <row r="193" spans="9:93">
      <c r="I193" s="474"/>
      <c r="J193" s="474"/>
      <c r="K193" s="474"/>
      <c r="L193" s="474"/>
      <c r="M193" s="474"/>
      <c r="N193" s="474"/>
      <c r="O193" s="474"/>
      <c r="P193" s="474"/>
      <c r="Q193" s="475"/>
      <c r="R193" s="474"/>
      <c r="S193" s="474"/>
      <c r="T193" s="474"/>
      <c r="U193" s="474"/>
      <c r="V193" s="474"/>
      <c r="W193" s="474"/>
      <c r="X193" s="474"/>
      <c r="Y193" s="474"/>
      <c r="Z193" s="474"/>
      <c r="AA193" s="474"/>
      <c r="AB193" s="474"/>
      <c r="AC193" s="474"/>
      <c r="AD193" s="474"/>
      <c r="AE193" s="474"/>
      <c r="AF193" s="474"/>
      <c r="AI193" s="477"/>
      <c r="CL193" s="476"/>
      <c r="CO193" s="477"/>
    </row>
    <row r="194" spans="9:93">
      <c r="I194" s="474"/>
      <c r="J194" s="474"/>
      <c r="K194" s="474"/>
      <c r="L194" s="474"/>
      <c r="M194" s="474"/>
      <c r="N194" s="474"/>
      <c r="O194" s="474"/>
      <c r="P194" s="474"/>
      <c r="Q194" s="475"/>
      <c r="R194" s="474"/>
      <c r="S194" s="474"/>
      <c r="T194" s="474"/>
      <c r="U194" s="474"/>
      <c r="V194" s="474"/>
      <c r="W194" s="474"/>
      <c r="X194" s="474"/>
      <c r="Y194" s="474"/>
      <c r="Z194" s="474"/>
      <c r="AA194" s="474"/>
      <c r="AB194" s="474"/>
      <c r="AC194" s="474"/>
      <c r="AD194" s="474"/>
      <c r="AE194" s="474"/>
      <c r="AF194" s="474"/>
      <c r="AI194" s="477"/>
      <c r="CL194" s="476"/>
      <c r="CO194" s="477"/>
    </row>
    <row r="195" spans="9:93">
      <c r="I195" s="474"/>
      <c r="J195" s="474"/>
      <c r="K195" s="474"/>
      <c r="L195" s="474"/>
      <c r="M195" s="474"/>
      <c r="N195" s="474"/>
      <c r="O195" s="474"/>
      <c r="P195" s="474"/>
      <c r="Q195" s="475"/>
      <c r="R195" s="474"/>
      <c r="S195" s="474"/>
      <c r="T195" s="474"/>
      <c r="U195" s="474"/>
      <c r="V195" s="474"/>
      <c r="W195" s="474"/>
      <c r="X195" s="474"/>
      <c r="Y195" s="474"/>
      <c r="Z195" s="474"/>
      <c r="AA195" s="474"/>
      <c r="AB195" s="474"/>
      <c r="AC195" s="474"/>
      <c r="AD195" s="474"/>
      <c r="AE195" s="474"/>
      <c r="AF195" s="474"/>
      <c r="AI195" s="477"/>
      <c r="CL195" s="476"/>
      <c r="CO195" s="477"/>
    </row>
    <row r="196" spans="9:93">
      <c r="I196" s="474"/>
      <c r="J196" s="474"/>
      <c r="K196" s="474"/>
      <c r="L196" s="474"/>
      <c r="M196" s="474"/>
      <c r="N196" s="474"/>
      <c r="O196" s="474"/>
      <c r="P196" s="474"/>
      <c r="Q196" s="475"/>
      <c r="R196" s="474"/>
      <c r="S196" s="474"/>
      <c r="T196" s="474"/>
      <c r="U196" s="474"/>
      <c r="V196" s="474"/>
      <c r="W196" s="474"/>
      <c r="X196" s="474"/>
      <c r="Y196" s="474"/>
      <c r="Z196" s="474"/>
      <c r="AA196" s="474"/>
      <c r="AB196" s="474"/>
      <c r="AC196" s="474"/>
      <c r="AD196" s="474"/>
      <c r="AE196" s="474"/>
      <c r="AF196" s="474"/>
      <c r="AI196" s="477"/>
      <c r="CL196" s="476"/>
      <c r="CO196" s="477"/>
    </row>
    <row r="197" spans="9:93">
      <c r="I197" s="474"/>
      <c r="J197" s="474"/>
      <c r="K197" s="474"/>
      <c r="L197" s="474"/>
      <c r="M197" s="474"/>
      <c r="N197" s="474"/>
      <c r="O197" s="474"/>
      <c r="P197" s="474"/>
      <c r="Q197" s="475"/>
      <c r="R197" s="474"/>
      <c r="S197" s="474"/>
      <c r="T197" s="474"/>
      <c r="U197" s="474"/>
      <c r="V197" s="474"/>
      <c r="W197" s="474"/>
      <c r="X197" s="474"/>
      <c r="Y197" s="474"/>
      <c r="Z197" s="474"/>
      <c r="AA197" s="474"/>
      <c r="AB197" s="474"/>
      <c r="AC197" s="474"/>
      <c r="AD197" s="474"/>
      <c r="AE197" s="474"/>
      <c r="AF197" s="474"/>
      <c r="AI197" s="477"/>
      <c r="CL197" s="476"/>
      <c r="CO197" s="477"/>
    </row>
    <row r="198" spans="9:93">
      <c r="I198" s="474"/>
      <c r="J198" s="474"/>
      <c r="K198" s="474"/>
      <c r="L198" s="474"/>
      <c r="M198" s="474"/>
      <c r="N198" s="474"/>
      <c r="O198" s="474"/>
      <c r="P198" s="474"/>
      <c r="Q198" s="475"/>
      <c r="R198" s="474"/>
      <c r="S198" s="474"/>
      <c r="T198" s="474"/>
      <c r="U198" s="474"/>
      <c r="V198" s="474"/>
      <c r="W198" s="474"/>
      <c r="X198" s="474"/>
      <c r="Y198" s="474"/>
      <c r="Z198" s="474"/>
      <c r="AA198" s="474"/>
      <c r="AB198" s="474"/>
      <c r="AC198" s="474"/>
      <c r="AD198" s="474"/>
      <c r="AE198" s="474"/>
      <c r="AF198" s="474"/>
      <c r="AI198" s="477"/>
      <c r="CL198" s="476"/>
      <c r="CO198" s="477"/>
    </row>
    <row r="199" spans="9:93">
      <c r="I199" s="474"/>
      <c r="J199" s="474"/>
      <c r="K199" s="474"/>
      <c r="L199" s="474"/>
      <c r="M199" s="474"/>
      <c r="N199" s="474"/>
      <c r="O199" s="474"/>
      <c r="P199" s="474"/>
      <c r="Q199" s="475"/>
      <c r="R199" s="474"/>
      <c r="S199" s="474"/>
      <c r="T199" s="474"/>
      <c r="U199" s="474"/>
      <c r="V199" s="474"/>
      <c r="W199" s="474"/>
      <c r="X199" s="474"/>
      <c r="Y199" s="474"/>
      <c r="Z199" s="474"/>
      <c r="AA199" s="474"/>
      <c r="AB199" s="474"/>
      <c r="AC199" s="474"/>
      <c r="AD199" s="474"/>
      <c r="AE199" s="474"/>
      <c r="AF199" s="474"/>
      <c r="AI199" s="477"/>
      <c r="CL199" s="476"/>
      <c r="CO199" s="477"/>
    </row>
    <row r="200" spans="9:93">
      <c r="I200" s="474"/>
      <c r="J200" s="474"/>
      <c r="K200" s="474"/>
      <c r="L200" s="474"/>
      <c r="M200" s="474"/>
      <c r="N200" s="474"/>
      <c r="O200" s="474"/>
      <c r="P200" s="474"/>
      <c r="Q200" s="475"/>
      <c r="R200" s="474"/>
      <c r="S200" s="474"/>
      <c r="T200" s="474"/>
      <c r="U200" s="474"/>
      <c r="V200" s="474"/>
      <c r="W200" s="474"/>
      <c r="X200" s="474"/>
      <c r="Y200" s="474"/>
      <c r="Z200" s="474"/>
      <c r="AA200" s="474"/>
      <c r="AB200" s="474"/>
      <c r="AC200" s="474"/>
      <c r="AD200" s="474"/>
      <c r="AE200" s="474"/>
      <c r="AF200" s="474"/>
      <c r="CL200" s="476"/>
      <c r="CO200" s="477"/>
    </row>
    <row r="201" spans="9:93">
      <c r="I201" s="474"/>
      <c r="J201" s="474"/>
      <c r="K201" s="474"/>
      <c r="L201" s="474"/>
      <c r="M201" s="474"/>
      <c r="N201" s="474"/>
      <c r="O201" s="474"/>
      <c r="P201" s="474"/>
      <c r="Q201" s="475"/>
      <c r="R201" s="474"/>
      <c r="S201" s="474"/>
      <c r="T201" s="474"/>
      <c r="U201" s="474"/>
      <c r="V201" s="474"/>
      <c r="W201" s="474"/>
      <c r="X201" s="474"/>
      <c r="Y201" s="474"/>
      <c r="Z201" s="474"/>
      <c r="AA201" s="474"/>
      <c r="AB201" s="474"/>
      <c r="AC201" s="474"/>
      <c r="AD201" s="474"/>
      <c r="AE201" s="474"/>
      <c r="AF201" s="474"/>
      <c r="CL201" s="476"/>
      <c r="CO201" s="477"/>
    </row>
    <row r="202" spans="9:93">
      <c r="I202" s="474"/>
      <c r="J202" s="474"/>
      <c r="K202" s="474"/>
      <c r="L202" s="474"/>
      <c r="M202" s="474"/>
      <c r="N202" s="474"/>
      <c r="O202" s="474"/>
      <c r="P202" s="474"/>
      <c r="Q202" s="474"/>
      <c r="R202" s="474"/>
      <c r="S202" s="474"/>
      <c r="T202" s="474"/>
      <c r="U202" s="474"/>
      <c r="V202" s="474"/>
      <c r="W202" s="474"/>
      <c r="X202" s="474"/>
      <c r="Y202" s="474"/>
      <c r="Z202" s="474"/>
      <c r="AA202" s="474"/>
      <c r="AB202" s="474"/>
      <c r="AC202" s="474"/>
      <c r="AD202" s="474"/>
      <c r="AE202" s="474"/>
      <c r="AF202" s="474"/>
      <c r="CL202" s="476"/>
      <c r="CO202" s="477"/>
    </row>
    <row r="203" spans="9:93">
      <c r="I203" s="474"/>
      <c r="J203" s="474"/>
      <c r="K203" s="474"/>
      <c r="L203" s="474"/>
      <c r="M203" s="474"/>
      <c r="N203" s="474"/>
      <c r="O203" s="474"/>
      <c r="P203" s="474"/>
      <c r="Q203" s="474"/>
      <c r="R203" s="474"/>
      <c r="S203" s="474"/>
      <c r="T203" s="474"/>
      <c r="U203" s="474"/>
      <c r="V203" s="474"/>
      <c r="W203" s="474"/>
      <c r="X203" s="474"/>
      <c r="Y203" s="474"/>
      <c r="Z203" s="474"/>
      <c r="AA203" s="474"/>
      <c r="AB203" s="474"/>
      <c r="AC203" s="474"/>
      <c r="AD203" s="474"/>
      <c r="AE203" s="474"/>
      <c r="AF203" s="474"/>
      <c r="AI203" s="317"/>
      <c r="AJ203" s="317"/>
      <c r="CL203" s="476"/>
      <c r="CO203" s="477"/>
    </row>
    <row r="204" spans="9:93">
      <c r="I204" s="474"/>
      <c r="J204" s="474"/>
      <c r="K204" s="474"/>
      <c r="L204" s="474"/>
      <c r="M204" s="474"/>
      <c r="N204" s="474"/>
      <c r="O204" s="474"/>
      <c r="P204" s="474"/>
      <c r="Q204" s="474"/>
      <c r="R204" s="474"/>
      <c r="S204" s="474"/>
      <c r="T204" s="474"/>
      <c r="U204" s="474"/>
      <c r="V204" s="474"/>
      <c r="W204" s="474"/>
      <c r="X204" s="474"/>
      <c r="Y204" s="474"/>
      <c r="Z204" s="474"/>
      <c r="AA204" s="474"/>
      <c r="AB204" s="474"/>
      <c r="AC204" s="474"/>
      <c r="AD204" s="474"/>
      <c r="AE204" s="474"/>
      <c r="AF204" s="474"/>
      <c r="AI204" s="317"/>
      <c r="AJ204" s="317"/>
      <c r="CL204" s="476"/>
      <c r="CO204" s="477"/>
    </row>
    <row r="205" spans="9:93">
      <c r="I205" s="474"/>
      <c r="J205" s="474"/>
      <c r="K205" s="474"/>
      <c r="L205" s="474"/>
      <c r="M205" s="474"/>
      <c r="N205" s="474"/>
      <c r="O205" s="474"/>
      <c r="P205" s="474"/>
      <c r="Q205" s="474"/>
      <c r="R205" s="474"/>
      <c r="S205" s="474"/>
      <c r="T205" s="474"/>
      <c r="U205" s="474"/>
      <c r="V205" s="474"/>
      <c r="W205" s="474"/>
      <c r="X205" s="474"/>
      <c r="Y205" s="474"/>
      <c r="Z205" s="474"/>
      <c r="AA205" s="474"/>
      <c r="AB205" s="474"/>
      <c r="AC205" s="474"/>
      <c r="AD205" s="474"/>
      <c r="AE205" s="474"/>
      <c r="AF205" s="474"/>
      <c r="AI205" s="318"/>
      <c r="AJ205" s="318"/>
      <c r="CL205" s="476"/>
      <c r="CO205" s="477"/>
    </row>
    <row r="206" spans="9:93">
      <c r="I206" s="474"/>
      <c r="J206" s="474"/>
      <c r="K206" s="474"/>
      <c r="L206" s="474"/>
      <c r="M206" s="474"/>
      <c r="N206" s="474"/>
      <c r="O206" s="474"/>
      <c r="P206" s="474"/>
      <c r="Q206" s="474"/>
      <c r="R206" s="474"/>
      <c r="S206" s="474"/>
      <c r="T206" s="474"/>
      <c r="U206" s="474"/>
      <c r="V206" s="474"/>
      <c r="W206" s="474"/>
      <c r="X206" s="474"/>
      <c r="Y206" s="474"/>
      <c r="Z206" s="474"/>
      <c r="AA206" s="474"/>
      <c r="AB206" s="474"/>
      <c r="AC206" s="474"/>
      <c r="AD206" s="474"/>
      <c r="AE206" s="474"/>
      <c r="AF206" s="474"/>
      <c r="AI206" s="317"/>
      <c r="AJ206" s="317"/>
      <c r="CL206" s="476"/>
      <c r="CO206" s="477"/>
    </row>
    <row r="207" spans="9:93">
      <c r="I207" s="474"/>
      <c r="J207" s="474"/>
      <c r="K207" s="474"/>
      <c r="L207" s="474"/>
      <c r="M207" s="474"/>
      <c r="N207" s="474"/>
      <c r="O207" s="474"/>
      <c r="P207" s="474"/>
      <c r="Q207" s="474"/>
      <c r="R207" s="474"/>
      <c r="S207" s="474"/>
      <c r="T207" s="474"/>
      <c r="U207" s="474"/>
      <c r="V207" s="474"/>
      <c r="W207" s="474"/>
      <c r="X207" s="474"/>
      <c r="Y207" s="474"/>
      <c r="Z207" s="474"/>
      <c r="AA207" s="474"/>
      <c r="AB207" s="474"/>
      <c r="AC207" s="474"/>
      <c r="AD207" s="474"/>
      <c r="AE207" s="474"/>
      <c r="AF207" s="474"/>
      <c r="AI207" s="317"/>
      <c r="AJ207" s="317"/>
      <c r="CL207" s="476"/>
      <c r="CO207" s="477"/>
    </row>
    <row r="208" spans="9:93">
      <c r="I208" s="474"/>
      <c r="J208" s="474"/>
      <c r="K208" s="474"/>
      <c r="L208" s="474"/>
      <c r="M208" s="474"/>
      <c r="N208" s="474"/>
      <c r="O208" s="474"/>
      <c r="P208" s="474"/>
      <c r="Q208" s="474"/>
      <c r="R208" s="474"/>
      <c r="S208" s="474"/>
      <c r="T208" s="474"/>
      <c r="U208" s="474"/>
      <c r="V208" s="474"/>
      <c r="W208" s="474"/>
      <c r="X208" s="474"/>
      <c r="Y208" s="474"/>
      <c r="Z208" s="474"/>
      <c r="AA208" s="474"/>
      <c r="AB208" s="474"/>
      <c r="AC208" s="474"/>
      <c r="AD208" s="474"/>
      <c r="AE208" s="474"/>
      <c r="AF208" s="474"/>
      <c r="AI208" s="317"/>
      <c r="AJ208" s="317"/>
      <c r="CL208" s="476"/>
      <c r="CO208" s="477"/>
    </row>
    <row r="209" spans="9:93">
      <c r="I209" s="474"/>
      <c r="J209" s="474"/>
      <c r="K209" s="474"/>
      <c r="L209" s="474"/>
      <c r="M209" s="474"/>
      <c r="N209" s="474"/>
      <c r="O209" s="474"/>
      <c r="P209" s="474"/>
      <c r="Q209" s="474"/>
      <c r="R209" s="474"/>
      <c r="S209" s="474"/>
      <c r="T209" s="474"/>
      <c r="U209" s="474"/>
      <c r="V209" s="474"/>
      <c r="W209" s="474"/>
      <c r="X209" s="474"/>
      <c r="Y209" s="474"/>
      <c r="Z209" s="474"/>
      <c r="AA209" s="474"/>
      <c r="AB209" s="474"/>
      <c r="AC209" s="474"/>
      <c r="AD209" s="474"/>
      <c r="AE209" s="474"/>
      <c r="AF209" s="474"/>
      <c r="AI209" s="317"/>
      <c r="AJ209" s="317"/>
      <c r="CL209" s="476"/>
      <c r="CO209" s="477"/>
    </row>
    <row r="210" spans="9:93">
      <c r="I210" s="474"/>
      <c r="J210" s="474"/>
      <c r="K210" s="474"/>
      <c r="L210" s="474"/>
      <c r="M210" s="474"/>
      <c r="N210" s="474"/>
      <c r="O210" s="474"/>
      <c r="P210" s="474"/>
      <c r="Q210" s="474"/>
      <c r="R210" s="474"/>
      <c r="S210" s="474"/>
      <c r="T210" s="474"/>
      <c r="U210" s="474"/>
      <c r="V210" s="474"/>
      <c r="W210" s="474"/>
      <c r="X210" s="474"/>
      <c r="Y210" s="474"/>
      <c r="Z210" s="474"/>
      <c r="AA210" s="474"/>
      <c r="AB210" s="474"/>
      <c r="AC210" s="474"/>
      <c r="AD210" s="474"/>
      <c r="AE210" s="474"/>
      <c r="AF210" s="474"/>
      <c r="AI210" s="317"/>
      <c r="AJ210" s="317"/>
      <c r="CL210" s="476"/>
      <c r="CO210" s="477"/>
    </row>
    <row r="211" spans="9:93">
      <c r="I211" s="474"/>
      <c r="J211" s="474"/>
      <c r="K211" s="474"/>
      <c r="L211" s="474"/>
      <c r="M211" s="474"/>
      <c r="N211" s="474"/>
      <c r="O211" s="474"/>
      <c r="P211" s="474"/>
      <c r="Q211" s="474"/>
      <c r="R211" s="474"/>
      <c r="S211" s="474"/>
      <c r="T211" s="474"/>
      <c r="U211" s="474"/>
      <c r="V211" s="474"/>
      <c r="W211" s="474"/>
      <c r="X211" s="474"/>
      <c r="Y211" s="474"/>
      <c r="Z211" s="474"/>
      <c r="AA211" s="474"/>
      <c r="AB211" s="474"/>
      <c r="AC211" s="474"/>
      <c r="AD211" s="474"/>
      <c r="AE211" s="474"/>
      <c r="AF211" s="474"/>
      <c r="AI211" s="474"/>
      <c r="AJ211" s="474"/>
    </row>
    <row r="212" spans="9:93">
      <c r="I212" s="474"/>
      <c r="J212" s="474"/>
      <c r="K212" s="474"/>
      <c r="L212" s="474"/>
      <c r="M212" s="474"/>
      <c r="N212" s="474"/>
      <c r="O212" s="474"/>
      <c r="P212" s="474"/>
      <c r="Q212" s="474"/>
      <c r="R212" s="474"/>
      <c r="S212" s="474"/>
      <c r="T212" s="474"/>
      <c r="U212" s="474"/>
      <c r="V212" s="474"/>
      <c r="W212" s="474"/>
      <c r="X212" s="474"/>
      <c r="Y212" s="474"/>
      <c r="Z212" s="474"/>
      <c r="AA212" s="474"/>
      <c r="AB212" s="474"/>
      <c r="AC212" s="474"/>
      <c r="AD212" s="474"/>
      <c r="AE212" s="474"/>
      <c r="AF212" s="474"/>
      <c r="AJ212" s="474"/>
    </row>
    <row r="213" spans="9:93">
      <c r="I213" s="474"/>
      <c r="J213" s="474"/>
      <c r="K213" s="474"/>
      <c r="L213" s="474"/>
      <c r="M213" s="474"/>
      <c r="N213" s="474"/>
      <c r="O213" s="474"/>
      <c r="P213" s="474"/>
      <c r="Q213" s="474"/>
      <c r="R213" s="474"/>
      <c r="S213" s="474"/>
      <c r="T213" s="474"/>
      <c r="U213" s="474"/>
      <c r="V213" s="474"/>
      <c r="W213" s="474"/>
      <c r="X213" s="474"/>
      <c r="Y213" s="474"/>
      <c r="Z213" s="474"/>
      <c r="AA213" s="474"/>
      <c r="AB213" s="474"/>
      <c r="AC213" s="474"/>
      <c r="AD213" s="474"/>
      <c r="AE213" s="474"/>
      <c r="AF213" s="474"/>
      <c r="AJ213" s="474"/>
    </row>
    <row r="214" spans="9:93">
      <c r="I214" s="474"/>
      <c r="J214" s="474"/>
      <c r="K214" s="474"/>
      <c r="L214" s="474"/>
      <c r="M214" s="474"/>
      <c r="N214" s="474"/>
      <c r="O214" s="474"/>
      <c r="P214" s="474"/>
      <c r="Q214" s="474"/>
      <c r="R214" s="474"/>
      <c r="S214" s="474"/>
      <c r="T214" s="474"/>
      <c r="U214" s="474"/>
      <c r="V214" s="474"/>
      <c r="W214" s="474"/>
      <c r="X214" s="474"/>
      <c r="Y214" s="474"/>
      <c r="Z214" s="474"/>
      <c r="AA214" s="474"/>
      <c r="AB214" s="474"/>
      <c r="AC214" s="474"/>
      <c r="AD214" s="474"/>
      <c r="AE214" s="474"/>
      <c r="AF214" s="474"/>
      <c r="AJ214" s="474"/>
    </row>
    <row r="215" spans="9:93">
      <c r="I215" s="474"/>
      <c r="J215" s="474"/>
      <c r="K215" s="474"/>
      <c r="L215" s="474"/>
      <c r="M215" s="474"/>
      <c r="N215" s="474"/>
      <c r="O215" s="474"/>
      <c r="P215" s="474"/>
      <c r="Q215" s="474"/>
      <c r="R215" s="474"/>
      <c r="S215" s="474"/>
      <c r="T215" s="474"/>
      <c r="U215" s="474"/>
      <c r="V215" s="474"/>
      <c r="W215" s="474"/>
      <c r="X215" s="474"/>
      <c r="Y215" s="474"/>
      <c r="Z215" s="474"/>
      <c r="AA215" s="474"/>
      <c r="AB215" s="474"/>
      <c r="AC215" s="474"/>
      <c r="AD215" s="474"/>
      <c r="AE215" s="474"/>
      <c r="AF215" s="474"/>
      <c r="AI215" s="400"/>
    </row>
    <row r="216" spans="9:93">
      <c r="AI216" s="400"/>
    </row>
    <row r="217" spans="9:93">
      <c r="AI217" s="400"/>
    </row>
  </sheetData>
  <sortState ref="AD6:AD49">
    <sortCondition ref="AD6"/>
  </sortState>
  <mergeCells count="12">
    <mergeCell ref="AA5:AB5"/>
    <mergeCell ref="BN6:BP6"/>
    <mergeCell ref="BR6:BT6"/>
    <mergeCell ref="BV6:BX6"/>
    <mergeCell ref="BZ6:CB6"/>
    <mergeCell ref="CH6:CJ6"/>
    <mergeCell ref="BN16:BP16"/>
    <mergeCell ref="BR16:BT16"/>
    <mergeCell ref="BV16:BX16"/>
    <mergeCell ref="BZ16:CB16"/>
    <mergeCell ref="CD16:CF16"/>
    <mergeCell ref="CD6:CF6"/>
  </mergeCells>
  <phoneticPr fontId="2" type="noConversion"/>
  <conditionalFormatting sqref="BQ14:BQ15 BK135:BM135">
    <cfRule type="cellIs" dxfId="184" priority="236" operator="lessThan">
      <formula>0</formula>
    </cfRule>
    <cfRule type="cellIs" dxfId="183" priority="237" operator="greaterThan">
      <formula>45</formula>
    </cfRule>
  </conditionalFormatting>
  <conditionalFormatting sqref="BQ111:BQ136">
    <cfRule type="cellIs" dxfId="182" priority="234" operator="greaterThan">
      <formula>4</formula>
    </cfRule>
    <cfRule type="cellIs" dxfId="181" priority="235" operator="greaterThan">
      <formula>5</formula>
    </cfRule>
  </conditionalFormatting>
  <conditionalFormatting sqref="BK25:BR30 BK17:BM24">
    <cfRule type="cellIs" dxfId="180" priority="228" operator="equal">
      <formula>34</formula>
    </cfRule>
    <cfRule type="cellIs" dxfId="179" priority="229" operator="equal">
      <formula>32</formula>
    </cfRule>
    <cfRule type="cellIs" dxfId="178" priority="230" operator="equal">
      <formula>28</formula>
    </cfRule>
    <cfRule type="cellIs" dxfId="177" priority="231" operator="equal">
      <formula>26</formula>
    </cfRule>
    <cfRule type="cellIs" dxfId="176" priority="232" operator="equal">
      <formula>13</formula>
    </cfRule>
    <cfRule type="cellIs" dxfId="175" priority="233" operator="equal">
      <formula>8</formula>
    </cfRule>
  </conditionalFormatting>
  <conditionalFormatting sqref="BJ129 BK136:BL136">
    <cfRule type="cellIs" dxfId="174" priority="222" operator="equal">
      <formula>44</formula>
    </cfRule>
    <cfRule type="cellIs" dxfId="173" priority="223" operator="equal">
      <formula>34</formula>
    </cfRule>
    <cfRule type="cellIs" dxfId="172" priority="224" operator="equal">
      <formula>31</formula>
    </cfRule>
    <cfRule type="cellIs" dxfId="171" priority="225" operator="equal">
      <formula>26</formula>
    </cfRule>
    <cfRule type="cellIs" dxfId="170" priority="226" operator="equal">
      <formula>18</formula>
    </cfRule>
    <cfRule type="cellIs" dxfId="169" priority="227" operator="equal">
      <formula>13</formula>
    </cfRule>
  </conditionalFormatting>
  <conditionalFormatting sqref="CE35">
    <cfRule type="cellIs" dxfId="168" priority="216" operator="equal">
      <formula>45</formula>
    </cfRule>
    <cfRule type="cellIs" dxfId="167" priority="217" operator="equal">
      <formula>42</formula>
    </cfRule>
    <cfRule type="cellIs" dxfId="166" priority="218" operator="equal">
      <formula>37</formula>
    </cfRule>
    <cfRule type="cellIs" dxfId="165" priority="219" operator="equal">
      <formula>18</formula>
    </cfRule>
    <cfRule type="cellIs" dxfId="164" priority="220" operator="equal">
      <formula>7</formula>
    </cfRule>
    <cfRule type="cellIs" dxfId="163" priority="221" operator="equal">
      <formula>5</formula>
    </cfRule>
  </conditionalFormatting>
  <conditionalFormatting sqref="CH35">
    <cfRule type="cellIs" dxfId="162" priority="210" operator="equal">
      <formula>45</formula>
    </cfRule>
    <cfRule type="cellIs" dxfId="161" priority="211" operator="equal">
      <formula>29</formula>
    </cfRule>
    <cfRule type="cellIs" dxfId="160" priority="212" operator="equal">
      <formula>23</formula>
    </cfRule>
    <cfRule type="cellIs" dxfId="159" priority="213" operator="equal">
      <formula>20</formula>
    </cfRule>
    <cfRule type="cellIs" dxfId="158" priority="214" operator="equal">
      <formula>4</formula>
    </cfRule>
    <cfRule type="cellIs" dxfId="157" priority="215" operator="equal">
      <formula>1</formula>
    </cfRule>
  </conditionalFormatting>
  <conditionalFormatting sqref="CG35">
    <cfRule type="cellIs" dxfId="156" priority="204" operator="equal">
      <formula>32</formula>
    </cfRule>
    <cfRule type="cellIs" dxfId="155" priority="205" operator="equal">
      <formula>31</formula>
    </cfRule>
    <cfRule type="cellIs" dxfId="154" priority="206" operator="equal">
      <formula>17</formula>
    </cfRule>
    <cfRule type="cellIs" dxfId="153" priority="207" operator="equal">
      <formula>16</formula>
    </cfRule>
    <cfRule type="cellIs" dxfId="152" priority="208" operator="equal">
      <formula>10</formula>
    </cfRule>
    <cfRule type="cellIs" dxfId="151" priority="209" operator="equal">
      <formula>5</formula>
    </cfRule>
  </conditionalFormatting>
  <conditionalFormatting sqref="CF35">
    <cfRule type="cellIs" dxfId="150" priority="198" operator="equal">
      <formula>34</formula>
    </cfRule>
    <cfRule type="cellIs" dxfId="149" priority="199" operator="equal">
      <formula>27</formula>
    </cfRule>
    <cfRule type="cellIs" dxfId="148" priority="200" operator="equal">
      <formula>26</formula>
    </cfRule>
    <cfRule type="cellIs" dxfId="147" priority="201" operator="equal">
      <formula>25</formula>
    </cfRule>
    <cfRule type="cellIs" dxfId="146" priority="202" operator="equal">
      <formula>19</formula>
    </cfRule>
    <cfRule type="cellIs" dxfId="145" priority="203" operator="equal">
      <formula>14</formula>
    </cfRule>
  </conditionalFormatting>
  <conditionalFormatting sqref="AL151:AL161">
    <cfRule type="cellIs" dxfId="144" priority="197" operator="greaterThan">
      <formula>0.04</formula>
    </cfRule>
  </conditionalFormatting>
  <conditionalFormatting sqref="AB6:AB50">
    <cfRule type="cellIs" dxfId="143" priority="196" operator="greaterThan">
      <formula>8</formula>
    </cfRule>
  </conditionalFormatting>
  <conditionalFormatting sqref="AP3:AU51 AC6:AC50">
    <cfRule type="cellIs" dxfId="142" priority="195" operator="between">
      <formula>6</formula>
      <formula>6</formula>
    </cfRule>
  </conditionalFormatting>
  <conditionalFormatting sqref="BQ24">
    <cfRule type="cellIs" dxfId="141" priority="187" operator="lessThan">
      <formula>0</formula>
    </cfRule>
    <cfRule type="cellIs" dxfId="140" priority="188" operator="greaterThan">
      <formula>45</formula>
    </cfRule>
  </conditionalFormatting>
  <conditionalFormatting sqref="AF6:AF50">
    <cfRule type="cellIs" dxfId="139" priority="151" operator="equal">
      <formula>44</formula>
    </cfRule>
    <cfRule type="cellIs" dxfId="138" priority="152" operator="equal">
      <formula>30</formula>
    </cfRule>
    <cfRule type="cellIs" dxfId="137" priority="153" operator="equal">
      <formula>29</formula>
    </cfRule>
    <cfRule type="cellIs" dxfId="136" priority="154" operator="equal">
      <formula>28</formula>
    </cfRule>
    <cfRule type="cellIs" dxfId="135" priority="155" operator="equal">
      <formula>23</formula>
    </cfRule>
    <cfRule type="cellIs" dxfId="134" priority="156" operator="equal">
      <formula>11</formula>
    </cfRule>
  </conditionalFormatting>
  <conditionalFormatting sqref="AE6:AE50">
    <cfRule type="cellIs" dxfId="133" priority="145" operator="equal">
      <formula>38</formula>
    </cfRule>
    <cfRule type="cellIs" dxfId="132" priority="146" operator="equal">
      <formula>36</formula>
    </cfRule>
    <cfRule type="cellIs" dxfId="131" priority="147" operator="equal">
      <formula>16</formula>
    </cfRule>
    <cfRule type="cellIs" dxfId="130" priority="148" operator="equal">
      <formula>14</formula>
    </cfRule>
    <cfRule type="cellIs" dxfId="129" priority="149" operator="equal">
      <formula>10</formula>
    </cfRule>
    <cfRule type="cellIs" dxfId="128" priority="150" operator="equal">
      <formula>3</formula>
    </cfRule>
  </conditionalFormatting>
  <conditionalFormatting sqref="AG6:AG50">
    <cfRule type="cellIs" dxfId="127" priority="133" operator="equal">
      <formula>44</formula>
    </cfRule>
    <cfRule type="cellIs" dxfId="126" priority="134" operator="equal">
      <formula>30</formula>
    </cfRule>
    <cfRule type="cellIs" dxfId="125" priority="135" operator="equal">
      <formula>29</formula>
    </cfRule>
    <cfRule type="cellIs" dxfId="124" priority="136" operator="equal">
      <formula>28</formula>
    </cfRule>
    <cfRule type="cellIs" dxfId="123" priority="137" operator="equal">
      <formula>23</formula>
    </cfRule>
    <cfRule type="cellIs" dxfId="122" priority="138" operator="equal">
      <formula>11</formula>
    </cfRule>
  </conditionalFormatting>
  <conditionalFormatting sqref="AF6:AF50">
    <cfRule type="cellIs" dxfId="121" priority="127" operator="equal">
      <formula>38</formula>
    </cfRule>
    <cfRule type="cellIs" dxfId="120" priority="128" operator="equal">
      <formula>36</formula>
    </cfRule>
    <cfRule type="cellIs" dxfId="119" priority="129" operator="equal">
      <formula>16</formula>
    </cfRule>
    <cfRule type="cellIs" dxfId="118" priority="130" operator="equal">
      <formula>14</formula>
    </cfRule>
    <cfRule type="cellIs" dxfId="117" priority="131" operator="equal">
      <formula>10</formula>
    </cfRule>
    <cfRule type="cellIs" dxfId="116" priority="132" operator="equal">
      <formula>3</formula>
    </cfRule>
  </conditionalFormatting>
  <conditionalFormatting sqref="AE6:AE50">
    <cfRule type="cellIs" dxfId="115" priority="121" operator="equal">
      <formula>29</formula>
    </cfRule>
    <cfRule type="cellIs" dxfId="114" priority="122" operator="equal">
      <formula>26</formula>
    </cfRule>
    <cfRule type="cellIs" dxfId="113" priority="123" operator="equal">
      <formula>24</formula>
    </cfRule>
    <cfRule type="cellIs" dxfId="112" priority="124" operator="equal">
      <formula>16</formula>
    </cfRule>
    <cfRule type="cellIs" dxfId="111" priority="125" operator="equal">
      <formula>13</formula>
    </cfRule>
    <cfRule type="cellIs" dxfId="110" priority="126" operator="equal">
      <formula>3</formula>
    </cfRule>
  </conditionalFormatting>
  <conditionalFormatting sqref="AG6:AG50">
    <cfRule type="cellIs" dxfId="109" priority="109" operator="equal">
      <formula>44</formula>
    </cfRule>
    <cfRule type="cellIs" dxfId="108" priority="110" operator="equal">
      <formula>30</formula>
    </cfRule>
    <cfRule type="cellIs" dxfId="107" priority="111" operator="equal">
      <formula>29</formula>
    </cfRule>
    <cfRule type="cellIs" dxfId="106" priority="112" operator="equal">
      <formula>28</formula>
    </cfRule>
    <cfRule type="cellIs" dxfId="105" priority="113" operator="equal">
      <formula>23</formula>
    </cfRule>
    <cfRule type="cellIs" dxfId="104" priority="114" operator="equal">
      <formula>11</formula>
    </cfRule>
  </conditionalFormatting>
  <conditionalFormatting sqref="AF6:AF50">
    <cfRule type="cellIs" dxfId="103" priority="103" operator="equal">
      <formula>38</formula>
    </cfRule>
    <cfRule type="cellIs" dxfId="102" priority="104" operator="equal">
      <formula>36</formula>
    </cfRule>
    <cfRule type="cellIs" dxfId="101" priority="105" operator="equal">
      <formula>16</formula>
    </cfRule>
    <cfRule type="cellIs" dxfId="100" priority="106" operator="equal">
      <formula>14</formula>
    </cfRule>
    <cfRule type="cellIs" dxfId="99" priority="107" operator="equal">
      <formula>10</formula>
    </cfRule>
    <cfRule type="cellIs" dxfId="98" priority="108" operator="equal">
      <formula>3</formula>
    </cfRule>
  </conditionalFormatting>
  <conditionalFormatting sqref="AH6:AH50">
    <cfRule type="cellIs" dxfId="97" priority="97" operator="equal">
      <formula>44</formula>
    </cfRule>
    <cfRule type="cellIs" dxfId="96" priority="98" operator="equal">
      <formula>30</formula>
    </cfRule>
    <cfRule type="cellIs" dxfId="95" priority="99" operator="equal">
      <formula>29</formula>
    </cfRule>
    <cfRule type="cellIs" dxfId="94" priority="100" operator="equal">
      <formula>28</formula>
    </cfRule>
    <cfRule type="cellIs" dxfId="93" priority="101" operator="equal">
      <formula>23</formula>
    </cfRule>
    <cfRule type="cellIs" dxfId="92" priority="102" operator="equal">
      <formula>11</formula>
    </cfRule>
  </conditionalFormatting>
  <conditionalFormatting sqref="AG6:AG50">
    <cfRule type="cellIs" dxfId="91" priority="91" operator="equal">
      <formula>38</formula>
    </cfRule>
    <cfRule type="cellIs" dxfId="90" priority="92" operator="equal">
      <formula>36</formula>
    </cfRule>
    <cfRule type="cellIs" dxfId="89" priority="93" operator="equal">
      <formula>16</formula>
    </cfRule>
    <cfRule type="cellIs" dxfId="88" priority="94" operator="equal">
      <formula>14</formula>
    </cfRule>
    <cfRule type="cellIs" dxfId="87" priority="95" operator="equal">
      <formula>10</formula>
    </cfRule>
    <cfRule type="cellIs" dxfId="86" priority="96" operator="equal">
      <formula>3</formula>
    </cfRule>
  </conditionalFormatting>
  <conditionalFormatting sqref="AF6:AF50">
    <cfRule type="cellIs" dxfId="85" priority="85" operator="equal">
      <formula>29</formula>
    </cfRule>
    <cfRule type="cellIs" dxfId="84" priority="86" operator="equal">
      <formula>26</formula>
    </cfRule>
    <cfRule type="cellIs" dxfId="83" priority="87" operator="equal">
      <formula>24</formula>
    </cfRule>
    <cfRule type="cellIs" dxfId="82" priority="88" operator="equal">
      <formula>16</formula>
    </cfRule>
    <cfRule type="cellIs" dxfId="81" priority="89" operator="equal">
      <formula>13</formula>
    </cfRule>
    <cfRule type="cellIs" dxfId="80" priority="90" operator="equal">
      <formula>3</formula>
    </cfRule>
  </conditionalFormatting>
  <conditionalFormatting sqref="AE6:AE50">
    <cfRule type="cellIs" dxfId="79" priority="79" operator="equal">
      <formula>44</formula>
    </cfRule>
    <cfRule type="cellIs" dxfId="78" priority="80" operator="equal">
      <formula>41</formula>
    </cfRule>
    <cfRule type="cellIs" dxfId="77" priority="81" operator="equal">
      <formula>33</formula>
    </cfRule>
    <cfRule type="cellIs" dxfId="76" priority="82" operator="equal">
      <formula>31</formula>
    </cfRule>
    <cfRule type="cellIs" dxfId="75" priority="83" operator="equal">
      <formula>28</formula>
    </cfRule>
    <cfRule type="cellIs" dxfId="74" priority="84" operator="equal">
      <formula>10</formula>
    </cfRule>
  </conditionalFormatting>
  <conditionalFormatting sqref="AG6:AG50">
    <cfRule type="cellIs" dxfId="73" priority="67" operator="equal">
      <formula>44</formula>
    </cfRule>
    <cfRule type="cellIs" dxfId="72" priority="68" operator="equal">
      <formula>30</formula>
    </cfRule>
    <cfRule type="cellIs" dxfId="71" priority="69" operator="equal">
      <formula>29</formula>
    </cfRule>
    <cfRule type="cellIs" dxfId="70" priority="70" operator="equal">
      <formula>28</formula>
    </cfRule>
    <cfRule type="cellIs" dxfId="69" priority="71" operator="equal">
      <formula>23</formula>
    </cfRule>
    <cfRule type="cellIs" dxfId="68" priority="72" operator="equal">
      <formula>11</formula>
    </cfRule>
  </conditionalFormatting>
  <conditionalFormatting sqref="AF6:AF50">
    <cfRule type="cellIs" dxfId="67" priority="61" operator="equal">
      <formula>38</formula>
    </cfRule>
    <cfRule type="cellIs" dxfId="66" priority="62" operator="equal">
      <formula>36</formula>
    </cfRule>
    <cfRule type="cellIs" dxfId="65" priority="63" operator="equal">
      <formula>16</formula>
    </cfRule>
    <cfRule type="cellIs" dxfId="64" priority="64" operator="equal">
      <formula>14</formula>
    </cfRule>
    <cfRule type="cellIs" dxfId="63" priority="65" operator="equal">
      <formula>10</formula>
    </cfRule>
    <cfRule type="cellIs" dxfId="62" priority="66" operator="equal">
      <formula>3</formula>
    </cfRule>
  </conditionalFormatting>
  <conditionalFormatting sqref="AH6:AH50">
    <cfRule type="cellIs" dxfId="61" priority="55" operator="equal">
      <formula>44</formula>
    </cfRule>
    <cfRule type="cellIs" dxfId="60" priority="56" operator="equal">
      <formula>30</formula>
    </cfRule>
    <cfRule type="cellIs" dxfId="59" priority="57" operator="equal">
      <formula>29</formula>
    </cfRule>
    <cfRule type="cellIs" dxfId="58" priority="58" operator="equal">
      <formula>28</formula>
    </cfRule>
    <cfRule type="cellIs" dxfId="57" priority="59" operator="equal">
      <formula>23</formula>
    </cfRule>
    <cfRule type="cellIs" dxfId="56" priority="60" operator="equal">
      <formula>11</formula>
    </cfRule>
  </conditionalFormatting>
  <conditionalFormatting sqref="AG6:AG50">
    <cfRule type="cellIs" dxfId="55" priority="49" operator="equal">
      <formula>38</formula>
    </cfRule>
    <cfRule type="cellIs" dxfId="54" priority="50" operator="equal">
      <formula>36</formula>
    </cfRule>
    <cfRule type="cellIs" dxfId="53" priority="51" operator="equal">
      <formula>16</formula>
    </cfRule>
    <cfRule type="cellIs" dxfId="52" priority="52" operator="equal">
      <formula>14</formula>
    </cfRule>
    <cfRule type="cellIs" dxfId="51" priority="53" operator="equal">
      <formula>10</formula>
    </cfRule>
    <cfRule type="cellIs" dxfId="50" priority="54" operator="equal">
      <formula>3</formula>
    </cfRule>
  </conditionalFormatting>
  <conditionalFormatting sqref="AF6:AF50">
    <cfRule type="cellIs" dxfId="49" priority="43" operator="equal">
      <formula>29</formula>
    </cfRule>
    <cfRule type="cellIs" dxfId="48" priority="44" operator="equal">
      <formula>26</formula>
    </cfRule>
    <cfRule type="cellIs" dxfId="47" priority="45" operator="equal">
      <formula>24</formula>
    </cfRule>
    <cfRule type="cellIs" dxfId="46" priority="46" operator="equal">
      <formula>16</formula>
    </cfRule>
    <cfRule type="cellIs" dxfId="45" priority="47" operator="equal">
      <formula>13</formula>
    </cfRule>
    <cfRule type="cellIs" dxfId="44" priority="48" operator="equal">
      <formula>3</formula>
    </cfRule>
  </conditionalFormatting>
  <conditionalFormatting sqref="AH6:AH50">
    <cfRule type="cellIs" dxfId="43" priority="37" operator="equal">
      <formula>44</formula>
    </cfRule>
    <cfRule type="cellIs" dxfId="42" priority="38" operator="equal">
      <formula>30</formula>
    </cfRule>
    <cfRule type="cellIs" dxfId="41" priority="39" operator="equal">
      <formula>29</formula>
    </cfRule>
    <cfRule type="cellIs" dxfId="40" priority="40" operator="equal">
      <formula>28</formula>
    </cfRule>
    <cfRule type="cellIs" dxfId="39" priority="41" operator="equal">
      <formula>23</formula>
    </cfRule>
    <cfRule type="cellIs" dxfId="38" priority="42" operator="equal">
      <formula>11</formula>
    </cfRule>
  </conditionalFormatting>
  <conditionalFormatting sqref="AG6:AG50">
    <cfRule type="cellIs" dxfId="37" priority="31" operator="equal">
      <formula>38</formula>
    </cfRule>
    <cfRule type="cellIs" dxfId="36" priority="32" operator="equal">
      <formula>36</formula>
    </cfRule>
    <cfRule type="cellIs" dxfId="35" priority="33" operator="equal">
      <formula>16</formula>
    </cfRule>
    <cfRule type="cellIs" dxfId="34" priority="34" operator="equal">
      <formula>14</formula>
    </cfRule>
    <cfRule type="cellIs" dxfId="33" priority="35" operator="equal">
      <formula>10</formula>
    </cfRule>
    <cfRule type="cellIs" dxfId="32" priority="36" operator="equal">
      <formula>3</formula>
    </cfRule>
  </conditionalFormatting>
  <conditionalFormatting sqref="AI6:AI50">
    <cfRule type="cellIs" dxfId="31" priority="25" operator="equal">
      <formula>44</formula>
    </cfRule>
    <cfRule type="cellIs" dxfId="30" priority="26" operator="equal">
      <formula>30</formula>
    </cfRule>
    <cfRule type="cellIs" dxfId="29" priority="27" operator="equal">
      <formula>29</formula>
    </cfRule>
    <cfRule type="cellIs" dxfId="28" priority="28" operator="equal">
      <formula>28</formula>
    </cfRule>
    <cfRule type="cellIs" dxfId="27" priority="29" operator="equal">
      <formula>23</formula>
    </cfRule>
    <cfRule type="cellIs" dxfId="26" priority="30" operator="equal">
      <formula>11</formula>
    </cfRule>
  </conditionalFormatting>
  <conditionalFormatting sqref="AH6:AH50">
    <cfRule type="cellIs" dxfId="25" priority="19" operator="equal">
      <formula>38</formula>
    </cfRule>
    <cfRule type="cellIs" dxfId="24" priority="20" operator="equal">
      <formula>36</formula>
    </cfRule>
    <cfRule type="cellIs" dxfId="23" priority="21" operator="equal">
      <formula>16</formula>
    </cfRule>
    <cfRule type="cellIs" dxfId="22" priority="22" operator="equal">
      <formula>14</formula>
    </cfRule>
    <cfRule type="cellIs" dxfId="21" priority="23" operator="equal">
      <formula>10</formula>
    </cfRule>
    <cfRule type="cellIs" dxfId="20" priority="24" operator="equal">
      <formula>3</formula>
    </cfRule>
  </conditionalFormatting>
  <conditionalFormatting sqref="AG6:AG50">
    <cfRule type="cellIs" dxfId="19" priority="13" operator="equal">
      <formula>29</formula>
    </cfRule>
    <cfRule type="cellIs" dxfId="18" priority="14" operator="equal">
      <formula>26</formula>
    </cfRule>
    <cfRule type="cellIs" dxfId="17" priority="15" operator="equal">
      <formula>24</formula>
    </cfRule>
    <cfRule type="cellIs" dxfId="16" priority="16" operator="equal">
      <formula>16</formula>
    </cfRule>
    <cfRule type="cellIs" dxfId="15" priority="17" operator="equal">
      <formula>13</formula>
    </cfRule>
    <cfRule type="cellIs" dxfId="14" priority="18" operator="equal">
      <formula>3</formula>
    </cfRule>
  </conditionalFormatting>
  <conditionalFormatting sqref="AF6:AF50">
    <cfRule type="cellIs" dxfId="13" priority="7" operator="equal">
      <formula>44</formula>
    </cfRule>
    <cfRule type="cellIs" dxfId="12" priority="8" operator="equal">
      <formula>41</formula>
    </cfRule>
    <cfRule type="cellIs" dxfId="11" priority="9" operator="equal">
      <formula>33</formula>
    </cfRule>
    <cfRule type="cellIs" dxfId="10" priority="10" operator="equal">
      <formula>31</formula>
    </cfRule>
    <cfRule type="cellIs" dxfId="9" priority="11" operator="equal">
      <formula>28</formula>
    </cfRule>
    <cfRule type="cellIs" dxfId="8" priority="12" operator="equal">
      <formula>10</formula>
    </cfRule>
  </conditionalFormatting>
  <conditionalFormatting sqref="AE6:AE50">
    <cfRule type="cellIs" dxfId="7" priority="1" operator="equal">
      <formula>42</formula>
    </cfRule>
    <cfRule type="cellIs" dxfId="6" priority="2" operator="equal">
      <formula>33</formula>
    </cfRule>
    <cfRule type="cellIs" dxfId="5" priority="3" operator="equal">
      <formula>23</formula>
    </cfRule>
    <cfRule type="cellIs" dxfId="4" priority="4" operator="equal">
      <formula>8</formula>
    </cfRule>
    <cfRule type="cellIs" dxfId="3" priority="5" operator="equal">
      <formula>4</formula>
    </cfRule>
    <cfRule type="cellIs" dxfId="2" priority="6" operator="equal">
      <formula>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확률계산</vt:lpstr>
      <vt:lpstr>번호정리</vt:lpstr>
      <vt:lpstr>결과분석1</vt:lpstr>
      <vt:lpstr>번호추출</vt:lpstr>
      <vt:lpstr>중복수 결과</vt:lpstr>
      <vt:lpstr>집계중복수</vt:lpstr>
      <vt:lpstr>Sheet1</vt:lpstr>
      <vt:lpstr>번호추출 (2)</vt:lpstr>
      <vt:lpstr>번호추출 (3)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</dc:creator>
  <cp:lastModifiedBy>Administrator</cp:lastModifiedBy>
  <cp:lastPrinted>2012-05-06T01:16:30Z</cp:lastPrinted>
  <dcterms:created xsi:type="dcterms:W3CDTF">2010-05-04T12:32:05Z</dcterms:created>
  <dcterms:modified xsi:type="dcterms:W3CDTF">2016-10-06T06:04:34Z</dcterms:modified>
</cp:coreProperties>
</file>